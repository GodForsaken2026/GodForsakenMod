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D:\trunkdata\excel\"/>
    </mc:Choice>
  </mc:AlternateContent>
  <xr:revisionPtr revIDLastSave="0" documentId="13_ncr:1_{ED0951E6-B725-4CE8-9D77-DA94395A42D1}" xr6:coauthVersionLast="47" xr6:coauthVersionMax="47" xr10:uidLastSave="{00000000-0000-0000-0000-000000000000}"/>
  <bookViews>
    <workbookView xWindow="28680" yWindow="-120" windowWidth="29040" windowHeight="15840" activeTab="2" xr2:uid="{00000000-000D-0000-FFFF-FFFF00000000}"/>
  </bookViews>
  <sheets>
    <sheet name="神像符文配置表" sheetId="1" r:id="rId1"/>
    <sheet name="神像献祭配置表" sheetId="2" r:id="rId2"/>
    <sheet name="神像符文难度表" sheetId="5" r:id="rId3"/>
    <sheet name="符文属性配置调整" sheetId="8" r:id="rId4"/>
    <sheet name="神像符文效果表" sheetId="6" r:id="rId5"/>
    <sheet name="Sheet1" sheetId="4" r:id="rId6"/>
    <sheet name="参考" sheetId="3"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 i="8" l="1" a="1"/>
  <c r="C3" i="8" s="1"/>
  <c r="M24" i="8" s="1"/>
  <c r="D3" i="8" a="1"/>
  <c r="D3" i="8" s="1"/>
  <c r="M61" i="8" s="1"/>
  <c r="C4" i="8" a="1"/>
  <c r="C4" i="8" s="1"/>
  <c r="D4" i="8" a="1"/>
  <c r="D4" i="8" s="1"/>
  <c r="M62" i="8" s="1"/>
  <c r="C5" i="8" a="1"/>
  <c r="C5" i="8" s="1"/>
  <c r="M26" i="8" s="1"/>
  <c r="D5" i="8" a="1"/>
  <c r="D5" i="8" s="1"/>
  <c r="M63" i="8" s="1"/>
  <c r="AB5" i="8" a="1"/>
  <c r="AB5" i="8" s="1"/>
  <c r="AC5" i="8" s="1"/>
  <c r="C6" i="8" a="1"/>
  <c r="C6" i="8" s="1"/>
  <c r="M27" i="8" s="1"/>
  <c r="D6" i="8" a="1"/>
  <c r="D6" i="8" s="1"/>
  <c r="M64" i="8" s="1"/>
  <c r="AB6" i="8" a="1"/>
  <c r="AB6" i="8" s="1"/>
  <c r="AC6" i="8" s="1"/>
  <c r="C7" i="8" a="1"/>
  <c r="C7" i="8" s="1"/>
  <c r="M28" i="8" s="1"/>
  <c r="D7" i="8" a="1"/>
  <c r="D7" i="8" s="1"/>
  <c r="M65" i="8" s="1"/>
  <c r="AB7" i="8" a="1"/>
  <c r="AB7" i="8" s="1"/>
  <c r="AC7" i="8" s="1"/>
  <c r="C8" i="8" a="1"/>
  <c r="C8" i="8" s="1"/>
  <c r="M29" i="8" s="1"/>
  <c r="D8" i="8" a="1"/>
  <c r="D8" i="8" s="1"/>
  <c r="M66" i="8" s="1"/>
  <c r="AB8" i="8" a="1"/>
  <c r="AB8" i="8" s="1"/>
  <c r="AC8" i="8" s="1"/>
  <c r="C9" i="8" a="1"/>
  <c r="C9" i="8" s="1"/>
  <c r="M30" i="8" s="1"/>
  <c r="D9" i="8" a="1"/>
  <c r="D9" i="8" s="1"/>
  <c r="M67" i="8" s="1"/>
  <c r="AB9" i="8" a="1"/>
  <c r="AB9" i="8" s="1"/>
  <c r="AC9" i="8" s="1"/>
  <c r="C10" i="8" a="1"/>
  <c r="C10" i="8" s="1"/>
  <c r="M31" i="8" s="1"/>
  <c r="D10" i="8" a="1"/>
  <c r="D10" i="8" s="1"/>
  <c r="M68" i="8" s="1"/>
  <c r="AB10" i="8" a="1"/>
  <c r="AB10" i="8" s="1"/>
  <c r="AC10" i="8" s="1"/>
  <c r="C11" i="8" a="1"/>
  <c r="C11" i="8" s="1"/>
  <c r="M32" i="8" s="1"/>
  <c r="D11" i="8" a="1"/>
  <c r="D11" i="8" s="1"/>
  <c r="M69" i="8" s="1"/>
  <c r="AB11" i="8" a="1"/>
  <c r="AB11" i="8" s="1"/>
  <c r="AC11" i="8" s="1"/>
  <c r="C12" i="8" a="1"/>
  <c r="C12" i="8" s="1"/>
  <c r="M33" i="8" s="1"/>
  <c r="D12" i="8" a="1"/>
  <c r="D12" i="8" s="1"/>
  <c r="M70" i="8" s="1"/>
  <c r="AB12" i="8" a="1"/>
  <c r="AB12" i="8" s="1"/>
  <c r="AC12" i="8" s="1"/>
  <c r="C13" i="8" a="1"/>
  <c r="C13" i="8" s="1"/>
  <c r="M34" i="8" s="1"/>
  <c r="D13" i="8" a="1"/>
  <c r="D13" i="8" s="1"/>
  <c r="M71" i="8" s="1"/>
  <c r="AB13" i="8" a="1"/>
  <c r="AB13" i="8" s="1"/>
  <c r="AC13" i="8" s="1"/>
  <c r="C14" i="8" a="1"/>
  <c r="C14" i="8" s="1"/>
  <c r="D14" i="8" a="1"/>
  <c r="D14" i="8" s="1"/>
  <c r="M72" i="8" s="1"/>
  <c r="AB14" i="8" a="1"/>
  <c r="AB14" i="8" s="1"/>
  <c r="AC14" i="8" s="1"/>
  <c r="C15" i="8" a="1"/>
  <c r="C15" i="8" s="1"/>
  <c r="M36" i="8" s="1"/>
  <c r="D15" i="8" a="1"/>
  <c r="D15" i="8" s="1"/>
  <c r="M73" i="8" s="1"/>
  <c r="AB15" i="8" a="1"/>
  <c r="AB15" i="8" s="1"/>
  <c r="AC15" i="8" s="1"/>
  <c r="C16" i="8" a="1"/>
  <c r="C16" i="8" s="1"/>
  <c r="M37" i="8" s="1"/>
  <c r="D16" i="8" a="1"/>
  <c r="D16" i="8" s="1"/>
  <c r="M74" i="8" s="1"/>
  <c r="AB16" i="8" a="1"/>
  <c r="AB16" i="8" s="1"/>
  <c r="AC16" i="8" s="1"/>
  <c r="C17" i="8" a="1"/>
  <c r="C17" i="8" s="1"/>
  <c r="M38" i="8" s="1"/>
  <c r="D17" i="8" a="1"/>
  <c r="D17" i="8" s="1"/>
  <c r="M75" i="8" s="1"/>
  <c r="C18" i="8" a="1"/>
  <c r="C18" i="8" s="1"/>
  <c r="M39" i="8" s="1"/>
  <c r="D18" i="8" a="1"/>
  <c r="D18" i="8" s="1"/>
  <c r="M76" i="8" s="1"/>
  <c r="C19" i="8" a="1"/>
  <c r="C19" i="8" s="1"/>
  <c r="M40" i="8" s="1"/>
  <c r="D19" i="8" a="1"/>
  <c r="D19" i="8" s="1"/>
  <c r="M77" i="8" s="1"/>
  <c r="C20" i="8" a="1"/>
  <c r="C20" i="8" s="1"/>
  <c r="M41" i="8" s="1"/>
  <c r="D20" i="8" a="1"/>
  <c r="D20" i="8" s="1"/>
  <c r="M78" i="8" s="1"/>
  <c r="C21" i="8" a="1"/>
  <c r="C21" i="8" s="1"/>
  <c r="M42" i="8" s="1"/>
  <c r="D21" i="8" a="1"/>
  <c r="D21" i="8" s="1"/>
  <c r="M79" i="8" s="1"/>
  <c r="C22" i="8" a="1"/>
  <c r="C22" i="8"/>
  <c r="M43" i="8" s="1"/>
  <c r="D22" i="8" a="1"/>
  <c r="D22" i="8" s="1"/>
  <c r="M80" i="8" s="1"/>
  <c r="C23" i="8" a="1"/>
  <c r="C23" i="8" s="1"/>
  <c r="M44" i="8" s="1"/>
  <c r="D23" i="8" a="1"/>
  <c r="D23" i="8" s="1"/>
  <c r="M81" i="8" s="1"/>
  <c r="C24" i="8" a="1"/>
  <c r="C24" i="8" s="1"/>
  <c r="M45" i="8" s="1"/>
  <c r="D24" i="8" a="1"/>
  <c r="D24" i="8" s="1"/>
  <c r="M82" i="8" s="1"/>
  <c r="C25" i="8" a="1"/>
  <c r="C25" i="8" s="1"/>
  <c r="M46" i="8" s="1"/>
  <c r="D25" i="8" a="1"/>
  <c r="D25" i="8" s="1"/>
  <c r="M83" i="8" s="1"/>
  <c r="C26" i="8" a="1"/>
  <c r="C26" i="8" s="1"/>
  <c r="M47" i="8" s="1"/>
  <c r="D26" i="8" a="1"/>
  <c r="D26" i="8" s="1"/>
  <c r="M84" i="8" s="1"/>
  <c r="C27" i="8" a="1"/>
  <c r="C27" i="8" s="1"/>
  <c r="M48" i="8" s="1"/>
  <c r="D27" i="8" a="1"/>
  <c r="D27" i="8" s="1"/>
  <c r="M85" i="8" s="1"/>
  <c r="C28" i="8" a="1"/>
  <c r="C28" i="8"/>
  <c r="M49" i="8" s="1"/>
  <c r="D28" i="8" a="1"/>
  <c r="D28" i="8" s="1"/>
  <c r="M86" i="8" s="1"/>
  <c r="C29" i="8" a="1"/>
  <c r="C29" i="8" s="1"/>
  <c r="M50" i="8" s="1"/>
  <c r="D29" i="8" a="1"/>
  <c r="D29" i="8" s="1"/>
  <c r="M87" i="8" s="1"/>
  <c r="C30" i="8" a="1"/>
  <c r="C30" i="8" s="1"/>
  <c r="M51" i="8" s="1"/>
  <c r="D30" i="8" a="1"/>
  <c r="D30" i="8" s="1"/>
  <c r="M88" i="8" s="1"/>
  <c r="C31" i="8" a="1"/>
  <c r="C31" i="8" s="1"/>
  <c r="D31" i="8" a="1"/>
  <c r="D31" i="8" s="1"/>
  <c r="M89" i="8" s="1"/>
  <c r="C32" i="8" a="1"/>
  <c r="C32" i="8" s="1"/>
  <c r="M53" i="8" s="1"/>
  <c r="D32" i="8" a="1"/>
  <c r="D32" i="8" s="1"/>
  <c r="M90" i="8" s="1"/>
  <c r="C33" i="8" a="1"/>
  <c r="C33" i="8" s="1"/>
  <c r="M54" i="8" s="1"/>
  <c r="D33" i="8" a="1"/>
  <c r="D33" i="8" s="1"/>
  <c r="M91" i="8" s="1"/>
  <c r="C34" i="8" a="1"/>
  <c r="C34" i="8" s="1"/>
  <c r="M55" i="8" s="1"/>
  <c r="D34" i="8" a="1"/>
  <c r="D34" i="8" s="1"/>
  <c r="M92" i="8" s="1"/>
  <c r="C35" i="8" a="1"/>
  <c r="C35" i="8" s="1"/>
  <c r="M56" i="8" s="1"/>
  <c r="D35" i="8" a="1"/>
  <c r="D35" i="8" s="1"/>
  <c r="M93" i="8" s="1"/>
  <c r="C36" i="8" a="1"/>
  <c r="C36" i="8" s="1"/>
  <c r="M57" i="8" s="1"/>
  <c r="D36" i="8" a="1"/>
  <c r="D36" i="8" s="1"/>
  <c r="M94" i="8" s="1"/>
  <c r="C37" i="8" a="1"/>
  <c r="C37" i="8" s="1"/>
  <c r="M58" i="8" s="1"/>
  <c r="D37" i="8" a="1"/>
  <c r="D37" i="8" s="1"/>
  <c r="M95" i="8" s="1"/>
  <c r="E14" i="8" l="1"/>
  <c r="M35" i="8"/>
  <c r="E31" i="8"/>
  <c r="M52" i="8"/>
  <c r="E4" i="8"/>
  <c r="M25" i="8"/>
  <c r="E20" i="8"/>
  <c r="E35" i="8"/>
  <c r="E30" i="8"/>
  <c r="E36" i="8"/>
  <c r="E7" i="8"/>
  <c r="E34" i="8"/>
  <c r="E11" i="8"/>
  <c r="E15" i="8"/>
  <c r="E10" i="8"/>
  <c r="E28" i="8"/>
  <c r="E26" i="8"/>
  <c r="E5" i="8"/>
  <c r="E9" i="8"/>
  <c r="E19" i="8"/>
  <c r="E29" i="8"/>
  <c r="E18" i="8"/>
  <c r="E23" i="8"/>
  <c r="E22" i="8"/>
  <c r="E12" i="8"/>
  <c r="E6" i="8"/>
  <c r="E21" i="8"/>
  <c r="E16" i="8"/>
  <c r="E17" i="8"/>
  <c r="E33" i="8"/>
  <c r="E27" i="8"/>
  <c r="E32" i="8"/>
  <c r="E37" i="8"/>
  <c r="E25" i="8"/>
  <c r="E24" i="8"/>
  <c r="E13" i="8"/>
  <c r="E8" i="8"/>
  <c r="E3"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8554D86-77B4-4ED9-8C9D-BDAACEF1DBFF}" name="god_rune" type="4" refreshedVersion="0" background="1">
    <webPr xml="1" sourceData="1" parsePre="1" consecutive="1" url="E:\x1-data\trunk\excel\xml模板\god_rune.xml" htmlTables="1"/>
  </connection>
  <connection id="2" xr16:uid="{AEF85030-FB37-43A9-A79F-F2944CA0B5E5}" name="god_rune1" type="4" refreshedVersion="0" background="1">
    <webPr xml="1" sourceData="1" url="E:\x1-data\trunk\excel\xml模板\god_rune.xml" htmlTables="1" htmlFormat="all"/>
  </connection>
  <connection id="3" xr16:uid="{E7269BC7-6AB6-4FAB-B9A2-553ED7B4A399}" name="god_rune2" type="4" refreshedVersion="0" background="1">
    <webPr xml="1" sourceData="1" url="E:\x1-data\trunk\excel\xml模板\god_rune.xml" htmlTables="1" htmlFormat="all"/>
  </connection>
  <connection id="4" xr16:uid="{CBE965B9-8955-42C9-A3FB-71256E66F1FC}" name="god_rune3" type="4" refreshedVersion="0" background="1">
    <webPr xml="1" sourceData="1" url="G:\survivors\data\trunk\excel\xml模板\god_rune.xml" htmlTables="1" htmlFormat="all"/>
  </connection>
  <connection id="5" xr16:uid="{18CC2B59-204C-485D-9AFC-691EBCA1630E}" name="god_rune4" type="4" refreshedVersion="0" background="1">
    <webPr xml="1" sourceData="1" url="D:\x1\data\trunk\excel\xml模板\god_rune.xml" htmlTables="1" htmlFormat="all"/>
  </connection>
  <connection id="6" xr16:uid="{5F788465-00D3-4855-B3E2-030109B66E40}" name="god_rune5" type="4" refreshedVersion="0" background="1">
    <webPr xml="1" sourceData="1" url="D:\survivorsdata\trunk\excel\xml模板\god_rune.xml" htmlTables="1" htmlFormat="all"/>
  </connection>
  <connection id="7" xr16:uid="{ED08A1A0-2B65-4371-A4C4-397EE8162C11}" name="god_sacrifice" type="4" refreshedVersion="0" background="1">
    <webPr xml="1" sourceData="1" parsePre="1" consecutive="1" url="E:\x1-data\trunk\excel\xml模板\god_sacrifice.xml" htmlTables="1"/>
  </connection>
  <connection id="8" xr16:uid="{E6013A89-F026-4932-A516-8A799C4324ED}" name="god_sacrifice1" type="4" refreshedVersion="0" background="1">
    <webPr xml="1" sourceData="1" url="E:\x1-data\trunk\excel\xml模板\god_sacrifice.xml" htmlTables="1" htmlFormat="all"/>
  </connection>
  <connection id="9" xr16:uid="{5E42B3FF-A805-4DC0-BFE6-1F4C274B25EB}" name="god_sacrifice2" type="4" refreshedVersion="0" background="1">
    <webPr xml="1" sourceData="1" url="G:\survivors\data\trunk\excel\xml模板\god_sacrifice.xml" htmlTables="1" htmlFormat="all"/>
  </connection>
  <connection id="10" xr16:uid="{19DFAA39-1508-4C51-966D-270FF96C8BBA}" name="god_sacrifice3" type="4" refreshedVersion="0" background="1">
    <webPr xml="1" sourceData="1" url="G:\survivors\data\trunk\excel\xml模板\god_sacrifice.xml" htmlTables="1" htmlFormat="all"/>
  </connection>
  <connection id="11" xr16:uid="{8335F3D5-7588-404D-ADAC-A9850AE38CAC}" name="rune_difficult" type="4" refreshedVersion="0" background="1">
    <webPr xml="1" sourceData="1" url="D:\x1\data\trunk\excel\xml模板\rune_difficult.xml" htmlTables="1" htmlFormat="all"/>
  </connection>
  <connection id="12" xr16:uid="{3FB57CF6-ED74-409F-9142-A60F59E1782E}" name="rune_difficult1" type="4" refreshedVersion="0" background="1">
    <webPr xml="1" sourceData="1" url="D:\x1\data\trunk\excel\xml模板\rune_difficult.xml" htmlTables="1" htmlFormat="all"/>
  </connection>
  <connection id="13" xr16:uid="{E32629AE-6231-40BB-AC20-022B649A99F0}" name="rune_difficult2" type="4" refreshedVersion="0" background="1">
    <webPr xml="1" sourceData="1" url="D:\x1\data\trunk\excel\xml模板\rune_difficult.xml" htmlTables="1" htmlFormat="all"/>
  </connection>
  <connection id="14" xr16:uid="{A8970F10-768F-4FF7-9BCB-714AE72F2115}" name="rune_difficult3" type="4" refreshedVersion="0" background="1">
    <webPr xml="1" sourceData="1" url="G:\survivors\data\trunk\excel\xml模板\rune_difficult.xml" htmlTables="1" htmlFormat="all"/>
  </connection>
  <connection id="15" xr16:uid="{DDE3004A-D5C8-4539-8F6C-5F03DF718812}" name="rune_difficult4" type="4" refreshedVersion="0" background="1">
    <webPr xml="1" sourceData="1" url="G:\survivors\data\trunk\excel\xml模板\rune_difficult.xml" htmlTables="1" htmlFormat="all"/>
  </connection>
  <connection id="16" xr16:uid="{A87FA686-4F4A-4A0E-B601-C09920AC651E}" name="rune_difficult5" type="4" refreshedVersion="0" background="1">
    <webPr xml="1" sourceData="1" url="E:\x1\data\trunk\excel\xml模板\rune_difficult.xml" htmlTables="1" htmlFormat="all"/>
  </connection>
  <connection id="17" xr16:uid="{8A6904C7-D4B7-43C5-90FD-E9DC25E06DC4}" name="rune_effect" type="4" refreshedVersion="0" background="1">
    <webPr xml="1" sourceData="1" url="D:\x1\data\trunk\excel\xml模板\rune_effect.xml" htmlTables="1" htmlFormat="all"/>
  </connection>
  <connection id="18" xr16:uid="{073FE0DE-068A-4C20-865F-B977CB6BB58C}" name="rune_effect1" type="4" refreshedVersion="0" background="1">
    <webPr xml="1" sourceData="1" url="D:\survivorsdata\trunk\excel\xml模板\rune_effect.xml" htmlTables="1" htmlFormat="all"/>
  </connection>
  <connection id="19" xr16:uid="{E862693D-E06F-477D-8B85-B602DBD854A7}" name="rune_effect2" type="4" refreshedVersion="0" background="1">
    <webPr xml="1" sourceData="1" url="D:\survivorsdata\trunk\excel\xml模板\rune_effect.xml" htmlTables="1" htmlFormat="all"/>
  </connection>
  <connection id="20" xr16:uid="{C84EFD9A-E3FD-410F-B1EB-F5074C3B41C9}" name="rune_effect3" type="4" refreshedVersion="0" background="1">
    <webPr xml="1" sourceData="1" url="D:\survivorsdata\trunk\excel\xml模板\rune_effect.xml" htmlTables="1" htmlFormat="all"/>
  </connection>
  <connection id="21" xr16:uid="{B6E232D1-860C-45EC-8D99-A9C34DFE8CE2}" name="rune_effect4" type="4" refreshedVersion="0" background="1">
    <webPr xml="1" sourceData="1" url="D:\survivorsdata\trunk\excel\xml模板\rune_effect.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<sst xmlns="http://schemas.openxmlformats.org/spreadsheetml/2006/main" count="1091" uniqueCount="787">
  <si>
    <t>流水号</t>
    <phoneticPr fontId="2" type="noConversion"/>
  </si>
  <si>
    <t>符文排序</t>
    <phoneticPr fontId="2" type="noConversion"/>
  </si>
  <si>
    <t>流水号
符文ID</t>
    <phoneticPr fontId="2" type="noConversion"/>
  </si>
  <si>
    <t>符文图标</t>
    <phoneticPr fontId="2" type="noConversion"/>
  </si>
  <si>
    <t>符文名称</t>
    <phoneticPr fontId="2" type="noConversion"/>
  </si>
  <si>
    <t>导出为god_rune.xml</t>
    <phoneticPr fontId="2" type="noConversion"/>
  </si>
  <si>
    <t>道具奖励</t>
    <phoneticPr fontId="2" type="noConversion"/>
  </si>
  <si>
    <t>献祭次数限制</t>
    <phoneticPr fontId="2" type="noConversion"/>
  </si>
  <si>
    <t>导出为god_sacrifice.xml</t>
    <phoneticPr fontId="2" type="noConversion"/>
  </si>
  <si>
    <t>符文增加难度值
具体数值</t>
    <phoneticPr fontId="2" type="noConversion"/>
  </si>
  <si>
    <t xml:space="preserve">
献祭道具ID
道具/装备表ID</t>
    <phoneticPr fontId="2" type="noConversion"/>
  </si>
  <si>
    <t>id_i</t>
  </si>
  <si>
    <t>rank_i</t>
  </si>
  <si>
    <t>icon_i</t>
  </si>
  <si>
    <t>name_i</t>
  </si>
  <si>
    <t>difficulty_i</t>
  </si>
  <si>
    <t>effect_n</t>
  </si>
  <si>
    <t>0:0,0</t>
    <phoneticPr fontId="2" type="noConversion"/>
  </si>
  <si>
    <t>1. 永夜符文 (Rune of Eternal Night)</t>
  </si>
  <si>
    <r>
      <t>效果</t>
    </r>
    <r>
      <rPr>
        <sz val="11"/>
        <color theme="1"/>
        <rFont val="等线"/>
        <family val="2"/>
        <scheme val="minor"/>
      </rPr>
      <t>：夜晚的持续时间增加50%，减少白昼时长。</t>
    </r>
  </si>
  <si>
    <r>
      <t>附加效果</t>
    </r>
    <r>
      <rPr>
        <sz val="11"/>
        <color theme="1"/>
        <rFont val="等线"/>
        <family val="2"/>
        <scheme val="minor"/>
      </rPr>
      <t>：夜晚的怪物数量增加，黑暗中出现的怪物变得更强，攻击频率提升。</t>
    </r>
  </si>
  <si>
    <t>2. 暴怒符文 (Rune of Wrath)</t>
  </si>
  <si>
    <r>
      <t>附加效果</t>
    </r>
    <r>
      <rPr>
        <sz val="11"/>
        <color theme="1"/>
        <rFont val="等线"/>
        <family val="2"/>
        <scheme val="minor"/>
      </rPr>
      <t>：精英怪物死亡后有几率掉落强化材料或额外经验。</t>
    </r>
  </si>
  <si>
    <t>3. 饥荒符文 (Rune of Famine)</t>
  </si>
  <si>
    <r>
      <t>效果</t>
    </r>
    <r>
      <rPr>
        <sz val="11"/>
        <color theme="1"/>
        <rFont val="等线"/>
        <family val="2"/>
        <scheme val="minor"/>
      </rPr>
      <t>：减少世界中的食物和补给资源掉落，生存压力加大。</t>
    </r>
  </si>
  <si>
    <r>
      <t>附加效果</t>
    </r>
    <r>
      <rPr>
        <sz val="11"/>
        <color theme="1"/>
        <rFont val="等线"/>
        <family val="2"/>
        <scheme val="minor"/>
      </rPr>
      <t>：玩家的体力消耗增加，恢复效果减半。</t>
    </r>
  </si>
  <si>
    <t>4. 哀嚎符文 (Rune of Wailing)</t>
  </si>
  <si>
    <r>
      <t>效果</t>
    </r>
    <r>
      <rPr>
        <sz val="11"/>
        <color theme="1"/>
        <rFont val="等线"/>
        <family val="2"/>
        <scheme val="minor"/>
      </rPr>
      <t>：怪物的感知范围增加，追击玩家的时间延长。</t>
    </r>
  </si>
  <si>
    <r>
      <t>附加效果</t>
    </r>
    <r>
      <rPr>
        <sz val="11"/>
        <color theme="1"/>
        <rFont val="等线"/>
        <family val="2"/>
        <scheme val="minor"/>
      </rPr>
      <t>：夜晚会随机出现低语和恐怖的声音，降低玩家的SAN值，加速恐惧状态。</t>
    </r>
  </si>
  <si>
    <t>5. 诅咒符文 (Rune of Curses)</t>
  </si>
  <si>
    <r>
      <t>效果</t>
    </r>
    <r>
      <rPr>
        <sz val="11"/>
        <color theme="1"/>
        <rFont val="等线"/>
        <family val="2"/>
        <scheme val="minor"/>
      </rPr>
      <t>：所有怪物的防御力提升，同时会偶尔释放出诅咒气息，使接近的玩家受到减速效果。</t>
    </r>
  </si>
  <si>
    <r>
      <t>附加效果</t>
    </r>
    <r>
      <rPr>
        <sz val="11"/>
        <color theme="1"/>
        <rFont val="等线"/>
        <family val="2"/>
        <scheme val="minor"/>
      </rPr>
      <t>：怪物攻击时有一定几率使玩家中毒或虚弱，降低恢复速度。</t>
    </r>
  </si>
  <si>
    <t>6. 瘟疫符文 (Rune of Plague)</t>
  </si>
  <si>
    <r>
      <t>效果</t>
    </r>
    <r>
      <rPr>
        <sz val="11"/>
        <color theme="1"/>
        <rFont val="等线"/>
        <family val="2"/>
        <scheme val="minor"/>
      </rPr>
      <t>：环境中充满瘟疫毒气，所有区域出现毒雾，玩家在这些区域内会缓慢失去生命值。</t>
    </r>
  </si>
  <si>
    <r>
      <t>附加效果</t>
    </r>
    <r>
      <rPr>
        <sz val="11"/>
        <color theme="1"/>
        <rFont val="等线"/>
        <family val="2"/>
        <scheme val="minor"/>
      </rPr>
      <t>：部分怪物获得“瘟疫传染”能力，受击时造成小范围毒伤。</t>
    </r>
  </si>
  <si>
    <t>7. 迷雾符文 (Rune of Mist)</t>
  </si>
  <si>
    <r>
      <t>效果</t>
    </r>
    <r>
      <rPr>
        <sz val="11"/>
        <color theme="1"/>
        <rFont val="等线"/>
        <family val="2"/>
        <scheme val="minor"/>
      </rPr>
      <t>：整个世界被迷雾笼罩，玩家的视野范围显著缩小。</t>
    </r>
  </si>
  <si>
    <r>
      <t>附加效果</t>
    </r>
    <r>
      <rPr>
        <sz val="11"/>
        <color theme="1"/>
        <rFont val="等线"/>
        <family val="2"/>
        <scheme val="minor"/>
      </rPr>
      <t>：迷雾中有幻象怪物出现，攻击这些幻象会触发真实怪物的出现。</t>
    </r>
  </si>
  <si>
    <t>8. 毁灭符文 (Rune of Destruction)</t>
  </si>
  <si>
    <r>
      <t>效果</t>
    </r>
    <r>
      <rPr>
        <sz val="11"/>
        <color theme="1"/>
        <rFont val="等线"/>
        <family val="2"/>
        <scheme val="minor"/>
      </rPr>
      <t>：特定区域的地形变得更具毁灭性，例如增加火山地形或熔岩流，经过的玩家受到环境伤害。</t>
    </r>
  </si>
  <si>
    <r>
      <t>附加效果</t>
    </r>
    <r>
      <rPr>
        <sz val="11"/>
        <color theme="1"/>
        <rFont val="等线"/>
        <family val="2"/>
        <scheme val="minor"/>
      </rPr>
      <t>：特定怪物受到强化，获得火焰伤害和火焰抗性。</t>
    </r>
  </si>
  <si>
    <t>9. 收割符文 (Rune of Reaping)</t>
  </si>
  <si>
    <r>
      <t>效果</t>
    </r>
    <r>
      <rPr>
        <sz val="11"/>
        <color theme="1"/>
        <rFont val="等线"/>
        <family val="2"/>
        <scheme val="minor"/>
      </rPr>
      <t>：增加所有怪物的移动速度，并缩短怪物的复活时间。</t>
    </r>
  </si>
  <si>
    <r>
      <t>附加效果</t>
    </r>
    <r>
      <rPr>
        <sz val="11"/>
        <color theme="1"/>
        <rFont val="等线"/>
        <family val="2"/>
        <scheme val="minor"/>
      </rPr>
      <t>：怪物在被击败后有小概率重新生成，重新生成后的怪物会变强。</t>
    </r>
  </si>
  <si>
    <t>10. 噬魂符文 (Rune of Soul Feast)</t>
  </si>
  <si>
    <r>
      <t>效果</t>
    </r>
    <r>
      <rPr>
        <sz val="11"/>
        <color theme="1"/>
        <rFont val="等线"/>
        <family val="2"/>
        <scheme val="minor"/>
      </rPr>
      <t>：每当玩家击败怪物时，有一小部分生命值和SAN值被吸收，无法通过正常途径恢复。</t>
    </r>
  </si>
  <si>
    <r>
      <t>附加效果</t>
    </r>
    <r>
      <rPr>
        <sz val="11"/>
        <color theme="1"/>
        <rFont val="等线"/>
        <family val="2"/>
        <scheme val="minor"/>
      </rPr>
      <t>：只有在特定地点的圣光下或使用特定道具才能恢复被吸收的生命值和SAN值。</t>
    </r>
  </si>
  <si>
    <t>11. 深渊符文 (Rune of the Abyss)</t>
  </si>
  <si>
    <r>
      <t>效果</t>
    </r>
    <r>
      <rPr>
        <sz val="11"/>
        <color theme="1"/>
        <rFont val="等线"/>
        <family val="2"/>
        <scheme val="minor"/>
      </rPr>
      <t>：地下区域的怪物数量大幅提升，地下的可见度进一步降低。</t>
    </r>
  </si>
  <si>
    <r>
      <t>附加效果</t>
    </r>
    <r>
      <rPr>
        <sz val="11"/>
        <color theme="1"/>
        <rFont val="等线"/>
        <family val="2"/>
        <scheme val="minor"/>
      </rPr>
      <t>：深渊中会出现独特的、只在此符文激活时存在的强力敌人，击败它们可能掉落稀有道具。</t>
    </r>
  </si>
  <si>
    <t>12. 孤寂符文 (Rune of Solitude)</t>
  </si>
  <si>
    <r>
      <t>效果</t>
    </r>
    <r>
      <rPr>
        <sz val="11"/>
        <color theme="1"/>
        <rFont val="等线"/>
        <family val="2"/>
        <scheme val="minor"/>
      </rPr>
      <t>：玩家的互动选项减少，例如篝火点燃时间缩短或无法召唤队友。</t>
    </r>
  </si>
  <si>
    <r>
      <t>附加效果</t>
    </r>
    <r>
      <rPr>
        <sz val="11"/>
        <color theme="1"/>
        <rFont val="等线"/>
        <family val="2"/>
        <scheme val="minor"/>
      </rPr>
      <t>：玩家的抗性降低，怪物攻击时造成更多恐惧伤害，削弱独自冒险的生存能力。</t>
    </r>
  </si>
  <si>
    <t>13. 复仇符文 (Rune of Vengeance)</t>
  </si>
  <si>
    <r>
      <t>效果</t>
    </r>
    <r>
      <rPr>
        <sz val="11"/>
        <color theme="1"/>
        <rFont val="等线"/>
        <family val="2"/>
        <scheme val="minor"/>
      </rPr>
      <t>：怪物在受到攻击后有更高的反击几率，且反击伤害增加。</t>
    </r>
  </si>
  <si>
    <r>
      <t>附加效果</t>
    </r>
    <r>
      <rPr>
        <sz val="11"/>
        <color theme="1"/>
        <rFont val="等线"/>
        <family val="2"/>
        <scheme val="minor"/>
      </rPr>
      <t>：击败的怪物会留下“怨灵”，在一定时间内跟随玩家并造成干扰，玩家需消耗特定道具驱散。</t>
    </r>
  </si>
  <si>
    <t>14. 破碎符文 (Rune of Shattering)</t>
  </si>
  <si>
    <r>
      <t>效果</t>
    </r>
    <r>
      <rPr>
        <sz val="11"/>
        <color theme="1"/>
        <rFont val="等线"/>
        <family val="2"/>
        <scheme val="minor"/>
      </rPr>
      <t>：装备的耐久度消耗速度加快，武器和防具更容易损坏。</t>
    </r>
  </si>
  <si>
    <r>
      <t>附加效果</t>
    </r>
    <r>
      <rPr>
        <sz val="11"/>
        <color theme="1"/>
        <rFont val="等线"/>
        <family val="2"/>
        <scheme val="minor"/>
      </rPr>
      <t>：修复装备需要更多的材料，玩家需考虑装备管理和物资储备。</t>
    </r>
  </si>
  <si>
    <t>15. 鬼魅符文 (Rune of Haunting)</t>
  </si>
  <si>
    <r>
      <t>效果</t>
    </r>
    <r>
      <rPr>
        <sz val="11"/>
        <color theme="1"/>
        <rFont val="等线"/>
        <family val="2"/>
        <scheme val="minor"/>
      </rPr>
      <t>：在玩家的身边会出现随机的鬼魅幻象，它们不会攻击但会在附近徘徊，让玩家难以辨别真实的威胁。</t>
    </r>
  </si>
  <si>
    <r>
      <t>附加效果</t>
    </r>
    <r>
      <rPr>
        <sz val="11"/>
        <color theme="1"/>
        <rFont val="等线"/>
        <family val="2"/>
        <scheme val="minor"/>
      </rPr>
      <t>：鬼魅会影响玩家的精神状态，长时间接触会导致SAN值的急剧下降。</t>
    </r>
  </si>
  <si>
    <t>16. 衰败符文 (Rune of Decay)</t>
  </si>
  <si>
    <r>
      <t>效果</t>
    </r>
    <r>
      <rPr>
        <sz val="11"/>
        <color theme="1"/>
        <rFont val="等线"/>
        <family val="2"/>
        <scheme val="minor"/>
      </rPr>
      <t>：所有可消耗的物资（如食物和药剂）效果减半，且有一定几率变为无效。</t>
    </r>
  </si>
  <si>
    <r>
      <t>附加效果</t>
    </r>
    <r>
      <rPr>
        <sz val="11"/>
        <color theme="1"/>
        <rFont val="等线"/>
        <family val="2"/>
        <scheme val="minor"/>
      </rPr>
      <t>：特定物资会随机腐化，玩家在使用后会中毒或产生副作用。</t>
    </r>
  </si>
  <si>
    <t>17. 苦难符文 (Rune of Agony)</t>
  </si>
  <si>
    <r>
      <t>效果</t>
    </r>
    <r>
      <rPr>
        <sz val="11"/>
        <color theme="1"/>
        <rFont val="等线"/>
        <family val="2"/>
        <scheme val="minor"/>
      </rPr>
      <t>：受到的所有伤害增加25%，并附带灼烧或流血效果。</t>
    </r>
  </si>
  <si>
    <r>
      <t>附加效果</t>
    </r>
    <r>
      <rPr>
        <sz val="11"/>
        <color theme="1"/>
        <rFont val="等线"/>
        <family val="2"/>
        <scheme val="minor"/>
      </rPr>
      <t>：受到伤害后恢复速度显著降低，持续痛苦状态影响战斗节奏。</t>
    </r>
  </si>
  <si>
    <t>18. 裂隙符文 (Rune of Rifts)</t>
  </si>
  <si>
    <r>
      <t>效果</t>
    </r>
    <r>
      <rPr>
        <sz val="11"/>
        <color theme="1"/>
        <rFont val="等线"/>
        <family val="2"/>
        <scheme val="minor"/>
      </rPr>
      <t>：地图中出现时空裂隙，怪物可以从裂隙中召唤援军，裂隙存在时间内怪物不断生成。</t>
    </r>
  </si>
  <si>
    <r>
      <t>附加效果</t>
    </r>
    <r>
      <rPr>
        <sz val="11"/>
        <color theme="1"/>
        <rFont val="等线"/>
        <family val="2"/>
        <scheme val="minor"/>
      </rPr>
      <t>：裂隙关闭后掉落物会随机刷新，包括稀有材料和装备</t>
    </r>
  </si>
  <si>
    <r>
      <t>效果</t>
    </r>
    <r>
      <rPr>
        <sz val="11"/>
        <color theme="1"/>
        <rFont val="等线"/>
        <family val="2"/>
        <scheme val="minor"/>
      </rPr>
      <t>：精英怪的出现几率增加，所有精英怪物的生命值和攻击力提升25%。</t>
    </r>
    <phoneticPr fontId="2" type="noConversion"/>
  </si>
  <si>
    <t>未解锁时显示的描述</t>
    <phoneticPr fontId="2" type="noConversion"/>
  </si>
  <si>
    <t>unlock_desc_i</t>
  </si>
  <si>
    <t>102:10</t>
    <phoneticPr fontId="2" type="noConversion"/>
  </si>
  <si>
    <t>103:10</t>
    <phoneticPr fontId="2" type="noConversion"/>
  </si>
  <si>
    <t>104:10</t>
    <phoneticPr fontId="2" type="noConversion"/>
  </si>
  <si>
    <t>300:10</t>
    <phoneticPr fontId="2" type="noConversion"/>
  </si>
  <si>
    <t>itemid_i</t>
  </si>
  <si>
    <t>timelimit_i</t>
  </si>
  <si>
    <t>item_reward_m</t>
  </si>
  <si>
    <t>attri_reward_m</t>
  </si>
  <si>
    <t>passive_reward_l</t>
  </si>
  <si>
    <t>属性奖励
（可叠加）</t>
    <phoneticPr fontId="2" type="noConversion"/>
  </si>
  <si>
    <t>被动技能奖励
（不可叠加）</t>
    <phoneticPr fontId="2" type="noConversion"/>
  </si>
  <si>
    <t>2:200</t>
    <phoneticPr fontId="2" type="noConversion"/>
  </si>
  <si>
    <t>2:300</t>
  </si>
  <si>
    <t>2:400</t>
  </si>
  <si>
    <t>2:500</t>
  </si>
  <si>
    <t>2:600</t>
  </si>
  <si>
    <t>2:700</t>
  </si>
  <si>
    <t>2:800</t>
  </si>
  <si>
    <t>2:900</t>
  </si>
  <si>
    <t>2:1000</t>
  </si>
  <si>
    <t>2:1100</t>
  </si>
  <si>
    <t>2:1200</t>
  </si>
  <si>
    <t>trigger_m</t>
  </si>
  <si>
    <t>符文解锁条件
事件ID：次数
0或不填默认解锁</t>
    <phoneticPr fontId="2" type="noConversion"/>
  </si>
  <si>
    <t>0:0</t>
    <phoneticPr fontId="2" type="noConversion"/>
  </si>
  <si>
    <t>id_i</t>
    <phoneticPr fontId="2" type="noConversion"/>
  </si>
  <si>
    <t>难度增加的角色属性</t>
    <phoneticPr fontId="2" type="noConversion"/>
  </si>
  <si>
    <t>难度增加的怪物属性</t>
    <phoneticPr fontId="2" type="noConversion"/>
  </si>
  <si>
    <t>rune_difficult.xml</t>
    <phoneticPr fontId="2" type="noConversion"/>
  </si>
  <si>
    <t>效果描述</t>
    <phoneticPr fontId="2" type="noConversion"/>
  </si>
  <si>
    <t>概率万分比</t>
    <phoneticPr fontId="2" type="noConversion"/>
  </si>
  <si>
    <t>概率万分比，buffID</t>
    <phoneticPr fontId="2" type="noConversion"/>
  </si>
  <si>
    <t>数量百分比</t>
    <phoneticPr fontId="2" type="noConversion"/>
  </si>
  <si>
    <t>buffid</t>
    <phoneticPr fontId="2" type="noConversion"/>
  </si>
  <si>
    <t>san值夜晚降低速度加成百分比</t>
    <phoneticPr fontId="2" type="noConversion"/>
  </si>
  <si>
    <t>举起火把受伤的百分比（属性321填负数）</t>
    <phoneticPr fontId="2" type="noConversion"/>
  </si>
  <si>
    <t>血量低于百分比，怪物攻击力增加百分比</t>
    <phoneticPr fontId="2" type="noConversion"/>
  </si>
  <si>
    <t>随机精英怪出现时增加的词缀数量</t>
    <phoneticPr fontId="2" type="noConversion"/>
  </si>
  <si>
    <t>无</t>
    <phoneticPr fontId="2" type="noConversion"/>
  </si>
  <si>
    <t>数量加成百分比</t>
    <phoneticPr fontId="2" type="noConversion"/>
  </si>
  <si>
    <t>怪物ID，每分钟刷怪数量</t>
    <phoneticPr fontId="2" type="noConversion"/>
  </si>
  <si>
    <t>每分钟出现数量</t>
    <phoneticPr fontId="2" type="noConversion"/>
  </si>
  <si>
    <t>boss附加掉落包ID</t>
    <phoneticPr fontId="2" type="noConversion"/>
  </si>
  <si>
    <t>盗宝怪掉落ID</t>
    <phoneticPr fontId="2" type="noConversion"/>
  </si>
  <si>
    <t>回san道具掉落万分比</t>
    <phoneticPr fontId="2" type="noConversion"/>
  </si>
  <si>
    <t>腐化材料掉落概率万分比</t>
    <phoneticPr fontId="2" type="noConversion"/>
  </si>
  <si>
    <t>词条数量下限，词条数量上限</t>
    <phoneticPr fontId="2" type="noConversion"/>
  </si>
  <si>
    <t>拾取装备被盗概率百分比</t>
    <phoneticPr fontId="2" type="noConversion"/>
  </si>
  <si>
    <t>掉san固定值</t>
    <phoneticPr fontId="2" type="noConversion"/>
  </si>
  <si>
    <t>被怪物攻击会掉落san值（碰撞有效）</t>
    <phoneticPr fontId="2" type="noConversion"/>
  </si>
  <si>
    <t>燃烧速度加速百分比</t>
    <phoneticPr fontId="2" type="noConversion"/>
  </si>
  <si>
    <t>死亡的小怪有概率复活</t>
    <phoneticPr fontId="2" type="noConversion"/>
  </si>
  <si>
    <t>交互回血道具时概率不回血且中毒</t>
    <phoneticPr fontId="2" type="noConversion"/>
  </si>
  <si>
    <t>精英怪的出现数量翻倍</t>
    <phoneticPr fontId="2" type="noConversion"/>
  </si>
  <si>
    <t>怪物对玩家造成伤害时，玩家造成的伤害降低20%，持续5秒</t>
    <phoneticPr fontId="2" type="noConversion"/>
  </si>
  <si>
    <t>san值在夜晚降低速度加快50%</t>
    <phoneticPr fontId="2" type="noConversion"/>
  </si>
  <si>
    <t>玩家举起火把时受到伤害提高50%</t>
    <phoneticPr fontId="2" type="noConversion"/>
  </si>
  <si>
    <t>玩家血量低于50%时，怪物攻击力增加50%</t>
    <phoneticPr fontId="2" type="noConversion"/>
  </si>
  <si>
    <t>精英怪词缀数量变多</t>
    <phoneticPr fontId="2" type="noConversion"/>
  </si>
  <si>
    <t>地图内出现随机陷阱</t>
    <phoneticPr fontId="2" type="noConversion"/>
  </si>
  <si>
    <t>梦魇怪物数量变多</t>
    <phoneticPr fontId="2" type="noConversion"/>
  </si>
  <si>
    <t>出现猎狗追击</t>
    <phoneticPr fontId="2" type="noConversion"/>
  </si>
  <si>
    <t>火把燃烧速度增加50%</t>
    <phoneticPr fontId="2" type="noConversion"/>
  </si>
  <si>
    <t>关卡内不会再有白天</t>
    <phoneticPr fontId="2" type="noConversion"/>
  </si>
  <si>
    <t>出现灵魂追击</t>
    <phoneticPr fontId="2" type="noConversion"/>
  </si>
  <si>
    <t>死亡后概率丢失本局拾取的装备</t>
    <phoneticPr fontId="2" type="noConversion"/>
  </si>
  <si>
    <t>Boss可以出现精英怪词条</t>
    <phoneticPr fontId="2" type="noConversion"/>
  </si>
  <si>
    <t>地图内低san怪物开始掉落回san道具</t>
    <phoneticPr fontId="2" type="noConversion"/>
  </si>
  <si>
    <t>地图内低san怪物开始掉落腐化材料</t>
    <phoneticPr fontId="2" type="noConversion"/>
  </si>
  <si>
    <t>地图内10波后出现盗宝怪，击杀后会给予上次被偷走的装备以及必掉一件传奇（概率盗宝怪专属传奇）</t>
    <phoneticPr fontId="2" type="noConversion"/>
  </si>
  <si>
    <t>解锁最终传奇装备库（可以是套装）</t>
    <phoneticPr fontId="2" type="noConversion"/>
  </si>
  <si>
    <t>rune_effect.xml</t>
    <phoneticPr fontId="2" type="noConversion"/>
  </si>
  <si>
    <t>rune_effect_i</t>
    <phoneticPr fontId="2" type="noConversion"/>
  </si>
  <si>
    <t>神像符文效果ID</t>
    <phoneticPr fontId="2" type="noConversion"/>
  </si>
  <si>
    <t>死亡的小怪有概率复活</t>
  </si>
  <si>
    <t>概率万分比</t>
  </si>
  <si>
    <t>交互回血道具时概率不回血且中毒</t>
  </si>
  <si>
    <t>概率万分比，buffID</t>
  </si>
  <si>
    <t>精英怪的出现数量翻倍</t>
  </si>
  <si>
    <t>数量百分比</t>
  </si>
  <si>
    <t>怪物对玩家造成伤害时，玩家造成的伤害降低20%，持续5秒</t>
  </si>
  <si>
    <t>buffid</t>
  </si>
  <si>
    <t>san值在夜晚降低速度加快50%</t>
  </si>
  <si>
    <t>san值夜晚降低速度加成百分比</t>
  </si>
  <si>
    <t>举起火把受伤的百分比（属性321填负数）</t>
  </si>
  <si>
    <t>玩家血量低于50%时，怪物攻击力增加50%</t>
  </si>
  <si>
    <t>血量低于百分比，怪物攻击力增加百分比</t>
  </si>
  <si>
    <t>精英怪词缀数量变多</t>
  </si>
  <si>
    <t>随机精英怪出现时增加的词缀数量</t>
  </si>
  <si>
    <t>地图内出现随机陷阱</t>
  </si>
  <si>
    <t>每分钟出现数量</t>
  </si>
  <si>
    <t>梦魇怪物数量变多</t>
  </si>
  <si>
    <t>数量加成百分比</t>
  </si>
  <si>
    <t>出现猎狗追击</t>
  </si>
  <si>
    <t>怪物ID，每分钟刷怪数量</t>
  </si>
  <si>
    <t>关卡内不会再有白天</t>
  </si>
  <si>
    <t>无</t>
  </si>
  <si>
    <t>出现灵魂追击</t>
  </si>
  <si>
    <t>火把燃烧速度增加50%</t>
  </si>
  <si>
    <t>燃烧速度加速百分比</t>
  </si>
  <si>
    <t>id</t>
    <phoneticPr fontId="2" type="noConversion"/>
  </si>
  <si>
    <t>特殊处理</t>
    <phoneticPr fontId="2" type="noConversion"/>
  </si>
  <si>
    <t>刷怪数量</t>
    <phoneticPr fontId="2" type="noConversion"/>
  </si>
  <si>
    <t>buff</t>
    <phoneticPr fontId="2" type="noConversion"/>
  </si>
  <si>
    <t>被动</t>
    <phoneticPr fontId="2" type="noConversion"/>
  </si>
  <si>
    <t>怪物词缀</t>
    <phoneticPr fontId="2" type="noConversion"/>
  </si>
  <si>
    <t>刷怪组</t>
    <phoneticPr fontId="2" type="noConversion"/>
  </si>
  <si>
    <t>掉落组</t>
    <phoneticPr fontId="2" type="noConversion"/>
  </si>
  <si>
    <t>属性</t>
    <phoneticPr fontId="2" type="noConversion"/>
  </si>
  <si>
    <t>被动id</t>
    <phoneticPr fontId="2" type="noConversion"/>
  </si>
  <si>
    <t>掉落组id：怪物类型，概率
1 小怪，2 精英 3boss 4梦魇</t>
    <phoneticPr fontId="2" type="noConversion"/>
  </si>
  <si>
    <t>attri_hard_n</t>
    <phoneticPr fontId="2" type="noConversion"/>
  </si>
  <si>
    <t>buff_hard_n</t>
    <phoneticPr fontId="2" type="noConversion"/>
  </si>
  <si>
    <t>monster_hard_n</t>
    <phoneticPr fontId="2" type="noConversion"/>
  </si>
  <si>
    <t>items_hard_n</t>
    <phoneticPr fontId="2" type="noConversion"/>
  </si>
  <si>
    <t>special_hard_m</t>
    <phoneticPr fontId="2" type="noConversion"/>
  </si>
  <si>
    <t>1 道具不回血并中毒 概率
2 日夜 1永夜 2 永日
3 结算装备被盗 概率</t>
    <phoneticPr fontId="2" type="noConversion"/>
  </si>
  <si>
    <t>1,1</t>
    <phoneticPr fontId="2" type="noConversion"/>
  </si>
  <si>
    <t>passive_hard_i</t>
    <phoneticPr fontId="2" type="noConversion"/>
  </si>
  <si>
    <t>1:1,1;2:2,2</t>
    <phoneticPr fontId="2" type="noConversion"/>
  </si>
  <si>
    <t>1:1,1,1;2:2,2,2</t>
    <phoneticPr fontId="2" type="noConversion"/>
  </si>
  <si>
    <t>affix_hard_l</t>
    <phoneticPr fontId="2" type="noConversion"/>
  </si>
  <si>
    <t>1,1,0</t>
    <phoneticPr fontId="2" type="noConversion"/>
  </si>
  <si>
    <t>触发概率均为万分比</t>
    <phoneticPr fontId="2" type="noConversion"/>
  </si>
  <si>
    <t>符文具体描述
格式：类型1：描述1，描述2；类型2：描述1，描述2（1代表增益效果对应绿色，2代表负面效果对应红色）</t>
    <phoneticPr fontId="2" type="noConversion"/>
  </si>
  <si>
    <t>monster_num_hard_n</t>
    <phoneticPr fontId="2" type="noConversion"/>
  </si>
  <si>
    <t>1:1;2:2</t>
    <phoneticPr fontId="2" type="noConversion"/>
  </si>
  <si>
    <t>添加逻辑 
目标，数量，词缀id
当不添加新词缀填0 词缀可填多个
2 精英 3 boss</t>
    <phoneticPr fontId="2" type="noConversion"/>
  </si>
  <si>
    <t>buffid：目标，概率，时间
1 小怪 2 精英3 boss4梦魇5玩家6玩家召唤物</t>
    <phoneticPr fontId="2" type="noConversion"/>
  </si>
  <si>
    <t>属性id：目标，值
1 小怪 2 精英3 boss4梦魇5玩家6玩家召唤物</t>
    <phoneticPr fontId="2" type="noConversion"/>
  </si>
  <si>
    <t>1:5000</t>
    <phoneticPr fontId="2" type="noConversion"/>
  </si>
  <si>
    <t>2:1001,21002</t>
  </si>
  <si>
    <t>2:1001,21001</t>
    <phoneticPr fontId="2" type="noConversion"/>
  </si>
  <si>
    <t>2:1001,21003</t>
  </si>
  <si>
    <t>2:1001,21004</t>
  </si>
  <si>
    <t>2:1001,21005</t>
  </si>
  <si>
    <t>2:1001,21006</t>
  </si>
  <si>
    <t>2:1001,21007</t>
  </si>
  <si>
    <t>2:1001,21008</t>
  </si>
  <si>
    <t>2:1001,21009</t>
  </si>
  <si>
    <t>2:1001,21010</t>
  </si>
  <si>
    <t>2:1001,21011</t>
  </si>
  <si>
    <t>2:1001,21012</t>
  </si>
  <si>
    <t>70001:1,10000,0</t>
    <phoneticPr fontId="2" type="noConversion"/>
  </si>
  <si>
    <t>510:5,50</t>
    <phoneticPr fontId="2" type="noConversion"/>
  </si>
  <si>
    <t>怪物血量低于50%时，怪物攻击力增加50%</t>
    <phoneticPr fontId="2" type="noConversion"/>
  </si>
  <si>
    <t>2,1,1,2,3</t>
    <phoneticPr fontId="2" type="noConversion"/>
  </si>
  <si>
    <t>2:1</t>
    <phoneticPr fontId="2" type="noConversion"/>
  </si>
  <si>
    <t>302:50;202:20</t>
  </si>
  <si>
    <t>302:75;202:30</t>
  </si>
  <si>
    <t>302:100;202:40</t>
  </si>
  <si>
    <t>302:125;202:50</t>
  </si>
  <si>
    <t>302:150;202:60</t>
  </si>
  <si>
    <t>302:175;202:70</t>
  </si>
  <si>
    <t>302:200;202:80</t>
  </si>
  <si>
    <t>302:225;202:90</t>
  </si>
  <si>
    <t>302:250;202:100</t>
  </si>
  <si>
    <t>302:275;202:110</t>
  </si>
  <si>
    <t>302:300;202:120</t>
  </si>
  <si>
    <t>302:325;202:130</t>
  </si>
  <si>
    <t>302:350;202:140</t>
  </si>
  <si>
    <t>302:375;202:150</t>
  </si>
  <si>
    <t>302:400;202:160</t>
  </si>
  <si>
    <t>302:425;202:170</t>
  </si>
  <si>
    <t>302:450;202:180</t>
  </si>
  <si>
    <t>302:475;202:190</t>
  </si>
  <si>
    <t>302:500;202:200</t>
  </si>
  <si>
    <t>302:525;202:210</t>
  </si>
  <si>
    <t>302:550;202:220</t>
  </si>
  <si>
    <t>302:575;202:230</t>
  </si>
  <si>
    <t>神像符文效果</t>
    <phoneticPr fontId="2" type="noConversion"/>
  </si>
  <si>
    <t>effect_id_i</t>
  </si>
  <si>
    <t>attri_m</t>
  </si>
  <si>
    <t>moster_attri_m</t>
  </si>
  <si>
    <t>ancient_per_l</t>
  </si>
  <si>
    <t>3:5000</t>
  </si>
  <si>
    <t>3,1,1,2,3</t>
  </si>
  <si>
    <t>507:5,50</t>
  </si>
  <si>
    <t>100,0</t>
    <phoneticPr fontId="2" type="noConversion"/>
  </si>
  <si>
    <t>200,0</t>
    <phoneticPr fontId="2" type="noConversion"/>
  </si>
  <si>
    <t>300,0</t>
    <phoneticPr fontId="2" type="noConversion"/>
  </si>
  <si>
    <t>400,0</t>
    <phoneticPr fontId="2" type="noConversion"/>
  </si>
  <si>
    <t>500,0</t>
    <phoneticPr fontId="2" type="noConversion"/>
  </si>
  <si>
    <t>500,100</t>
    <phoneticPr fontId="2" type="noConversion"/>
  </si>
  <si>
    <t>500,500</t>
    <phoneticPr fontId="2" type="noConversion"/>
  </si>
  <si>
    <t>500,300</t>
    <phoneticPr fontId="2" type="noConversion"/>
  </si>
  <si>
    <t>500,400</t>
    <phoneticPr fontId="2" type="noConversion"/>
  </si>
  <si>
    <t>desc_m</t>
  </si>
  <si>
    <t>神像效果描述
中文ID：增益1/减益2标记</t>
    <phoneticPr fontId="2" type="noConversion"/>
  </si>
  <si>
    <t>52201:2;52202:2;52203:1;52204:1</t>
  </si>
  <si>
    <t>52301:2;52302:2;52303:1;52304:1</t>
  </si>
  <si>
    <t>52401:2;52402:2;52403:1;52404:1</t>
  </si>
  <si>
    <t>52601:2;52602:1;52603:2;52604:2;52605:1;52606:1;52607:1</t>
    <phoneticPr fontId="2" type="noConversion"/>
  </si>
  <si>
    <t>52701:2;52702:1;52703:2;52704:2;52705:1;52706:1;52707:1</t>
  </si>
  <si>
    <t>52801:2;52802:1;52803:2;52804:2;52805:1;52806:1;52807:1</t>
  </si>
  <si>
    <t>52901:2;52902:1;52903:2;52904:2;52905:1;52906:1;52907:1</t>
  </si>
  <si>
    <t>53001:2;53002:1;53003:2;53004:1;53005:2;53006:2;53007:1;53008:1;53009:1</t>
    <phoneticPr fontId="2" type="noConversion"/>
  </si>
  <si>
    <t>53101:2;53102:1;53103:2;53104:1;53105:2;53106:2;53107:1;53108:1;53109:1;53110:1</t>
  </si>
  <si>
    <t>53201:2;53202:1;53203:2;53204:1;53205:2;53206:2;53207:1;53208:1;53209:1;53210:1</t>
  </si>
  <si>
    <t>53601:2;53602:1;53603:2;53604:1;53605:2;53606:1;53607:2;53608:2;53609:1;53610:1;53611:1;53612:1;53613:1</t>
    <phoneticPr fontId="2" type="noConversion"/>
  </si>
  <si>
    <t>53701:2;53702:1;53703:2;53704:1;53705:2;53706:1;53707:2;53708:2;53709:1;53710:1;53711:1;53712:1;53713:1</t>
  </si>
  <si>
    <t>53801:2;53802:1;53803:2;53804:1;53805:2;53806:1;53807:2;53808:2;53809:1;53810:1;53811:1;53812:1;53813:1</t>
  </si>
  <si>
    <t>2:500</t>
    <phoneticPr fontId="2" type="noConversion"/>
  </si>
  <si>
    <t>6003:1</t>
  </si>
  <si>
    <t>6004:1</t>
  </si>
  <si>
    <t>6005:1</t>
  </si>
  <si>
    <t>6006:1</t>
  </si>
  <si>
    <t>6007:1</t>
  </si>
  <si>
    <t>6008:1</t>
  </si>
  <si>
    <t>6009:1</t>
  </si>
  <si>
    <t>6010:1</t>
  </si>
  <si>
    <t>6011:1</t>
  </si>
  <si>
    <t>6012:1</t>
  </si>
  <si>
    <t>6013:1</t>
  </si>
  <si>
    <t>装备掉率
远古万分比，太古万分比</t>
    <phoneticPr fontId="2" type="noConversion"/>
  </si>
  <si>
    <t>0,0</t>
  </si>
  <si>
    <t>52101:2;52102:2;52103:1;52104:1</t>
    <phoneticPr fontId="2" type="noConversion"/>
  </si>
  <si>
    <t>死亡的小怪30%复活1次</t>
    <phoneticPr fontId="2" type="noConversion"/>
  </si>
  <si>
    <t xml:space="preserve">怪物id：数量1，时间1，数量2，时间2，（在某个特殊波次添加，填写0为所有波次）
</t>
    <phoneticPr fontId="2" type="noConversion"/>
  </si>
  <si>
    <t>6001:1</t>
    <phoneticPr fontId="2" type="noConversion"/>
  </si>
  <si>
    <t>305:500</t>
    <phoneticPr fontId="2" type="noConversion"/>
  </si>
  <si>
    <t>腐化之瞳</t>
  </si>
  <si>
    <t>亵渎圣印</t>
  </si>
  <si>
    <t>脐带残片</t>
  </si>
  <si>
    <t>喑哑舌骨</t>
  </si>
  <si>
    <t>虚空胃囊</t>
  </si>
  <si>
    <t>摇篮菌株</t>
  </si>
  <si>
    <t>弭声之铃</t>
  </si>
  <si>
    <t>褪色神谕</t>
  </si>
  <si>
    <t>纯净的泪滴</t>
  </si>
  <si>
    <t>不死</t>
  </si>
  <si>
    <t>腐烂</t>
  </si>
  <si>
    <t>族群</t>
  </si>
  <si>
    <t>压制</t>
  </si>
  <si>
    <t>失心疯</t>
  </si>
  <si>
    <t>畏火症</t>
  </si>
  <si>
    <t>嗜血</t>
  </si>
  <si>
    <t>精英</t>
  </si>
  <si>
    <t>陷阱</t>
  </si>
  <si>
    <t>灵魂狂乱</t>
  </si>
  <si>
    <t>猎狗追击</t>
  </si>
  <si>
    <t>永夜</t>
  </si>
  <si>
    <t>阴魂不散</t>
  </si>
  <si>
    <t>腐化之心</t>
    <phoneticPr fontId="2" type="noConversion"/>
  </si>
  <si>
    <t>闪电之心</t>
    <phoneticPr fontId="2" type="noConversion"/>
  </si>
  <si>
    <t>毒蚀之心</t>
    <phoneticPr fontId="2" type="noConversion"/>
  </si>
  <si>
    <t>冰霜之心</t>
    <phoneticPr fontId="2" type="noConversion"/>
  </si>
  <si>
    <t>熔岩之心</t>
    <phoneticPr fontId="2" type="noConversion"/>
  </si>
  <si>
    <t>10151:1</t>
    <phoneticPr fontId="2" type="noConversion"/>
  </si>
  <si>
    <t>4:150</t>
    <phoneticPr fontId="2" type="noConversion"/>
  </si>
  <si>
    <t>怪物类型，百分比
1 小怪 2 精英3 boss4梦魇
各个模块刷怪效率默认100% 需要添加在100的基础上添加</t>
    <phoneticPr fontId="2" type="noConversion"/>
  </si>
  <si>
    <t>3:100056,10000</t>
    <phoneticPr fontId="2" type="noConversion"/>
  </si>
  <si>
    <t>1002:10,2,10,6,20,12,40,16</t>
    <phoneticPr fontId="2" type="noConversion"/>
  </si>
  <si>
    <t>1003:10,2,10,6,20,12,40,16</t>
    <phoneticPr fontId="2" type="noConversion"/>
  </si>
  <si>
    <t>54301:2;54302:1;54303:2;54304:1;54305:2;54306:1;54307:2;54308:1;54309:2;54310:2;54311:1;54312:1;54313:1;54314:1;54315:1</t>
    <phoneticPr fontId="2" type="noConversion"/>
  </si>
  <si>
    <t>难度系数</t>
    <phoneticPr fontId="2" type="noConversion"/>
  </si>
  <si>
    <t>Diff_i</t>
    <phoneticPr fontId="2" type="noConversion"/>
  </si>
  <si>
    <t>70005:5,10000,0</t>
    <phoneticPr fontId="2" type="noConversion"/>
  </si>
  <si>
    <t>100201:4,100</t>
    <phoneticPr fontId="2" type="noConversion"/>
  </si>
  <si>
    <t>101:5</t>
    <phoneticPr fontId="2" type="noConversion"/>
  </si>
  <si>
    <t>102:5</t>
    <phoneticPr fontId="2" type="noConversion"/>
  </si>
  <si>
    <t>103:5</t>
    <phoneticPr fontId="2" type="noConversion"/>
  </si>
  <si>
    <t>104:5</t>
    <phoneticPr fontId="2" type="noConversion"/>
  </si>
  <si>
    <t>201:5</t>
    <phoneticPr fontId="2" type="noConversion"/>
  </si>
  <si>
    <t>300:20</t>
    <phoneticPr fontId="2" type="noConversion"/>
  </si>
  <si>
    <t>303:1</t>
    <phoneticPr fontId="2" type="noConversion"/>
  </si>
  <si>
    <t>307:10</t>
    <phoneticPr fontId="2" type="noConversion"/>
  </si>
  <si>
    <t>52501:2;52502:1;52503:2;52504:2;52505:1;52506:1</t>
    <phoneticPr fontId="2" type="noConversion"/>
  </si>
  <si>
    <t>0,0</t>
    <phoneticPr fontId="2" type="noConversion"/>
  </si>
  <si>
    <t xml:space="preserve"> </t>
    <phoneticPr fontId="2" type="noConversion"/>
  </si>
  <si>
    <t>302:25;202:10</t>
    <phoneticPr fontId="2" type="noConversion"/>
  </si>
  <si>
    <t>500,200</t>
    <phoneticPr fontId="2" type="noConversion"/>
  </si>
  <si>
    <t>800,500</t>
    <phoneticPr fontId="2" type="noConversion"/>
  </si>
  <si>
    <t>1000,600</t>
    <phoneticPr fontId="2" type="noConversion"/>
  </si>
  <si>
    <t>1000,700</t>
    <phoneticPr fontId="2" type="noConversion"/>
  </si>
  <si>
    <t>1000,800</t>
    <phoneticPr fontId="2" type="noConversion"/>
  </si>
  <si>
    <t>800,600</t>
    <phoneticPr fontId="2" type="noConversion"/>
  </si>
  <si>
    <t>403:5;421:10</t>
  </si>
  <si>
    <t>403:10;421:20</t>
  </si>
  <si>
    <t>403:15;421:30</t>
  </si>
  <si>
    <t>403:20;421:40</t>
  </si>
  <si>
    <t>403:25;421:50</t>
  </si>
  <si>
    <t>403:25;421:60</t>
  </si>
  <si>
    <t>403:25;421:70</t>
  </si>
  <si>
    <t>403:25;421:80</t>
  </si>
  <si>
    <t>403:25;421:90</t>
  </si>
  <si>
    <t>403:25;421:100</t>
  </si>
  <si>
    <t>403:25;421:110</t>
  </si>
  <si>
    <t>403:25;421:120</t>
  </si>
  <si>
    <t>403:25;421:130</t>
  </si>
  <si>
    <t>403:25;421:140</t>
  </si>
  <si>
    <t>403:25;421:150</t>
  </si>
  <si>
    <t>403:25;421:160</t>
  </si>
  <si>
    <t>403:25;421:170</t>
  </si>
  <si>
    <t>403:25;421:180</t>
  </si>
  <si>
    <t>403:25;421:190</t>
  </si>
  <si>
    <t>403:25;421:200</t>
  </si>
  <si>
    <t>403:25;421:210</t>
  </si>
  <si>
    <t>403:25;421:220</t>
  </si>
  <si>
    <t>403:25;421:230</t>
  </si>
  <si>
    <t>70007:1,3000,0</t>
    <phoneticPr fontId="2" type="noConversion"/>
  </si>
  <si>
    <t>解锁的符文名字
中文ID</t>
    <phoneticPr fontId="2" type="noConversion"/>
  </si>
  <si>
    <t>rune_name_i</t>
  </si>
  <si>
    <t>刷新次数+1</t>
  </si>
  <si>
    <t>锁定次数+1</t>
  </si>
  <si>
    <t>剔除次数+1</t>
  </si>
  <si>
    <t>攻击+2</t>
  </si>
  <si>
    <t>攻击速度+2%</t>
  </si>
  <si>
    <t>移动速度+2%</t>
  </si>
  <si>
    <t>腐化材料+1</t>
  </si>
  <si>
    <t>501:1</t>
    <phoneticPr fontId="2" type="noConversion"/>
  </si>
  <si>
    <t>502:1</t>
    <phoneticPr fontId="2" type="noConversion"/>
  </si>
  <si>
    <t>517:1</t>
    <phoneticPr fontId="2" type="noConversion"/>
  </si>
  <si>
    <t>生命值+5</t>
    <phoneticPr fontId="2" type="noConversion"/>
  </si>
  <si>
    <t>300:5</t>
    <phoneticPr fontId="2" type="noConversion"/>
  </si>
  <si>
    <t>201:2</t>
    <phoneticPr fontId="2" type="noConversion"/>
  </si>
  <si>
    <t>217:2</t>
    <phoneticPr fontId="2" type="noConversion"/>
  </si>
  <si>
    <t>412:2</t>
    <phoneticPr fontId="2" type="noConversion"/>
  </si>
  <si>
    <t>14:1</t>
    <phoneticPr fontId="2" type="noConversion"/>
  </si>
  <si>
    <t>2:100</t>
    <phoneticPr fontId="2" type="noConversion"/>
  </si>
  <si>
    <t>1004:1,1</t>
    <phoneticPr fontId="2" type="noConversion"/>
  </si>
  <si>
    <t>100202:4,5000</t>
    <phoneticPr fontId="2" type="noConversion"/>
  </si>
  <si>
    <t>53301:2;53302:1;53303:2;53304:1;53305:2;53306:2;53307:1;53308:1;53309:1;53310:1;53311:1</t>
    <phoneticPr fontId="2" type="noConversion"/>
  </si>
  <si>
    <t>53401:2;53402:1;53403:2;53404:1;53405:2;53406:2;53407:1;53408:1;53409:1;53410:1;53411:1</t>
    <phoneticPr fontId="2" type="noConversion"/>
  </si>
  <si>
    <t>53501:2;53502:1;53503:2;53504:1;53505:2;53506:1;53507:2;53508:2;53509:1;53510:1;53511:1;53512:1;53513:1</t>
    <phoneticPr fontId="2" type="noConversion"/>
  </si>
  <si>
    <t>造成伤害降低20%</t>
    <phoneticPr fontId="2" type="noConversion"/>
  </si>
  <si>
    <t>攻击速度和cdr减少</t>
    <phoneticPr fontId="2" type="noConversion"/>
  </si>
  <si>
    <t>理智上限降低20</t>
    <phoneticPr fontId="2" type="noConversion"/>
  </si>
  <si>
    <t>理智上限降低30</t>
    <phoneticPr fontId="2" type="noConversion"/>
  </si>
  <si>
    <t>升级减少2血量上限</t>
    <phoneticPr fontId="2" type="noConversion"/>
  </si>
  <si>
    <t>站立不动在原地打一个对自己有伤害的落雷 3秒不动 2秒cd</t>
    <phoneticPr fontId="2" type="noConversion"/>
  </si>
  <si>
    <t>怪物死亡对附近怪物附加狂暴 永久 生命+10% 伤害+10% 攻速+10% 移速+10% 可叠加3层</t>
    <phoneticPr fontId="2" type="noConversion"/>
  </si>
  <si>
    <t>玩家在流血，灼烧，中毒循环 每5秒改变一次状态，每秒2血</t>
    <phoneticPr fontId="2" type="noConversion"/>
  </si>
  <si>
    <t>血契</t>
    <phoneticPr fontId="2" type="noConversion"/>
  </si>
  <si>
    <t>枷锁</t>
    <phoneticPr fontId="2" type="noConversion"/>
  </si>
  <si>
    <t>心蚀</t>
    <phoneticPr fontId="2" type="noConversion"/>
  </si>
  <si>
    <t>雷殛</t>
    <phoneticPr fontId="2" type="noConversion"/>
  </si>
  <si>
    <t>狂暴连锁</t>
    <phoneticPr fontId="2" type="noConversion"/>
  </si>
  <si>
    <t>诅咒</t>
    <phoneticPr fontId="2" type="noConversion"/>
  </si>
  <si>
    <t>苦难</t>
    <phoneticPr fontId="2" type="noConversion"/>
  </si>
  <si>
    <t>虚壳</t>
    <phoneticPr fontId="2" type="noConversion"/>
  </si>
  <si>
    <t>符文效果</t>
    <phoneticPr fontId="2" type="noConversion"/>
  </si>
  <si>
    <t>难度效果</t>
    <phoneticPr fontId="2" type="noConversion"/>
  </si>
  <si>
    <t>120</t>
  </si>
  <si>
    <t>130</t>
  </si>
  <si>
    <t>105</t>
    <phoneticPr fontId="2" type="noConversion"/>
  </si>
  <si>
    <t>110</t>
    <phoneticPr fontId="2" type="noConversion"/>
  </si>
  <si>
    <t>115</t>
    <phoneticPr fontId="2" type="noConversion"/>
  </si>
  <si>
    <t>125</t>
  </si>
  <si>
    <t>135</t>
  </si>
  <si>
    <t>140</t>
  </si>
  <si>
    <t>145</t>
  </si>
  <si>
    <t>150</t>
  </si>
  <si>
    <t>155</t>
  </si>
  <si>
    <t>160</t>
  </si>
  <si>
    <t>165</t>
  </si>
  <si>
    <t>170</t>
  </si>
  <si>
    <t>175</t>
  </si>
  <si>
    <t>180</t>
  </si>
  <si>
    <t>185</t>
  </si>
  <si>
    <t>190</t>
  </si>
  <si>
    <t>195</t>
  </si>
  <si>
    <t>200</t>
  </si>
  <si>
    <t>205</t>
  </si>
  <si>
    <t>210</t>
  </si>
  <si>
    <t>215</t>
  </si>
  <si>
    <t>血量</t>
  </si>
  <si>
    <t>护甲</t>
  </si>
  <si>
    <t>冰霜抗性</t>
  </si>
  <si>
    <t>火焰抗性</t>
  </si>
  <si>
    <t>闪电抗性</t>
  </si>
  <si>
    <t>混沌抗性</t>
  </si>
  <si>
    <t>闪避</t>
  </si>
  <si>
    <t>格挡</t>
  </si>
  <si>
    <t>攻速</t>
  </si>
  <si>
    <t>移速</t>
  </si>
  <si>
    <t>流血系数</t>
  </si>
  <si>
    <t>灼烧系数</t>
  </si>
  <si>
    <t>中毒系数</t>
  </si>
  <si>
    <t>刷新</t>
  </si>
  <si>
    <t>生命恢复</t>
  </si>
  <si>
    <t>拾取范围</t>
  </si>
  <si>
    <t>物理伤害</t>
  </si>
  <si>
    <t>冰霜伤害</t>
  </si>
  <si>
    <t>火焰伤害</t>
  </si>
  <si>
    <t>闪电伤害</t>
  </si>
  <si>
    <t>混沌伤害</t>
  </si>
  <si>
    <t>加血和防御 减少移速</t>
  </si>
  <si>
    <t>加最终伤害 减少范围</t>
  </si>
  <si>
    <t>增加攻速，减少移速</t>
  </si>
  <si>
    <t>增加荆棘，减少子弹数量</t>
  </si>
  <si>
    <t>元素伤害提高 物理降低</t>
  </si>
  <si>
    <t>物理提高 元素降低</t>
  </si>
  <si>
    <t>怪物攻击力降低 202</t>
  </si>
  <si>
    <t>怪物护甲降低 305</t>
  </si>
  <si>
    <t>怪物攻速降低</t>
  </si>
  <si>
    <t>弹道数量</t>
  </si>
  <si>
    <t>复活</t>
  </si>
  <si>
    <t>召唤物生命值</t>
    <phoneticPr fontId="2" type="noConversion"/>
  </si>
  <si>
    <t>召唤物伤害 自身伤害降低</t>
    <phoneticPr fontId="2" type="noConversion"/>
  </si>
  <si>
    <t>300:5,50</t>
    <phoneticPr fontId="2" type="noConversion"/>
  </si>
  <si>
    <t>300:5,100</t>
    <phoneticPr fontId="2" type="noConversion"/>
  </si>
  <si>
    <t>305:5,1000</t>
    <phoneticPr fontId="2" type="noConversion"/>
  </si>
  <si>
    <t>305:5,2000</t>
    <phoneticPr fontId="2" type="noConversion"/>
  </si>
  <si>
    <t>316:5,15</t>
    <phoneticPr fontId="2" type="noConversion"/>
  </si>
  <si>
    <t>317:5,15</t>
    <phoneticPr fontId="2" type="noConversion"/>
  </si>
  <si>
    <t>318:5,15</t>
    <phoneticPr fontId="2" type="noConversion"/>
  </si>
  <si>
    <t>319:5,15</t>
    <phoneticPr fontId="2" type="noConversion"/>
  </si>
  <si>
    <t>316:5,30</t>
    <phoneticPr fontId="2" type="noConversion"/>
  </si>
  <si>
    <t>317:5,30</t>
    <phoneticPr fontId="2" type="noConversion"/>
  </si>
  <si>
    <t>318:5,30</t>
    <phoneticPr fontId="2" type="noConversion"/>
  </si>
  <si>
    <t>319:5,30</t>
    <phoneticPr fontId="2" type="noConversion"/>
  </si>
  <si>
    <t>311:5,3</t>
    <phoneticPr fontId="2" type="noConversion"/>
  </si>
  <si>
    <t>313:5,3</t>
    <phoneticPr fontId="2" type="noConversion"/>
  </si>
  <si>
    <t>217:5,20</t>
    <phoneticPr fontId="2" type="noConversion"/>
  </si>
  <si>
    <t>412:5,10</t>
    <phoneticPr fontId="2" type="noConversion"/>
  </si>
  <si>
    <t>240:5,5</t>
    <phoneticPr fontId="2" type="noConversion"/>
  </si>
  <si>
    <t>241:5,5</t>
    <phoneticPr fontId="2" type="noConversion"/>
  </si>
  <si>
    <t>242:5,5</t>
    <phoneticPr fontId="2" type="noConversion"/>
  </si>
  <si>
    <t>501:5,2</t>
    <phoneticPr fontId="2" type="noConversion"/>
  </si>
  <si>
    <t>303:5,100</t>
    <phoneticPr fontId="2" type="noConversion"/>
  </si>
  <si>
    <t>406:5,15</t>
    <phoneticPr fontId="2" type="noConversion"/>
  </si>
  <si>
    <t>702:5,50</t>
    <phoneticPr fontId="2" type="noConversion"/>
  </si>
  <si>
    <t>311:5,6</t>
    <phoneticPr fontId="2" type="noConversion"/>
  </si>
  <si>
    <t>313:5,6</t>
    <phoneticPr fontId="2" type="noConversion"/>
  </si>
  <si>
    <t>217:5,35</t>
    <phoneticPr fontId="2" type="noConversion"/>
  </si>
  <si>
    <t>412:5,20</t>
    <phoneticPr fontId="2" type="noConversion"/>
  </si>
  <si>
    <t>240:5,10</t>
    <phoneticPr fontId="2" type="noConversion"/>
  </si>
  <si>
    <t>241:5,10</t>
    <phoneticPr fontId="2" type="noConversion"/>
  </si>
  <si>
    <t>242:5,10</t>
    <phoneticPr fontId="2" type="noConversion"/>
  </si>
  <si>
    <t>501:5,4</t>
    <phoneticPr fontId="2" type="noConversion"/>
  </si>
  <si>
    <t>303:5,200</t>
    <phoneticPr fontId="2" type="noConversion"/>
  </si>
  <si>
    <t>406:5,30</t>
    <phoneticPr fontId="2" type="noConversion"/>
  </si>
  <si>
    <t>204:5,25</t>
    <phoneticPr fontId="2" type="noConversion"/>
  </si>
  <si>
    <t>206:5,25</t>
    <phoneticPr fontId="2" type="noConversion"/>
  </si>
  <si>
    <t>207:5,25</t>
    <phoneticPr fontId="2" type="noConversion"/>
  </si>
  <si>
    <t>208:5,25</t>
    <phoneticPr fontId="2" type="noConversion"/>
  </si>
  <si>
    <t>209:5,25</t>
    <phoneticPr fontId="2" type="noConversion"/>
  </si>
  <si>
    <t>702:5,100</t>
    <phoneticPr fontId="2" type="noConversion"/>
  </si>
  <si>
    <t>209:5,10</t>
    <phoneticPr fontId="2" type="noConversion"/>
  </si>
  <si>
    <t>208:5,10</t>
    <phoneticPr fontId="2" type="noConversion"/>
  </si>
  <si>
    <t>207:5,10</t>
    <phoneticPr fontId="2" type="noConversion"/>
  </si>
  <si>
    <t>206:5,10</t>
    <phoneticPr fontId="2" type="noConversion"/>
  </si>
  <si>
    <t>204:5,10</t>
    <phoneticPr fontId="2" type="noConversion"/>
  </si>
  <si>
    <t>404:5,1</t>
    <phoneticPr fontId="2" type="noConversion"/>
  </si>
  <si>
    <t>404:5,2</t>
    <phoneticPr fontId="2" type="noConversion"/>
  </si>
  <si>
    <t>311:5,10</t>
    <phoneticPr fontId="2" type="noConversion"/>
  </si>
  <si>
    <t>313:5,10</t>
    <phoneticPr fontId="2" type="noConversion"/>
  </si>
  <si>
    <t>217:5,50</t>
    <phoneticPr fontId="2" type="noConversion"/>
  </si>
  <si>
    <t>412:5,30</t>
    <phoneticPr fontId="2" type="noConversion"/>
  </si>
  <si>
    <t>240:5,15</t>
    <phoneticPr fontId="2" type="noConversion"/>
  </si>
  <si>
    <t>241:5,15</t>
    <phoneticPr fontId="2" type="noConversion"/>
  </si>
  <si>
    <t>242:5,15</t>
    <phoneticPr fontId="2" type="noConversion"/>
  </si>
  <si>
    <t>501:5,6</t>
    <phoneticPr fontId="2" type="noConversion"/>
  </si>
  <si>
    <t>303:5,300</t>
    <phoneticPr fontId="2" type="noConversion"/>
  </si>
  <si>
    <t>406:5,50</t>
    <phoneticPr fontId="2" type="noConversion"/>
  </si>
  <si>
    <t>702:5,150</t>
    <phoneticPr fontId="2" type="noConversion"/>
  </si>
  <si>
    <t>300:5,100;305:5,500;412:5,-10</t>
    <phoneticPr fontId="2" type="noConversion"/>
  </si>
  <si>
    <t>300:5,400;305:5,1500;412:5,-30</t>
    <phoneticPr fontId="2" type="noConversion"/>
  </si>
  <si>
    <t>300:5,250;305:5,1000;412:5,-20</t>
    <phoneticPr fontId="2" type="noConversion"/>
  </si>
  <si>
    <t>202:5,125;414:5,-30</t>
    <phoneticPr fontId="2" type="noConversion"/>
  </si>
  <si>
    <t>202:5,50;414:5,-15</t>
    <phoneticPr fontId="2" type="noConversion"/>
  </si>
  <si>
    <t>202:5,200;414:5,-45</t>
    <phoneticPr fontId="2" type="noConversion"/>
  </si>
  <si>
    <t>217:5,150;412:5,-40</t>
    <phoneticPr fontId="2" type="noConversion"/>
  </si>
  <si>
    <t>217:5,100;412:5,-30</t>
    <phoneticPr fontId="2" type="noConversion"/>
  </si>
  <si>
    <t>217:5,50;412:5,-20</t>
    <phoneticPr fontId="2" type="noConversion"/>
  </si>
  <si>
    <t>413:5,50;404:5,-1</t>
    <phoneticPr fontId="2" type="noConversion"/>
  </si>
  <si>
    <t>413:5,150;404:5,-2</t>
    <phoneticPr fontId="2" type="noConversion"/>
  </si>
  <si>
    <t>413:5,300;404:5,-3</t>
    <phoneticPr fontId="2" type="noConversion"/>
  </si>
  <si>
    <t>212:5,45;211:5,-15</t>
    <phoneticPr fontId="2" type="noConversion"/>
  </si>
  <si>
    <t>211:5,45;212:5,-15</t>
    <phoneticPr fontId="2" type="noConversion"/>
  </si>
  <si>
    <t>212:5,120;211:5,-30</t>
    <phoneticPr fontId="2" type="noConversion"/>
  </si>
  <si>
    <t>211:5,120;212:5,-30</t>
    <phoneticPr fontId="2" type="noConversion"/>
  </si>
  <si>
    <t>212:5,200;211:5,-50</t>
    <phoneticPr fontId="2" type="noConversion"/>
  </si>
  <si>
    <t>211:5,200;212:5,-50</t>
    <phoneticPr fontId="2" type="noConversion"/>
  </si>
  <si>
    <t>721:5,50;202:5,-10</t>
  </si>
  <si>
    <t>721:5,120;202:5,-20</t>
    <phoneticPr fontId="2" type="noConversion"/>
  </si>
  <si>
    <t>721:5,200;202:5,-30</t>
    <phoneticPr fontId="2" type="noConversion"/>
  </si>
  <si>
    <t>1004:1,10000,0</t>
    <phoneticPr fontId="2" type="noConversion"/>
  </si>
  <si>
    <t>小怪永久冰缓</t>
    <phoneticPr fontId="2" type="noConversion"/>
  </si>
  <si>
    <t>普攻命中流血3s</t>
    <phoneticPr fontId="2" type="noConversion"/>
  </si>
  <si>
    <t>普攻命中灼烧3s</t>
    <phoneticPr fontId="2" type="noConversion"/>
  </si>
  <si>
    <t>普攻命中中毒3s</t>
    <phoneticPr fontId="2" type="noConversion"/>
  </si>
  <si>
    <t>普攻命中虚弱3s</t>
    <phoneticPr fontId="2" type="noConversion"/>
  </si>
  <si>
    <t>426:5,1</t>
    <phoneticPr fontId="2" type="noConversion"/>
  </si>
  <si>
    <t>202:1,-20</t>
    <phoneticPr fontId="2" type="noConversion"/>
  </si>
  <si>
    <t>305:1,-300</t>
    <phoneticPr fontId="2" type="noConversion"/>
  </si>
  <si>
    <t>217:1,-10</t>
    <phoneticPr fontId="2" type="noConversion"/>
  </si>
  <si>
    <t>202:1,-40</t>
    <phoneticPr fontId="2" type="noConversion"/>
  </si>
  <si>
    <t>305:1,-600</t>
    <phoneticPr fontId="2" type="noConversion"/>
  </si>
  <si>
    <t>217:1,-20</t>
    <phoneticPr fontId="2" type="noConversion"/>
  </si>
  <si>
    <t>202:1,-60</t>
    <phoneticPr fontId="2" type="noConversion"/>
  </si>
  <si>
    <t>305:1,-1000</t>
    <phoneticPr fontId="2" type="noConversion"/>
  </si>
  <si>
    <t>217:1,-30</t>
    <phoneticPr fontId="2" type="noConversion"/>
  </si>
  <si>
    <t>血契</t>
  </si>
  <si>
    <t>诅咒</t>
  </si>
  <si>
    <t>枷锁</t>
  </si>
  <si>
    <t>心蚀</t>
  </si>
  <si>
    <t>虚壳</t>
  </si>
  <si>
    <t>雷殛</t>
  </si>
  <si>
    <t>狂暴连锁</t>
  </si>
  <si>
    <t>苦难</t>
  </si>
  <si>
    <t>2:1001,21014</t>
  </si>
  <si>
    <t>2:1001,21015</t>
  </si>
  <si>
    <t>2:1001,21016</t>
  </si>
  <si>
    <t>2:1001,21017</t>
  </si>
  <si>
    <t>2:1001,21018</t>
  </si>
  <si>
    <t>2:1001,21019</t>
  </si>
  <si>
    <t>2:1001,21020</t>
  </si>
  <si>
    <t>2:1001,21021</t>
  </si>
  <si>
    <t>2:1001,21013</t>
    <phoneticPr fontId="2" type="noConversion"/>
  </si>
  <si>
    <t>220</t>
  </si>
  <si>
    <t>225</t>
  </si>
  <si>
    <t>230</t>
  </si>
  <si>
    <t>235</t>
  </si>
  <si>
    <t>240</t>
  </si>
  <si>
    <t>245</t>
  </si>
  <si>
    <t>250</t>
  </si>
  <si>
    <t>255</t>
  </si>
  <si>
    <t>260</t>
  </si>
  <si>
    <t>265</t>
  </si>
  <si>
    <t>270</t>
  </si>
  <si>
    <t>275</t>
  </si>
  <si>
    <t>403:25;421:240</t>
  </si>
  <si>
    <t>1001:1,12</t>
    <phoneticPr fontId="2" type="noConversion"/>
  </si>
  <si>
    <t>献祭后的随机奖励
道具ID：权重
不配就没有</t>
    <phoneticPr fontId="2" type="noConversion"/>
  </si>
  <si>
    <t>random_rewards_m</t>
  </si>
  <si>
    <t>春节献祭材料</t>
    <phoneticPr fontId="2" type="noConversion"/>
  </si>
  <si>
    <t>406:50;14:50;303:50</t>
    <phoneticPr fontId="2" type="noConversion"/>
  </si>
  <si>
    <t>53901:2;53902:1;53903:2;53904:1;53905:2;53906:1;53907:2;53908:2;53909:1;53910:1;53911:1;53912:1;53913:1</t>
    <phoneticPr fontId="2" type="noConversion"/>
  </si>
  <si>
    <t>6014:1</t>
    <phoneticPr fontId="2" type="noConversion"/>
  </si>
  <si>
    <t>6015:1</t>
    <phoneticPr fontId="2" type="noConversion"/>
  </si>
  <si>
    <t>6016:1</t>
    <phoneticPr fontId="2" type="noConversion"/>
  </si>
  <si>
    <t>6017:1</t>
    <phoneticPr fontId="2" type="noConversion"/>
  </si>
  <si>
    <t>6018:1</t>
    <phoneticPr fontId="2" type="noConversion"/>
  </si>
  <si>
    <t>6019:1</t>
    <phoneticPr fontId="2" type="noConversion"/>
  </si>
  <si>
    <t>6020:1</t>
    <phoneticPr fontId="2" type="noConversion"/>
  </si>
  <si>
    <t>6021:1</t>
    <phoneticPr fontId="2" type="noConversion"/>
  </si>
  <si>
    <t>一版符文</t>
    <phoneticPr fontId="2" type="noConversion"/>
  </si>
  <si>
    <t>二版
新增符文</t>
    <phoneticPr fontId="2" type="noConversion"/>
  </si>
  <si>
    <t>任务道具
献祭</t>
    <phoneticPr fontId="2" type="noConversion"/>
  </si>
  <si>
    <t>商店道具献祭</t>
    <phoneticPr fontId="2" type="noConversion"/>
  </si>
  <si>
    <t>特殊献祭</t>
    <phoneticPr fontId="2" type="noConversion"/>
  </si>
  <si>
    <t>以前的ID不能修改</t>
    <phoneticPr fontId="2" type="noConversion"/>
  </si>
  <si>
    <t>202:5,-20</t>
    <phoneticPr fontId="2" type="noConversion"/>
  </si>
  <si>
    <t>217:5,-30;409:5,-30</t>
    <phoneticPr fontId="2" type="noConversion"/>
  </si>
  <si>
    <t>514:5,-20</t>
    <phoneticPr fontId="2" type="noConversion"/>
  </si>
  <si>
    <t>514:5,-30</t>
    <phoneticPr fontId="2" type="noConversion"/>
  </si>
  <si>
    <t>608:5,-2</t>
    <phoneticPr fontId="2" type="noConversion"/>
  </si>
  <si>
    <t>70013:1,10000,0</t>
    <phoneticPr fontId="2" type="noConversion"/>
  </si>
  <si>
    <t>70011:5,10000,0</t>
    <phoneticPr fontId="2" type="noConversion"/>
  </si>
  <si>
    <t>70008:5,10000,2100</t>
    <phoneticPr fontId="2" type="noConversion"/>
  </si>
  <si>
    <t>403:25;421:250</t>
  </si>
  <si>
    <t>403:25;421:260</t>
  </si>
  <si>
    <t>403:25;421:270</t>
  </si>
  <si>
    <t>403:25;421:280</t>
  </si>
  <si>
    <t>403:25;421:290</t>
  </si>
  <si>
    <t>403:25;421:300</t>
  </si>
  <si>
    <t>403:25;421:310</t>
  </si>
  <si>
    <t>403:25;421:320</t>
  </si>
  <si>
    <t>403:25;421:330</t>
  </si>
  <si>
    <t>403:25;421:340</t>
  </si>
  <si>
    <t>403:25;421:350</t>
  </si>
  <si>
    <t>1000,900</t>
    <phoneticPr fontId="2" type="noConversion"/>
  </si>
  <si>
    <t>1000,1000</t>
  </si>
  <si>
    <t>1000,1000</t>
    <phoneticPr fontId="2" type="noConversion"/>
  </si>
  <si>
    <t>54401:2;54402:1;54403:2;54404:1;54405:2;54406:1;54407:2;54408:1;54409:2;54410:2;54411:1;54412:2;54413:1;54414:1;54415:1</t>
  </si>
  <si>
    <t>54501:2;54502:1;54503:2;54504:1;54505:2;54506:1;54507:2;54508:1;54509:2;54510:2;54511:1;54512:2;54513:1;54514:1;54515:1</t>
  </si>
  <si>
    <t>54601:2;54602:1;54603:2;54604:1;54605:2;54606:1;54607:2;54608:1;54609:2;54610:2;54611:1;54612:2;54613:1;54614:1;54615:1</t>
  </si>
  <si>
    <t>54701:2;54702:1;54703:2;54704:1;54705:2;54706:1;54707:2;54708:1;54709:2;54710:2;54711:1;54712:2;54713:1;54714:1;54715:1</t>
  </si>
  <si>
    <t>54801:2;54802:1;54803:2;54804:1;54805:2;54806:1;54807:2;54808:1;54809:2;54810:2;54811:1;54812:2;54813:1;54814:1;54815:1</t>
  </si>
  <si>
    <t>54901:2;54902:1;54903:2;54904:1;54905:2;54906:1;54907:2;54908:1;54909:2;54910:2;54911:1;54912:2;54913:1;54914:1;54915:1</t>
  </si>
  <si>
    <t>550000:2;550001:1;550002:2;550003:1;550004:2;550005:1;550006:2;550007:1;550008:2;550009:2;550010:1;550011:2;550012:1;550013:1;550014:1</t>
  </si>
  <si>
    <t>550100:2;550101:1;550102:2;550103:1;550104:2;550105:1;550106:2;550107:1;550108:2;550109:2;550110:1;550111:2;550112:1;550113:1;550114:1</t>
  </si>
  <si>
    <t>550200:2;550201:1;550202:2;550203:1;550204:2;550205:1;550206:2;550207:1;550208:2;550209:2;550210:1;550211:2;550212:1;550213:1;550214:1</t>
  </si>
  <si>
    <t>550300:2;550301:1;550302:2;550303:1;550304:2;550305:1;550306:2;550307:1;550308:2;550309:2;550310:1;550311:2;550312:1;550313:1;550314:1</t>
  </si>
  <si>
    <t>550400:2;550401:1;550402:2;550403:1;550404:2;550405:1;550406:2;550407:1;550408:2;550409:2;550410:1;550411:2;550412:1;550413:1;550414:1</t>
  </si>
  <si>
    <t>550500:2;550501:1;550502:2;550503:1;550504:2;550505:1;550506:2;550507:1;550508:2;550509:2;550510:1;550511:2;550512:1;550513:1;550514:1</t>
  </si>
  <si>
    <t>302:15;202:5</t>
  </si>
  <si>
    <t>302:30;202:10</t>
  </si>
  <si>
    <t>302:45;202:15</t>
  </si>
  <si>
    <t>302:60;202:20</t>
  </si>
  <si>
    <t>302:75;202:25</t>
  </si>
  <si>
    <t>302:90;202:30</t>
  </si>
  <si>
    <t>302:110;202:40</t>
  </si>
  <si>
    <t>302:130;202:50</t>
  </si>
  <si>
    <t>302:170;202:70</t>
  </si>
  <si>
    <t>302:190;202:80</t>
  </si>
  <si>
    <t>302:220;202:95</t>
  </si>
  <si>
    <t>302:250;202:110</t>
  </si>
  <si>
    <t>302:280;202:125</t>
  </si>
  <si>
    <t>302:310;202:140</t>
  </si>
  <si>
    <t>302:340;202:155</t>
  </si>
  <si>
    <t>302:380;202:175</t>
  </si>
  <si>
    <t>302:420;202:195</t>
  </si>
  <si>
    <t>302:460;202:215</t>
  </si>
  <si>
    <t>302:500;202:235</t>
  </si>
  <si>
    <t>302:555;202:265</t>
  </si>
  <si>
    <t>302:610;202:295</t>
  </si>
  <si>
    <t>302:665;202:325</t>
  </si>
  <si>
    <t>302:720;202:355</t>
  </si>
  <si>
    <t>302:790;202:395</t>
  </si>
  <si>
    <t>302:860;202:435</t>
  </si>
  <si>
    <t>302:930;202:475</t>
  </si>
  <si>
    <t>302:1000;202:515</t>
  </si>
  <si>
    <t>302:1070;202:555</t>
  </si>
  <si>
    <t>302:1140;202:595</t>
  </si>
  <si>
    <t>302:1225;202:645</t>
  </si>
  <si>
    <t>302:1310;202:695</t>
  </si>
  <si>
    <t>302:1395;202:745</t>
  </si>
  <si>
    <t>302:1480;202:795</t>
  </si>
  <si>
    <t>302:1565;202:845</t>
  </si>
  <si>
    <t>302涨幅</t>
    <phoneticPr fontId="13" type="noConversion"/>
  </si>
  <si>
    <t>302卡点关数</t>
    <phoneticPr fontId="13" type="noConversion"/>
  </si>
  <si>
    <t>202基础斜率</t>
    <phoneticPr fontId="13" type="noConversion"/>
  </si>
  <si>
    <t>202初始值</t>
    <phoneticPr fontId="13" type="noConversion"/>
  </si>
  <si>
    <t>最终输出</t>
    <phoneticPr fontId="13" type="noConversion"/>
  </si>
  <si>
    <t>拼接增益</t>
    <phoneticPr fontId="13" type="noConversion"/>
  </si>
  <si>
    <t>中文表</t>
    <phoneticPr fontId="13" type="noConversion"/>
  </si>
  <si>
    <t>增益/减益</t>
    <phoneticPr fontId="13" type="noConversion"/>
  </si>
  <si>
    <t>302基础斜率</t>
    <phoneticPr fontId="13" type="noConversion"/>
  </si>
  <si>
    <t>302初始值</t>
    <phoneticPr fontId="13" type="noConversion"/>
  </si>
  <si>
    <t>陡峭参数</t>
    <phoneticPr fontId="13" type="noConversion"/>
  </si>
  <si>
    <t>输出</t>
    <phoneticPr fontId="13" type="noConversion"/>
  </si>
  <si>
    <t>组合</t>
    <phoneticPr fontId="13" type="noConversion"/>
  </si>
  <si>
    <t>关卡</t>
    <phoneticPr fontId="13" type="noConversion"/>
  </si>
  <si>
    <t>202涨幅</t>
    <phoneticPr fontId="13" type="noConversion"/>
  </si>
  <si>
    <t>怪物血量+15%</t>
  </si>
  <si>
    <t>怪物血量+30%</t>
  </si>
  <si>
    <t>怪物血量+45%</t>
  </si>
  <si>
    <t>怪物血量+60%</t>
  </si>
  <si>
    <t>怪物血量+75%</t>
  </si>
  <si>
    <t>怪物血量+90%</t>
  </si>
  <si>
    <t>怪物血量+150%</t>
  </si>
  <si>
    <t>怪物血量+220%</t>
  </si>
  <si>
    <t>怪物血量+</t>
    <phoneticPr fontId="2" type="noConversion"/>
  </si>
  <si>
    <t>怪物血量+110%</t>
  </si>
  <si>
    <t>怪物血量+130%</t>
  </si>
  <si>
    <t>怪物血量+170%</t>
  </si>
  <si>
    <t>怪物血量+190%</t>
  </si>
  <si>
    <t>怪物血量+250%</t>
  </si>
  <si>
    <t>怪物血量+280%</t>
  </si>
  <si>
    <t>怪物血量+310%</t>
  </si>
  <si>
    <t>怪物血量+340%</t>
  </si>
  <si>
    <t>怪物血量+380%</t>
  </si>
  <si>
    <t>怪物血量+420%</t>
  </si>
  <si>
    <t>怪物血量+460%</t>
  </si>
  <si>
    <t>怪物血量+500%</t>
  </si>
  <si>
    <t>怪物血量+555%</t>
  </si>
  <si>
    <t>怪物血量+610%</t>
  </si>
  <si>
    <t>怪物血量+665%</t>
  </si>
  <si>
    <t>怪物血量+720%</t>
  </si>
  <si>
    <t>怪物血量+790%</t>
  </si>
  <si>
    <t>怪物血量+860%</t>
  </si>
  <si>
    <t>怪物血量+930%</t>
  </si>
  <si>
    <t>怪物血量+1000%</t>
  </si>
  <si>
    <t>怪物血量+1070%</t>
  </si>
  <si>
    <t>怪物血量+1140%</t>
  </si>
  <si>
    <t>怪物血量+1225%</t>
  </si>
  <si>
    <t>怪物血量+1310%</t>
  </si>
  <si>
    <t>怪物血量+1395%</t>
  </si>
  <si>
    <t>怪物血量+1480%</t>
  </si>
  <si>
    <t>怪物血量+1565%</t>
  </si>
  <si>
    <t>怪物攻击+5%</t>
  </si>
  <si>
    <t>怪物攻击+10%</t>
  </si>
  <si>
    <t>怪物攻击+15%</t>
  </si>
  <si>
    <t>怪物攻击+20%</t>
  </si>
  <si>
    <t>怪物攻击+25%</t>
  </si>
  <si>
    <t>怪物攻击+30%</t>
  </si>
  <si>
    <t>怪物攻击+40%</t>
  </si>
  <si>
    <t>怪物攻击+50%</t>
  </si>
  <si>
    <t>怪物攻击+60%</t>
  </si>
  <si>
    <t>怪物攻击+70%</t>
  </si>
  <si>
    <t>怪物攻击+80%</t>
  </si>
  <si>
    <t>怪物攻击+175%</t>
  </si>
  <si>
    <t>怪物攻击+215%</t>
  </si>
  <si>
    <t>怪物攻击+95%</t>
  </si>
  <si>
    <t>怪物攻击+110%</t>
  </si>
  <si>
    <t>怪物攻击+125%</t>
  </si>
  <si>
    <t>怪物攻击+140%</t>
  </si>
  <si>
    <t>怪物攻击+155%</t>
  </si>
  <si>
    <t>怪物攻击+195%</t>
  </si>
  <si>
    <t>怪物攻击+235%</t>
  </si>
  <si>
    <t>怪物攻击+265%</t>
  </si>
  <si>
    <t>怪物攻击+295%</t>
  </si>
  <si>
    <t>怪物攻击+325%</t>
  </si>
  <si>
    <t>怪物攻击+355%</t>
  </si>
  <si>
    <t>怪物攻击+395%</t>
  </si>
  <si>
    <t>怪物攻击+435%</t>
  </si>
  <si>
    <t>怪物攻击+475%</t>
  </si>
  <si>
    <t>怪物攻击+515%</t>
  </si>
  <si>
    <t>怪物攻击+555%</t>
  </si>
  <si>
    <t>怪物攻击+595%</t>
  </si>
  <si>
    <t>怪物攻击+645%</t>
  </si>
  <si>
    <t>怪物攻击+695%</t>
  </si>
  <si>
    <t>怪物攻击+745%</t>
  </si>
  <si>
    <t>怪物攻击+795%</t>
  </si>
  <si>
    <t>怪物攻击+845%</t>
  </si>
  <si>
    <t>54901:2;54902:1;54903:2;54904:1;54905:2;54906:1;54907:2;54908:1;54909:2;54910:2;54911:1;54912:1;54913:1;54914:1;54915:1</t>
    <phoneticPr fontId="2" type="noConversion"/>
  </si>
  <si>
    <t>54801:2;54802:1;54803:2;54804:1;54805:2;54806:1;54807:2;54808:1;54809:2;54810:2;54811:1;54812:1;54813:1;54814:1;54815:1</t>
    <phoneticPr fontId="2" type="noConversion"/>
  </si>
  <si>
    <t>54701:2;54702:1;54703:2;54704:1;54705:2;54706:1;54707:2;54708:1;54709:2;54710:2;54711:1;54712:1;54713:1;54714:1;54715:1</t>
    <phoneticPr fontId="2" type="noConversion"/>
  </si>
  <si>
    <t>54601:2;54602:1;54603:2;54604:1;54605:2;54606:1;54607:2;54608:1;54609:2;54610:2;54611:1;54612:1;54613:1;54614:1;54615:1</t>
    <phoneticPr fontId="2" type="noConversion"/>
  </si>
  <si>
    <t>54501:2;54502:1;54503:2;54504:1;54505:2;54506:1;54507:2;54508:1;54509:2;54510:2;54511:1;54512:1;54513:1;54514:1;54515:1</t>
    <phoneticPr fontId="2" type="noConversion"/>
  </si>
  <si>
    <t>54401:2;54402:1;54403:2;54404:1;54405:2;54406:1;54407:2;54408:1;54409:2;54410:2;54411:1;54412:1;54413:1;54414:1;54415:1</t>
    <phoneticPr fontId="2" type="noConversion"/>
  </si>
  <si>
    <t>550000:2;550001:1;550002:2;550003:1;550004:2;550005:1;550006:2;550007:1;550008:2;550009:2;550010:1;550011:1;550012:1;550013:1;550014:1</t>
    <phoneticPr fontId="2" type="noConversion"/>
  </si>
  <si>
    <t>550100:2;550101:1;550102:2;550103:1;550104:2;550105:1;550106:2;550107:1;550108:2;550109:2;550110:1;550111:1;550112:1;550113:1;550114:1</t>
    <phoneticPr fontId="2" type="noConversion"/>
  </si>
  <si>
    <t>550200:2;550201:1;550202:2;550203:1;550204:2;550205:1;550206:2;550207:1;550208:2;550209:2;550210:1;550211:1;550212:1;550213:1;550214:1</t>
    <phoneticPr fontId="2" type="noConversion"/>
  </si>
  <si>
    <t>550300:2;550301:1;550302:2;550303:1;550304:2;550305:1;550306:2;550307:1;550308:2;550309:2;550310:1;550311:1;550312:1;550313:1;550314:1</t>
    <phoneticPr fontId="2" type="noConversion"/>
  </si>
  <si>
    <t>550400:2;550401:1;550402:2;550403:1;550404:2;550405:1;550406:2;550407:1;550408:2;550409:2;550410:1;550411:1;550412:1;550413:1;550414:1</t>
    <phoneticPr fontId="2" type="noConversion"/>
  </si>
  <si>
    <t>550500:2;550501:1;550502:2;550503:1;550504:2;550505:1;550506:2;550507:1;550508:2;550509:2;550510:1;550511:1;550512:1;550513:1;550514:1</t>
    <phoneticPr fontId="2" type="noConversion"/>
  </si>
  <si>
    <t>54001:2;54002:1;54003:2;54004:1;54005:2;54006:1;54007:2;54009:2;54010:2;54011:1;54012:1;54013:1;54014:1;54015:1</t>
    <phoneticPr fontId="2" type="noConversion"/>
  </si>
  <si>
    <t>54101:2;54102:1;54103:2;54104:1;54105:2;54106:1;54107:2;54109:2;54110:2;54111:1;54112:1;54113:1;54114:1;54115:1</t>
    <phoneticPr fontId="2" type="noConversion"/>
  </si>
  <si>
    <t>54201:2;54202:1;54203:2;54204:1;54205:2;54206:1;54207:2;54209:2;54210:2;54211:1;54212:1;54213:1;54214:1;54215:1</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</si>
</sst>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5" x14ac:knownFonts="1">
    <font>
      <sz val="11"/>
      <color theme="1"/>
      <name val="等线"/>
      <family val="2"/>
      <scheme val="minor"/>
    </font>
    <font>
      <sz val="11"/>
      <color theme="1"/>
      <name val="等线"/>
      <family val="2"/>
      <charset val="134"/>
      <scheme val="minor"/>
    </font>
    <font>
      <sz val="9"/>
      <name val="等线"/>
      <family val="3"/>
      <charset val="134"/>
      <scheme val="minor"/>
    </font>
    <font>
      <b/>
      <sz val="13.5"/>
      <color theme="1"/>
      <name val="等线"/>
      <family val="3"/>
      <charset val="134"/>
      <scheme val="minor"/>
    </font>
    <font>
      <b/>
      <sz val="11"/>
      <color theme="1"/>
      <name val="等线"/>
      <family val="3"/>
      <charset val="134"/>
      <scheme val="minor"/>
    </font>
    <font>
      <sz val="11"/>
      <color theme="5" tint="-0.249977111117893"/>
      <name val="等线"/>
      <family val="2"/>
      <scheme val="minor"/>
    </font>
    <font>
      <sz val="11"/>
      <color theme="4" tint="-0.249977111117893"/>
      <name val="等线"/>
      <family val="2"/>
      <scheme val="minor"/>
    </font>
    <font>
      <sz val="11"/>
      <color rgb="FF7030A0"/>
      <name val="等线"/>
      <family val="2"/>
      <scheme val="minor"/>
    </font>
    <font>
      <sz val="11"/>
      <color rgb="FFFF0000"/>
      <name val="等线"/>
      <family val="2"/>
      <scheme val="minor"/>
    </font>
    <font>
      <sz val="11"/>
      <name val="等线"/>
      <family val="2"/>
      <scheme val="minor"/>
    </font>
    <font>
      <sz val="11"/>
      <color theme="1"/>
      <name val="等线"/>
      <family val="3"/>
      <charset val="134"/>
      <scheme val="minor"/>
    </font>
    <font>
      <sz val="11"/>
      <color rgb="FFFF0000"/>
      <name val="等线"/>
      <family val="3"/>
      <charset val="134"/>
      <scheme val="minor"/>
    </font>
    <font>
      <sz val="9"/>
      <name val="微软雅黑"/>
      <family val="2"/>
      <charset val="134"/>
    </font>
    <font>
      <sz val="9"/>
      <name val="等线"/>
      <family val="2"/>
      <charset val="134"/>
      <scheme val="minor"/>
    </font>
    <font>
      <sz val="9"/>
      <color theme="1"/>
      <name val="微软雅黑"/>
      <family val="2"/>
      <charset val="134"/>
    </font>
  </fonts>
  <fills count="13">
    <fill>
      <patternFill patternType="none"/>
    </fill>
    <fill>
      <patternFill patternType="gray125"/>
    </fill>
    <fill>
      <patternFill patternType="solid">
        <fgColor rgb="FFFFFF00"/>
        <bgColor indexed="64"/>
      </patternFill>
    </fill>
    <fill>
      <patternFill patternType="solid">
        <fgColor rgb="FF00B0F0"/>
        <bgColor indexed="64"/>
      </patternFill>
    </fill>
    <fill>
      <patternFill patternType="solid">
        <fgColor theme="4" tint="0.79998168889431442"/>
        <bgColor theme="4" tint="0.79998168889431442"/>
      </patternFill>
    </fill>
    <fill>
      <patternFill patternType="solid">
        <fgColor theme="5" tint="-0.249977111117893"/>
        <bgColor indexed="64"/>
      </patternFill>
    </fill>
    <fill>
      <patternFill patternType="solid">
        <fgColor theme="9" tint="0.39997558519241921"/>
        <bgColor indexed="64"/>
      </patternFill>
    </fill>
    <fill>
      <patternFill patternType="solid">
        <fgColor rgb="FFFFC000"/>
        <bgColor indexed="64"/>
      </patternFill>
    </fill>
    <fill>
      <patternFill patternType="solid">
        <fgColor rgb="FF92D050"/>
        <bgColor indexed="64"/>
      </patternFill>
    </fill>
    <fill>
      <patternFill patternType="solid">
        <fgColor theme="8" tint="0.59999389629810485"/>
        <bgColor indexed="64"/>
      </patternFill>
    </fill>
    <fill>
      <patternFill patternType="solid">
        <fgColor theme="4" tint="0.59999389629810485"/>
        <bgColor indexed="64"/>
      </patternFill>
    </fill>
    <fill>
      <patternFill patternType="solid">
        <fgColor theme="7" tint="0.59999389629810485"/>
        <bgColor indexed="64"/>
      </patternFill>
    </fill>
    <fill>
      <patternFill patternType="solid">
        <fgColor theme="9" tint="0.59999389629810485"/>
        <bgColor indexed="64"/>
      </patternFill>
    </fill>
  </fills>
  <borders count="17">
    <border>
      <left/>
      <right/>
      <top/>
      <bottom/>
      <diagonal/>
    </border>
    <border>
      <left/>
      <right/>
      <top style="thin">
        <color theme="4" tint="0.39997558519241921"/>
      </top>
      <bottom style="thin">
        <color theme="4" tint="0.39997558519241921"/>
      </bottom>
      <diagonal/>
    </border>
    <border>
      <left/>
      <right/>
      <top style="thin">
        <color theme="4" tint="0.39997558519241921"/>
      </top>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indexed="64"/>
      </top>
      <bottom style="thin">
        <color indexed="64"/>
      </bottom>
      <diagonal/>
    </border>
  </borders>
  <cellStyleXfs count="2">
    <xf numFmtId="0" fontId="0" fillId="0" borderId="0"/>
    <xf numFmtId="0" fontId="1" fillId="0" borderId="0">
      <alignment vertical="center"/>
    </xf>
  </cellStyleXfs>
  <cellXfs count="78">
    <xf numFmtId="0" fontId="0" fillId="0" borderId="0" xfId="0"/>
    <xf numFmtId="0" fontId="0" fillId="0" borderId="0" xfId="0" applyAlignment="1">
      <alignment wrapText="1"/>
    </xf>
    <xf numFmtId="0" fontId="3" fillId="0" borderId="0" xfId="0" applyFont="1" applyAlignment="1">
      <alignment vertical="center"/>
    </xf>
    <xf numFmtId="0" fontId="0" fillId="0" borderId="0" xfId="0" applyAlignment="1">
      <alignment horizontal="left" vertical="center" indent="1"/>
    </xf>
    <xf numFmtId="0" fontId="4" fillId="0" borderId="0" xfId="0" applyFont="1" applyAlignment="1">
      <alignment horizontal="left" vertical="center" indent="1"/>
    </xf>
    <xf numFmtId="49" fontId="0" fillId="0" borderId="0" xfId="0" applyNumberFormat="1"/>
    <xf numFmtId="49" fontId="0" fillId="0" borderId="0" xfId="0" applyNumberFormat="1" applyAlignment="1">
      <alignment horizontal="right"/>
    </xf>
    <xf numFmtId="49" fontId="0" fillId="0" borderId="0" xfId="0" applyNumberFormat="1" applyAlignment="1">
      <alignment horizontal="center"/>
    </xf>
    <xf numFmtId="49" fontId="0" fillId="0" borderId="0" xfId="0" applyNumberFormat="1" applyAlignment="1">
      <alignment horizontal="center" wrapText="1"/>
    </xf>
    <xf numFmtId="0" fontId="0" fillId="0" borderId="0" xfId="0" applyAlignment="1">
      <alignment horizontal="center" wrapText="1"/>
    </xf>
    <xf numFmtId="0" fontId="0" fillId="0" borderId="0" xfId="0" applyAlignment="1">
      <alignment horizontal="center"/>
    </xf>
    <xf numFmtId="0" fontId="0" fillId="3" borderId="0" xfId="0" applyFill="1"/>
    <xf numFmtId="0" fontId="0" fillId="0" borderId="0" xfId="0" applyAlignment="1">
      <alignment horizontal="center" vertical="center" wrapText="1"/>
    </xf>
    <xf numFmtId="0" fontId="0" fillId="0" borderId="0" xfId="0" applyAlignment="1">
      <alignment horizontal="center" vertical="center"/>
    </xf>
    <xf numFmtId="0" fontId="0" fillId="2" borderId="0" xfId="0" applyFill="1" applyAlignment="1">
      <alignment horizontal="center"/>
    </xf>
    <xf numFmtId="49" fontId="0" fillId="0" borderId="0" xfId="0" applyNumberFormat="1" applyAlignment="1">
      <alignment horizontal="left"/>
    </xf>
    <xf numFmtId="49" fontId="0" fillId="0" borderId="0" xfId="0" applyNumberFormat="1" applyAlignment="1">
      <alignment vertical="center"/>
    </xf>
    <xf numFmtId="49" fontId="0" fillId="0" borderId="0" xfId="0" applyNumberFormat="1" applyAlignment="1">
      <alignment wrapText="1"/>
    </xf>
    <xf numFmtId="49" fontId="0" fillId="0" borderId="1" xfId="0" applyNumberFormat="1" applyBorder="1" applyAlignment="1">
      <alignment horizontal="center"/>
    </xf>
    <xf numFmtId="49" fontId="0" fillId="4" borderId="1" xfId="0" applyNumberFormat="1" applyFill="1" applyBorder="1" applyAlignment="1">
      <alignment horizontal="center"/>
    </xf>
    <xf numFmtId="0" fontId="4" fillId="0" borderId="0" xfId="0" applyFont="1"/>
    <xf numFmtId="0" fontId="5" fillId="0" borderId="0" xfId="0" applyFont="1" applyAlignment="1">
      <alignment horizontal="center"/>
    </xf>
    <xf numFmtId="0" fontId="0" fillId="4" borderId="2" xfId="0" applyFill="1" applyBorder="1" applyAlignment="1">
      <alignment horizontal="center"/>
    </xf>
    <xf numFmtId="0" fontId="6" fillId="0" borderId="0" xfId="0" applyFont="1"/>
    <xf numFmtId="0" fontId="7" fillId="0" borderId="0" xfId="0" applyFont="1"/>
    <xf numFmtId="0" fontId="5" fillId="0" borderId="0" xfId="0" applyFont="1"/>
    <xf numFmtId="0" fontId="8" fillId="0" borderId="0" xfId="0" applyFont="1" applyAlignment="1">
      <alignment horizontal="center"/>
    </xf>
    <xf numFmtId="49" fontId="9" fillId="0" borderId="0" xfId="0" applyNumberFormat="1" applyFont="1"/>
    <xf numFmtId="49" fontId="10" fillId="0" borderId="0" xfId="0" applyNumberFormat="1" applyFont="1"/>
    <xf numFmtId="0" fontId="0" fillId="7" borderId="4" xfId="0" applyFill="1" applyBorder="1"/>
    <xf numFmtId="0" fontId="0" fillId="7" borderId="5" xfId="0" applyFill="1" applyBorder="1"/>
    <xf numFmtId="0" fontId="0" fillId="7" borderId="6" xfId="0" applyFill="1" applyBorder="1"/>
    <xf numFmtId="0" fontId="0" fillId="7" borderId="8" xfId="0" applyFill="1" applyBorder="1"/>
    <xf numFmtId="0" fontId="0" fillId="7" borderId="10" xfId="0" applyFill="1" applyBorder="1"/>
    <xf numFmtId="0" fontId="0" fillId="7" borderId="12" xfId="0" applyFill="1" applyBorder="1"/>
    <xf numFmtId="0" fontId="0" fillId="8" borderId="8" xfId="0" applyFill="1" applyBorder="1"/>
    <xf numFmtId="0" fontId="0" fillId="8" borderId="10" xfId="0" applyFill="1" applyBorder="1"/>
    <xf numFmtId="0" fontId="0" fillId="9" borderId="8" xfId="0" applyFill="1" applyBorder="1"/>
    <xf numFmtId="0" fontId="0" fillId="9" borderId="10" xfId="0" applyFill="1" applyBorder="1"/>
    <xf numFmtId="0" fontId="0" fillId="9" borderId="12" xfId="0" applyFill="1" applyBorder="1"/>
    <xf numFmtId="0" fontId="0" fillId="5" borderId="14" xfId="0" applyFill="1" applyBorder="1"/>
    <xf numFmtId="0" fontId="0" fillId="0" borderId="13" xfId="0" applyBorder="1" applyAlignment="1">
      <alignment horizontal="center" vertical="center"/>
    </xf>
    <xf numFmtId="0" fontId="0" fillId="0" borderId="3" xfId="0" applyBorder="1"/>
    <xf numFmtId="0" fontId="8" fillId="0" borderId="0" xfId="0" applyFont="1"/>
    <xf numFmtId="49" fontId="8" fillId="0" borderId="0" xfId="0" applyNumberFormat="1" applyFont="1"/>
    <xf numFmtId="49" fontId="11" fillId="0" borderId="0" xfId="0" applyNumberFormat="1" applyFont="1"/>
    <xf numFmtId="0" fontId="11" fillId="0" borderId="0" xfId="0" applyFont="1"/>
    <xf numFmtId="0" fontId="1" fillId="0" borderId="0" xfId="1">
      <alignment vertical="center"/>
    </xf>
    <xf numFmtId="0" fontId="1" fillId="0" borderId="0" xfId="1" applyAlignment="1">
      <alignment horizontal="center" vertical="center"/>
    </xf>
    <xf numFmtId="0" fontId="1" fillId="0" borderId="3" xfId="1" applyBorder="1">
      <alignment vertical="center"/>
    </xf>
    <xf numFmtId="0" fontId="12" fillId="4" borderId="15" xfId="1" applyFont="1" applyFill="1" applyBorder="1" applyAlignment="1">
      <alignment horizontal="right"/>
    </xf>
    <xf numFmtId="0" fontId="12" fillId="0" borderId="15" xfId="1" applyFont="1" applyBorder="1" applyAlignment="1">
      <alignment horizontal="right"/>
    </xf>
    <xf numFmtId="0" fontId="12" fillId="0" borderId="3" xfId="1" applyFont="1" applyBorder="1" applyAlignment="1">
      <alignment horizontal="right"/>
    </xf>
    <xf numFmtId="0" fontId="12" fillId="4" borderId="3" xfId="1" applyFont="1" applyFill="1" applyBorder="1" applyAlignment="1">
      <alignment horizontal="right"/>
    </xf>
    <xf numFmtId="0" fontId="4" fillId="0" borderId="0" xfId="1" applyFont="1" applyAlignment="1">
      <alignment horizontal="center" vertical="center"/>
    </xf>
    <xf numFmtId="0" fontId="4" fillId="10" borderId="3" xfId="1" applyFont="1" applyFill="1" applyBorder="1" applyAlignment="1">
      <alignment horizontal="center" vertical="center"/>
    </xf>
    <xf numFmtId="0" fontId="4" fillId="10" borderId="3" xfId="1" applyFont="1" applyFill="1" applyBorder="1">
      <alignment vertical="center"/>
    </xf>
    <xf numFmtId="0" fontId="1" fillId="11" borderId="3" xfId="1" applyFill="1" applyBorder="1" applyAlignment="1">
      <alignment horizontal="center" vertical="center"/>
    </xf>
    <xf numFmtId="0" fontId="1" fillId="12" borderId="3" xfId="1" applyFill="1" applyBorder="1" applyAlignment="1">
      <alignment horizontal="center" vertical="center"/>
    </xf>
    <xf numFmtId="0" fontId="1" fillId="12" borderId="3" xfId="1" applyFill="1" applyBorder="1">
      <alignment vertical="center"/>
    </xf>
    <xf numFmtId="0" fontId="1" fillId="11" borderId="3" xfId="1" applyFill="1" applyBorder="1">
      <alignment vertical="center"/>
    </xf>
    <xf numFmtId="49" fontId="10" fillId="0" borderId="0" xfId="0" applyNumberFormat="1" applyFont="1" applyAlignment="1">
      <alignment horizontal="center"/>
    </xf>
    <xf numFmtId="0" fontId="14" fillId="0" borderId="1" xfId="0" applyFont="1" applyBorder="1"/>
    <xf numFmtId="0" fontId="14" fillId="4" borderId="1" xfId="0" applyFont="1" applyFill="1" applyBorder="1"/>
    <xf numFmtId="0" fontId="0" fillId="0" borderId="4" xfId="0" applyBorder="1" applyAlignment="1">
      <alignment horizontal="center" vertical="center"/>
    </xf>
    <xf numFmtId="0" fontId="0" fillId="0" borderId="5" xfId="0" applyBorder="1" applyAlignment="1">
      <alignment horizontal="center" vertical="center"/>
    </xf>
    <xf numFmtId="0" fontId="0" fillId="0" borderId="6" xfId="0" applyBorder="1" applyAlignment="1">
      <alignment horizontal="center" vertical="center"/>
    </xf>
    <xf numFmtId="0" fontId="0" fillId="0" borderId="7" xfId="0" applyBorder="1" applyAlignment="1">
      <alignment horizontal="center" vertical="center" wrapText="1"/>
    </xf>
    <xf numFmtId="0" fontId="0" fillId="0" borderId="9" xfId="0" applyBorder="1" applyAlignment="1">
      <alignment horizontal="center" vertical="center"/>
    </xf>
    <xf numFmtId="0" fontId="0" fillId="0" borderId="11" xfId="0" applyBorder="1" applyAlignment="1">
      <alignment horizontal="center" vertical="center"/>
    </xf>
    <xf numFmtId="0" fontId="0" fillId="0" borderId="9" xfId="0" applyBorder="1" applyAlignment="1">
      <alignment horizontal="center" vertical="center" wrapText="1"/>
    </xf>
    <xf numFmtId="0" fontId="0" fillId="0" borderId="11" xfId="0" applyBorder="1" applyAlignment="1">
      <alignment horizontal="center" vertical="center" wrapText="1"/>
    </xf>
    <xf numFmtId="0" fontId="4" fillId="10" borderId="13" xfId="1" applyFont="1" applyFill="1" applyBorder="1" applyAlignment="1">
      <alignment horizontal="center"/>
    </xf>
    <xf numFmtId="0" fontId="4" fillId="10" borderId="16" xfId="1" applyFont="1" applyFill="1" applyBorder="1" applyAlignment="1">
      <alignment horizontal="center"/>
    </xf>
    <xf numFmtId="0" fontId="4" fillId="10" borderId="14" xfId="1" applyFont="1" applyFill="1" applyBorder="1" applyAlignment="1">
      <alignment horizontal="center"/>
    </xf>
    <xf numFmtId="0" fontId="0" fillId="5" borderId="0" xfId="0" applyFill="1" applyAlignment="1">
      <alignment horizontal="center" vertical="center"/>
    </xf>
    <xf numFmtId="0" fontId="0" fillId="0" borderId="0" xfId="0" applyAlignment="1">
      <alignment horizontal="center" vertical="center"/>
    </xf>
    <xf numFmtId="0" fontId="0" fillId="6" borderId="0" xfId="0" applyFill="1" applyAlignment="1">
      <alignment horizontal="center" vertical="center"/>
    </xf>
  </cellXfs>
  <cellStyles count="2">
    <cellStyle name="常规" xfId="0" builtinId="0"/>
    <cellStyle name="常规 2" xfId="1" xr:uid="{3840950D-15D9-411A-AC6C-9FC09A3AD6BD}"/>
  </cellStyles>
  <dxfs count="62">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font>
        <color rgb="FF9C0006"/>
      </font>
      <fill>
        <patternFill patternType="solid">
          <bgColor rgb="FFFFC7CE"/>
        </patternFill>
      </fill>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val="0"/>
        <i val="0"/>
        <strike val="0"/>
        <condense val="0"/>
        <extend val="0"/>
        <outline val="0"/>
        <shadow val="0"/>
        <u val="none"/>
        <vertAlign val="baseline"/>
        <sz val="11"/>
        <color theme="1"/>
        <name val="等线"/>
        <family val="2"/>
        <scheme val="minor"/>
      </font>
      <fill>
        <patternFill patternType="solid">
          <fgColor theme="4" tint="0.79998168889431442"/>
          <bgColor theme="4" tint="0.79998168889431442"/>
        </patternFill>
      </fill>
      <alignment horizontal="center" vertical="bottom" textRotation="0" wrapText="0" indent="0" justifyLastLine="0" shrinkToFit="0" readingOrder="0"/>
      <border diagonalUp="0" diagonalDown="0" outline="0">
        <left/>
        <right/>
        <top style="thin">
          <color theme="4" tint="0.39997558519241921"/>
        </top>
        <bottom style="thin">
          <color theme="4" tint="0.39997558519241921"/>
        </bottom>
      </border>
    </dxf>
    <dxf>
      <alignment horizontal="center" vertical="bottom" textRotation="0" wrapText="0" indent="0" justifyLastLine="0" shrinkToFit="0" readingOrder="0"/>
    </dxf>
    <dxf>
      <alignment horizontal="center" vertical="center"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0" formatCode="@"/>
    </dxf>
    <dxf>
      <numFmt numFmtId="30" formatCode="@"/>
    </dxf>
    <dxf>
      <numFmt numFmtId="30" formatCode="@"/>
      <alignment horizontal="right" vertical="bottom" textRotation="0" wrapText="0" indent="0" justifyLastLine="0" shrinkToFit="0" readingOrder="0"/>
    </dxf>
    <dxf>
      <alignment horizontal="center" vertical="center" textRotation="0" indent="0" justifyLastLine="0" shrinkToFit="0" readingOrder="0"/>
    </dxf>
    <dxf>
      <alignment horizontal="center" vertical="bottom" textRotation="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xmlMaps.xml><?xml version="1.0" encoding="utf-8"?>
<MapInfo xmlns="http://schemas.openxmlformats.org/spreadsheetml/2006/main" SelectionNamespaces="">
  <Schema ID="Schema5">
    <xsd:schema xmlns:xsd="http://www.w3.org/2001/XMLSchema" xmlns="">
      <xsd:element nillable="true" name="root">
        <xsd:complexType>
          <xsd:sequence minOccurs="0">
            <xsd:element minOccurs="0" maxOccurs="unbounded" nillable="true" name="god_rune" form="unqualified">
              <xsd:complexType>
                <xsd:sequence minOccurs="0">
                  <xsd:element minOccurs="0" nillable="true" type="xsd:integer" name="id_i" form="unqualified"/>
                  <xsd:element minOccurs="0" nillable="true" type="xsd:integer" name="rank_i" form="unqualified"/>
                  <xsd:element minOccurs="0" nillable="true" type="xsd:integer" name="icon_i" form="unqualified"/>
                  <xsd:element minOccurs="0" nillable="true" type="xsd:integer" name="name_i" form="unqualified"/>
                  <xsd:element minOccurs="0" nillable="true" type="xsd:integer" name="difficulty_i" form="unqualified"/>
                  <xsd:element minOccurs="0" nillable="true" type="xsd:integer" name="effect_n" form="unqualified"/>
                  <xsd:element minOccurs="0" nillable="true" type="xsd:integer" name="rune_effect_i" form="unqualified"/>
                  <xsd:element minOccurs="0" nillable="true" type="xsd:string" name="trigger_m" form="unqualified"/>
                  <xsd:element minOccurs="0" nillable="true" type="xsd:integer" name="unlock_desc_i" form="unqualified"/>
                </xsd:sequence>
              </xsd:complexType>
            </xsd:element>
          </xsd:sequence>
        </xsd:complexType>
      </xsd:element>
    </xsd:schema>
  </Schema>
  <Schema ID="Schema6">
    <xsd:schema xmlns:xsd="http://www.w3.org/2001/XMLSchema" xmlns="">
      <xsd:element nillable="true" name="root">
        <xsd:complexType>
          <xsd:sequence minOccurs="0">
            <xsd:element minOccurs="0" maxOccurs="unbounded" nillable="true" name="rune_effect" form="unqualified">
              <xsd:complexType>
                <xsd:sequence minOccurs="0">
                  <xsd:element minOccurs="0" nillable="true" type="xsd:integer" name="id_i" form="unqualified"/>
                  <xsd:element minOccurs="0" nillable="true" type="xsd:string" name="attri_hard_n" form="unqualified"/>
                  <xsd:element minOccurs="0" nillable="true" type="xsd:string" name="buff_hard_n" form="unqualified"/>
                  <xsd:element minOccurs="0" nillable="true" type="xsd:integer" name="passive_hard_i" form="unqualified"/>
                  <xsd:element minOccurs="0" nillable="true" type="xsd:string" name="monster_hard_n" form="unqualified"/>
                  <xsd:element minOccurs="0" nillable="true" type="xsd:string" name="monster_num_hard_n" form="unqualified"/>
                  <xsd:element minOccurs="0" nillable="true" type="xsd:string" name="items_hard_n" form="unqualified"/>
                  <xsd:element minOccurs="0" nillable="true" type="xsd:string" name="affix_hard_l" form="unqualified"/>
                  <xsd:element minOccurs="0" nillable="true" type="xsd:string" name="special_hard_m" form="unqualified"/>
                </xsd:sequence>
              </xsd:complexType>
            </xsd:element>
          </xsd:sequence>
        </xsd:complexType>
      </xsd:element>
    </xsd:schema>
  </Schema>
  <Schema ID="Schema7">
    <xsd:schema xmlns:xsd="http://www.w3.org/2001/XMLSchema" xmlns="">
      <xsd:element nillable="true" name="root">
        <xsd:complexType>
          <xsd:sequence minOccurs="0">
            <xsd:element minOccurs="0" maxOccurs="unbounded" nillable="true" name="rune_difficult" form="unqualified">
              <xsd:complexType>
                <xsd:sequence minOccurs="0">
                  <xsd:element minOccurs="0" nillable="true" type="xsd:integer" name="id_i" form="unqualified"/>
                  <xsd:element minOccurs="0" nillable="true" type="xsd:integer" name="Diff_i" form="unqualified"/>
                  <xsd:element minOccurs="0" nillable="true" type="xsd:integer" name="desc_m" form="unqualified"/>
                  <xsd:element minOccurs="0" nillable="true" type="xsd:integer" name="effect_id_i" form="unqualified"/>
                  <xsd:element minOccurs="0" nillable="true" type="xsd:integer" name="attri_m" form="unqualified"/>
                  <xsd:element minOccurs="0" nillable="true" type="xsd:integer" name="moster_attri_m" form="unqualified"/>
                  <xsd:element minOccurs="0" nillable="true" type="xsd:integer" name="ancient_per_l" form="unqualified"/>
                </xsd:sequence>
              </xsd:complexType>
            </xsd:element>
          </xsd:sequence>
        </xsd:complexType>
      </xsd:element>
    </xsd:schema>
  </Schema>
  <Schema ID="Schema9">
    <xsd:schema xmlns:xsd="http://www.w3.org/2001/XMLSchema" xmlns="">
      <xsd:element nillable="true" name="root">
        <xsd:complexType>
          <xsd:sequence minOccurs="0">
            <xsd:element minOccurs="0" maxOccurs="unbounded" nillable="true" name="god_sacrifice" form="unqualified">
              <xsd:complexType>
                <xsd:sequence minOccurs="0">
                  <xsd:element minOccurs="0" nillable="true" type="xsd:integer" name="id_i" form="unqualified"/>
                  <xsd:element minOccurs="0" nillable="true" type="xsd:integer" name="itemid_i" form="unqualified"/>
                  <xsd:element minOccurs="0" nillable="true" type="xsd:integer" name="timelimit_i" form="unqualified"/>
                  <xsd:element minOccurs="0" nillable="true" type="xsd:string" name="item_reward_m" form="unqualified"/>
                  <xsd:element minOccurs="0" nillable="true" type="xsd:string" name="attri_reward_m" form="unqualified"/>
                  <xsd:element minOccurs="0" nillable="true" type="xsd:integer" name="passive_reward_l" form="unqualified"/>
                  <xsd:element minOccurs="0" nillable="true" type="xsd:integer" name="rune_name_i" form="unqualified"/>
                  <xsd:element minOccurs="0" nillable="true" type="xsd:string" name="random_rewards_m" form="unqualified"/>
                </xsd:sequence>
              </xsd:complexType>
            </xsd:element>
          </xsd:sequence>
        </xsd:complexType>
      </xsd:element>
    </xsd:schema>
  </Schema>
  <Map ID="24" Name="god_rune" RootElement="root" SchemaID="Schema5" ShowImportExportValidationErrors="false" AutoFit="true" Append="false" PreserveSortAFLayout="true" PreserveFormat="true">
    <DataBinding FileBinding="true" ConnectionID="6" DataBindingLoadMode="1"/>
  </Map>
  <Map ID="39" Name="god_sacrifice" RootElement="root" SchemaID="Schema9" ShowImportExportValidationErrors="false" AutoFit="true" Append="false" PreserveSortAFLayout="true" PreserveFormat="true">
    <DataBinding FileBinding="true" ConnectionID="10" DataBindingLoadMode="1"/>
  </Map>
  <Map ID="34" Name="root_映射" RootElement="root" SchemaID="Schema7" ShowImportExportValidationErrors="false" AutoFit="true" Append="false" PreserveSortAFLayout="true" PreserveFormat="true">
    <DataBinding FileBinding="true" ConnectionID="16" DataBindingLoadMode="1"/>
  </Map>
  <Map ID="29" Name="rune_effect" RootElement="root" SchemaID="Schema6" ShowImportExportValidationErrors="false" AutoFit="true" Append="false" PreserveSortAFLayout="true" PreserveFormat="true">
    <DataBinding FileBinding="true" ConnectionID="21" DataBindingLoadMode="1"/>
  </Map>
</MapInfo>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xmlMaps" Target="xmlMap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connections" Target="connections.xml"/><Relationship Id="rId14" Type="http://schemas.openxmlformats.org/officeDocument/2006/relationships/customXml" Target="../customXml/item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F0CF905-2BA2-4D3E-A382-CC3D81A54A5A}" name="表1" displayName="表1" ref="C5:K27" tableType="xml" totalsRowShown="0" connectionId="6">
  <autoFilter ref="C5:K27" xr:uid="{A12CC96F-2819-4554-B7DB-666FDD3855B2}"/>
  <tableColumns count="9">
    <tableColumn id="1" xr3:uid="{CC119291-2826-40EB-A82C-CB6B50B99494}" uniqueName="id_i" name="id_i">
      <xmlColumnPr mapId="24" xpath="/root/god_rune/id_i" xmlDataType="integer"/>
    </tableColumn>
    <tableColumn id="2" xr3:uid="{21DB441C-B832-42B7-960B-1EFB135F5A9F}" uniqueName="rank_i" name="rank_i">
      <xmlColumnPr mapId="24" xpath="/root/god_rune/rank_i" xmlDataType="integer"/>
    </tableColumn>
    <tableColumn id="3" xr3:uid="{E64D37E2-2048-4008-A1DB-D6D1CBD33D0B}" uniqueName="icon_i" name="icon_i">
      <xmlColumnPr mapId="24" xpath="/root/god_rune/icon_i" xmlDataType="integer"/>
    </tableColumn>
    <tableColumn id="4" xr3:uid="{8FC50D09-610B-4027-97AE-91813E6FA81F}" uniqueName="name_i" name="name_i">
      <xmlColumnPr mapId="24" xpath="/root/god_rune/name_i" xmlDataType="integer"/>
    </tableColumn>
    <tableColumn id="6" xr3:uid="{981641FE-D02D-43D4-9E39-6225F69CB9BE}" uniqueName="difficulty_i" name="difficulty_i" dataDxfId="61">
      <xmlColumnPr mapId="24" xpath="/root/god_rune/difficulty_i" xmlDataType="integer"/>
    </tableColumn>
    <tableColumn id="7" xr3:uid="{C98F454B-F3FF-457A-BA19-41E1C506E9E4}" uniqueName="effect_n" name="effect_n" dataDxfId="60">
      <xmlColumnPr mapId="24" xpath="/root/god_rune/effect_n" xmlDataType="integer"/>
    </tableColumn>
    <tableColumn id="10" xr3:uid="{CAA497CF-7E3B-4D50-83AF-DF4AC20986A3}" uniqueName="rune_effect_i" name="rune_effect_i">
      <xmlColumnPr mapId="24" xpath="/root/god_rune/rune_effect_i" xmlDataType="integer"/>
    </tableColumn>
    <tableColumn id="9" xr3:uid="{AE16EB42-3188-43C0-BD77-C20CD469FBF9}" uniqueName="trigger_m" name="trigger_m" dataDxfId="59">
      <xmlColumnPr mapId="24" xpath="/root/god_rune/trigger_m" xmlDataType="string"/>
    </tableColumn>
    <tableColumn id="8" xr3:uid="{8848773C-F736-4DC7-9608-050989297671}" uniqueName="unlock_desc_i" name="unlock_desc_i">
      <xmlColumnPr mapId="24" xpath="/root/god_rune/unlock_desc_i" xmlDataType="integer"/>
    </tableColumn>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E684216D-A9E1-4CF8-BEF2-61FD75ACE70C}" name="表2" displayName="表2" ref="C6:J46" tableType="xml" totalsRowShown="0" connectionId="10">
  <autoFilter ref="C6:J46" xr:uid="{1C1316F2-40FF-4F9C-A1B3-D8DC355D66E6}"/>
  <tableColumns count="8">
    <tableColumn id="1" xr3:uid="{87A4FD66-6FF7-4DEC-94DD-C82F83CF6668}" uniqueName="id_i" name="id_i">
      <xmlColumnPr mapId="39" xpath="/root/god_sacrifice/id_i" xmlDataType="integer"/>
    </tableColumn>
    <tableColumn id="2" xr3:uid="{20E1AE3D-15C1-498A-828D-A38B01D503F0}" uniqueName="itemid_i" name="itemid_i">
      <xmlColumnPr mapId="39" xpath="/root/god_sacrifice/itemid_i" xmlDataType="integer"/>
    </tableColumn>
    <tableColumn id="3" xr3:uid="{65E2D44B-F307-4C6D-B6C7-0A9B1EF4BCDF}" uniqueName="timelimit_i" name="timelimit_i">
      <xmlColumnPr mapId="39" xpath="/root/god_sacrifice/timelimit_i" xmlDataType="integer"/>
    </tableColumn>
    <tableColumn id="4" xr3:uid="{DD8442A5-BB9A-46B9-8C3E-B3318CA0F8B4}" uniqueName="item_reward_m" name="item_reward_m">
      <xmlColumnPr mapId="39" xpath="/root/god_sacrifice/item_reward_m" xmlDataType="string"/>
    </tableColumn>
    <tableColumn id="6" xr3:uid="{B78ABD0F-2719-4DF8-A3A3-45BFE613BC3B}" uniqueName="attri_reward_m" name="attri_reward_m" dataDxfId="58">
      <xmlColumnPr mapId="39" xpath="/root/god_sacrifice/attri_reward_m" xmlDataType="string"/>
    </tableColumn>
    <tableColumn id="5" xr3:uid="{A001CE7B-E544-4395-AF35-A7E0A12061C5}" uniqueName="passive_reward_l" name="passive_reward_l">
      <xmlColumnPr mapId="39" xpath="/root/god_sacrifice/passive_reward_l" xmlDataType="integer"/>
    </tableColumn>
    <tableColumn id="7" xr3:uid="{1108DCD6-9B8E-42FC-AD2A-A178493E13DD}" uniqueName="rune_name_i" name="rune_name_i">
      <xmlColumnPr mapId="39" xpath="/root/god_sacrifice/rune_name_i" xmlDataType="integer"/>
    </tableColumn>
    <tableColumn id="8" xr3:uid="{19F52942-36E5-4CBD-8E1A-FC2FD24E4ECD}" uniqueName="random_rewards_m" name="random_rewards_m" dataDxfId="57">
      <xmlColumnPr mapId="39" xpath="/root/god_sacrifice/random_rewards_m" xmlDataType="string"/>
    </tableColum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8DBB2B6-F0DD-4DAA-B830-99A77E704057}" name="表3" displayName="表3" ref="D4:J40" tableType="xml" totalsRowShown="0" headerRowDxfId="56" dataDxfId="55" connectionId="16">
  <autoFilter ref="D4:J40" xr:uid="{D8DBB2B6-F0DD-4DAA-B830-99A77E704057}"/>
  <tableColumns count="7">
    <tableColumn id="1" xr3:uid="{1ED449D4-1B86-42D8-A3C2-E71BAE85F913}" uniqueName="id_i" name="id_i" dataDxfId="54">
      <xmlColumnPr mapId="34" xpath="/root/rune_difficult/id_i" xmlDataType="integer"/>
    </tableColumn>
    <tableColumn id="5" xr3:uid="{1D72AD2F-C749-49F6-A3B8-9586A9064982}" uniqueName="Diff_i" name="Diff_i" dataDxfId="53">
      <xmlColumnPr mapId="34" xpath="/root/rune_difficult/Diff_i" xmlDataType="integer"/>
    </tableColumn>
    <tableColumn id="2" xr3:uid="{FC4382D7-B541-4F88-8791-028FE5194A6E}" uniqueName="desc_m" name="desc_m" dataDxfId="52">
      <xmlColumnPr mapId="34" xpath="/root/rune_difficult/desc_m" xmlDataType="integer"/>
    </tableColumn>
    <tableColumn id="4" xr3:uid="{8AB62963-48B9-4E67-B234-93D06E26728C}" uniqueName="effect_id_i" name="effect_id_i" dataDxfId="51">
      <xmlColumnPr mapId="34" xpath="/root/rune_difficult/effect_id_i" xmlDataType="integer"/>
    </tableColumn>
    <tableColumn id="6" xr3:uid="{82E70628-0CD7-41E5-9D50-551ADA2C7AAB}" uniqueName="attri_m" name="attri_m" dataDxfId="50">
      <xmlColumnPr mapId="34" xpath="/root/rune_difficult/attri_m" xmlDataType="integer"/>
    </tableColumn>
    <tableColumn id="7" xr3:uid="{12897FDD-4395-4DDF-B927-4E01CDD95DAD}" uniqueName="moster_attri_m" name="moster_attri_m" dataDxfId="49">
      <xmlColumnPr mapId="34" xpath="/root/rune_difficult/moster_attri_m" xmlDataType="integer"/>
    </tableColumn>
    <tableColumn id="3" xr3:uid="{90B9B9F2-C78B-4172-93FB-57647156A37E}" uniqueName="ancient_per_l" name="ancient_per_l" dataDxfId="48">
      <xmlColumnPr mapId="34" xpath="/root/rune_difficult/ancient_per_l" xmlDataType="integer"/>
    </tableColumn>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5585BA1-6A2A-4A75-A820-63E4F18ABED1}" name="表4" displayName="表4" ref="C5:K124" tableType="xml" totalsRowShown="0" headerRowDxfId="47" dataDxfId="46" connectionId="21">
  <autoFilter ref="C5:K124" xr:uid="{65585BA1-6A2A-4A75-A820-63E4F18ABED1}"/>
  <tableColumns count="9">
    <tableColumn id="2" xr3:uid="{0EB53A5F-36F6-4DF4-8ACF-E7D6C22B8FA6}" uniqueName="id_i" name="id_i" dataDxfId="45">
      <xmlColumnPr mapId="29" xpath="/root/rune_effect/id_i" xmlDataType="integer"/>
    </tableColumn>
    <tableColumn id="3" xr3:uid="{2B7C5347-0A74-4539-908B-F9011BED421E}" uniqueName="attri_hard_n" name="attri_hard_n" dataDxfId="44">
      <xmlColumnPr mapId="29" xpath="/root/rune_effect/attri_hard_n" xmlDataType="string"/>
    </tableColumn>
    <tableColumn id="4" xr3:uid="{E15963EE-D9C6-45D8-B5F7-8D9DCF94831B}" uniqueName="buff_hard_n" name="buff_hard_n" dataDxfId="43">
      <xmlColumnPr mapId="29" xpath="/root/rune_effect/buff_hard_n" xmlDataType="string"/>
    </tableColumn>
    <tableColumn id="5" xr3:uid="{8618742A-A6A6-4D45-AAD2-86CA9DA47337}" uniqueName="passive_hard_i" name="passive_hard_i" dataDxfId="42">
      <xmlColumnPr mapId="29" xpath="/root/rune_effect/passive_hard_i" xmlDataType="integer"/>
    </tableColumn>
    <tableColumn id="6" xr3:uid="{B8B4EA2F-6947-4485-88C0-020A8F50855B}" uniqueName="monster_hard_n" name="monster_hard_n" dataDxfId="41">
      <xmlColumnPr mapId="29" xpath="/root/rune_effect/monster_hard_n" xmlDataType="string"/>
    </tableColumn>
    <tableColumn id="1" xr3:uid="{038E4FA2-7FE3-4773-B324-D679C19FA59E}" uniqueName="monster_num_hard_n" name="monster_num_hard_n" dataDxfId="40">
      <xmlColumnPr mapId="29" xpath="/root/rune_effect/monster_num_hard_n" xmlDataType="string"/>
    </tableColumn>
    <tableColumn id="7" xr3:uid="{8175CAD4-DF58-4FB2-BFE8-AA40AC7CC707}" uniqueName="items_hard_n" name="items_hard_n" dataDxfId="39">
      <xmlColumnPr mapId="29" xpath="/root/rune_effect/items_hard_n" xmlDataType="string"/>
    </tableColumn>
    <tableColumn id="8" xr3:uid="{B0B07ACB-E054-415E-A567-439B90EB27F8}" uniqueName="affix_hard_l" name="affix_hard_l" dataDxfId="38">
      <xmlColumnPr mapId="29" xpath="/root/rune_effect/affix_hard_l" xmlDataType="string"/>
    </tableColumn>
    <tableColumn id="10" xr3:uid="{3CA5BE53-AABB-432E-81AD-EF59E1386993}" uniqueName="special_hard_m" name="special_hard_m" dataDxfId="37">
      <xmlColumnPr mapId="29" xpath="/root/rune_effect/special_hard_m" xmlDataType="string"/>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45"/>
  <sheetViews>
    <sheetView workbookViewId="0">
      <selection activeCell="H19" sqref="H19"/>
    </sheetView>
  </sheetViews>
  <sheetFormatPr defaultRowHeight="14.25" x14ac:dyDescent="0.2"/>
  <cols>
    <col min="1" max="1" width="16.125" customWidth="1"/>
    <col min="2" max="2" width="14.25" customWidth="1"/>
    <col min="3" max="3" width="6.375" bestFit="1" customWidth="1"/>
    <col min="4" max="4" width="8.5" bestFit="1" customWidth="1"/>
    <col min="5" max="5" width="12.125" customWidth="1"/>
    <col min="6" max="6" width="9.5" bestFit="1" customWidth="1"/>
    <col min="7" max="7" width="21.125" customWidth="1"/>
    <col min="8" max="8" width="34.125" customWidth="1"/>
    <col min="9" max="9" width="24.375" customWidth="1"/>
    <col min="10" max="10" width="19" style="5" customWidth="1"/>
    <col min="11" max="11" width="12" customWidth="1"/>
  </cols>
  <sheetData>
    <row r="1" spans="1:11" x14ac:dyDescent="0.2">
      <c r="A1" t="s">
        <v>5</v>
      </c>
    </row>
    <row r="4" spans="1:11" ht="57" x14ac:dyDescent="0.2">
      <c r="C4" s="1" t="s">
        <v>2</v>
      </c>
      <c r="D4" t="s">
        <v>1</v>
      </c>
      <c r="E4" t="s">
        <v>3</v>
      </c>
      <c r="F4" t="s">
        <v>4</v>
      </c>
      <c r="G4" s="9" t="s">
        <v>9</v>
      </c>
      <c r="H4" s="12" t="s">
        <v>198</v>
      </c>
      <c r="I4" s="9" t="s">
        <v>147</v>
      </c>
      <c r="J4" s="8" t="s">
        <v>97</v>
      </c>
      <c r="K4" s="1" t="s">
        <v>72</v>
      </c>
    </row>
    <row r="5" spans="1:11" x14ac:dyDescent="0.2">
      <c r="C5" t="s">
        <v>11</v>
      </c>
      <c r="D5" t="s">
        <v>12</v>
      </c>
      <c r="E5" t="s">
        <v>13</v>
      </c>
      <c r="F5" t="s">
        <v>14</v>
      </c>
      <c r="G5" s="10" t="s">
        <v>15</v>
      </c>
      <c r="H5" s="13" t="s">
        <v>16</v>
      </c>
      <c r="I5" s="10" t="s">
        <v>146</v>
      </c>
      <c r="J5" s="5" t="s">
        <v>96</v>
      </c>
      <c r="K5" t="s">
        <v>73</v>
      </c>
    </row>
    <row r="6" spans="1:11" x14ac:dyDescent="0.2">
      <c r="C6">
        <v>0</v>
      </c>
      <c r="D6">
        <v>0</v>
      </c>
      <c r="E6">
        <v>0</v>
      </c>
      <c r="F6">
        <v>0</v>
      </c>
      <c r="G6" s="10">
        <v>0</v>
      </c>
      <c r="H6" s="13" t="s">
        <v>17</v>
      </c>
      <c r="I6">
        <v>0</v>
      </c>
      <c r="J6" s="6" t="s">
        <v>98</v>
      </c>
      <c r="K6">
        <v>0</v>
      </c>
    </row>
    <row r="7" spans="1:11" x14ac:dyDescent="0.2">
      <c r="B7" t="s">
        <v>304</v>
      </c>
      <c r="C7">
        <v>1</v>
      </c>
      <c r="D7">
        <v>1</v>
      </c>
      <c r="E7">
        <v>87001</v>
      </c>
      <c r="F7">
        <v>20001</v>
      </c>
      <c r="G7" s="10">
        <v>1</v>
      </c>
      <c r="H7" s="13" t="s">
        <v>206</v>
      </c>
      <c r="I7" s="10">
        <v>1</v>
      </c>
      <c r="J7" s="16" t="s">
        <v>293</v>
      </c>
      <c r="K7">
        <v>0</v>
      </c>
    </row>
    <row r="8" spans="1:11" x14ac:dyDescent="0.2">
      <c r="A8" t="s">
        <v>317</v>
      </c>
      <c r="B8" t="s">
        <v>305</v>
      </c>
      <c r="C8">
        <v>2</v>
      </c>
      <c r="D8">
        <v>2</v>
      </c>
      <c r="E8">
        <v>87002</v>
      </c>
      <c r="F8">
        <v>20002</v>
      </c>
      <c r="G8" s="10">
        <v>1</v>
      </c>
      <c r="H8" s="13" t="s">
        <v>205</v>
      </c>
      <c r="I8" s="10">
        <v>2</v>
      </c>
      <c r="J8" s="16" t="s">
        <v>322</v>
      </c>
      <c r="K8">
        <v>0</v>
      </c>
    </row>
    <row r="9" spans="1:11" x14ac:dyDescent="0.2">
      <c r="B9" t="s">
        <v>306</v>
      </c>
      <c r="C9">
        <v>3</v>
      </c>
      <c r="D9">
        <v>3</v>
      </c>
      <c r="E9">
        <v>87003</v>
      </c>
      <c r="F9">
        <v>20003</v>
      </c>
      <c r="G9" s="10">
        <v>1</v>
      </c>
      <c r="H9" s="13" t="s">
        <v>207</v>
      </c>
      <c r="I9" s="10">
        <v>3</v>
      </c>
      <c r="J9" s="5" t="s">
        <v>277</v>
      </c>
      <c r="K9">
        <v>0</v>
      </c>
    </row>
    <row r="10" spans="1:11" x14ac:dyDescent="0.2">
      <c r="A10" t="s">
        <v>318</v>
      </c>
      <c r="B10" t="s">
        <v>307</v>
      </c>
      <c r="C10">
        <v>4</v>
      </c>
      <c r="D10">
        <v>4</v>
      </c>
      <c r="E10">
        <v>87004</v>
      </c>
      <c r="F10">
        <v>20004</v>
      </c>
      <c r="G10" s="10">
        <v>1</v>
      </c>
      <c r="H10" s="13" t="s">
        <v>208</v>
      </c>
      <c r="I10" s="10">
        <v>4</v>
      </c>
      <c r="J10" s="5" t="s">
        <v>278</v>
      </c>
      <c r="K10">
        <v>0</v>
      </c>
    </row>
    <row r="11" spans="1:11" x14ac:dyDescent="0.2">
      <c r="B11" t="s">
        <v>308</v>
      </c>
      <c r="C11">
        <v>5</v>
      </c>
      <c r="D11">
        <v>5</v>
      </c>
      <c r="E11">
        <v>87005</v>
      </c>
      <c r="F11">
        <v>20005</v>
      </c>
      <c r="G11" s="10">
        <v>2</v>
      </c>
      <c r="H11" s="13" t="s">
        <v>209</v>
      </c>
      <c r="I11" s="10">
        <v>5</v>
      </c>
      <c r="J11" s="5" t="s">
        <v>279</v>
      </c>
      <c r="K11">
        <v>0</v>
      </c>
    </row>
    <row r="12" spans="1:11" x14ac:dyDescent="0.2">
      <c r="B12" t="s">
        <v>309</v>
      </c>
      <c r="C12">
        <v>6</v>
      </c>
      <c r="D12">
        <v>6</v>
      </c>
      <c r="E12">
        <v>87006</v>
      </c>
      <c r="F12">
        <v>20006</v>
      </c>
      <c r="G12" s="10">
        <v>2</v>
      </c>
      <c r="H12" s="13" t="s">
        <v>210</v>
      </c>
      <c r="I12" s="10">
        <v>6</v>
      </c>
      <c r="J12" s="5" t="s">
        <v>280</v>
      </c>
      <c r="K12">
        <v>0</v>
      </c>
    </row>
    <row r="13" spans="1:11" x14ac:dyDescent="0.2">
      <c r="A13" t="s">
        <v>319</v>
      </c>
      <c r="B13" t="s">
        <v>310</v>
      </c>
      <c r="C13">
        <v>7</v>
      </c>
      <c r="D13">
        <v>7</v>
      </c>
      <c r="E13">
        <v>87007</v>
      </c>
      <c r="F13">
        <v>20007</v>
      </c>
      <c r="G13" s="10">
        <v>2</v>
      </c>
      <c r="H13" s="13" t="s">
        <v>211</v>
      </c>
      <c r="I13" s="10">
        <v>7</v>
      </c>
      <c r="J13" s="5" t="s">
        <v>281</v>
      </c>
      <c r="K13">
        <v>0</v>
      </c>
    </row>
    <row r="14" spans="1:11" x14ac:dyDescent="0.2">
      <c r="B14" t="s">
        <v>311</v>
      </c>
      <c r="C14">
        <v>8</v>
      </c>
      <c r="D14">
        <v>8</v>
      </c>
      <c r="E14">
        <v>87008</v>
      </c>
      <c r="F14">
        <v>20008</v>
      </c>
      <c r="G14" s="10">
        <v>2</v>
      </c>
      <c r="H14" s="13" t="s">
        <v>212</v>
      </c>
      <c r="I14" s="10">
        <v>8</v>
      </c>
      <c r="J14" s="5" t="s">
        <v>282</v>
      </c>
      <c r="K14">
        <v>0</v>
      </c>
    </row>
    <row r="15" spans="1:11" x14ac:dyDescent="0.2">
      <c r="B15" t="s">
        <v>312</v>
      </c>
      <c r="C15">
        <v>9</v>
      </c>
      <c r="D15">
        <v>9</v>
      </c>
      <c r="E15">
        <v>87009</v>
      </c>
      <c r="F15">
        <v>20009</v>
      </c>
      <c r="G15" s="10">
        <v>3</v>
      </c>
      <c r="H15" s="13" t="s">
        <v>213</v>
      </c>
      <c r="I15" s="10">
        <v>9</v>
      </c>
      <c r="J15" s="5" t="s">
        <v>283</v>
      </c>
      <c r="K15">
        <v>0</v>
      </c>
    </row>
    <row r="16" spans="1:11" x14ac:dyDescent="0.2">
      <c r="A16" t="s">
        <v>321</v>
      </c>
      <c r="B16" t="s">
        <v>313</v>
      </c>
      <c r="C16">
        <v>10</v>
      </c>
      <c r="D16">
        <v>10</v>
      </c>
      <c r="E16">
        <v>87010</v>
      </c>
      <c r="F16">
        <v>20010</v>
      </c>
      <c r="G16" s="10">
        <v>3</v>
      </c>
      <c r="H16" s="13" t="s">
        <v>214</v>
      </c>
      <c r="I16" s="10">
        <v>10</v>
      </c>
      <c r="J16" s="5" t="s">
        <v>284</v>
      </c>
      <c r="K16">
        <v>0</v>
      </c>
    </row>
    <row r="17" spans="1:11" x14ac:dyDescent="0.2">
      <c r="B17" t="s">
        <v>314</v>
      </c>
      <c r="C17">
        <v>11</v>
      </c>
      <c r="D17">
        <v>11</v>
      </c>
      <c r="E17">
        <v>87011</v>
      </c>
      <c r="F17">
        <v>20011</v>
      </c>
      <c r="G17" s="10">
        <v>1</v>
      </c>
      <c r="H17" s="13" t="s">
        <v>215</v>
      </c>
      <c r="I17" s="10">
        <v>11</v>
      </c>
      <c r="J17" s="5" t="s">
        <v>285</v>
      </c>
      <c r="K17">
        <v>0</v>
      </c>
    </row>
    <row r="18" spans="1:11" x14ac:dyDescent="0.2">
      <c r="A18" t="s">
        <v>320</v>
      </c>
      <c r="B18" t="s">
        <v>315</v>
      </c>
      <c r="C18">
        <v>12</v>
      </c>
      <c r="D18">
        <v>12</v>
      </c>
      <c r="E18">
        <v>87012</v>
      </c>
      <c r="F18">
        <v>20012</v>
      </c>
      <c r="G18" s="10">
        <v>3</v>
      </c>
      <c r="H18" s="13" t="s">
        <v>216</v>
      </c>
      <c r="I18" s="10">
        <v>12</v>
      </c>
      <c r="J18" s="5" t="s">
        <v>286</v>
      </c>
      <c r="K18">
        <v>0</v>
      </c>
    </row>
    <row r="19" spans="1:11" x14ac:dyDescent="0.2">
      <c r="B19" t="s">
        <v>316</v>
      </c>
      <c r="C19">
        <v>13</v>
      </c>
      <c r="D19">
        <v>13</v>
      </c>
      <c r="E19">
        <v>87013</v>
      </c>
      <c r="F19">
        <v>20013</v>
      </c>
      <c r="G19" s="10">
        <v>1</v>
      </c>
      <c r="H19" s="13" t="s">
        <v>584</v>
      </c>
      <c r="I19" s="10">
        <v>13</v>
      </c>
      <c r="J19" s="27" t="s">
        <v>287</v>
      </c>
      <c r="K19">
        <v>0</v>
      </c>
    </row>
    <row r="20" spans="1:11" x14ac:dyDescent="0.2">
      <c r="B20" t="s">
        <v>568</v>
      </c>
      <c r="C20">
        <v>14</v>
      </c>
      <c r="D20">
        <v>14</v>
      </c>
      <c r="E20">
        <v>87014</v>
      </c>
      <c r="F20">
        <v>20014</v>
      </c>
      <c r="G20" s="26">
        <v>1</v>
      </c>
      <c r="H20" s="13" t="s">
        <v>576</v>
      </c>
      <c r="I20" s="10">
        <v>18</v>
      </c>
      <c r="J20" s="28" t="s">
        <v>604</v>
      </c>
      <c r="K20">
        <v>0</v>
      </c>
    </row>
    <row r="21" spans="1:11" x14ac:dyDescent="0.2">
      <c r="B21" t="s">
        <v>569</v>
      </c>
      <c r="C21">
        <v>15</v>
      </c>
      <c r="D21">
        <v>15</v>
      </c>
      <c r="E21">
        <v>87015</v>
      </c>
      <c r="F21">
        <v>20015</v>
      </c>
      <c r="G21" s="26">
        <v>1</v>
      </c>
      <c r="H21" s="13" t="s">
        <v>577</v>
      </c>
      <c r="I21" s="10">
        <v>19</v>
      </c>
      <c r="J21" s="28" t="s">
        <v>605</v>
      </c>
      <c r="K21">
        <v>0</v>
      </c>
    </row>
    <row r="22" spans="1:11" x14ac:dyDescent="0.2">
      <c r="B22" t="s">
        <v>570</v>
      </c>
      <c r="C22">
        <v>16</v>
      </c>
      <c r="D22">
        <v>16</v>
      </c>
      <c r="E22">
        <v>87016</v>
      </c>
      <c r="F22">
        <v>20016</v>
      </c>
      <c r="G22" s="26">
        <v>1</v>
      </c>
      <c r="H22" s="13" t="s">
        <v>578</v>
      </c>
      <c r="I22" s="10">
        <v>20</v>
      </c>
      <c r="J22" s="28" t="s">
        <v>606</v>
      </c>
      <c r="K22">
        <v>0</v>
      </c>
    </row>
    <row r="23" spans="1:11" x14ac:dyDescent="0.2">
      <c r="B23" t="s">
        <v>571</v>
      </c>
      <c r="C23">
        <v>17</v>
      </c>
      <c r="D23">
        <v>17</v>
      </c>
      <c r="E23">
        <v>87017</v>
      </c>
      <c r="F23">
        <v>20017</v>
      </c>
      <c r="G23" s="26">
        <v>1</v>
      </c>
      <c r="H23" s="13" t="s">
        <v>579</v>
      </c>
      <c r="I23" s="10">
        <v>21</v>
      </c>
      <c r="J23" s="28" t="s">
        <v>607</v>
      </c>
      <c r="K23">
        <v>0</v>
      </c>
    </row>
    <row r="24" spans="1:11" x14ac:dyDescent="0.2">
      <c r="B24" t="s">
        <v>572</v>
      </c>
      <c r="C24">
        <v>18</v>
      </c>
      <c r="D24">
        <v>18</v>
      </c>
      <c r="E24">
        <v>87018</v>
      </c>
      <c r="F24">
        <v>20018</v>
      </c>
      <c r="G24" s="26">
        <v>2</v>
      </c>
      <c r="H24" s="13" t="s">
        <v>580</v>
      </c>
      <c r="I24" s="10">
        <v>22</v>
      </c>
      <c r="J24" s="28" t="s">
        <v>608</v>
      </c>
      <c r="K24">
        <v>0</v>
      </c>
    </row>
    <row r="25" spans="1:11" x14ac:dyDescent="0.2">
      <c r="B25" t="s">
        <v>573</v>
      </c>
      <c r="C25">
        <v>19</v>
      </c>
      <c r="D25">
        <v>19</v>
      </c>
      <c r="E25">
        <v>87019</v>
      </c>
      <c r="F25">
        <v>20019</v>
      </c>
      <c r="G25" s="26">
        <v>2</v>
      </c>
      <c r="H25" s="13" t="s">
        <v>581</v>
      </c>
      <c r="I25" s="10">
        <v>23</v>
      </c>
      <c r="J25" s="28" t="s">
        <v>609</v>
      </c>
      <c r="K25">
        <v>0</v>
      </c>
    </row>
    <row r="26" spans="1:11" x14ac:dyDescent="0.2">
      <c r="B26" t="s">
        <v>574</v>
      </c>
      <c r="C26">
        <v>20</v>
      </c>
      <c r="D26">
        <v>20</v>
      </c>
      <c r="E26">
        <v>87020</v>
      </c>
      <c r="F26">
        <v>20020</v>
      </c>
      <c r="G26" s="26">
        <v>2</v>
      </c>
      <c r="H26" s="13" t="s">
        <v>582</v>
      </c>
      <c r="I26" s="10">
        <v>24</v>
      </c>
      <c r="J26" s="28" t="s">
        <v>610</v>
      </c>
      <c r="K26">
        <v>0</v>
      </c>
    </row>
    <row r="27" spans="1:11" x14ac:dyDescent="0.2">
      <c r="B27" t="s">
        <v>575</v>
      </c>
      <c r="C27">
        <v>21</v>
      </c>
      <c r="D27">
        <v>21</v>
      </c>
      <c r="E27">
        <v>87021</v>
      </c>
      <c r="F27">
        <v>20021</v>
      </c>
      <c r="G27" s="26">
        <v>2</v>
      </c>
      <c r="H27" s="13" t="s">
        <v>583</v>
      </c>
      <c r="I27" s="10">
        <v>25</v>
      </c>
      <c r="J27" s="28" t="s">
        <v>611</v>
      </c>
      <c r="K27">
        <v>0</v>
      </c>
    </row>
    <row r="32" spans="1:11" x14ac:dyDescent="0.2">
      <c r="F32" t="s">
        <v>304</v>
      </c>
      <c r="G32" t="s">
        <v>148</v>
      </c>
      <c r="H32" t="s">
        <v>149</v>
      </c>
    </row>
    <row r="33" spans="6:8" x14ac:dyDescent="0.2">
      <c r="F33" t="s">
        <v>305</v>
      </c>
      <c r="G33" t="s">
        <v>150</v>
      </c>
      <c r="H33" t="s">
        <v>151</v>
      </c>
    </row>
    <row r="34" spans="6:8" x14ac:dyDescent="0.2">
      <c r="F34" t="s">
        <v>306</v>
      </c>
      <c r="G34" t="s">
        <v>152</v>
      </c>
      <c r="H34" t="s">
        <v>153</v>
      </c>
    </row>
    <row r="35" spans="6:8" x14ac:dyDescent="0.2">
      <c r="F35" t="s">
        <v>307</v>
      </c>
      <c r="G35" t="s">
        <v>154</v>
      </c>
      <c r="H35" t="s">
        <v>155</v>
      </c>
    </row>
    <row r="36" spans="6:8" x14ac:dyDescent="0.2">
      <c r="F36" t="s">
        <v>308</v>
      </c>
      <c r="G36" t="s">
        <v>156</v>
      </c>
      <c r="H36" t="s">
        <v>157</v>
      </c>
    </row>
    <row r="37" spans="6:8" x14ac:dyDescent="0.2">
      <c r="F37" t="s">
        <v>309</v>
      </c>
      <c r="G37" t="s">
        <v>130</v>
      </c>
      <c r="H37" t="s">
        <v>158</v>
      </c>
    </row>
    <row r="38" spans="6:8" x14ac:dyDescent="0.2">
      <c r="F38" t="s">
        <v>310</v>
      </c>
      <c r="G38" t="s">
        <v>159</v>
      </c>
      <c r="H38" t="s">
        <v>160</v>
      </c>
    </row>
    <row r="39" spans="6:8" x14ac:dyDescent="0.2">
      <c r="F39" t="s">
        <v>311</v>
      </c>
      <c r="G39" t="s">
        <v>161</v>
      </c>
      <c r="H39" t="s">
        <v>162</v>
      </c>
    </row>
    <row r="40" spans="6:8" x14ac:dyDescent="0.2">
      <c r="F40" t="s">
        <v>312</v>
      </c>
      <c r="G40" t="s">
        <v>163</v>
      </c>
      <c r="H40" t="s">
        <v>164</v>
      </c>
    </row>
    <row r="41" spans="6:8" x14ac:dyDescent="0.2">
      <c r="F41" t="s">
        <v>313</v>
      </c>
      <c r="G41" t="s">
        <v>165</v>
      </c>
      <c r="H41" t="s">
        <v>166</v>
      </c>
    </row>
    <row r="42" spans="6:8" x14ac:dyDescent="0.2">
      <c r="F42" t="s">
        <v>314</v>
      </c>
      <c r="G42" t="s">
        <v>167</v>
      </c>
      <c r="H42" t="s">
        <v>168</v>
      </c>
    </row>
    <row r="43" spans="6:8" x14ac:dyDescent="0.2">
      <c r="F43" t="s">
        <v>315</v>
      </c>
      <c r="G43" t="s">
        <v>169</v>
      </c>
      <c r="H43" t="s">
        <v>170</v>
      </c>
    </row>
    <row r="44" spans="6:8" x14ac:dyDescent="0.2">
      <c r="F44" t="s">
        <v>316</v>
      </c>
      <c r="G44" t="s">
        <v>171</v>
      </c>
      <c r="H44" t="s">
        <v>168</v>
      </c>
    </row>
    <row r="45" spans="6:8" x14ac:dyDescent="0.2">
      <c r="G45" t="s">
        <v>172</v>
      </c>
      <c r="H45" t="s">
        <v>173</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14163E-0F19-4789-B359-B810FAD268BD}">
  <dimension ref="A1:J61"/>
  <sheetViews>
    <sheetView workbookViewId="0">
      <pane xSplit="3" ySplit="6" topLeftCell="D25" activePane="bottomRight" state="frozen"/>
      <selection pane="topRight" activeCell="D1" sqref="D1"/>
      <selection pane="bottomLeft" activeCell="A7" sqref="A7"/>
      <selection pane="bottomRight" activeCell="G43" sqref="G43"/>
    </sheetView>
  </sheetViews>
  <sheetFormatPr defaultRowHeight="14.25" x14ac:dyDescent="0.2"/>
  <cols>
    <col min="2" max="2" width="15.125" customWidth="1"/>
    <col min="3" max="3" width="8.375" customWidth="1"/>
    <col min="4" max="4" width="13.75" customWidth="1"/>
    <col min="5" max="5" width="13" customWidth="1"/>
    <col min="6" max="6" width="16.875" bestFit="1" customWidth="1"/>
    <col min="7" max="7" width="21.375" style="5" customWidth="1"/>
    <col min="8" max="8" width="13.75" customWidth="1"/>
    <col min="9" max="9" width="18.625" customWidth="1"/>
    <col min="10" max="10" width="26.625" style="5" customWidth="1"/>
  </cols>
  <sheetData>
    <row r="1" spans="1:10" x14ac:dyDescent="0.2">
      <c r="A1" t="s">
        <v>8</v>
      </c>
    </row>
    <row r="5" spans="1:10" ht="48" customHeight="1" x14ac:dyDescent="0.2">
      <c r="B5" s="43" t="s">
        <v>617</v>
      </c>
      <c r="C5" s="1" t="s">
        <v>0</v>
      </c>
      <c r="D5" s="1" t="s">
        <v>10</v>
      </c>
      <c r="E5" t="s">
        <v>7</v>
      </c>
      <c r="F5" t="s">
        <v>6</v>
      </c>
      <c r="G5" s="17" t="s">
        <v>83</v>
      </c>
      <c r="H5" s="1" t="s">
        <v>84</v>
      </c>
      <c r="I5" s="1" t="s">
        <v>375</v>
      </c>
      <c r="J5" s="17" t="s">
        <v>599</v>
      </c>
    </row>
    <row r="6" spans="1:10" x14ac:dyDescent="0.2">
      <c r="A6" s="42"/>
      <c r="B6" s="42"/>
      <c r="C6" t="s">
        <v>11</v>
      </c>
      <c r="D6" t="s">
        <v>78</v>
      </c>
      <c r="E6" t="s">
        <v>79</v>
      </c>
      <c r="F6" t="s">
        <v>80</v>
      </c>
      <c r="G6" s="5" t="s">
        <v>81</v>
      </c>
      <c r="H6" t="s">
        <v>82</v>
      </c>
      <c r="I6" t="s">
        <v>376</v>
      </c>
      <c r="J6" s="5" t="s">
        <v>600</v>
      </c>
    </row>
    <row r="7" spans="1:10" x14ac:dyDescent="0.2">
      <c r="A7" s="42"/>
      <c r="B7" s="42"/>
      <c r="C7">
        <v>0</v>
      </c>
      <c r="D7">
        <v>0</v>
      </c>
      <c r="E7">
        <v>0</v>
      </c>
      <c r="F7" s="5" t="s">
        <v>98</v>
      </c>
      <c r="G7" s="5" t="s">
        <v>98</v>
      </c>
      <c r="H7">
        <v>0</v>
      </c>
      <c r="I7">
        <v>0</v>
      </c>
      <c r="J7" s="5" t="s">
        <v>98</v>
      </c>
    </row>
    <row r="8" spans="1:10" x14ac:dyDescent="0.2">
      <c r="A8" s="64" t="s">
        <v>612</v>
      </c>
      <c r="B8" s="29" t="s">
        <v>304</v>
      </c>
      <c r="C8">
        <v>1</v>
      </c>
      <c r="D8">
        <v>1001</v>
      </c>
      <c r="E8">
        <v>1</v>
      </c>
      <c r="F8" s="5" t="s">
        <v>276</v>
      </c>
      <c r="I8">
        <v>20002</v>
      </c>
    </row>
    <row r="9" spans="1:10" x14ac:dyDescent="0.2">
      <c r="A9" s="65"/>
      <c r="B9" s="30" t="s">
        <v>305</v>
      </c>
      <c r="C9">
        <v>2</v>
      </c>
      <c r="D9">
        <v>101</v>
      </c>
      <c r="E9">
        <v>1</v>
      </c>
      <c r="F9" s="5" t="s">
        <v>276</v>
      </c>
      <c r="I9">
        <v>20001</v>
      </c>
    </row>
    <row r="10" spans="1:10" x14ac:dyDescent="0.2">
      <c r="A10" s="65"/>
      <c r="B10" s="30" t="s">
        <v>306</v>
      </c>
      <c r="C10">
        <v>3</v>
      </c>
      <c r="D10">
        <v>103</v>
      </c>
      <c r="E10">
        <v>1</v>
      </c>
      <c r="F10" s="5" t="s">
        <v>276</v>
      </c>
      <c r="I10">
        <v>20003</v>
      </c>
    </row>
    <row r="11" spans="1:10" x14ac:dyDescent="0.2">
      <c r="A11" s="65"/>
      <c r="B11" s="30" t="s">
        <v>307</v>
      </c>
      <c r="C11">
        <v>4</v>
      </c>
      <c r="D11">
        <v>1105</v>
      </c>
      <c r="E11">
        <v>1</v>
      </c>
      <c r="F11" s="5" t="s">
        <v>276</v>
      </c>
      <c r="I11">
        <v>20004</v>
      </c>
    </row>
    <row r="12" spans="1:10" x14ac:dyDescent="0.2">
      <c r="A12" s="65"/>
      <c r="B12" s="30" t="s">
        <v>308</v>
      </c>
      <c r="C12">
        <v>5</v>
      </c>
      <c r="D12">
        <v>105</v>
      </c>
      <c r="E12">
        <v>1</v>
      </c>
      <c r="F12" s="5" t="s">
        <v>276</v>
      </c>
      <c r="I12">
        <v>20005</v>
      </c>
    </row>
    <row r="13" spans="1:10" x14ac:dyDescent="0.2">
      <c r="A13" s="65"/>
      <c r="B13" s="30" t="s">
        <v>309</v>
      </c>
      <c r="C13">
        <v>6</v>
      </c>
      <c r="D13">
        <v>106</v>
      </c>
      <c r="E13">
        <v>1</v>
      </c>
      <c r="F13" s="5" t="s">
        <v>276</v>
      </c>
      <c r="I13">
        <v>20006</v>
      </c>
    </row>
    <row r="14" spans="1:10" x14ac:dyDescent="0.2">
      <c r="A14" s="65"/>
      <c r="B14" s="30" t="s">
        <v>310</v>
      </c>
      <c r="C14">
        <v>7</v>
      </c>
      <c r="D14">
        <v>1206</v>
      </c>
      <c r="E14">
        <v>1</v>
      </c>
      <c r="F14" s="5" t="s">
        <v>276</v>
      </c>
      <c r="I14">
        <v>20007</v>
      </c>
    </row>
    <row r="15" spans="1:10" x14ac:dyDescent="0.2">
      <c r="A15" s="65"/>
      <c r="B15" s="30" t="s">
        <v>311</v>
      </c>
      <c r="C15">
        <v>8</v>
      </c>
      <c r="D15">
        <v>108</v>
      </c>
      <c r="E15">
        <v>1</v>
      </c>
      <c r="F15" s="5" t="s">
        <v>276</v>
      </c>
      <c r="I15">
        <v>20008</v>
      </c>
    </row>
    <row r="16" spans="1:10" x14ac:dyDescent="0.2">
      <c r="A16" s="65"/>
      <c r="B16" s="30" t="s">
        <v>312</v>
      </c>
      <c r="C16">
        <v>9</v>
      </c>
      <c r="D16">
        <v>109</v>
      </c>
      <c r="E16">
        <v>1</v>
      </c>
      <c r="F16" s="5" t="s">
        <v>276</v>
      </c>
      <c r="I16">
        <v>20009</v>
      </c>
    </row>
    <row r="17" spans="1:9" x14ac:dyDescent="0.2">
      <c r="A17" s="65"/>
      <c r="B17" s="30" t="s">
        <v>313</v>
      </c>
      <c r="C17">
        <v>10</v>
      </c>
      <c r="D17">
        <v>1407</v>
      </c>
      <c r="E17">
        <v>1</v>
      </c>
      <c r="F17" s="5" t="s">
        <v>276</v>
      </c>
      <c r="I17">
        <v>20010</v>
      </c>
    </row>
    <row r="18" spans="1:9" x14ac:dyDescent="0.2">
      <c r="A18" s="65"/>
      <c r="B18" s="30" t="s">
        <v>314</v>
      </c>
      <c r="C18">
        <v>11</v>
      </c>
      <c r="D18">
        <v>111</v>
      </c>
      <c r="E18">
        <v>1</v>
      </c>
      <c r="F18" s="5" t="s">
        <v>276</v>
      </c>
      <c r="I18">
        <v>20011</v>
      </c>
    </row>
    <row r="19" spans="1:9" x14ac:dyDescent="0.2">
      <c r="A19" s="65"/>
      <c r="B19" s="30" t="s">
        <v>315</v>
      </c>
      <c r="C19">
        <v>12</v>
      </c>
      <c r="D19">
        <v>1316</v>
      </c>
      <c r="E19">
        <v>1</v>
      </c>
      <c r="F19" s="5" t="s">
        <v>276</v>
      </c>
      <c r="I19">
        <v>20012</v>
      </c>
    </row>
    <row r="20" spans="1:9" x14ac:dyDescent="0.2">
      <c r="A20" s="66"/>
      <c r="B20" s="31" t="s">
        <v>316</v>
      </c>
      <c r="C20">
        <v>13</v>
      </c>
      <c r="D20">
        <v>113</v>
      </c>
      <c r="E20">
        <v>1</v>
      </c>
      <c r="F20" s="5" t="s">
        <v>276</v>
      </c>
      <c r="I20">
        <v>20013</v>
      </c>
    </row>
    <row r="21" spans="1:9" x14ac:dyDescent="0.2">
      <c r="A21" s="67" t="s">
        <v>614</v>
      </c>
      <c r="B21" s="35" t="s">
        <v>295</v>
      </c>
      <c r="C21">
        <v>14</v>
      </c>
      <c r="D21">
        <v>2051</v>
      </c>
      <c r="E21">
        <v>1</v>
      </c>
      <c r="F21" s="5" t="s">
        <v>88</v>
      </c>
      <c r="G21" s="5" t="s">
        <v>333</v>
      </c>
    </row>
    <row r="22" spans="1:9" x14ac:dyDescent="0.2">
      <c r="A22" s="68"/>
      <c r="B22" s="36" t="s">
        <v>296</v>
      </c>
      <c r="C22">
        <v>15</v>
      </c>
      <c r="D22">
        <v>2052</v>
      </c>
      <c r="E22">
        <v>1</v>
      </c>
      <c r="F22" s="5" t="s">
        <v>88</v>
      </c>
      <c r="G22" s="5" t="s">
        <v>334</v>
      </c>
    </row>
    <row r="23" spans="1:9" x14ac:dyDescent="0.2">
      <c r="A23" s="68"/>
      <c r="B23" s="36" t="s">
        <v>297</v>
      </c>
      <c r="C23">
        <v>16</v>
      </c>
      <c r="D23">
        <v>2053</v>
      </c>
      <c r="E23">
        <v>1</v>
      </c>
      <c r="F23" s="5" t="s">
        <v>88</v>
      </c>
      <c r="G23" s="5" t="s">
        <v>335</v>
      </c>
    </row>
    <row r="24" spans="1:9" x14ac:dyDescent="0.2">
      <c r="A24" s="68"/>
      <c r="B24" s="36" t="s">
        <v>298</v>
      </c>
      <c r="C24">
        <v>17</v>
      </c>
      <c r="D24">
        <v>2054</v>
      </c>
      <c r="E24">
        <v>1</v>
      </c>
      <c r="F24" s="5" t="s">
        <v>88</v>
      </c>
      <c r="G24" s="5" t="s">
        <v>336</v>
      </c>
    </row>
    <row r="25" spans="1:9" x14ac:dyDescent="0.2">
      <c r="A25" s="68"/>
      <c r="B25" s="36" t="s">
        <v>299</v>
      </c>
      <c r="C25">
        <v>18</v>
      </c>
      <c r="D25">
        <v>2055</v>
      </c>
      <c r="E25">
        <v>1</v>
      </c>
      <c r="F25" s="5" t="s">
        <v>88</v>
      </c>
      <c r="G25" s="5" t="s">
        <v>337</v>
      </c>
    </row>
    <row r="26" spans="1:9" x14ac:dyDescent="0.2">
      <c r="A26" s="68"/>
      <c r="B26" s="36" t="s">
        <v>300</v>
      </c>
      <c r="C26">
        <v>19</v>
      </c>
      <c r="D26">
        <v>2056</v>
      </c>
      <c r="E26">
        <v>1</v>
      </c>
      <c r="F26" s="5" t="s">
        <v>88</v>
      </c>
      <c r="G26" s="5" t="s">
        <v>338</v>
      </c>
    </row>
    <row r="27" spans="1:9" x14ac:dyDescent="0.2">
      <c r="A27" s="68"/>
      <c r="B27" s="36" t="s">
        <v>301</v>
      </c>
      <c r="C27">
        <v>20</v>
      </c>
      <c r="D27">
        <v>2057</v>
      </c>
      <c r="E27">
        <v>1</v>
      </c>
      <c r="F27" s="5" t="s">
        <v>88</v>
      </c>
      <c r="G27" s="5" t="s">
        <v>294</v>
      </c>
    </row>
    <row r="28" spans="1:9" x14ac:dyDescent="0.2">
      <c r="A28" s="68"/>
      <c r="B28" s="36" t="s">
        <v>302</v>
      </c>
      <c r="C28">
        <v>21</v>
      </c>
      <c r="D28">
        <v>2058</v>
      </c>
      <c r="E28">
        <v>1</v>
      </c>
      <c r="F28" s="5" t="s">
        <v>88</v>
      </c>
      <c r="G28" s="5" t="s">
        <v>340</v>
      </c>
    </row>
    <row r="29" spans="1:9" x14ac:dyDescent="0.2">
      <c r="A29" s="69"/>
      <c r="B29" s="36" t="s">
        <v>303</v>
      </c>
      <c r="C29">
        <v>22</v>
      </c>
      <c r="D29">
        <v>2116</v>
      </c>
      <c r="E29">
        <v>1</v>
      </c>
      <c r="F29" s="5" t="s">
        <v>88</v>
      </c>
      <c r="G29" s="5" t="s">
        <v>339</v>
      </c>
    </row>
    <row r="30" spans="1:9" x14ac:dyDescent="0.2">
      <c r="A30" s="67" t="s">
        <v>615</v>
      </c>
      <c r="B30" s="37" t="s">
        <v>377</v>
      </c>
      <c r="C30">
        <v>23</v>
      </c>
      <c r="D30">
        <v>6001</v>
      </c>
      <c r="E30">
        <v>5</v>
      </c>
      <c r="F30" s="5" t="s">
        <v>393</v>
      </c>
      <c r="G30" s="5" t="s">
        <v>384</v>
      </c>
    </row>
    <row r="31" spans="1:9" x14ac:dyDescent="0.2">
      <c r="A31" s="70"/>
      <c r="B31" s="38" t="s">
        <v>378</v>
      </c>
      <c r="C31">
        <v>24</v>
      </c>
      <c r="D31">
        <v>6002</v>
      </c>
      <c r="E31">
        <v>5</v>
      </c>
      <c r="F31" s="5" t="s">
        <v>393</v>
      </c>
      <c r="G31" s="5" t="s">
        <v>386</v>
      </c>
    </row>
    <row r="32" spans="1:9" x14ac:dyDescent="0.2">
      <c r="A32" s="70"/>
      <c r="B32" s="38" t="s">
        <v>379</v>
      </c>
      <c r="C32">
        <v>25</v>
      </c>
      <c r="D32">
        <v>6003</v>
      </c>
      <c r="E32">
        <v>5</v>
      </c>
      <c r="F32" s="5" t="s">
        <v>393</v>
      </c>
      <c r="G32" s="5" t="s">
        <v>385</v>
      </c>
    </row>
    <row r="33" spans="1:10" x14ac:dyDescent="0.2">
      <c r="A33" s="70"/>
      <c r="B33" s="38" t="s">
        <v>387</v>
      </c>
      <c r="C33">
        <v>26</v>
      </c>
      <c r="D33">
        <v>6011</v>
      </c>
      <c r="E33">
        <v>10</v>
      </c>
      <c r="F33" s="5" t="s">
        <v>393</v>
      </c>
      <c r="G33" s="5" t="s">
        <v>388</v>
      </c>
    </row>
    <row r="34" spans="1:10" x14ac:dyDescent="0.2">
      <c r="A34" s="70"/>
      <c r="B34" s="38" t="s">
        <v>380</v>
      </c>
      <c r="C34">
        <v>27</v>
      </c>
      <c r="D34">
        <v>6012</v>
      </c>
      <c r="E34">
        <v>10</v>
      </c>
      <c r="F34" s="5" t="s">
        <v>393</v>
      </c>
      <c r="G34" s="5" t="s">
        <v>389</v>
      </c>
    </row>
    <row r="35" spans="1:10" x14ac:dyDescent="0.2">
      <c r="A35" s="70"/>
      <c r="B35" s="38" t="s">
        <v>381</v>
      </c>
      <c r="C35">
        <v>28</v>
      </c>
      <c r="D35">
        <v>6013</v>
      </c>
      <c r="E35">
        <v>10</v>
      </c>
      <c r="F35" s="5" t="s">
        <v>393</v>
      </c>
      <c r="G35" s="5" t="s">
        <v>390</v>
      </c>
    </row>
    <row r="36" spans="1:10" x14ac:dyDescent="0.2">
      <c r="A36" s="70"/>
      <c r="B36" s="38" t="s">
        <v>382</v>
      </c>
      <c r="C36">
        <v>29</v>
      </c>
      <c r="D36">
        <v>6014</v>
      </c>
      <c r="E36">
        <v>10</v>
      </c>
      <c r="F36" s="5" t="s">
        <v>393</v>
      </c>
      <c r="G36" s="5" t="s">
        <v>391</v>
      </c>
    </row>
    <row r="37" spans="1:10" x14ac:dyDescent="0.2">
      <c r="A37" s="71"/>
      <c r="B37" s="39" t="s">
        <v>383</v>
      </c>
      <c r="C37">
        <v>30</v>
      </c>
      <c r="D37">
        <v>6021</v>
      </c>
      <c r="E37">
        <v>999999</v>
      </c>
      <c r="F37" s="5" t="s">
        <v>392</v>
      </c>
    </row>
    <row r="38" spans="1:10" x14ac:dyDescent="0.2">
      <c r="A38" s="41" t="s">
        <v>616</v>
      </c>
      <c r="B38" s="40" t="s">
        <v>601</v>
      </c>
      <c r="C38" s="43">
        <v>31</v>
      </c>
      <c r="D38" s="43">
        <v>9999</v>
      </c>
      <c r="E38" s="43">
        <v>999999</v>
      </c>
      <c r="F38" s="44" t="s">
        <v>93</v>
      </c>
      <c r="G38" s="45"/>
      <c r="H38" s="46"/>
      <c r="I38" s="46"/>
      <c r="J38" s="45" t="s">
        <v>602</v>
      </c>
    </row>
    <row r="39" spans="1:10" x14ac:dyDescent="0.2">
      <c r="A39" s="67" t="s">
        <v>613</v>
      </c>
      <c r="B39" s="32" t="s">
        <v>568</v>
      </c>
      <c r="C39">
        <v>32</v>
      </c>
      <c r="D39">
        <v>114</v>
      </c>
      <c r="E39">
        <v>1</v>
      </c>
      <c r="F39" s="5" t="s">
        <v>88</v>
      </c>
      <c r="I39">
        <v>20014</v>
      </c>
    </row>
    <row r="40" spans="1:10" x14ac:dyDescent="0.2">
      <c r="A40" s="68"/>
      <c r="B40" s="33" t="s">
        <v>569</v>
      </c>
      <c r="C40">
        <v>33</v>
      </c>
      <c r="D40">
        <v>115</v>
      </c>
      <c r="E40">
        <v>1</v>
      </c>
      <c r="F40" s="5" t="s">
        <v>88</v>
      </c>
      <c r="I40">
        <v>20015</v>
      </c>
    </row>
    <row r="41" spans="1:10" x14ac:dyDescent="0.2">
      <c r="A41" s="68"/>
      <c r="B41" s="33" t="s">
        <v>570</v>
      </c>
      <c r="C41">
        <v>34</v>
      </c>
      <c r="D41">
        <v>116</v>
      </c>
      <c r="E41">
        <v>1</v>
      </c>
      <c r="F41" s="5" t="s">
        <v>88</v>
      </c>
      <c r="I41">
        <v>20016</v>
      </c>
    </row>
    <row r="42" spans="1:10" x14ac:dyDescent="0.2">
      <c r="A42" s="68"/>
      <c r="B42" s="33" t="s">
        <v>571</v>
      </c>
      <c r="C42">
        <v>35</v>
      </c>
      <c r="D42">
        <v>117</v>
      </c>
      <c r="E42">
        <v>1</v>
      </c>
      <c r="F42" s="5" t="s">
        <v>88</v>
      </c>
      <c r="I42">
        <v>20017</v>
      </c>
    </row>
    <row r="43" spans="1:10" x14ac:dyDescent="0.2">
      <c r="A43" s="68"/>
      <c r="B43" s="33" t="s">
        <v>572</v>
      </c>
      <c r="C43">
        <v>36</v>
      </c>
      <c r="D43">
        <v>118</v>
      </c>
      <c r="E43">
        <v>1</v>
      </c>
      <c r="F43" s="5" t="s">
        <v>88</v>
      </c>
      <c r="I43">
        <v>20018</v>
      </c>
    </row>
    <row r="44" spans="1:10" x14ac:dyDescent="0.2">
      <c r="A44" s="68"/>
      <c r="B44" s="33" t="s">
        <v>573</v>
      </c>
      <c r="C44">
        <v>37</v>
      </c>
      <c r="D44">
        <v>119</v>
      </c>
      <c r="E44">
        <v>1</v>
      </c>
      <c r="F44" s="5" t="s">
        <v>88</v>
      </c>
      <c r="I44">
        <v>20019</v>
      </c>
    </row>
    <row r="45" spans="1:10" x14ac:dyDescent="0.2">
      <c r="A45" s="68"/>
      <c r="B45" s="33" t="s">
        <v>574</v>
      </c>
      <c r="C45">
        <v>38</v>
      </c>
      <c r="D45">
        <v>120</v>
      </c>
      <c r="E45">
        <v>1</v>
      </c>
      <c r="F45" s="5" t="s">
        <v>88</v>
      </c>
      <c r="I45">
        <v>20020</v>
      </c>
    </row>
    <row r="46" spans="1:10" x14ac:dyDescent="0.2">
      <c r="A46" s="69"/>
      <c r="B46" s="34" t="s">
        <v>575</v>
      </c>
      <c r="C46">
        <v>39</v>
      </c>
      <c r="D46">
        <v>121</v>
      </c>
      <c r="E46">
        <v>1</v>
      </c>
      <c r="F46" s="5" t="s">
        <v>88</v>
      </c>
      <c r="I46">
        <v>20021</v>
      </c>
    </row>
    <row r="47" spans="1:10" x14ac:dyDescent="0.2">
      <c r="F47" s="5"/>
    </row>
    <row r="48" spans="1:10" x14ac:dyDescent="0.2">
      <c r="F48" s="5"/>
    </row>
    <row r="49" spans="3:8" x14ac:dyDescent="0.2">
      <c r="F49" s="5"/>
    </row>
    <row r="50" spans="3:8" x14ac:dyDescent="0.2">
      <c r="F50" s="5"/>
    </row>
    <row r="51" spans="3:8" x14ac:dyDescent="0.2">
      <c r="C51">
        <v>2</v>
      </c>
      <c r="D51">
        <v>10001</v>
      </c>
      <c r="E51">
        <v>1</v>
      </c>
      <c r="F51" s="5" t="s">
        <v>85</v>
      </c>
      <c r="G51" s="5" t="s">
        <v>74</v>
      </c>
      <c r="H51">
        <v>1002</v>
      </c>
    </row>
    <row r="52" spans="3:8" x14ac:dyDescent="0.2">
      <c r="C52">
        <v>3</v>
      </c>
      <c r="D52">
        <v>10201</v>
      </c>
      <c r="E52">
        <v>1</v>
      </c>
      <c r="F52" s="5" t="s">
        <v>86</v>
      </c>
      <c r="G52" s="5" t="s">
        <v>75</v>
      </c>
      <c r="H52">
        <v>1003</v>
      </c>
    </row>
    <row r="53" spans="3:8" x14ac:dyDescent="0.2">
      <c r="C53">
        <v>4</v>
      </c>
      <c r="D53">
        <v>10301</v>
      </c>
      <c r="E53">
        <v>1</v>
      </c>
      <c r="F53" s="5" t="s">
        <v>87</v>
      </c>
      <c r="G53" s="5" t="s">
        <v>76</v>
      </c>
      <c r="H53">
        <v>1001</v>
      </c>
    </row>
    <row r="54" spans="3:8" x14ac:dyDescent="0.2">
      <c r="C54">
        <v>5</v>
      </c>
      <c r="D54">
        <v>10401</v>
      </c>
      <c r="E54">
        <v>1</v>
      </c>
      <c r="F54" s="5" t="s">
        <v>88</v>
      </c>
      <c r="G54" s="5" t="s">
        <v>77</v>
      </c>
      <c r="H54">
        <v>1002</v>
      </c>
    </row>
    <row r="55" spans="3:8" x14ac:dyDescent="0.2">
      <c r="C55">
        <v>6</v>
      </c>
      <c r="D55">
        <v>10501</v>
      </c>
      <c r="E55">
        <v>1</v>
      </c>
      <c r="F55" s="5" t="s">
        <v>89</v>
      </c>
      <c r="G55" s="5" t="s">
        <v>77</v>
      </c>
      <c r="H55">
        <v>1003</v>
      </c>
    </row>
    <row r="56" spans="3:8" x14ac:dyDescent="0.2">
      <c r="C56">
        <v>7</v>
      </c>
      <c r="D56">
        <v>10601</v>
      </c>
      <c r="E56">
        <v>1</v>
      </c>
      <c r="F56" s="5" t="s">
        <v>90</v>
      </c>
      <c r="G56" s="5" t="s">
        <v>77</v>
      </c>
      <c r="H56">
        <v>1001</v>
      </c>
    </row>
    <row r="57" spans="3:8" x14ac:dyDescent="0.2">
      <c r="C57">
        <v>8</v>
      </c>
      <c r="D57">
        <v>10701</v>
      </c>
      <c r="E57">
        <v>1</v>
      </c>
      <c r="F57" s="5" t="s">
        <v>91</v>
      </c>
      <c r="G57" s="5" t="s">
        <v>77</v>
      </c>
      <c r="H57">
        <v>1002</v>
      </c>
    </row>
    <row r="58" spans="3:8" x14ac:dyDescent="0.2">
      <c r="C58">
        <v>9</v>
      </c>
      <c r="D58">
        <v>10801</v>
      </c>
      <c r="E58">
        <v>1</v>
      </c>
      <c r="F58" s="5" t="s">
        <v>92</v>
      </c>
      <c r="G58" s="5" t="s">
        <v>77</v>
      </c>
      <c r="H58">
        <v>1003</v>
      </c>
    </row>
    <row r="59" spans="3:8" x14ac:dyDescent="0.2">
      <c r="C59">
        <v>10</v>
      </c>
      <c r="D59">
        <v>10901</v>
      </c>
      <c r="E59">
        <v>1</v>
      </c>
      <c r="F59" s="5" t="s">
        <v>93</v>
      </c>
      <c r="G59" s="5" t="s">
        <v>77</v>
      </c>
      <c r="H59">
        <v>1001</v>
      </c>
    </row>
    <row r="60" spans="3:8" x14ac:dyDescent="0.2">
      <c r="C60">
        <v>11</v>
      </c>
      <c r="D60">
        <v>11001</v>
      </c>
      <c r="E60">
        <v>1</v>
      </c>
      <c r="F60" s="5" t="s">
        <v>94</v>
      </c>
      <c r="G60" s="5" t="s">
        <v>77</v>
      </c>
      <c r="H60">
        <v>1002</v>
      </c>
    </row>
    <row r="61" spans="3:8" x14ac:dyDescent="0.2">
      <c r="C61">
        <v>12</v>
      </c>
      <c r="D61">
        <v>11101</v>
      </c>
      <c r="E61">
        <v>1</v>
      </c>
      <c r="F61" s="5" t="s">
        <v>95</v>
      </c>
      <c r="G61" s="5" t="s">
        <v>77</v>
      </c>
      <c r="H61">
        <v>1003</v>
      </c>
    </row>
  </sheetData>
  <mergeCells count="4">
    <mergeCell ref="A8:A20"/>
    <mergeCell ref="A39:A46"/>
    <mergeCell ref="A21:A29"/>
    <mergeCell ref="A30:A37"/>
  </mergeCells>
  <phoneticPr fontId="2" type="noConversion"/>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5CCA86-0AB2-4160-8AE8-B41FA5794D5B}">
  <dimension ref="B2:K40"/>
  <sheetViews>
    <sheetView tabSelected="1" workbookViewId="0">
      <selection activeCell="F16" sqref="F16"/>
    </sheetView>
  </sheetViews>
  <sheetFormatPr defaultRowHeight="14.25" x14ac:dyDescent="0.2"/>
  <cols>
    <col min="4" max="4" width="8.375" bestFit="1" customWidth="1"/>
    <col min="5" max="5" width="9.75" customWidth="1"/>
    <col min="6" max="6" width="129.125" bestFit="1" customWidth="1"/>
    <col min="7" max="7" width="17.25" customWidth="1"/>
    <col min="8" max="8" width="18.5" customWidth="1"/>
    <col min="9" max="9" width="18.75" customWidth="1"/>
    <col min="10" max="10" width="26.25" customWidth="1"/>
    <col min="11" max="11" width="9" customWidth="1"/>
  </cols>
  <sheetData>
    <row r="2" spans="2:11" x14ac:dyDescent="0.2">
      <c r="B2" t="s">
        <v>102</v>
      </c>
    </row>
    <row r="3" spans="2:11" ht="54.75" customHeight="1" x14ac:dyDescent="0.2">
      <c r="E3" t="s">
        <v>329</v>
      </c>
      <c r="F3" s="9" t="s">
        <v>262</v>
      </c>
      <c r="G3" s="10" t="s">
        <v>244</v>
      </c>
      <c r="H3" s="10" t="s">
        <v>100</v>
      </c>
      <c r="I3" s="10" t="s">
        <v>101</v>
      </c>
      <c r="J3" s="1" t="s">
        <v>288</v>
      </c>
      <c r="K3" s="10"/>
    </row>
    <row r="4" spans="2:11" x14ac:dyDescent="0.2">
      <c r="D4" s="10" t="s">
        <v>99</v>
      </c>
      <c r="E4" s="10" t="s">
        <v>330</v>
      </c>
      <c r="F4" s="10" t="s">
        <v>261</v>
      </c>
      <c r="G4" s="10" t="s">
        <v>245</v>
      </c>
      <c r="H4" s="10" t="s">
        <v>246</v>
      </c>
      <c r="I4" s="10" t="s">
        <v>247</v>
      </c>
      <c r="J4" s="10" t="s">
        <v>248</v>
      </c>
    </row>
    <row r="5" spans="2:11" x14ac:dyDescent="0.2">
      <c r="D5" s="10">
        <v>0</v>
      </c>
      <c r="E5" s="7">
        <v>0</v>
      </c>
      <c r="F5" s="7" t="s">
        <v>98</v>
      </c>
      <c r="G5" s="10">
        <v>0</v>
      </c>
      <c r="H5" s="7" t="s">
        <v>98</v>
      </c>
      <c r="I5" s="7" t="s">
        <v>98</v>
      </c>
      <c r="J5" s="10">
        <v>0</v>
      </c>
    </row>
    <row r="6" spans="2:11" x14ac:dyDescent="0.2">
      <c r="D6" s="10">
        <v>1</v>
      </c>
      <c r="E6" s="7" t="s">
        <v>419</v>
      </c>
      <c r="F6" s="10" t="s">
        <v>290</v>
      </c>
      <c r="G6" s="10"/>
      <c r="H6" s="7" t="s">
        <v>351</v>
      </c>
      <c r="I6" s="7" t="s">
        <v>652</v>
      </c>
      <c r="J6" s="7" t="s">
        <v>342</v>
      </c>
    </row>
    <row r="7" spans="2:11" x14ac:dyDescent="0.2">
      <c r="D7" s="10">
        <v>2</v>
      </c>
      <c r="E7" s="7" t="s">
        <v>420</v>
      </c>
      <c r="F7" s="10" t="s">
        <v>263</v>
      </c>
      <c r="G7" s="10"/>
      <c r="H7" s="7" t="s">
        <v>352</v>
      </c>
      <c r="I7" s="7" t="s">
        <v>653</v>
      </c>
      <c r="J7" s="7" t="s">
        <v>289</v>
      </c>
    </row>
    <row r="8" spans="2:11" x14ac:dyDescent="0.2">
      <c r="D8" s="10">
        <v>3</v>
      </c>
      <c r="E8" s="7" t="s">
        <v>421</v>
      </c>
      <c r="F8" s="10" t="s">
        <v>264</v>
      </c>
      <c r="G8" s="10"/>
      <c r="H8" s="7" t="s">
        <v>353</v>
      </c>
      <c r="I8" s="7" t="s">
        <v>654</v>
      </c>
      <c r="J8" s="7" t="s">
        <v>289</v>
      </c>
    </row>
    <row r="9" spans="2:11" x14ac:dyDescent="0.2">
      <c r="D9" s="10">
        <v>4</v>
      </c>
      <c r="E9" s="7" t="s">
        <v>417</v>
      </c>
      <c r="F9" s="10" t="s">
        <v>265</v>
      </c>
      <c r="G9" s="10"/>
      <c r="H9" s="7" t="s">
        <v>354</v>
      </c>
      <c r="I9" s="7" t="s">
        <v>655</v>
      </c>
      <c r="J9" s="7" t="s">
        <v>289</v>
      </c>
    </row>
    <row r="10" spans="2:11" x14ac:dyDescent="0.2">
      <c r="B10">
        <v>54524</v>
      </c>
      <c r="D10" s="10">
        <v>5</v>
      </c>
      <c r="E10" s="7" t="s">
        <v>422</v>
      </c>
      <c r="F10" s="10" t="s">
        <v>341</v>
      </c>
      <c r="G10" s="10">
        <v>14</v>
      </c>
      <c r="H10" s="7" t="s">
        <v>355</v>
      </c>
      <c r="I10" s="7" t="s">
        <v>656</v>
      </c>
      <c r="J10" s="7" t="s">
        <v>289</v>
      </c>
    </row>
    <row r="11" spans="2:11" x14ac:dyDescent="0.2">
      <c r="B11">
        <v>54624</v>
      </c>
      <c r="D11" s="10">
        <v>6</v>
      </c>
      <c r="E11" s="7" t="s">
        <v>418</v>
      </c>
      <c r="F11" s="10" t="s">
        <v>266</v>
      </c>
      <c r="G11" s="10"/>
      <c r="H11" s="7" t="s">
        <v>356</v>
      </c>
      <c r="I11" s="7" t="s">
        <v>657</v>
      </c>
      <c r="J11" s="7" t="s">
        <v>252</v>
      </c>
    </row>
    <row r="12" spans="2:11" x14ac:dyDescent="0.2">
      <c r="D12" s="10">
        <v>7</v>
      </c>
      <c r="E12" s="7" t="s">
        <v>423</v>
      </c>
      <c r="F12" s="10" t="s">
        <v>267</v>
      </c>
      <c r="G12" s="10"/>
      <c r="H12" s="7" t="s">
        <v>357</v>
      </c>
      <c r="I12" s="7" t="s">
        <v>658</v>
      </c>
      <c r="J12" s="7" t="s">
        <v>253</v>
      </c>
    </row>
    <row r="13" spans="2:11" x14ac:dyDescent="0.2">
      <c r="D13" s="10">
        <v>8</v>
      </c>
      <c r="E13" s="7" t="s">
        <v>424</v>
      </c>
      <c r="F13" s="10" t="s">
        <v>268</v>
      </c>
      <c r="G13" s="10"/>
      <c r="H13" s="7" t="s">
        <v>358</v>
      </c>
      <c r="I13" s="7" t="s">
        <v>659</v>
      </c>
      <c r="J13" s="7" t="s">
        <v>254</v>
      </c>
    </row>
    <row r="14" spans="2:11" x14ac:dyDescent="0.2">
      <c r="D14" s="10">
        <v>9</v>
      </c>
      <c r="E14" s="7" t="s">
        <v>425</v>
      </c>
      <c r="F14" s="10" t="s">
        <v>269</v>
      </c>
      <c r="G14" s="10"/>
      <c r="H14" s="7" t="s">
        <v>359</v>
      </c>
      <c r="I14" s="7" t="s">
        <v>226</v>
      </c>
      <c r="J14" s="7" t="s">
        <v>255</v>
      </c>
    </row>
    <row r="15" spans="2:11" x14ac:dyDescent="0.2">
      <c r="D15" s="10">
        <v>10</v>
      </c>
      <c r="E15" s="7" t="s">
        <v>426</v>
      </c>
      <c r="F15" s="10" t="s">
        <v>270</v>
      </c>
      <c r="G15" s="10">
        <v>15</v>
      </c>
      <c r="H15" s="7" t="s">
        <v>360</v>
      </c>
      <c r="I15" s="7" t="s">
        <v>660</v>
      </c>
      <c r="J15" s="7" t="s">
        <v>256</v>
      </c>
    </row>
    <row r="16" spans="2:11" x14ac:dyDescent="0.2">
      <c r="D16" s="10">
        <v>11</v>
      </c>
      <c r="E16" s="7" t="s">
        <v>427</v>
      </c>
      <c r="F16" s="10" t="s">
        <v>271</v>
      </c>
      <c r="G16" s="10"/>
      <c r="H16" s="7" t="s">
        <v>361</v>
      </c>
      <c r="I16" s="7" t="s">
        <v>661</v>
      </c>
      <c r="J16" s="7" t="s">
        <v>257</v>
      </c>
    </row>
    <row r="17" spans="4:10" x14ac:dyDescent="0.2">
      <c r="D17" s="10">
        <v>12</v>
      </c>
      <c r="E17" s="7" t="s">
        <v>428</v>
      </c>
      <c r="F17" s="10" t="s">
        <v>272</v>
      </c>
      <c r="G17" s="10"/>
      <c r="H17" s="7" t="s">
        <v>362</v>
      </c>
      <c r="I17" s="7" t="s">
        <v>662</v>
      </c>
      <c r="J17" s="7" t="s">
        <v>345</v>
      </c>
    </row>
    <row r="18" spans="4:10" x14ac:dyDescent="0.2">
      <c r="D18" s="10">
        <v>13</v>
      </c>
      <c r="E18" s="7" t="s">
        <v>429</v>
      </c>
      <c r="F18" s="10" t="s">
        <v>396</v>
      </c>
      <c r="G18" s="10"/>
      <c r="H18" s="7" t="s">
        <v>363</v>
      </c>
      <c r="I18" s="7" t="s">
        <v>663</v>
      </c>
      <c r="J18" s="7" t="s">
        <v>259</v>
      </c>
    </row>
    <row r="19" spans="4:10" x14ac:dyDescent="0.2">
      <c r="D19" s="10">
        <v>14</v>
      </c>
      <c r="E19" s="7" t="s">
        <v>430</v>
      </c>
      <c r="F19" s="10" t="s">
        <v>397</v>
      </c>
      <c r="G19" s="10"/>
      <c r="H19" s="7" t="s">
        <v>364</v>
      </c>
      <c r="I19" s="7" t="s">
        <v>664</v>
      </c>
      <c r="J19" s="7" t="s">
        <v>260</v>
      </c>
    </row>
    <row r="20" spans="4:10" x14ac:dyDescent="0.2">
      <c r="D20" s="10">
        <v>15</v>
      </c>
      <c r="E20" s="7" t="s">
        <v>431</v>
      </c>
      <c r="F20" s="10" t="s">
        <v>398</v>
      </c>
      <c r="G20" s="10">
        <v>16</v>
      </c>
      <c r="H20" s="7" t="s">
        <v>365</v>
      </c>
      <c r="I20" s="7" t="s">
        <v>665</v>
      </c>
      <c r="J20" s="7" t="s">
        <v>258</v>
      </c>
    </row>
    <row r="21" spans="4:10" x14ac:dyDescent="0.2">
      <c r="D21" s="10">
        <v>16</v>
      </c>
      <c r="E21" s="7" t="s">
        <v>432</v>
      </c>
      <c r="F21" s="10" t="s">
        <v>273</v>
      </c>
      <c r="G21" s="10"/>
      <c r="H21" s="7" t="s">
        <v>366</v>
      </c>
      <c r="I21" s="7" t="s">
        <v>666</v>
      </c>
      <c r="J21" s="7" t="s">
        <v>346</v>
      </c>
    </row>
    <row r="22" spans="4:10" x14ac:dyDescent="0.2">
      <c r="D22" s="10">
        <v>17</v>
      </c>
      <c r="E22" s="7" t="s">
        <v>433</v>
      </c>
      <c r="F22" s="10" t="s">
        <v>274</v>
      </c>
      <c r="G22" s="10"/>
      <c r="H22" s="7" t="s">
        <v>367</v>
      </c>
      <c r="I22" s="7" t="s">
        <v>667</v>
      </c>
      <c r="J22" s="7" t="s">
        <v>346</v>
      </c>
    </row>
    <row r="23" spans="4:10" x14ac:dyDescent="0.2">
      <c r="D23" s="10">
        <v>18</v>
      </c>
      <c r="E23" s="7" t="s">
        <v>434</v>
      </c>
      <c r="F23" s="10" t="s">
        <v>275</v>
      </c>
      <c r="G23" s="10"/>
      <c r="H23" s="7" t="s">
        <v>368</v>
      </c>
      <c r="I23" s="7" t="s">
        <v>668</v>
      </c>
      <c r="J23" s="7" t="s">
        <v>346</v>
      </c>
    </row>
    <row r="24" spans="4:10" x14ac:dyDescent="0.2">
      <c r="D24" s="10">
        <v>19</v>
      </c>
      <c r="E24" s="7" t="s">
        <v>435</v>
      </c>
      <c r="F24" s="10" t="s">
        <v>603</v>
      </c>
      <c r="G24" s="10"/>
      <c r="H24" s="7" t="s">
        <v>369</v>
      </c>
      <c r="I24" s="7" t="s">
        <v>669</v>
      </c>
      <c r="J24" s="7" t="s">
        <v>350</v>
      </c>
    </row>
    <row r="25" spans="4:10" x14ac:dyDescent="0.2">
      <c r="D25" s="10">
        <v>20</v>
      </c>
      <c r="E25" s="7" t="s">
        <v>436</v>
      </c>
      <c r="F25" s="10" t="s">
        <v>784</v>
      </c>
      <c r="G25" s="10">
        <v>17</v>
      </c>
      <c r="H25" s="7" t="s">
        <v>370</v>
      </c>
      <c r="I25" s="7" t="s">
        <v>670</v>
      </c>
      <c r="J25" s="7" t="s">
        <v>347</v>
      </c>
    </row>
    <row r="26" spans="4:10" x14ac:dyDescent="0.2">
      <c r="D26" s="10">
        <v>21</v>
      </c>
      <c r="E26" s="7" t="s">
        <v>437</v>
      </c>
      <c r="F26" s="10" t="s">
        <v>785</v>
      </c>
      <c r="G26" s="10"/>
      <c r="H26" s="7" t="s">
        <v>371</v>
      </c>
      <c r="I26" s="7" t="s">
        <v>671</v>
      </c>
      <c r="J26" s="7" t="s">
        <v>347</v>
      </c>
    </row>
    <row r="27" spans="4:10" x14ac:dyDescent="0.2">
      <c r="D27" s="10">
        <v>22</v>
      </c>
      <c r="E27" s="7" t="s">
        <v>438</v>
      </c>
      <c r="F27" s="10" t="s">
        <v>786</v>
      </c>
      <c r="G27" s="10"/>
      <c r="H27" s="7" t="s">
        <v>372</v>
      </c>
      <c r="I27" s="7" t="s">
        <v>672</v>
      </c>
      <c r="J27" s="7" t="s">
        <v>348</v>
      </c>
    </row>
    <row r="28" spans="4:10" x14ac:dyDescent="0.2">
      <c r="D28" s="10">
        <v>23</v>
      </c>
      <c r="E28" s="7" t="s">
        <v>439</v>
      </c>
      <c r="F28" s="10" t="s">
        <v>328</v>
      </c>
      <c r="G28" s="10"/>
      <c r="H28" s="7" t="s">
        <v>373</v>
      </c>
      <c r="I28" s="7" t="s">
        <v>673</v>
      </c>
      <c r="J28" s="7" t="s">
        <v>349</v>
      </c>
    </row>
    <row r="29" spans="4:10" x14ac:dyDescent="0.2">
      <c r="D29" s="26">
        <v>24</v>
      </c>
      <c r="E29" s="7" t="s">
        <v>585</v>
      </c>
      <c r="F29" s="10" t="s">
        <v>777</v>
      </c>
      <c r="G29" s="10"/>
      <c r="H29" s="7" t="s">
        <v>597</v>
      </c>
      <c r="I29" s="7" t="s">
        <v>674</v>
      </c>
      <c r="J29" s="7" t="s">
        <v>637</v>
      </c>
    </row>
    <row r="30" spans="4:10" x14ac:dyDescent="0.2">
      <c r="D30" s="10">
        <v>25</v>
      </c>
      <c r="E30" s="7" t="s">
        <v>586</v>
      </c>
      <c r="F30" s="10" t="s">
        <v>776</v>
      </c>
      <c r="G30" s="10"/>
      <c r="H30" s="7" t="s">
        <v>626</v>
      </c>
      <c r="I30" s="7" t="s">
        <v>675</v>
      </c>
      <c r="J30" s="61" t="s">
        <v>639</v>
      </c>
    </row>
    <row r="31" spans="4:10" x14ac:dyDescent="0.2">
      <c r="D31" s="10">
        <v>26</v>
      </c>
      <c r="E31" s="7" t="s">
        <v>587</v>
      </c>
      <c r="F31" s="10" t="s">
        <v>775</v>
      </c>
      <c r="G31" s="10"/>
      <c r="H31" s="7" t="s">
        <v>627</v>
      </c>
      <c r="I31" s="61" t="s">
        <v>676</v>
      </c>
      <c r="J31" s="61" t="s">
        <v>639</v>
      </c>
    </row>
    <row r="32" spans="4:10" x14ac:dyDescent="0.2">
      <c r="D32" s="10">
        <v>27</v>
      </c>
      <c r="E32" s="7" t="s">
        <v>588</v>
      </c>
      <c r="F32" s="10" t="s">
        <v>774</v>
      </c>
      <c r="G32" s="10"/>
      <c r="H32" s="7" t="s">
        <v>628</v>
      </c>
      <c r="I32" s="61" t="s">
        <v>677</v>
      </c>
      <c r="J32" s="61" t="s">
        <v>638</v>
      </c>
    </row>
    <row r="33" spans="4:10" x14ac:dyDescent="0.2">
      <c r="D33" s="10">
        <v>28</v>
      </c>
      <c r="E33" s="7" t="s">
        <v>589</v>
      </c>
      <c r="F33" s="10" t="s">
        <v>773</v>
      </c>
      <c r="G33" s="10"/>
      <c r="H33" s="7" t="s">
        <v>629</v>
      </c>
      <c r="I33" s="61" t="s">
        <v>678</v>
      </c>
      <c r="J33" s="61" t="s">
        <v>638</v>
      </c>
    </row>
    <row r="34" spans="4:10" x14ac:dyDescent="0.2">
      <c r="D34" s="10">
        <v>29</v>
      </c>
      <c r="E34" s="7" t="s">
        <v>590</v>
      </c>
      <c r="F34" s="10" t="s">
        <v>772</v>
      </c>
      <c r="G34" s="10"/>
      <c r="H34" s="7" t="s">
        <v>630</v>
      </c>
      <c r="I34" s="61" t="s">
        <v>679</v>
      </c>
      <c r="J34" s="61" t="s">
        <v>638</v>
      </c>
    </row>
    <row r="35" spans="4:10" x14ac:dyDescent="0.2">
      <c r="D35" s="10">
        <v>30</v>
      </c>
      <c r="E35" s="7" t="s">
        <v>591</v>
      </c>
      <c r="F35" s="10" t="s">
        <v>778</v>
      </c>
      <c r="G35" s="10"/>
      <c r="H35" s="7" t="s">
        <v>631</v>
      </c>
      <c r="I35" s="61" t="s">
        <v>680</v>
      </c>
      <c r="J35" s="61" t="s">
        <v>638</v>
      </c>
    </row>
    <row r="36" spans="4:10" x14ac:dyDescent="0.2">
      <c r="D36" s="10">
        <v>31</v>
      </c>
      <c r="E36" s="7" t="s">
        <v>592</v>
      </c>
      <c r="F36" s="10" t="s">
        <v>779</v>
      </c>
      <c r="G36" s="10"/>
      <c r="H36" s="7" t="s">
        <v>632</v>
      </c>
      <c r="I36" s="61" t="s">
        <v>681</v>
      </c>
      <c r="J36" s="61" t="s">
        <v>638</v>
      </c>
    </row>
    <row r="37" spans="4:10" x14ac:dyDescent="0.2">
      <c r="D37" s="10">
        <v>32</v>
      </c>
      <c r="E37" s="7" t="s">
        <v>593</v>
      </c>
      <c r="F37" s="10" t="s">
        <v>780</v>
      </c>
      <c r="G37" s="10"/>
      <c r="H37" s="7" t="s">
        <v>633</v>
      </c>
      <c r="I37" s="61" t="s">
        <v>682</v>
      </c>
      <c r="J37" s="61" t="s">
        <v>638</v>
      </c>
    </row>
    <row r="38" spans="4:10" x14ac:dyDescent="0.2">
      <c r="D38" s="10">
        <v>33</v>
      </c>
      <c r="E38" s="7" t="s">
        <v>594</v>
      </c>
      <c r="F38" s="10" t="s">
        <v>781</v>
      </c>
      <c r="G38" s="10"/>
      <c r="H38" s="7" t="s">
        <v>634</v>
      </c>
      <c r="I38" s="61" t="s">
        <v>683</v>
      </c>
      <c r="J38" s="61" t="s">
        <v>638</v>
      </c>
    </row>
    <row r="39" spans="4:10" x14ac:dyDescent="0.2">
      <c r="D39" s="10">
        <v>34</v>
      </c>
      <c r="E39" s="7" t="s">
        <v>595</v>
      </c>
      <c r="F39" s="10" t="s">
        <v>782</v>
      </c>
      <c r="G39" s="10"/>
      <c r="H39" s="7" t="s">
        <v>635</v>
      </c>
      <c r="I39" s="61" t="s">
        <v>684</v>
      </c>
      <c r="J39" s="61" t="s">
        <v>638</v>
      </c>
    </row>
    <row r="40" spans="4:10" x14ac:dyDescent="0.2">
      <c r="D40" s="10">
        <v>35</v>
      </c>
      <c r="E40" s="7" t="s">
        <v>596</v>
      </c>
      <c r="F40" s="10" t="s">
        <v>783</v>
      </c>
      <c r="G40" s="10"/>
      <c r="H40" s="7" t="s">
        <v>636</v>
      </c>
      <c r="I40" s="61" t="s">
        <v>685</v>
      </c>
      <c r="J40" s="61" t="s">
        <v>638</v>
      </c>
    </row>
  </sheetData>
  <phoneticPr fontId="2" type="noConversion"/>
  <pageMargins left="0.7" right="0.7" top="0.75" bottom="0.75" header="0.3" footer="0.3"/>
  <pageSetup paperSize="9" orientation="portrait"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833702-C440-463E-919D-B4E0ABB0DC6E}">
  <dimension ref="B1:AD95"/>
  <sheetViews>
    <sheetView workbookViewId="0">
      <selection activeCell="F20" sqref="F20"/>
    </sheetView>
  </sheetViews>
  <sheetFormatPr defaultRowHeight="14.25" x14ac:dyDescent="0.2"/>
  <cols>
    <col min="1" max="1" width="9" style="47"/>
    <col min="2" max="4" width="9" style="48"/>
    <col min="5" max="5" width="16.25" style="48" bestFit="1" customWidth="1"/>
    <col min="6" max="6" width="16.25" style="47" bestFit="1" customWidth="1"/>
    <col min="7" max="7" width="9" style="47"/>
    <col min="8" max="8" width="12.25" style="47" bestFit="1" customWidth="1"/>
    <col min="9" max="11" width="9" style="47"/>
    <col min="12" max="12" width="9" style="48"/>
    <col min="13" max="16384" width="9" style="47"/>
  </cols>
  <sheetData>
    <row r="1" spans="2:30" x14ac:dyDescent="0.2">
      <c r="C1" s="54"/>
      <c r="D1" s="54"/>
    </row>
    <row r="2" spans="2:30" x14ac:dyDescent="0.2">
      <c r="B2" s="55" t="s">
        <v>699</v>
      </c>
      <c r="C2" s="55">
        <v>302</v>
      </c>
      <c r="D2" s="55">
        <v>202</v>
      </c>
      <c r="E2" s="55" t="s">
        <v>698</v>
      </c>
      <c r="F2" s="55" t="s">
        <v>697</v>
      </c>
      <c r="H2" s="56" t="s">
        <v>696</v>
      </c>
      <c r="I2" s="60">
        <v>1</v>
      </c>
      <c r="J2" s="49"/>
    </row>
    <row r="3" spans="2:30" x14ac:dyDescent="0.2">
      <c r="B3" s="57">
        <v>1</v>
      </c>
      <c r="C3" s="57" cm="1">
        <f t="array" ref="C3">$I$3 + $I$2*(
  $I$4*($B3-1) +
  SUMPRODUCT(--($I$8:$I$20), --($H$8:$H$20&lt;&gt;""), --($B3&gt;$H$8:$H$20), ($B3-$H$8:$H$20))
)</f>
        <v>15</v>
      </c>
      <c r="D3" s="57" cm="1">
        <f t="array" ref="D3">$I$5 + $I$2*(
  $I$6*($B3-1) +
  SUMPRODUCT(--($J$8:$J$20), --($H$8:$H$20&lt;&gt;""), --($B3&gt;$H$8:$H$20), ($B3-$H$8:$H$20))
)</f>
        <v>5</v>
      </c>
      <c r="E3" s="58" t="str">
        <f t="shared" ref="E3:E37" si="0">$C$2&amp;":"&amp;C3&amp;";"&amp;$D$2&amp;":"&amp;D3</f>
        <v>302:15;202:5</v>
      </c>
      <c r="F3" s="59" t="s">
        <v>652</v>
      </c>
      <c r="H3" s="56" t="s">
        <v>695</v>
      </c>
      <c r="I3" s="60">
        <v>15</v>
      </c>
      <c r="J3" s="49"/>
    </row>
    <row r="4" spans="2:30" x14ac:dyDescent="0.2">
      <c r="B4" s="57">
        <v>2</v>
      </c>
      <c r="C4" s="57" cm="1">
        <f t="array" ref="C4">$I$3 + $I$2*(
  $I$4*($B4-1) +
  SUMPRODUCT(--($I$8:$I$20), --($H$8:$H$20&lt;&gt;""), --($B4&gt;$H$8:$H$20), ($B4-$H$8:$H$20))
)</f>
        <v>30</v>
      </c>
      <c r="D4" s="57" cm="1">
        <f t="array" ref="D4">$I$5 + $I$2*(
  $I$6*($B4-1) +
  SUMPRODUCT(--($J$8:$J$20), --($H$8:$H$20&lt;&gt;""), --($B4&gt;$H$8:$H$20), ($B4-$H$8:$H$20))
)</f>
        <v>10</v>
      </c>
      <c r="E4" s="58" t="str">
        <f t="shared" si="0"/>
        <v>302:30;202:10</v>
      </c>
      <c r="F4" s="59" t="s">
        <v>653</v>
      </c>
      <c r="H4" s="56" t="s">
        <v>694</v>
      </c>
      <c r="I4" s="60">
        <v>15</v>
      </c>
      <c r="J4" s="49"/>
      <c r="L4" s="55" t="s">
        <v>693</v>
      </c>
      <c r="M4" s="72" t="s">
        <v>692</v>
      </c>
      <c r="N4" s="73"/>
      <c r="O4" s="73"/>
      <c r="P4" s="73"/>
      <c r="Q4" s="73"/>
      <c r="R4" s="73"/>
      <c r="S4" s="73"/>
      <c r="T4" s="73"/>
      <c r="U4" s="73"/>
      <c r="V4" s="73"/>
      <c r="W4" s="73"/>
      <c r="X4" s="73"/>
      <c r="Y4" s="73"/>
      <c r="Z4" s="73"/>
      <c r="AA4" s="74"/>
      <c r="AB4" s="56" t="s">
        <v>691</v>
      </c>
      <c r="AC4" s="56"/>
      <c r="AD4" s="56" t="s">
        <v>690</v>
      </c>
    </row>
    <row r="5" spans="2:30" x14ac:dyDescent="0.3">
      <c r="B5" s="57">
        <v>3</v>
      </c>
      <c r="C5" s="57" cm="1">
        <f t="array" ref="C5">$I$3 + $I$2*(
  $I$4*($B5-1) +
  SUMPRODUCT(--($I$8:$I$20), --($H$8:$H$20&lt;&gt;""), --($B5&gt;$H$8:$H$20), ($B5-$H$8:$H$20))
)</f>
        <v>45</v>
      </c>
      <c r="D5" s="57" cm="1">
        <f t="array" ref="D5">$I$5 + $I$2*(
  $I$6*($B5-1) +
  SUMPRODUCT(--($J$8:$J$20), --($H$8:$H$20&lt;&gt;""), --($B5&gt;$H$8:$H$20), ($B5-$H$8:$H$20))
)</f>
        <v>15</v>
      </c>
      <c r="E5" s="58" t="str">
        <f t="shared" si="0"/>
        <v>302:45;202:15</v>
      </c>
      <c r="F5" s="59" t="s">
        <v>654</v>
      </c>
      <c r="H5" s="56" t="s">
        <v>689</v>
      </c>
      <c r="I5" s="60">
        <v>5</v>
      </c>
      <c r="J5" s="49"/>
      <c r="L5" s="57">
        <v>2</v>
      </c>
      <c r="M5" s="52">
        <v>54401</v>
      </c>
      <c r="N5" s="53">
        <v>54402</v>
      </c>
      <c r="O5" s="52">
        <v>54403</v>
      </c>
      <c r="P5" s="53">
        <v>54404</v>
      </c>
      <c r="Q5" s="52">
        <v>54405</v>
      </c>
      <c r="R5" s="53">
        <v>54406</v>
      </c>
      <c r="S5" s="52">
        <v>54407</v>
      </c>
      <c r="T5" s="53">
        <v>54408</v>
      </c>
      <c r="U5" s="52">
        <v>54409</v>
      </c>
      <c r="V5" s="53">
        <v>54410</v>
      </c>
      <c r="W5" s="52">
        <v>54411</v>
      </c>
      <c r="X5" s="53">
        <v>54412</v>
      </c>
      <c r="Y5" s="52">
        <v>54413</v>
      </c>
      <c r="Z5" s="53">
        <v>54414</v>
      </c>
      <c r="AA5" s="52">
        <v>54415</v>
      </c>
      <c r="AB5" s="59" t="str" cm="1">
        <f t="array" ref="AB5">_xlfn.TEXTJOIN(";",TRUE, M5:AA5&amp;":"&amp;TRANSPOSE(L$5:L$19))&amp;";"</f>
        <v>54401:2;54402:1;54403:2;54404:1;54405:2;54406:1;54407:2;54408:1;54409:2;54410:2;54411:1;54412:2;54413:1;54414:1;54415:1;</v>
      </c>
      <c r="AC5" s="59" t="str">
        <f t="shared" ref="AC5:AC16" si="1">LEFT(AB5,LEN(AB5)-1)</f>
        <v>54401:2;54402:1;54403:2;54404:1;54405:2;54406:1;54407:2;54408:1;54409:2;54410:2;54411:1;54412:2;54413:1;54414:1;54415:1</v>
      </c>
      <c r="AD5" s="59" t="s">
        <v>640</v>
      </c>
    </row>
    <row r="6" spans="2:30" x14ac:dyDescent="0.3">
      <c r="B6" s="57">
        <v>4</v>
      </c>
      <c r="C6" s="57" cm="1">
        <f t="array" ref="C6">$I$3 + $I$2*(
  $I$4*($B6-1) +
  SUMPRODUCT(--($I$8:$I$20), --($H$8:$H$20&lt;&gt;""), --($B6&gt;$H$8:$H$20), ($B6-$H$8:$H$20))
)</f>
        <v>60</v>
      </c>
      <c r="D6" s="57" cm="1">
        <f t="array" ref="D6">$I$5 + $I$2*(
  $I$6*($B6-1) +
  SUMPRODUCT(--($J$8:$J$20), --($H$8:$H$20&lt;&gt;""), --($B6&gt;$H$8:$H$20), ($B6-$H$8:$H$20))
)</f>
        <v>20</v>
      </c>
      <c r="E6" s="58" t="str">
        <f t="shared" si="0"/>
        <v>302:60;202:20</v>
      </c>
      <c r="F6" s="59" t="s">
        <v>655</v>
      </c>
      <c r="H6" s="56" t="s">
        <v>688</v>
      </c>
      <c r="I6" s="60">
        <v>5</v>
      </c>
      <c r="J6" s="49"/>
      <c r="L6" s="57">
        <v>1</v>
      </c>
      <c r="M6" s="53">
        <v>54501</v>
      </c>
      <c r="N6" s="52">
        <v>54502</v>
      </c>
      <c r="O6" s="53">
        <v>54503</v>
      </c>
      <c r="P6" s="52">
        <v>54504</v>
      </c>
      <c r="Q6" s="53">
        <v>54505</v>
      </c>
      <c r="R6" s="52">
        <v>54506</v>
      </c>
      <c r="S6" s="53">
        <v>54507</v>
      </c>
      <c r="T6" s="52">
        <v>54508</v>
      </c>
      <c r="U6" s="53">
        <v>54509</v>
      </c>
      <c r="V6" s="52">
        <v>54510</v>
      </c>
      <c r="W6" s="53">
        <v>54511</v>
      </c>
      <c r="X6" s="52">
        <v>54512</v>
      </c>
      <c r="Y6" s="53">
        <v>54513</v>
      </c>
      <c r="Z6" s="52">
        <v>54514</v>
      </c>
      <c r="AA6" s="53">
        <v>54515</v>
      </c>
      <c r="AB6" s="59" t="str" cm="1">
        <f t="array" ref="AB6">_xlfn.TEXTJOIN(";",TRUE, M6:AA6&amp;":"&amp;TRANSPOSE(L$5:L$19))&amp;";"</f>
        <v>54501:2;54502:1;54503:2;54504:1;54505:2;54506:1;54507:2;54508:1;54509:2;54510:2;54511:1;54512:2;54513:1;54514:1;54515:1;</v>
      </c>
      <c r="AC6" s="59" t="str">
        <f t="shared" si="1"/>
        <v>54501:2;54502:1;54503:2;54504:1;54505:2;54506:1;54507:2;54508:1;54509:2;54510:2;54511:1;54512:2;54513:1;54514:1;54515:1</v>
      </c>
      <c r="AD6" s="59" t="s">
        <v>641</v>
      </c>
    </row>
    <row r="7" spans="2:30" x14ac:dyDescent="0.3">
      <c r="B7" s="57">
        <v>5</v>
      </c>
      <c r="C7" s="57" cm="1">
        <f t="array" ref="C7">$I$3 + $I$2*(
  $I$4*($B7-1) +
  SUMPRODUCT(--($I$8:$I$20), --($H$8:$H$20&lt;&gt;""), --($B7&gt;$H$8:$H$20), ($B7-$H$8:$H$20))
)</f>
        <v>75</v>
      </c>
      <c r="D7" s="57" cm="1">
        <f t="array" ref="D7">$I$5 + $I$2*(
  $I$6*($B7-1) +
  SUMPRODUCT(--($J$8:$J$20), --($H$8:$H$20&lt;&gt;""), --($B7&gt;$H$8:$H$20), ($B7-$H$8:$H$20))
)</f>
        <v>25</v>
      </c>
      <c r="E7" s="58" t="str">
        <f t="shared" si="0"/>
        <v>302:75;202:25</v>
      </c>
      <c r="F7" s="59" t="s">
        <v>656</v>
      </c>
      <c r="H7" s="56" t="s">
        <v>687</v>
      </c>
      <c r="I7" s="56" t="s">
        <v>686</v>
      </c>
      <c r="J7" s="56" t="s">
        <v>700</v>
      </c>
      <c r="L7" s="57">
        <v>2</v>
      </c>
      <c r="M7" s="53">
        <v>54601</v>
      </c>
      <c r="N7" s="52">
        <v>54602</v>
      </c>
      <c r="O7" s="53">
        <v>54603</v>
      </c>
      <c r="P7" s="52">
        <v>54604</v>
      </c>
      <c r="Q7" s="53">
        <v>54605</v>
      </c>
      <c r="R7" s="52">
        <v>54606</v>
      </c>
      <c r="S7" s="53">
        <v>54607</v>
      </c>
      <c r="T7" s="52">
        <v>54608</v>
      </c>
      <c r="U7" s="53">
        <v>54609</v>
      </c>
      <c r="V7" s="52">
        <v>54610</v>
      </c>
      <c r="W7" s="53">
        <v>54611</v>
      </c>
      <c r="X7" s="52">
        <v>54612</v>
      </c>
      <c r="Y7" s="53">
        <v>54613</v>
      </c>
      <c r="Z7" s="52">
        <v>54614</v>
      </c>
      <c r="AA7" s="53">
        <v>54615</v>
      </c>
      <c r="AB7" s="59" t="str" cm="1">
        <f t="array" ref="AB7">_xlfn.TEXTJOIN(";",TRUE, M7:AA7&amp;":"&amp;TRANSPOSE(L$5:L$19))&amp;";"</f>
        <v>54601:2;54602:1;54603:2;54604:1;54605:2;54606:1;54607:2;54608:1;54609:2;54610:2;54611:1;54612:2;54613:1;54614:1;54615:1;</v>
      </c>
      <c r="AC7" s="59" t="str">
        <f t="shared" si="1"/>
        <v>54601:2;54602:1;54603:2;54604:1;54605:2;54606:1;54607:2;54608:1;54609:2;54610:2;54611:1;54612:2;54613:1;54614:1;54615:1</v>
      </c>
      <c r="AD7" s="59" t="s">
        <v>642</v>
      </c>
    </row>
    <row r="8" spans="2:30" x14ac:dyDescent="0.3">
      <c r="B8" s="57">
        <v>6</v>
      </c>
      <c r="C8" s="57" cm="1">
        <f t="array" ref="C8">$I$3 + $I$2*(
  $I$4*($B8-1) +
  SUMPRODUCT(--($I$8:$I$20), --($H$8:$H$20&lt;&gt;""), --($B8&gt;$H$8:$H$20), ($B8-$H$8:$H$20))
)</f>
        <v>90</v>
      </c>
      <c r="D8" s="57" cm="1">
        <f t="array" ref="D8">$I$5 + $I$2*(
  $I$6*($B8-1) +
  SUMPRODUCT(--($J$8:$J$20), --($H$8:$H$20&lt;&gt;""), --($B8&gt;$H$8:$H$20), ($B8-$H$8:$H$20))
)</f>
        <v>30</v>
      </c>
      <c r="E8" s="58" t="str">
        <f t="shared" si="0"/>
        <v>302:90;202:30</v>
      </c>
      <c r="F8" s="59" t="s">
        <v>657</v>
      </c>
      <c r="H8" s="60">
        <v>6</v>
      </c>
      <c r="I8" s="60">
        <v>5</v>
      </c>
      <c r="J8" s="60">
        <v>5</v>
      </c>
      <c r="L8" s="57">
        <v>1</v>
      </c>
      <c r="M8" s="53">
        <v>54701</v>
      </c>
      <c r="N8" s="52">
        <v>54702</v>
      </c>
      <c r="O8" s="53">
        <v>54703</v>
      </c>
      <c r="P8" s="52">
        <v>54704</v>
      </c>
      <c r="Q8" s="53">
        <v>54705</v>
      </c>
      <c r="R8" s="52">
        <v>54706</v>
      </c>
      <c r="S8" s="53">
        <v>54707</v>
      </c>
      <c r="T8" s="52">
        <v>54708</v>
      </c>
      <c r="U8" s="53">
        <v>54709</v>
      </c>
      <c r="V8" s="52">
        <v>54710</v>
      </c>
      <c r="W8" s="53">
        <v>54711</v>
      </c>
      <c r="X8" s="52">
        <v>54712</v>
      </c>
      <c r="Y8" s="53">
        <v>54713</v>
      </c>
      <c r="Z8" s="52">
        <v>54714</v>
      </c>
      <c r="AA8" s="53">
        <v>54715</v>
      </c>
      <c r="AB8" s="59" t="str" cm="1">
        <f t="array" ref="AB8">_xlfn.TEXTJOIN(";",TRUE, M8:AA8&amp;":"&amp;TRANSPOSE(L$5:L$19))&amp;";"</f>
        <v>54701:2;54702:1;54703:2;54704:1;54705:2;54706:1;54707:2;54708:1;54709:2;54710:2;54711:1;54712:2;54713:1;54714:1;54715:1;</v>
      </c>
      <c r="AC8" s="59" t="str">
        <f t="shared" si="1"/>
        <v>54701:2;54702:1;54703:2;54704:1;54705:2;54706:1;54707:2;54708:1;54709:2;54710:2;54711:1;54712:2;54713:1;54714:1;54715:1</v>
      </c>
      <c r="AD8" s="59" t="s">
        <v>643</v>
      </c>
    </row>
    <row r="9" spans="2:30" x14ac:dyDescent="0.3">
      <c r="B9" s="57">
        <v>7</v>
      </c>
      <c r="C9" s="57" cm="1">
        <f t="array" ref="C9">$I$3 + $I$2*(
  $I$4*($B9-1) +
  SUMPRODUCT(--($I$8:$I$20), --($H$8:$H$20&lt;&gt;""), --($B9&gt;$H$8:$H$20), ($B9-$H$8:$H$20))
)</f>
        <v>110</v>
      </c>
      <c r="D9" s="57" cm="1">
        <f t="array" ref="D9">$I$5 + $I$2*(
  $I$6*($B9-1) +
  SUMPRODUCT(--($J$8:$J$20), --($H$8:$H$20&lt;&gt;""), --($B9&gt;$H$8:$H$20), ($B9-$H$8:$H$20))
)</f>
        <v>40</v>
      </c>
      <c r="E9" s="58" t="str">
        <f t="shared" si="0"/>
        <v>302:110;202:40</v>
      </c>
      <c r="F9" s="59" t="s">
        <v>658</v>
      </c>
      <c r="H9" s="60">
        <v>11</v>
      </c>
      <c r="I9" s="60">
        <v>10</v>
      </c>
      <c r="J9" s="60">
        <v>5</v>
      </c>
      <c r="L9" s="57">
        <v>2</v>
      </c>
      <c r="M9" s="52">
        <v>54801</v>
      </c>
      <c r="N9" s="53">
        <v>54802</v>
      </c>
      <c r="O9" s="52">
        <v>54803</v>
      </c>
      <c r="P9" s="53">
        <v>54804</v>
      </c>
      <c r="Q9" s="52">
        <v>54805</v>
      </c>
      <c r="R9" s="53">
        <v>54806</v>
      </c>
      <c r="S9" s="52">
        <v>54807</v>
      </c>
      <c r="T9" s="53">
        <v>54808</v>
      </c>
      <c r="U9" s="52">
        <v>54809</v>
      </c>
      <c r="V9" s="53">
        <v>54810</v>
      </c>
      <c r="W9" s="52">
        <v>54811</v>
      </c>
      <c r="X9" s="53">
        <v>54812</v>
      </c>
      <c r="Y9" s="52">
        <v>54813</v>
      </c>
      <c r="Z9" s="53">
        <v>54814</v>
      </c>
      <c r="AA9" s="52">
        <v>54815</v>
      </c>
      <c r="AB9" s="59" t="str" cm="1">
        <f t="array" ref="AB9">_xlfn.TEXTJOIN(";",TRUE, M9:AA9&amp;":"&amp;TRANSPOSE(L$5:L$19))&amp;";"</f>
        <v>54801:2;54802:1;54803:2;54804:1;54805:2;54806:1;54807:2;54808:1;54809:2;54810:2;54811:1;54812:2;54813:1;54814:1;54815:1;</v>
      </c>
      <c r="AC9" s="59" t="str">
        <f t="shared" si="1"/>
        <v>54801:2;54802:1;54803:2;54804:1;54805:2;54806:1;54807:2;54808:1;54809:2;54810:2;54811:1;54812:2;54813:1;54814:1;54815:1</v>
      </c>
      <c r="AD9" s="59" t="s">
        <v>644</v>
      </c>
    </row>
    <row r="10" spans="2:30" x14ac:dyDescent="0.3">
      <c r="B10" s="57">
        <v>8</v>
      </c>
      <c r="C10" s="57" cm="1">
        <f t="array" ref="C10">$I$3 + $I$2*(
  $I$4*($B10-1) +
  SUMPRODUCT(--($I$8:$I$20), --($H$8:$H$20&lt;&gt;""), --($B10&gt;$H$8:$H$20), ($B10-$H$8:$H$20))
)</f>
        <v>130</v>
      </c>
      <c r="D10" s="57" cm="1">
        <f t="array" ref="D10">$I$5 + $I$2*(
  $I$6*($B10-1) +
  SUMPRODUCT(--($J$8:$J$20), --($H$8:$H$20&lt;&gt;""), --($B10&gt;$H$8:$H$20), ($B10-$H$8:$H$20))
)</f>
        <v>50</v>
      </c>
      <c r="E10" s="58" t="str">
        <f t="shared" si="0"/>
        <v>302:130;202:50</v>
      </c>
      <c r="F10" s="59" t="s">
        <v>659</v>
      </c>
      <c r="H10" s="60">
        <v>16</v>
      </c>
      <c r="I10" s="60">
        <v>10</v>
      </c>
      <c r="J10" s="60">
        <v>5</v>
      </c>
      <c r="L10" s="57">
        <v>1</v>
      </c>
      <c r="M10" s="53">
        <v>54901</v>
      </c>
      <c r="N10" s="52">
        <v>54902</v>
      </c>
      <c r="O10" s="53">
        <v>54903</v>
      </c>
      <c r="P10" s="52">
        <v>54904</v>
      </c>
      <c r="Q10" s="53">
        <v>54905</v>
      </c>
      <c r="R10" s="52">
        <v>54906</v>
      </c>
      <c r="S10" s="53">
        <v>54907</v>
      </c>
      <c r="T10" s="52">
        <v>54908</v>
      </c>
      <c r="U10" s="53">
        <v>54909</v>
      </c>
      <c r="V10" s="52">
        <v>54910</v>
      </c>
      <c r="W10" s="53">
        <v>54911</v>
      </c>
      <c r="X10" s="52">
        <v>54912</v>
      </c>
      <c r="Y10" s="53">
        <v>54913</v>
      </c>
      <c r="Z10" s="52">
        <v>54914</v>
      </c>
      <c r="AA10" s="53">
        <v>54915</v>
      </c>
      <c r="AB10" s="59" t="str" cm="1">
        <f t="array" ref="AB10">_xlfn.TEXTJOIN(";",TRUE, M10:AA10&amp;":"&amp;TRANSPOSE(L$5:L$19))&amp;";"</f>
        <v>54901:2;54902:1;54903:2;54904:1;54905:2;54906:1;54907:2;54908:1;54909:2;54910:2;54911:1;54912:2;54913:1;54914:1;54915:1;</v>
      </c>
      <c r="AC10" s="59" t="str">
        <f t="shared" si="1"/>
        <v>54901:2;54902:1;54903:2;54904:1;54905:2;54906:1;54907:2;54908:1;54909:2;54910:2;54911:1;54912:2;54913:1;54914:1;54915:1</v>
      </c>
      <c r="AD10" s="59" t="s">
        <v>645</v>
      </c>
    </row>
    <row r="11" spans="2:30" x14ac:dyDescent="0.3">
      <c r="B11" s="57">
        <v>9</v>
      </c>
      <c r="C11" s="57" cm="1">
        <f t="array" ref="C11">$I$3 + $I$2*(
  $I$4*($B11-1) +
  SUMPRODUCT(--($I$8:$I$20), --($H$8:$H$20&lt;&gt;""), --($B11&gt;$H$8:$H$20), ($B11-$H$8:$H$20))
)</f>
        <v>150</v>
      </c>
      <c r="D11" s="57" cm="1">
        <f t="array" ref="D11">$I$5 + $I$2*(
  $I$6*($B11-1) +
  SUMPRODUCT(--($J$8:$J$20), --($H$8:$H$20&lt;&gt;""), --($B11&gt;$H$8:$H$20), ($B11-$H$8:$H$20))
)</f>
        <v>60</v>
      </c>
      <c r="E11" s="58" t="str">
        <f t="shared" si="0"/>
        <v>302:150;202:60</v>
      </c>
      <c r="F11" s="59" t="s">
        <v>226</v>
      </c>
      <c r="H11" s="60">
        <v>20</v>
      </c>
      <c r="I11" s="60">
        <v>15</v>
      </c>
      <c r="J11" s="60">
        <v>10</v>
      </c>
      <c r="L11" s="57">
        <v>2</v>
      </c>
      <c r="M11" s="52">
        <v>550000</v>
      </c>
      <c r="N11" s="53">
        <v>550001</v>
      </c>
      <c r="O11" s="52">
        <v>550002</v>
      </c>
      <c r="P11" s="53">
        <v>550003</v>
      </c>
      <c r="Q11" s="52">
        <v>550004</v>
      </c>
      <c r="R11" s="53">
        <v>550005</v>
      </c>
      <c r="S11" s="52">
        <v>550006</v>
      </c>
      <c r="T11" s="53">
        <v>550007</v>
      </c>
      <c r="U11" s="52">
        <v>550008</v>
      </c>
      <c r="V11" s="53">
        <v>550009</v>
      </c>
      <c r="W11" s="52">
        <v>550010</v>
      </c>
      <c r="X11" s="53">
        <v>550011</v>
      </c>
      <c r="Y11" s="52">
        <v>550012</v>
      </c>
      <c r="Z11" s="53">
        <v>550013</v>
      </c>
      <c r="AA11" s="52">
        <v>550014</v>
      </c>
      <c r="AB11" s="59" t="str" cm="1">
        <f t="array" ref="AB11">_xlfn.TEXTJOIN(";",TRUE, M11:AA11&amp;":"&amp;TRANSPOSE(L$5:L$19))&amp;";"</f>
        <v>550000:2;550001:1;550002:2;550003:1;550004:2;550005:1;550006:2;550007:1;550008:2;550009:2;550010:1;550011:2;550012:1;550013:1;550014:1;</v>
      </c>
      <c r="AC11" s="59" t="str">
        <f t="shared" si="1"/>
        <v>550000:2;550001:1;550002:2;550003:1;550004:2;550005:1;550006:2;550007:1;550008:2;550009:2;550010:1;550011:2;550012:1;550013:1;550014:1</v>
      </c>
      <c r="AD11" s="59" t="s">
        <v>646</v>
      </c>
    </row>
    <row r="12" spans="2:30" x14ac:dyDescent="0.3">
      <c r="B12" s="57">
        <v>10</v>
      </c>
      <c r="C12" s="57" cm="1">
        <f t="array" ref="C12">$I$3 + $I$2*(
  $I$4*($B12-1) +
  SUMPRODUCT(--($I$8:$I$20), --($H$8:$H$20&lt;&gt;""), --($B12&gt;$H$8:$H$20), ($B12-$H$8:$H$20))
)</f>
        <v>170</v>
      </c>
      <c r="D12" s="57" cm="1">
        <f t="array" ref="D12">$I$5 + $I$2*(
  $I$6*($B12-1) +
  SUMPRODUCT(--($J$8:$J$20), --($H$8:$H$20&lt;&gt;""), --($B12&gt;$H$8:$H$20), ($B12-$H$8:$H$20))
)</f>
        <v>70</v>
      </c>
      <c r="E12" s="58" t="str">
        <f t="shared" si="0"/>
        <v>302:170;202:70</v>
      </c>
      <c r="F12" s="59" t="s">
        <v>660</v>
      </c>
      <c r="H12" s="60">
        <v>24</v>
      </c>
      <c r="I12" s="60">
        <v>15</v>
      </c>
      <c r="J12" s="60">
        <v>10</v>
      </c>
      <c r="L12" s="57">
        <v>1</v>
      </c>
      <c r="M12" s="53">
        <v>550100</v>
      </c>
      <c r="N12" s="52">
        <v>550101</v>
      </c>
      <c r="O12" s="53">
        <v>550102</v>
      </c>
      <c r="P12" s="52">
        <v>550103</v>
      </c>
      <c r="Q12" s="53">
        <v>550104</v>
      </c>
      <c r="R12" s="52">
        <v>550105</v>
      </c>
      <c r="S12" s="53">
        <v>550106</v>
      </c>
      <c r="T12" s="52">
        <v>550107</v>
      </c>
      <c r="U12" s="53">
        <v>550108</v>
      </c>
      <c r="V12" s="52">
        <v>550109</v>
      </c>
      <c r="W12" s="53">
        <v>550110</v>
      </c>
      <c r="X12" s="52">
        <v>550111</v>
      </c>
      <c r="Y12" s="53">
        <v>550112</v>
      </c>
      <c r="Z12" s="52">
        <v>550113</v>
      </c>
      <c r="AA12" s="53">
        <v>550114</v>
      </c>
      <c r="AB12" s="59" t="str" cm="1">
        <f t="array" ref="AB12">_xlfn.TEXTJOIN(";",TRUE, M12:AA12&amp;":"&amp;TRANSPOSE(L$5:L$19))&amp;";"</f>
        <v>550100:2;550101:1;550102:2;550103:1;550104:2;550105:1;550106:2;550107:1;550108:2;550109:2;550110:1;550111:2;550112:1;550113:1;550114:1;</v>
      </c>
      <c r="AC12" s="59" t="str">
        <f t="shared" si="1"/>
        <v>550100:2;550101:1;550102:2;550103:1;550104:2;550105:1;550106:2;550107:1;550108:2;550109:2;550110:1;550111:2;550112:1;550113:1;550114:1</v>
      </c>
      <c r="AD12" s="59" t="s">
        <v>647</v>
      </c>
    </row>
    <row r="13" spans="2:30" x14ac:dyDescent="0.3">
      <c r="B13" s="57">
        <v>11</v>
      </c>
      <c r="C13" s="57" cm="1">
        <f t="array" ref="C13">$I$3 + $I$2*(
  $I$4*($B13-1) +
  SUMPRODUCT(--($I$8:$I$20), --($H$8:$H$20&lt;&gt;""), --($B13&gt;$H$8:$H$20), ($B13-$H$8:$H$20))
)</f>
        <v>190</v>
      </c>
      <c r="D13" s="57" cm="1">
        <f t="array" ref="D13">$I$5 + $I$2*(
  $I$6*($B13-1) +
  SUMPRODUCT(--($J$8:$J$20), --($H$8:$H$20&lt;&gt;""), --($B13&gt;$H$8:$H$20), ($B13-$H$8:$H$20))
)</f>
        <v>80</v>
      </c>
      <c r="E13" s="58" t="str">
        <f t="shared" si="0"/>
        <v>302:190;202:80</v>
      </c>
      <c r="F13" s="59" t="s">
        <v>661</v>
      </c>
      <c r="H13" s="60">
        <v>30</v>
      </c>
      <c r="I13" s="60">
        <v>15</v>
      </c>
      <c r="J13" s="60">
        <v>10</v>
      </c>
      <c r="L13" s="57">
        <v>2</v>
      </c>
      <c r="M13" s="52">
        <v>550200</v>
      </c>
      <c r="N13" s="53">
        <v>550201</v>
      </c>
      <c r="O13" s="52">
        <v>550202</v>
      </c>
      <c r="P13" s="53">
        <v>550203</v>
      </c>
      <c r="Q13" s="52">
        <v>550204</v>
      </c>
      <c r="R13" s="53">
        <v>550205</v>
      </c>
      <c r="S13" s="52">
        <v>550206</v>
      </c>
      <c r="T13" s="53">
        <v>550207</v>
      </c>
      <c r="U13" s="52">
        <v>550208</v>
      </c>
      <c r="V13" s="53">
        <v>550209</v>
      </c>
      <c r="W13" s="52">
        <v>550210</v>
      </c>
      <c r="X13" s="53">
        <v>550211</v>
      </c>
      <c r="Y13" s="52">
        <v>550212</v>
      </c>
      <c r="Z13" s="53">
        <v>550213</v>
      </c>
      <c r="AA13" s="52">
        <v>550214</v>
      </c>
      <c r="AB13" s="59" t="str" cm="1">
        <f t="array" ref="AB13">_xlfn.TEXTJOIN(";",TRUE, M13:AA13&amp;":"&amp;TRANSPOSE(L$5:L$19))&amp;";"</f>
        <v>550200:2;550201:1;550202:2;550203:1;550204:2;550205:1;550206:2;550207:1;550208:2;550209:2;550210:1;550211:2;550212:1;550213:1;550214:1;</v>
      </c>
      <c r="AC13" s="59" t="str">
        <f t="shared" si="1"/>
        <v>550200:2;550201:1;550202:2;550203:1;550204:2;550205:1;550206:2;550207:1;550208:2;550209:2;550210:1;550211:2;550212:1;550213:1;550214:1</v>
      </c>
      <c r="AD13" s="59" t="s">
        <v>648</v>
      </c>
    </row>
    <row r="14" spans="2:30" x14ac:dyDescent="0.3">
      <c r="B14" s="57">
        <v>12</v>
      </c>
      <c r="C14" s="57" cm="1">
        <f t="array" ref="C14">$I$3 + $I$2*(
  $I$4*($B14-1) +
  SUMPRODUCT(--($I$8:$I$20), --($H$8:$H$20&lt;&gt;""), --($B14&gt;$H$8:$H$20), ($B14-$H$8:$H$20))
)</f>
        <v>220</v>
      </c>
      <c r="D14" s="57" cm="1">
        <f t="array" ref="D14">$I$5 + $I$2*(
  $I$6*($B14-1) +
  SUMPRODUCT(--($J$8:$J$20), --($H$8:$H$20&lt;&gt;""), --($B14&gt;$H$8:$H$20), ($B14-$H$8:$H$20))
)</f>
        <v>95</v>
      </c>
      <c r="E14" s="58" t="str">
        <f t="shared" si="0"/>
        <v>302:220;202:95</v>
      </c>
      <c r="F14" s="59" t="s">
        <v>662</v>
      </c>
      <c r="H14" s="60">
        <v>35</v>
      </c>
      <c r="I14" s="60">
        <v>20</v>
      </c>
      <c r="J14" s="60">
        <v>15</v>
      </c>
      <c r="L14" s="57">
        <v>2</v>
      </c>
      <c r="M14" s="53">
        <v>550300</v>
      </c>
      <c r="N14" s="52">
        <v>550301</v>
      </c>
      <c r="O14" s="53">
        <v>550302</v>
      </c>
      <c r="P14" s="52">
        <v>550303</v>
      </c>
      <c r="Q14" s="53">
        <v>550304</v>
      </c>
      <c r="R14" s="52">
        <v>550305</v>
      </c>
      <c r="S14" s="53">
        <v>550306</v>
      </c>
      <c r="T14" s="52">
        <v>550307</v>
      </c>
      <c r="U14" s="53">
        <v>550308</v>
      </c>
      <c r="V14" s="52">
        <v>550309</v>
      </c>
      <c r="W14" s="53">
        <v>550310</v>
      </c>
      <c r="X14" s="52">
        <v>550311</v>
      </c>
      <c r="Y14" s="53">
        <v>550312</v>
      </c>
      <c r="Z14" s="52">
        <v>550313</v>
      </c>
      <c r="AA14" s="53">
        <v>550314</v>
      </c>
      <c r="AB14" s="59" t="str" cm="1">
        <f t="array" ref="AB14">_xlfn.TEXTJOIN(";",TRUE, M14:AA14&amp;":"&amp;TRANSPOSE(L$5:L$19))&amp;";"</f>
        <v>550300:2;550301:1;550302:2;550303:1;550304:2;550305:1;550306:2;550307:1;550308:2;550309:2;550310:1;550311:2;550312:1;550313:1;550314:1;</v>
      </c>
      <c r="AC14" s="59" t="str">
        <f t="shared" si="1"/>
        <v>550300:2;550301:1;550302:2;550303:1;550304:2;550305:1;550306:2;550307:1;550308:2;550309:2;550310:1;550311:2;550312:1;550313:1;550314:1</v>
      </c>
      <c r="AD14" s="59" t="s">
        <v>649</v>
      </c>
    </row>
    <row r="15" spans="2:30" x14ac:dyDescent="0.3">
      <c r="B15" s="57">
        <v>13</v>
      </c>
      <c r="C15" s="57" cm="1">
        <f t="array" ref="C15">$I$3 + $I$2*(
  $I$4*($B15-1) +
  SUMPRODUCT(--($I$8:$I$20), --($H$8:$H$20&lt;&gt;""), --($B15&gt;$H$8:$H$20), ($B15-$H$8:$H$20))
)</f>
        <v>250</v>
      </c>
      <c r="D15" s="57" cm="1">
        <f t="array" ref="D15">$I$5 + $I$2*(
  $I$6*($B15-1) +
  SUMPRODUCT(--($J$8:$J$20), --($H$8:$H$20&lt;&gt;""), --($B15&gt;$H$8:$H$20), ($B15-$H$8:$H$20))
)</f>
        <v>110</v>
      </c>
      <c r="E15" s="58" t="str">
        <f t="shared" si="0"/>
        <v>302:250;202:110</v>
      </c>
      <c r="F15" s="59" t="s">
        <v>663</v>
      </c>
      <c r="H15" s="49"/>
      <c r="I15" s="49"/>
      <c r="J15" s="49"/>
      <c r="L15" s="57">
        <v>1</v>
      </c>
      <c r="M15" s="52">
        <v>550400</v>
      </c>
      <c r="N15" s="53">
        <v>550401</v>
      </c>
      <c r="O15" s="52">
        <v>550402</v>
      </c>
      <c r="P15" s="53">
        <v>550403</v>
      </c>
      <c r="Q15" s="52">
        <v>550404</v>
      </c>
      <c r="R15" s="53">
        <v>550405</v>
      </c>
      <c r="S15" s="52">
        <v>550406</v>
      </c>
      <c r="T15" s="53">
        <v>550407</v>
      </c>
      <c r="U15" s="52">
        <v>550408</v>
      </c>
      <c r="V15" s="53">
        <v>550409</v>
      </c>
      <c r="W15" s="52">
        <v>550410</v>
      </c>
      <c r="X15" s="53">
        <v>550411</v>
      </c>
      <c r="Y15" s="52">
        <v>550412</v>
      </c>
      <c r="Z15" s="53">
        <v>550413</v>
      </c>
      <c r="AA15" s="52">
        <v>550414</v>
      </c>
      <c r="AB15" s="59" t="str" cm="1">
        <f t="array" ref="AB15">_xlfn.TEXTJOIN(";",TRUE, M15:AA15&amp;":"&amp;TRANSPOSE(L$5:L$19))&amp;";"</f>
        <v>550400:2;550401:1;550402:2;550403:1;550404:2;550405:1;550406:2;550407:1;550408:2;550409:2;550410:1;550411:2;550412:1;550413:1;550414:1;</v>
      </c>
      <c r="AC15" s="59" t="str">
        <f t="shared" si="1"/>
        <v>550400:2;550401:1;550402:2;550403:1;550404:2;550405:1;550406:2;550407:1;550408:2;550409:2;550410:1;550411:2;550412:1;550413:1;550414:1</v>
      </c>
      <c r="AD15" s="59" t="s">
        <v>650</v>
      </c>
    </row>
    <row r="16" spans="2:30" x14ac:dyDescent="0.3">
      <c r="B16" s="57">
        <v>14</v>
      </c>
      <c r="C16" s="57" cm="1">
        <f t="array" ref="C16">$I$3 + $I$2*(
  $I$4*($B16-1) +
  SUMPRODUCT(--($I$8:$I$20), --($H$8:$H$20&lt;&gt;""), --($B16&gt;$H$8:$H$20), ($B16-$H$8:$H$20))
)</f>
        <v>280</v>
      </c>
      <c r="D16" s="57" cm="1">
        <f t="array" ref="D16">$I$5 + $I$2*(
  $I$6*($B16-1) +
  SUMPRODUCT(--($J$8:$J$20), --($H$8:$H$20&lt;&gt;""), --($B16&gt;$H$8:$H$20), ($B16-$H$8:$H$20))
)</f>
        <v>125</v>
      </c>
      <c r="E16" s="58" t="str">
        <f t="shared" si="0"/>
        <v>302:280;202:125</v>
      </c>
      <c r="F16" s="59" t="s">
        <v>664</v>
      </c>
      <c r="H16" s="49"/>
      <c r="I16" s="49"/>
      <c r="J16" s="49"/>
      <c r="L16" s="57">
        <v>2</v>
      </c>
      <c r="M16" s="50">
        <v>550500</v>
      </c>
      <c r="N16" s="51">
        <v>550501</v>
      </c>
      <c r="O16" s="50">
        <v>550502</v>
      </c>
      <c r="P16" s="51">
        <v>550503</v>
      </c>
      <c r="Q16" s="50">
        <v>550504</v>
      </c>
      <c r="R16" s="51">
        <v>550505</v>
      </c>
      <c r="S16" s="50">
        <v>550506</v>
      </c>
      <c r="T16" s="51">
        <v>550507</v>
      </c>
      <c r="U16" s="50">
        <v>550508</v>
      </c>
      <c r="V16" s="51">
        <v>550509</v>
      </c>
      <c r="W16" s="50">
        <v>550510</v>
      </c>
      <c r="X16" s="51">
        <v>550511</v>
      </c>
      <c r="Y16" s="50">
        <v>550512</v>
      </c>
      <c r="Z16" s="51">
        <v>550513</v>
      </c>
      <c r="AA16" s="50">
        <v>550514</v>
      </c>
      <c r="AB16" s="59" t="str" cm="1">
        <f t="array" ref="AB16">_xlfn.TEXTJOIN(";",TRUE, M16:AA16&amp;":"&amp;TRANSPOSE(L$5:L$19))&amp;";"</f>
        <v>550500:2;550501:1;550502:2;550503:1;550504:2;550505:1;550506:2;550507:1;550508:2;550509:2;550510:1;550511:2;550512:1;550513:1;550514:1;</v>
      </c>
      <c r="AC16" s="59" t="str">
        <f t="shared" si="1"/>
        <v>550500:2;550501:1;550502:2;550503:1;550504:2;550505:1;550506:2;550507:1;550508:2;550509:2;550510:1;550511:2;550512:1;550513:1;550514:1</v>
      </c>
      <c r="AD16" s="59" t="s">
        <v>651</v>
      </c>
    </row>
    <row r="17" spans="2:30" x14ac:dyDescent="0.2">
      <c r="B17" s="57">
        <v>15</v>
      </c>
      <c r="C17" s="57" cm="1">
        <f t="array" ref="C17">$I$3 + $I$2*(
  $I$4*($B17-1) +
  SUMPRODUCT(--($I$8:$I$20), --($H$8:$H$20&lt;&gt;""), --($B17&gt;$H$8:$H$20), ($B17-$H$8:$H$20))
)</f>
        <v>310</v>
      </c>
      <c r="D17" s="57" cm="1">
        <f t="array" ref="D17">$I$5 + $I$2*(
  $I$6*($B17-1) +
  SUMPRODUCT(--($J$8:$J$20), --($H$8:$H$20&lt;&gt;""), --($B17&gt;$H$8:$H$20), ($B17-$H$8:$H$20))
)</f>
        <v>140</v>
      </c>
      <c r="E17" s="58" t="str">
        <f t="shared" si="0"/>
        <v>302:310;202:140</v>
      </c>
      <c r="F17" s="59" t="s">
        <v>665</v>
      </c>
      <c r="H17" s="49"/>
      <c r="I17" s="49"/>
      <c r="J17" s="49"/>
      <c r="L17" s="57">
        <v>1</v>
      </c>
      <c r="M17" s="49"/>
      <c r="N17" s="49"/>
      <c r="O17" s="49"/>
      <c r="P17" s="49"/>
      <c r="Q17" s="49"/>
      <c r="R17" s="49"/>
      <c r="S17" s="49"/>
      <c r="T17" s="49"/>
      <c r="U17" s="49"/>
      <c r="V17" s="49"/>
      <c r="W17" s="49"/>
      <c r="X17" s="49"/>
      <c r="Y17" s="49"/>
      <c r="Z17" s="49"/>
      <c r="AA17" s="49"/>
      <c r="AB17" s="59"/>
      <c r="AC17" s="59"/>
      <c r="AD17" s="59"/>
    </row>
    <row r="18" spans="2:30" x14ac:dyDescent="0.2">
      <c r="B18" s="57">
        <v>16</v>
      </c>
      <c r="C18" s="57" cm="1">
        <f t="array" ref="C18">$I$3 + $I$2*(
  $I$4*($B18-1) +
  SUMPRODUCT(--($I$8:$I$20), --($H$8:$H$20&lt;&gt;""), --($B18&gt;$H$8:$H$20), ($B18-$H$8:$H$20))
)</f>
        <v>340</v>
      </c>
      <c r="D18" s="57" cm="1">
        <f t="array" ref="D18">$I$5 + $I$2*(
  $I$6*($B18-1) +
  SUMPRODUCT(--($J$8:$J$20), --($H$8:$H$20&lt;&gt;""), --($B18&gt;$H$8:$H$20), ($B18-$H$8:$H$20))
)</f>
        <v>155</v>
      </c>
      <c r="E18" s="58" t="str">
        <f t="shared" si="0"/>
        <v>302:340;202:155</v>
      </c>
      <c r="F18" s="59" t="s">
        <v>666</v>
      </c>
      <c r="H18" s="49"/>
      <c r="I18" s="49"/>
      <c r="J18" s="49"/>
      <c r="L18" s="57">
        <v>1</v>
      </c>
      <c r="M18" s="49"/>
      <c r="N18" s="49"/>
      <c r="O18" s="49"/>
      <c r="P18" s="49"/>
      <c r="Q18" s="49"/>
      <c r="R18" s="49"/>
      <c r="S18" s="49"/>
      <c r="T18" s="49"/>
      <c r="U18" s="49"/>
      <c r="V18" s="49"/>
      <c r="W18" s="49"/>
      <c r="X18" s="49"/>
      <c r="Y18" s="49"/>
      <c r="Z18" s="49"/>
      <c r="AA18" s="49"/>
      <c r="AB18" s="59"/>
      <c r="AC18" s="59"/>
      <c r="AD18" s="59"/>
    </row>
    <row r="19" spans="2:30" x14ac:dyDescent="0.2">
      <c r="B19" s="57">
        <v>17</v>
      </c>
      <c r="C19" s="57" cm="1">
        <f t="array" ref="C19">$I$3 + $I$2*(
  $I$4*($B19-1) +
  SUMPRODUCT(--($I$8:$I$20), --($H$8:$H$20&lt;&gt;""), --($B19&gt;$H$8:$H$20), ($B19-$H$8:$H$20))
)</f>
        <v>380</v>
      </c>
      <c r="D19" s="57" cm="1">
        <f t="array" ref="D19">$I$5 + $I$2*(
  $I$6*($B19-1) +
  SUMPRODUCT(--($J$8:$J$20), --($H$8:$H$20&lt;&gt;""), --($B19&gt;$H$8:$H$20), ($B19-$H$8:$H$20))
)</f>
        <v>175</v>
      </c>
      <c r="E19" s="58" t="str">
        <f t="shared" si="0"/>
        <v>302:380;202:175</v>
      </c>
      <c r="F19" s="59" t="s">
        <v>667</v>
      </c>
      <c r="H19" s="49"/>
      <c r="I19" s="49"/>
      <c r="J19" s="49"/>
      <c r="L19" s="57">
        <v>1</v>
      </c>
      <c r="M19" s="49"/>
      <c r="N19" s="49"/>
      <c r="O19" s="49"/>
      <c r="P19" s="49"/>
      <c r="Q19" s="49"/>
      <c r="R19" s="49"/>
      <c r="S19" s="49"/>
      <c r="T19" s="49"/>
      <c r="U19" s="49"/>
      <c r="V19" s="49"/>
      <c r="W19" s="49"/>
      <c r="X19" s="49"/>
      <c r="Y19" s="49"/>
      <c r="Z19" s="49"/>
      <c r="AA19" s="49"/>
      <c r="AB19" s="59"/>
      <c r="AC19" s="59"/>
      <c r="AD19" s="59"/>
    </row>
    <row r="20" spans="2:30" x14ac:dyDescent="0.2">
      <c r="B20" s="57">
        <v>18</v>
      </c>
      <c r="C20" s="57" cm="1">
        <f t="array" ref="C20">$I$3 + $I$2*(
  $I$4*($B20-1) +
  SUMPRODUCT(--($I$8:$I$20), --($H$8:$H$20&lt;&gt;""), --($B20&gt;$H$8:$H$20), ($B20-$H$8:$H$20))
)</f>
        <v>420</v>
      </c>
      <c r="D20" s="57" cm="1">
        <f t="array" ref="D20">$I$5 + $I$2*(
  $I$6*($B20-1) +
  SUMPRODUCT(--($J$8:$J$20), --($H$8:$H$20&lt;&gt;""), --($B20&gt;$H$8:$H$20), ($B20-$H$8:$H$20))
)</f>
        <v>195</v>
      </c>
      <c r="E20" s="58" t="str">
        <f t="shared" si="0"/>
        <v>302:420;202:195</v>
      </c>
      <c r="F20" s="59" t="s">
        <v>668</v>
      </c>
      <c r="H20" s="49"/>
      <c r="I20" s="49"/>
      <c r="J20" s="49"/>
    </row>
    <row r="21" spans="2:30" x14ac:dyDescent="0.2">
      <c r="B21" s="57">
        <v>19</v>
      </c>
      <c r="C21" s="57" cm="1">
        <f t="array" ref="C21">$I$3 + $I$2*(
  $I$4*($B21-1) +
  SUMPRODUCT(--($I$8:$I$20), --($H$8:$H$20&lt;&gt;""), --($B21&gt;$H$8:$H$20), ($B21-$H$8:$H$20))
)</f>
        <v>460</v>
      </c>
      <c r="D21" s="57" cm="1">
        <f t="array" ref="D21">$I$5 + $I$2*(
  $I$6*($B21-1) +
  SUMPRODUCT(--($J$8:$J$20), --($H$8:$H$20&lt;&gt;""), --($B21&gt;$H$8:$H$20), ($B21-$H$8:$H$20))
)</f>
        <v>215</v>
      </c>
      <c r="E21" s="58" t="str">
        <f t="shared" si="0"/>
        <v>302:460;202:215</v>
      </c>
      <c r="F21" s="59" t="s">
        <v>669</v>
      </c>
    </row>
    <row r="22" spans="2:30" x14ac:dyDescent="0.2">
      <c r="B22" s="57">
        <v>20</v>
      </c>
      <c r="C22" s="57" cm="1">
        <f t="array" ref="C22">$I$3 + $I$2*(
  $I$4*($B22-1) +
  SUMPRODUCT(--($I$8:$I$20), --($H$8:$H$20&lt;&gt;""), --($B22&gt;$H$8:$H$20), ($B22-$H$8:$H$20))
)</f>
        <v>500</v>
      </c>
      <c r="D22" s="57" cm="1">
        <f t="array" ref="D22">$I$5 + $I$2*(
  $I$6*($B22-1) +
  SUMPRODUCT(--($J$8:$J$20), --($H$8:$H$20&lt;&gt;""), --($B22&gt;$H$8:$H$20), ($B22-$H$8:$H$20))
)</f>
        <v>235</v>
      </c>
      <c r="E22" s="58" t="str">
        <f t="shared" si="0"/>
        <v>302:500;202:235</v>
      </c>
      <c r="F22" s="59" t="s">
        <v>670</v>
      </c>
    </row>
    <row r="23" spans="2:30" x14ac:dyDescent="0.2">
      <c r="B23" s="57">
        <v>21</v>
      </c>
      <c r="C23" s="57" cm="1">
        <f t="array" ref="C23">$I$3 + $I$2*(
  $I$4*($B23-1) +
  SUMPRODUCT(--($I$8:$I$20), --($H$8:$H$20&lt;&gt;""), --($B23&gt;$H$8:$H$20), ($B23-$H$8:$H$20))
)</f>
        <v>555</v>
      </c>
      <c r="D23" s="57" cm="1">
        <f t="array" ref="D23">$I$5 + $I$2*(
  $I$6*($B23-1) +
  SUMPRODUCT(--($J$8:$J$20), --($H$8:$H$20&lt;&gt;""), --($B23&gt;$H$8:$H$20), ($B23-$H$8:$H$20))
)</f>
        <v>265</v>
      </c>
      <c r="E23" s="58" t="str">
        <f t="shared" si="0"/>
        <v>302:555;202:265</v>
      </c>
      <c r="F23" s="59" t="s">
        <v>671</v>
      </c>
      <c r="L23" s="47" t="s">
        <v>709</v>
      </c>
    </row>
    <row r="24" spans="2:30" x14ac:dyDescent="0.3">
      <c r="B24" s="57">
        <v>22</v>
      </c>
      <c r="C24" s="57" cm="1">
        <f t="array" ref="C24">$I$3 + $I$2*(
  $I$4*($B24-1) +
  SUMPRODUCT(--($I$8:$I$20), --($H$8:$H$20&lt;&gt;""), --($B24&gt;$H$8:$H$20), ($B24-$H$8:$H$20))
)</f>
        <v>610</v>
      </c>
      <c r="D24" s="57" cm="1">
        <f t="array" ref="D24">$I$5 + $I$2*(
  $I$6*($B24-1) +
  SUMPRODUCT(--($J$8:$J$20), --($H$8:$H$20&lt;&gt;""), --($B24&gt;$H$8:$H$20), ($B24-$H$8:$H$20))
)</f>
        <v>295</v>
      </c>
      <c r="E24" s="58" t="str">
        <f t="shared" si="0"/>
        <v>302:610;202:295</v>
      </c>
      <c r="F24" s="59" t="s">
        <v>672</v>
      </c>
      <c r="K24" s="47">
        <v>52101</v>
      </c>
      <c r="L24" s="62" t="s">
        <v>701</v>
      </c>
      <c r="M24" s="47" t="str">
        <f>$L$23&amp;C3&amp;"%"</f>
        <v>怪物血量+15%</v>
      </c>
      <c r="N24" s="47" t="s">
        <v>701</v>
      </c>
    </row>
    <row r="25" spans="2:30" x14ac:dyDescent="0.3">
      <c r="B25" s="57">
        <v>23</v>
      </c>
      <c r="C25" s="57" cm="1">
        <f t="array" ref="C25">$I$3 + $I$2*(
  $I$4*($B25-1) +
  SUMPRODUCT(--($I$8:$I$20), --($H$8:$H$20&lt;&gt;""), --($B25&gt;$H$8:$H$20), ($B25-$H$8:$H$20))
)</f>
        <v>665</v>
      </c>
      <c r="D25" s="57" cm="1">
        <f t="array" ref="D25">$I$5 + $I$2*(
  $I$6*($B25-1) +
  SUMPRODUCT(--($J$8:$J$20), --($H$8:$H$20&lt;&gt;""), --($B25&gt;$H$8:$H$20), ($B25-$H$8:$H$20))
)</f>
        <v>325</v>
      </c>
      <c r="E25" s="58" t="str">
        <f t="shared" si="0"/>
        <v>302:665;202:325</v>
      </c>
      <c r="F25" s="59" t="s">
        <v>673</v>
      </c>
      <c r="K25" s="47">
        <v>52201</v>
      </c>
      <c r="L25" s="63" t="s">
        <v>702</v>
      </c>
      <c r="M25" s="47" t="str">
        <f t="shared" ref="M25:M58" si="2">$L$23&amp;C4&amp;"%"</f>
        <v>怪物血量+30%</v>
      </c>
      <c r="N25" s="47" t="s">
        <v>702</v>
      </c>
    </row>
    <row r="26" spans="2:30" x14ac:dyDescent="0.3">
      <c r="B26" s="57">
        <v>24</v>
      </c>
      <c r="C26" s="57" cm="1">
        <f t="array" ref="C26">$I$3 + $I$2*(
  $I$4*($B26-1) +
  SUMPRODUCT(--($I$8:$I$20), --($H$8:$H$20&lt;&gt;""), --($B26&gt;$H$8:$H$20), ($B26-$H$8:$H$20))
)</f>
        <v>720</v>
      </c>
      <c r="D26" s="57" cm="1">
        <f t="array" ref="D26">$I$5 + $I$2*(
  $I$6*($B26-1) +
  SUMPRODUCT(--($J$8:$J$20), --($H$8:$H$20&lt;&gt;""), --($B26&gt;$H$8:$H$20), ($B26-$H$8:$H$20))
)</f>
        <v>355</v>
      </c>
      <c r="E26" s="58" t="str">
        <f t="shared" si="0"/>
        <v>302:720;202:355</v>
      </c>
      <c r="F26" s="59" t="s">
        <v>674</v>
      </c>
      <c r="K26" s="47">
        <v>52301</v>
      </c>
      <c r="L26" s="62" t="s">
        <v>703</v>
      </c>
      <c r="M26" s="47" t="str">
        <f t="shared" si="2"/>
        <v>怪物血量+45%</v>
      </c>
      <c r="N26" s="47" t="s">
        <v>703</v>
      </c>
    </row>
    <row r="27" spans="2:30" x14ac:dyDescent="0.3">
      <c r="B27" s="57">
        <v>25</v>
      </c>
      <c r="C27" s="57" cm="1">
        <f t="array" ref="C27">$I$3 + $I$2*(
  $I$4*($B27-1) +
  SUMPRODUCT(--($I$8:$I$20), --($H$8:$H$20&lt;&gt;""), --($B27&gt;$H$8:$H$20), ($B27-$H$8:$H$20))
)</f>
        <v>790</v>
      </c>
      <c r="D27" s="57" cm="1">
        <f t="array" ref="D27">$I$5 + $I$2*(
  $I$6*($B27-1) +
  SUMPRODUCT(--($J$8:$J$20), --($H$8:$H$20&lt;&gt;""), --($B27&gt;$H$8:$H$20), ($B27-$H$8:$H$20))
)</f>
        <v>395</v>
      </c>
      <c r="E27" s="58" t="str">
        <f t="shared" si="0"/>
        <v>302:790;202:395</v>
      </c>
      <c r="F27" s="59" t="s">
        <v>675</v>
      </c>
      <c r="K27" s="47">
        <v>52401</v>
      </c>
      <c r="L27" s="63" t="s">
        <v>704</v>
      </c>
      <c r="M27" s="47" t="str">
        <f t="shared" si="2"/>
        <v>怪物血量+60%</v>
      </c>
      <c r="N27" s="47" t="s">
        <v>704</v>
      </c>
    </row>
    <row r="28" spans="2:30" x14ac:dyDescent="0.3">
      <c r="B28" s="57">
        <v>26</v>
      </c>
      <c r="C28" s="57" cm="1">
        <f t="array" ref="C28">$I$3 + $I$2*(
  $I$4*($B28-1) +
  SUMPRODUCT(--($I$8:$I$20), --($H$8:$H$20&lt;&gt;""), --($B28&gt;$H$8:$H$20), ($B28-$H$8:$H$20))
)</f>
        <v>860</v>
      </c>
      <c r="D28" s="57" cm="1">
        <f t="array" ref="D28">$I$5 + $I$2*(
  $I$6*($B28-1) +
  SUMPRODUCT(--($J$8:$J$20), --($H$8:$H$20&lt;&gt;""), --($B28&gt;$H$8:$H$20), ($B28-$H$8:$H$20))
)</f>
        <v>435</v>
      </c>
      <c r="E28" s="58" t="str">
        <f t="shared" si="0"/>
        <v>302:860;202:435</v>
      </c>
      <c r="F28" s="59" t="s">
        <v>676</v>
      </c>
      <c r="K28" s="47">
        <v>52503</v>
      </c>
      <c r="L28" s="62" t="s">
        <v>705</v>
      </c>
      <c r="M28" s="47" t="str">
        <f t="shared" si="2"/>
        <v>怪物血量+75%</v>
      </c>
      <c r="N28" s="47" t="s">
        <v>705</v>
      </c>
    </row>
    <row r="29" spans="2:30" x14ac:dyDescent="0.3">
      <c r="B29" s="57">
        <v>27</v>
      </c>
      <c r="C29" s="57" cm="1">
        <f t="array" ref="C29">$I$3 + $I$2*(
  $I$4*($B29-1) +
  SUMPRODUCT(--($I$8:$I$20), --($H$8:$H$20&lt;&gt;""), --($B29&gt;$H$8:$H$20), ($B29-$H$8:$H$20))
)</f>
        <v>930</v>
      </c>
      <c r="D29" s="57" cm="1">
        <f t="array" ref="D29">$I$5 + $I$2*(
  $I$6*($B29-1) +
  SUMPRODUCT(--($J$8:$J$20), --($H$8:$H$20&lt;&gt;""), --($B29&gt;$H$8:$H$20), ($B29-$H$8:$H$20))
)</f>
        <v>475</v>
      </c>
      <c r="E29" s="58" t="str">
        <f t="shared" si="0"/>
        <v>302:930;202:475</v>
      </c>
      <c r="F29" s="59" t="s">
        <v>677</v>
      </c>
      <c r="K29" s="47">
        <v>52603</v>
      </c>
      <c r="L29" s="63" t="s">
        <v>706</v>
      </c>
      <c r="M29" s="47" t="str">
        <f t="shared" si="2"/>
        <v>怪物血量+90%</v>
      </c>
      <c r="N29" s="47" t="s">
        <v>706</v>
      </c>
    </row>
    <row r="30" spans="2:30" x14ac:dyDescent="0.3">
      <c r="B30" s="57">
        <v>28</v>
      </c>
      <c r="C30" s="57" cm="1">
        <f t="array" ref="C30">$I$3 + $I$2*(
  $I$4*($B30-1) +
  SUMPRODUCT(--($I$8:$I$20), --($H$8:$H$20&lt;&gt;""), --($B30&gt;$H$8:$H$20), ($B30-$H$8:$H$20))
)</f>
        <v>1000</v>
      </c>
      <c r="D30" s="57" cm="1">
        <f t="array" ref="D30">$I$5 + $I$2*(
  $I$6*($B30-1) +
  SUMPRODUCT(--($J$8:$J$20), --($H$8:$H$20&lt;&gt;""), --($B30&gt;$H$8:$H$20), ($B30-$H$8:$H$20))
)</f>
        <v>515</v>
      </c>
      <c r="E30" s="58" t="str">
        <f t="shared" si="0"/>
        <v>302:1000;202:515</v>
      </c>
      <c r="F30" s="59" t="s">
        <v>678</v>
      </c>
      <c r="K30" s="47">
        <v>52703</v>
      </c>
      <c r="L30" s="62" t="s">
        <v>710</v>
      </c>
      <c r="M30" s="47" t="str">
        <f t="shared" si="2"/>
        <v>怪物血量+110%</v>
      </c>
      <c r="N30" s="47" t="s">
        <v>710</v>
      </c>
    </row>
    <row r="31" spans="2:30" x14ac:dyDescent="0.3">
      <c r="B31" s="57">
        <v>29</v>
      </c>
      <c r="C31" s="57" cm="1">
        <f t="array" ref="C31">$I$3 + $I$2*(
  $I$4*($B31-1) +
  SUMPRODUCT(--($I$8:$I$20), --($H$8:$H$20&lt;&gt;""), --($B31&gt;$H$8:$H$20), ($B31-$H$8:$H$20))
)</f>
        <v>1070</v>
      </c>
      <c r="D31" s="57" cm="1">
        <f t="array" ref="D31">$I$5 + $I$2*(
  $I$6*($B31-1) +
  SUMPRODUCT(--($J$8:$J$20), --($H$8:$H$20&lt;&gt;""), --($B31&gt;$H$8:$H$20), ($B31-$H$8:$H$20))
)</f>
        <v>555</v>
      </c>
      <c r="E31" s="58" t="str">
        <f t="shared" si="0"/>
        <v>302:1070;202:555</v>
      </c>
      <c r="F31" s="59" t="s">
        <v>679</v>
      </c>
      <c r="K31" s="47">
        <v>52803</v>
      </c>
      <c r="L31" s="63" t="s">
        <v>711</v>
      </c>
      <c r="M31" s="47" t="str">
        <f t="shared" si="2"/>
        <v>怪物血量+130%</v>
      </c>
      <c r="N31" s="47" t="s">
        <v>711</v>
      </c>
    </row>
    <row r="32" spans="2:30" x14ac:dyDescent="0.3">
      <c r="B32" s="57">
        <v>30</v>
      </c>
      <c r="C32" s="57" cm="1">
        <f t="array" ref="C32">$I$3 + $I$2*(
  $I$4*($B32-1) +
  SUMPRODUCT(--($I$8:$I$20), --($H$8:$H$20&lt;&gt;""), --($B32&gt;$H$8:$H$20), ($B32-$H$8:$H$20))
)</f>
        <v>1140</v>
      </c>
      <c r="D32" s="57" cm="1">
        <f t="array" ref="D32">$I$5 + $I$2*(
  $I$6*($B32-1) +
  SUMPRODUCT(--($J$8:$J$20), --($H$8:$H$20&lt;&gt;""), --($B32&gt;$H$8:$H$20), ($B32-$H$8:$H$20))
)</f>
        <v>595</v>
      </c>
      <c r="E32" s="58" t="str">
        <f t="shared" si="0"/>
        <v>302:1140;202:595</v>
      </c>
      <c r="F32" s="59" t="s">
        <v>680</v>
      </c>
      <c r="K32" s="47">
        <v>52903</v>
      </c>
      <c r="L32" s="62" t="s">
        <v>707</v>
      </c>
      <c r="M32" s="47" t="str">
        <f t="shared" si="2"/>
        <v>怪物血量+150%</v>
      </c>
      <c r="N32" s="47" t="s">
        <v>707</v>
      </c>
    </row>
    <row r="33" spans="2:14" x14ac:dyDescent="0.3">
      <c r="B33" s="57">
        <v>31</v>
      </c>
      <c r="C33" s="57" cm="1">
        <f t="array" ref="C33">$I$3 + $I$2*(
  $I$4*($B33-1) +
  SUMPRODUCT(--($I$8:$I$20), --($H$8:$H$20&lt;&gt;""), --($B33&gt;$H$8:$H$20), ($B33-$H$8:$H$20))
)</f>
        <v>1225</v>
      </c>
      <c r="D33" s="57" cm="1">
        <f t="array" ref="D33">$I$5 + $I$2*(
  $I$6*($B33-1) +
  SUMPRODUCT(--($J$8:$J$20), --($H$8:$H$20&lt;&gt;""), --($B33&gt;$H$8:$H$20), ($B33-$H$8:$H$20))
)</f>
        <v>645</v>
      </c>
      <c r="E33" s="58" t="str">
        <f t="shared" si="0"/>
        <v>302:1225;202:645</v>
      </c>
      <c r="F33" s="59" t="s">
        <v>681</v>
      </c>
      <c r="K33" s="47">
        <v>53005</v>
      </c>
      <c r="L33" s="63" t="s">
        <v>712</v>
      </c>
      <c r="M33" s="47" t="str">
        <f t="shared" si="2"/>
        <v>怪物血量+170%</v>
      </c>
      <c r="N33" s="47" t="s">
        <v>712</v>
      </c>
    </row>
    <row r="34" spans="2:14" x14ac:dyDescent="0.3">
      <c r="B34" s="57">
        <v>32</v>
      </c>
      <c r="C34" s="57" cm="1">
        <f t="array" ref="C34">$I$3 + $I$2*(
  $I$4*($B34-1) +
  SUMPRODUCT(--($I$8:$I$20), --($H$8:$H$20&lt;&gt;""), --($B34&gt;$H$8:$H$20), ($B34-$H$8:$H$20))
)</f>
        <v>1310</v>
      </c>
      <c r="D34" s="57" cm="1">
        <f t="array" ref="D34">$I$5 + $I$2*(
  $I$6*($B34-1) +
  SUMPRODUCT(--($J$8:$J$20), --($H$8:$H$20&lt;&gt;""), --($B34&gt;$H$8:$H$20), ($B34-$H$8:$H$20))
)</f>
        <v>695</v>
      </c>
      <c r="E34" s="58" t="str">
        <f t="shared" si="0"/>
        <v>302:1310;202:695</v>
      </c>
      <c r="F34" s="59" t="s">
        <v>682</v>
      </c>
      <c r="K34" s="47">
        <v>53105</v>
      </c>
      <c r="L34" s="62" t="s">
        <v>713</v>
      </c>
      <c r="M34" s="47" t="str">
        <f t="shared" si="2"/>
        <v>怪物血量+190%</v>
      </c>
      <c r="N34" s="47" t="s">
        <v>713</v>
      </c>
    </row>
    <row r="35" spans="2:14" x14ac:dyDescent="0.3">
      <c r="B35" s="57">
        <v>33</v>
      </c>
      <c r="C35" s="57" cm="1">
        <f t="array" ref="C35">$I$3 + $I$2*(
  $I$4*($B35-1) +
  SUMPRODUCT(--($I$8:$I$20), --($H$8:$H$20&lt;&gt;""), --($B35&gt;$H$8:$H$20), ($B35-$H$8:$H$20))
)</f>
        <v>1395</v>
      </c>
      <c r="D35" s="57" cm="1">
        <f t="array" ref="D35">$I$5 + $I$2*(
  $I$6*($B35-1) +
  SUMPRODUCT(--($J$8:$J$20), --($H$8:$H$20&lt;&gt;""), --($B35&gt;$H$8:$H$20), ($B35-$H$8:$H$20))
)</f>
        <v>745</v>
      </c>
      <c r="E35" s="58" t="str">
        <f t="shared" si="0"/>
        <v>302:1395;202:745</v>
      </c>
      <c r="F35" s="59" t="s">
        <v>683</v>
      </c>
      <c r="K35" s="47">
        <v>53205</v>
      </c>
      <c r="L35" s="63" t="s">
        <v>708</v>
      </c>
      <c r="M35" s="47" t="str">
        <f t="shared" si="2"/>
        <v>怪物血量+220%</v>
      </c>
      <c r="N35" s="47" t="s">
        <v>708</v>
      </c>
    </row>
    <row r="36" spans="2:14" x14ac:dyDescent="0.3">
      <c r="B36" s="57">
        <v>34</v>
      </c>
      <c r="C36" s="57" cm="1">
        <f t="array" ref="C36">$I$3 + $I$2*(
  $I$4*($B36-1) +
  SUMPRODUCT(--($I$8:$I$20), --($H$8:$H$20&lt;&gt;""), --($B36&gt;$H$8:$H$20), ($B36-$H$8:$H$20))
)</f>
        <v>1480</v>
      </c>
      <c r="D36" s="57" cm="1">
        <f t="array" ref="D36">$I$5 + $I$2*(
  $I$6*($B36-1) +
  SUMPRODUCT(--($J$8:$J$20), --($H$8:$H$20&lt;&gt;""), --($B36&gt;$H$8:$H$20), ($B36-$H$8:$H$20))
)</f>
        <v>795</v>
      </c>
      <c r="E36" s="58" t="str">
        <f t="shared" si="0"/>
        <v>302:1480;202:795</v>
      </c>
      <c r="F36" s="59" t="s">
        <v>684</v>
      </c>
      <c r="K36" s="47">
        <v>53305</v>
      </c>
      <c r="L36" s="62" t="s">
        <v>714</v>
      </c>
      <c r="M36" s="47" t="str">
        <f t="shared" si="2"/>
        <v>怪物血量+250%</v>
      </c>
      <c r="N36" s="47" t="s">
        <v>714</v>
      </c>
    </row>
    <row r="37" spans="2:14" x14ac:dyDescent="0.3">
      <c r="B37" s="57">
        <v>35</v>
      </c>
      <c r="C37" s="57" cm="1">
        <f t="array" ref="C37">$I$3 + $I$2*(
  $I$4*($B37-1) +
  SUMPRODUCT(--($I$8:$I$20), --($H$8:$H$20&lt;&gt;""), --($B37&gt;$H$8:$H$20), ($B37-$H$8:$H$20))
)</f>
        <v>1565</v>
      </c>
      <c r="D37" s="57" cm="1">
        <f t="array" ref="D37">$I$5 + $I$2*(
  $I$6*($B37-1) +
  SUMPRODUCT(--($J$8:$J$20), --($H$8:$H$20&lt;&gt;""), --($B37&gt;$H$8:$H$20), ($B37-$H$8:$H$20))
)</f>
        <v>845</v>
      </c>
      <c r="E37" s="58" t="str">
        <f t="shared" si="0"/>
        <v>302:1565;202:845</v>
      </c>
      <c r="F37" s="59" t="s">
        <v>685</v>
      </c>
      <c r="K37" s="47">
        <v>53405</v>
      </c>
      <c r="L37" s="63" t="s">
        <v>715</v>
      </c>
      <c r="M37" s="47" t="str">
        <f t="shared" si="2"/>
        <v>怪物血量+280%</v>
      </c>
      <c r="N37" s="47" t="s">
        <v>715</v>
      </c>
    </row>
    <row r="38" spans="2:14" x14ac:dyDescent="0.3">
      <c r="K38" s="47">
        <v>53507</v>
      </c>
      <c r="L38" s="62" t="s">
        <v>716</v>
      </c>
      <c r="M38" s="47" t="str">
        <f t="shared" si="2"/>
        <v>怪物血量+310%</v>
      </c>
      <c r="N38" s="47" t="s">
        <v>716</v>
      </c>
    </row>
    <row r="39" spans="2:14" x14ac:dyDescent="0.3">
      <c r="K39" s="47">
        <v>53607</v>
      </c>
      <c r="L39" s="63" t="s">
        <v>717</v>
      </c>
      <c r="M39" s="47" t="str">
        <f t="shared" si="2"/>
        <v>怪物血量+340%</v>
      </c>
      <c r="N39" s="47" t="s">
        <v>717</v>
      </c>
    </row>
    <row r="40" spans="2:14" x14ac:dyDescent="0.3">
      <c r="K40" s="47">
        <v>53707</v>
      </c>
      <c r="L40" s="62" t="s">
        <v>718</v>
      </c>
      <c r="M40" s="47" t="str">
        <f t="shared" si="2"/>
        <v>怪物血量+380%</v>
      </c>
      <c r="N40" s="47" t="s">
        <v>718</v>
      </c>
    </row>
    <row r="41" spans="2:14" x14ac:dyDescent="0.3">
      <c r="K41" s="47">
        <v>53807</v>
      </c>
      <c r="L41" s="63" t="s">
        <v>719</v>
      </c>
      <c r="M41" s="47" t="str">
        <f t="shared" si="2"/>
        <v>怪物血量+420%</v>
      </c>
      <c r="N41" s="47" t="s">
        <v>719</v>
      </c>
    </row>
    <row r="42" spans="2:14" x14ac:dyDescent="0.3">
      <c r="K42" s="47">
        <v>53907</v>
      </c>
      <c r="L42" s="62" t="s">
        <v>720</v>
      </c>
      <c r="M42" s="47" t="str">
        <f t="shared" si="2"/>
        <v>怪物血量+460%</v>
      </c>
      <c r="N42" s="47" t="s">
        <v>720</v>
      </c>
    </row>
    <row r="43" spans="2:14" x14ac:dyDescent="0.3">
      <c r="K43" s="47">
        <v>54009</v>
      </c>
      <c r="L43" s="63" t="s">
        <v>721</v>
      </c>
      <c r="M43" s="47" t="str">
        <f t="shared" si="2"/>
        <v>怪物血量+500%</v>
      </c>
      <c r="N43" s="47" t="s">
        <v>721</v>
      </c>
    </row>
    <row r="44" spans="2:14" x14ac:dyDescent="0.3">
      <c r="K44" s="47">
        <v>54109</v>
      </c>
      <c r="L44" s="62" t="s">
        <v>722</v>
      </c>
      <c r="M44" s="47" t="str">
        <f t="shared" si="2"/>
        <v>怪物血量+555%</v>
      </c>
      <c r="N44" s="47" t="s">
        <v>722</v>
      </c>
    </row>
    <row r="45" spans="2:14" x14ac:dyDescent="0.3">
      <c r="K45" s="47">
        <v>54209</v>
      </c>
      <c r="L45" s="63" t="s">
        <v>723</v>
      </c>
      <c r="M45" s="47" t="str">
        <f t="shared" si="2"/>
        <v>怪物血量+610%</v>
      </c>
      <c r="N45" s="47" t="s">
        <v>723</v>
      </c>
    </row>
    <row r="46" spans="2:14" x14ac:dyDescent="0.3">
      <c r="K46" s="47">
        <v>54309</v>
      </c>
      <c r="L46" s="62" t="s">
        <v>724</v>
      </c>
      <c r="M46" s="47" t="str">
        <f t="shared" si="2"/>
        <v>怪物血量+665%</v>
      </c>
      <c r="N46" s="47" t="s">
        <v>724</v>
      </c>
    </row>
    <row r="47" spans="2:14" x14ac:dyDescent="0.3">
      <c r="K47" s="47">
        <v>54409</v>
      </c>
      <c r="L47" s="63" t="s">
        <v>725</v>
      </c>
      <c r="M47" s="47" t="str">
        <f t="shared" si="2"/>
        <v>怪物血量+720%</v>
      </c>
      <c r="N47" s="47" t="s">
        <v>725</v>
      </c>
    </row>
    <row r="48" spans="2:14" x14ac:dyDescent="0.3">
      <c r="K48" s="47">
        <v>54509</v>
      </c>
      <c r="L48" s="62" t="s">
        <v>726</v>
      </c>
      <c r="M48" s="47" t="str">
        <f t="shared" si="2"/>
        <v>怪物血量+790%</v>
      </c>
      <c r="N48" s="47" t="s">
        <v>726</v>
      </c>
    </row>
    <row r="49" spans="11:14" x14ac:dyDescent="0.3">
      <c r="K49" s="47">
        <v>54609</v>
      </c>
      <c r="L49" s="63" t="s">
        <v>727</v>
      </c>
      <c r="M49" s="47" t="str">
        <f t="shared" si="2"/>
        <v>怪物血量+860%</v>
      </c>
      <c r="N49" s="47" t="s">
        <v>727</v>
      </c>
    </row>
    <row r="50" spans="11:14" x14ac:dyDescent="0.3">
      <c r="K50" s="47">
        <v>54709</v>
      </c>
      <c r="L50" s="62" t="s">
        <v>728</v>
      </c>
      <c r="M50" s="47" t="str">
        <f t="shared" si="2"/>
        <v>怪物血量+930%</v>
      </c>
      <c r="N50" s="47" t="s">
        <v>728</v>
      </c>
    </row>
    <row r="51" spans="11:14" x14ac:dyDescent="0.3">
      <c r="K51" s="47">
        <v>54809</v>
      </c>
      <c r="L51" s="63" t="s">
        <v>729</v>
      </c>
      <c r="M51" s="47" t="str">
        <f t="shared" si="2"/>
        <v>怪物血量+1000%</v>
      </c>
      <c r="N51" s="47" t="s">
        <v>729</v>
      </c>
    </row>
    <row r="52" spans="11:14" x14ac:dyDescent="0.3">
      <c r="K52" s="47">
        <v>54909</v>
      </c>
      <c r="L52" s="62" t="s">
        <v>730</v>
      </c>
      <c r="M52" s="47" t="str">
        <f t="shared" si="2"/>
        <v>怪物血量+1070%</v>
      </c>
      <c r="N52" s="47" t="s">
        <v>730</v>
      </c>
    </row>
    <row r="53" spans="11:14" x14ac:dyDescent="0.3">
      <c r="K53" s="47">
        <v>550008</v>
      </c>
      <c r="L53" s="63" t="s">
        <v>731</v>
      </c>
      <c r="M53" s="47" t="str">
        <f t="shared" si="2"/>
        <v>怪物血量+1140%</v>
      </c>
      <c r="N53" s="47" t="s">
        <v>731</v>
      </c>
    </row>
    <row r="54" spans="11:14" x14ac:dyDescent="0.3">
      <c r="K54" s="47">
        <v>550108</v>
      </c>
      <c r="L54" s="62" t="s">
        <v>732</v>
      </c>
      <c r="M54" s="47" t="str">
        <f t="shared" si="2"/>
        <v>怪物血量+1225%</v>
      </c>
      <c r="N54" s="47" t="s">
        <v>732</v>
      </c>
    </row>
    <row r="55" spans="11:14" x14ac:dyDescent="0.3">
      <c r="K55" s="47">
        <v>550208</v>
      </c>
      <c r="L55" s="63" t="s">
        <v>733</v>
      </c>
      <c r="M55" s="47" t="str">
        <f t="shared" si="2"/>
        <v>怪物血量+1310%</v>
      </c>
      <c r="N55" s="47" t="s">
        <v>733</v>
      </c>
    </row>
    <row r="56" spans="11:14" x14ac:dyDescent="0.3">
      <c r="K56" s="47">
        <v>550308</v>
      </c>
      <c r="L56" s="62" t="s">
        <v>734</v>
      </c>
      <c r="M56" s="47" t="str">
        <f t="shared" si="2"/>
        <v>怪物血量+1395%</v>
      </c>
      <c r="N56" s="47" t="s">
        <v>734</v>
      </c>
    </row>
    <row r="57" spans="11:14" x14ac:dyDescent="0.3">
      <c r="K57" s="47">
        <v>550408</v>
      </c>
      <c r="L57" s="63" t="s">
        <v>735</v>
      </c>
      <c r="M57" s="47" t="str">
        <f t="shared" si="2"/>
        <v>怪物血量+1480%</v>
      </c>
      <c r="N57" s="47" t="s">
        <v>735</v>
      </c>
    </row>
    <row r="58" spans="11:14" x14ac:dyDescent="0.3">
      <c r="K58" s="47">
        <v>550508</v>
      </c>
      <c r="L58" s="62" t="s">
        <v>736</v>
      </c>
      <c r="M58" s="47" t="str">
        <f t="shared" si="2"/>
        <v>怪物血量+1565%</v>
      </c>
      <c r="N58" s="47" t="s">
        <v>736</v>
      </c>
    </row>
    <row r="61" spans="11:14" x14ac:dyDescent="0.3">
      <c r="K61" s="47">
        <v>52102</v>
      </c>
      <c r="L61" s="63" t="s">
        <v>737</v>
      </c>
      <c r="M61" s="47" t="str">
        <f>$L$60&amp;D3&amp;"%"</f>
        <v>5%</v>
      </c>
      <c r="N61" s="47" t="s">
        <v>737</v>
      </c>
    </row>
    <row r="62" spans="11:14" x14ac:dyDescent="0.3">
      <c r="K62" s="47">
        <v>52202</v>
      </c>
      <c r="L62" s="62" t="s">
        <v>738</v>
      </c>
      <c r="M62" s="47" t="str">
        <f t="shared" ref="M62:M95" si="3">$L$60&amp;D4&amp;"%"</f>
        <v>10%</v>
      </c>
      <c r="N62" s="47" t="s">
        <v>738</v>
      </c>
    </row>
    <row r="63" spans="11:14" x14ac:dyDescent="0.3">
      <c r="K63" s="47">
        <v>52302</v>
      </c>
      <c r="L63" s="63" t="s">
        <v>739</v>
      </c>
      <c r="M63" s="47" t="str">
        <f t="shared" si="3"/>
        <v>15%</v>
      </c>
      <c r="N63" s="47" t="s">
        <v>739</v>
      </c>
    </row>
    <row r="64" spans="11:14" x14ac:dyDescent="0.3">
      <c r="K64" s="47">
        <v>52402</v>
      </c>
      <c r="L64" s="62" t="s">
        <v>740</v>
      </c>
      <c r="M64" s="47" t="str">
        <f t="shared" si="3"/>
        <v>20%</v>
      </c>
      <c r="N64" s="47" t="s">
        <v>740</v>
      </c>
    </row>
    <row r="65" spans="11:14" x14ac:dyDescent="0.3">
      <c r="K65" s="47">
        <v>52504</v>
      </c>
      <c r="L65" s="63" t="s">
        <v>741</v>
      </c>
      <c r="M65" s="47" t="str">
        <f t="shared" si="3"/>
        <v>25%</v>
      </c>
      <c r="N65" s="47" t="s">
        <v>741</v>
      </c>
    </row>
    <row r="66" spans="11:14" x14ac:dyDescent="0.3">
      <c r="K66" s="47">
        <v>52604</v>
      </c>
      <c r="L66" s="62" t="s">
        <v>742</v>
      </c>
      <c r="M66" s="47" t="str">
        <f t="shared" si="3"/>
        <v>30%</v>
      </c>
      <c r="N66" s="47" t="s">
        <v>742</v>
      </c>
    </row>
    <row r="67" spans="11:14" x14ac:dyDescent="0.3">
      <c r="K67" s="47">
        <v>52704</v>
      </c>
      <c r="L67" s="63" t="s">
        <v>743</v>
      </c>
      <c r="M67" s="47" t="str">
        <f t="shared" si="3"/>
        <v>40%</v>
      </c>
      <c r="N67" s="47" t="s">
        <v>743</v>
      </c>
    </row>
    <row r="68" spans="11:14" x14ac:dyDescent="0.3">
      <c r="K68" s="47">
        <v>52804</v>
      </c>
      <c r="L68" s="62" t="s">
        <v>744</v>
      </c>
      <c r="M68" s="47" t="str">
        <f t="shared" si="3"/>
        <v>50%</v>
      </c>
      <c r="N68" s="47" t="s">
        <v>744</v>
      </c>
    </row>
    <row r="69" spans="11:14" x14ac:dyDescent="0.3">
      <c r="K69" s="47">
        <v>52904</v>
      </c>
      <c r="L69" s="63" t="s">
        <v>745</v>
      </c>
      <c r="M69" s="47" t="str">
        <f t="shared" si="3"/>
        <v>60%</v>
      </c>
      <c r="N69" s="47" t="s">
        <v>745</v>
      </c>
    </row>
    <row r="70" spans="11:14" x14ac:dyDescent="0.3">
      <c r="K70" s="47">
        <v>53006</v>
      </c>
      <c r="L70" s="62" t="s">
        <v>746</v>
      </c>
      <c r="M70" s="47" t="str">
        <f t="shared" si="3"/>
        <v>70%</v>
      </c>
      <c r="N70" s="47" t="s">
        <v>746</v>
      </c>
    </row>
    <row r="71" spans="11:14" x14ac:dyDescent="0.3">
      <c r="K71" s="47">
        <v>53106</v>
      </c>
      <c r="L71" s="63" t="s">
        <v>747</v>
      </c>
      <c r="M71" s="47" t="str">
        <f t="shared" si="3"/>
        <v>80%</v>
      </c>
      <c r="N71" s="47" t="s">
        <v>747</v>
      </c>
    </row>
    <row r="72" spans="11:14" x14ac:dyDescent="0.3">
      <c r="K72" s="47">
        <v>53206</v>
      </c>
      <c r="L72" s="62" t="s">
        <v>750</v>
      </c>
      <c r="M72" s="47" t="str">
        <f t="shared" si="3"/>
        <v>95%</v>
      </c>
      <c r="N72" s="47" t="s">
        <v>750</v>
      </c>
    </row>
    <row r="73" spans="11:14" x14ac:dyDescent="0.3">
      <c r="K73" s="47">
        <v>53306</v>
      </c>
      <c r="L73" s="63" t="s">
        <v>751</v>
      </c>
      <c r="M73" s="47" t="str">
        <f t="shared" si="3"/>
        <v>110%</v>
      </c>
      <c r="N73" s="47" t="s">
        <v>751</v>
      </c>
    </row>
    <row r="74" spans="11:14" x14ac:dyDescent="0.3">
      <c r="K74" s="47">
        <v>53406</v>
      </c>
      <c r="L74" s="62" t="s">
        <v>752</v>
      </c>
      <c r="M74" s="47" t="str">
        <f t="shared" si="3"/>
        <v>125%</v>
      </c>
      <c r="N74" s="47" t="s">
        <v>752</v>
      </c>
    </row>
    <row r="75" spans="11:14" x14ac:dyDescent="0.3">
      <c r="K75" s="47">
        <v>53508</v>
      </c>
      <c r="L75" s="63" t="s">
        <v>753</v>
      </c>
      <c r="M75" s="47" t="str">
        <f t="shared" si="3"/>
        <v>140%</v>
      </c>
      <c r="N75" s="47" t="s">
        <v>753</v>
      </c>
    </row>
    <row r="76" spans="11:14" x14ac:dyDescent="0.3">
      <c r="K76" s="47">
        <v>53608</v>
      </c>
      <c r="L76" s="62" t="s">
        <v>754</v>
      </c>
      <c r="M76" s="47" t="str">
        <f t="shared" si="3"/>
        <v>155%</v>
      </c>
      <c r="N76" s="47" t="s">
        <v>754</v>
      </c>
    </row>
    <row r="77" spans="11:14" x14ac:dyDescent="0.3">
      <c r="K77" s="47">
        <v>53708</v>
      </c>
      <c r="L77" s="63" t="s">
        <v>748</v>
      </c>
      <c r="M77" s="47" t="str">
        <f t="shared" si="3"/>
        <v>175%</v>
      </c>
      <c r="N77" s="47" t="s">
        <v>748</v>
      </c>
    </row>
    <row r="78" spans="11:14" x14ac:dyDescent="0.3">
      <c r="K78" s="47">
        <v>53808</v>
      </c>
      <c r="L78" s="62" t="s">
        <v>755</v>
      </c>
      <c r="M78" s="47" t="str">
        <f t="shared" si="3"/>
        <v>195%</v>
      </c>
      <c r="N78" s="47" t="s">
        <v>755</v>
      </c>
    </row>
    <row r="79" spans="11:14" x14ac:dyDescent="0.3">
      <c r="K79" s="47">
        <v>53908</v>
      </c>
      <c r="L79" s="63" t="s">
        <v>749</v>
      </c>
      <c r="M79" s="47" t="str">
        <f t="shared" si="3"/>
        <v>215%</v>
      </c>
      <c r="N79" s="47" t="s">
        <v>749</v>
      </c>
    </row>
    <row r="80" spans="11:14" x14ac:dyDescent="0.3">
      <c r="K80" s="47">
        <v>54010</v>
      </c>
      <c r="L80" s="62" t="s">
        <v>756</v>
      </c>
      <c r="M80" s="47" t="str">
        <f t="shared" si="3"/>
        <v>235%</v>
      </c>
      <c r="N80" s="47" t="s">
        <v>756</v>
      </c>
    </row>
    <row r="81" spans="11:14" x14ac:dyDescent="0.3">
      <c r="K81" s="47">
        <v>54110</v>
      </c>
      <c r="L81" s="63" t="s">
        <v>757</v>
      </c>
      <c r="M81" s="47" t="str">
        <f t="shared" si="3"/>
        <v>265%</v>
      </c>
      <c r="N81" s="47" t="s">
        <v>757</v>
      </c>
    </row>
    <row r="82" spans="11:14" x14ac:dyDescent="0.3">
      <c r="K82" s="47">
        <v>54210</v>
      </c>
      <c r="L82" s="62" t="s">
        <v>758</v>
      </c>
      <c r="M82" s="47" t="str">
        <f t="shared" si="3"/>
        <v>295%</v>
      </c>
      <c r="N82" s="47" t="s">
        <v>758</v>
      </c>
    </row>
    <row r="83" spans="11:14" x14ac:dyDescent="0.3">
      <c r="K83" s="47">
        <v>54310</v>
      </c>
      <c r="L83" s="63" t="s">
        <v>759</v>
      </c>
      <c r="M83" s="47" t="str">
        <f t="shared" si="3"/>
        <v>325%</v>
      </c>
      <c r="N83" s="47" t="s">
        <v>759</v>
      </c>
    </row>
    <row r="84" spans="11:14" x14ac:dyDescent="0.3">
      <c r="K84" s="47">
        <v>54410</v>
      </c>
      <c r="L84" s="62" t="s">
        <v>760</v>
      </c>
      <c r="M84" s="47" t="str">
        <f t="shared" si="3"/>
        <v>355%</v>
      </c>
      <c r="N84" s="47" t="s">
        <v>760</v>
      </c>
    </row>
    <row r="85" spans="11:14" x14ac:dyDescent="0.3">
      <c r="K85" s="47">
        <v>54510</v>
      </c>
      <c r="L85" s="63" t="s">
        <v>761</v>
      </c>
      <c r="M85" s="47" t="str">
        <f t="shared" si="3"/>
        <v>395%</v>
      </c>
      <c r="N85" s="47" t="s">
        <v>761</v>
      </c>
    </row>
    <row r="86" spans="11:14" x14ac:dyDescent="0.3">
      <c r="K86" s="47">
        <v>54610</v>
      </c>
      <c r="L86" s="62" t="s">
        <v>762</v>
      </c>
      <c r="M86" s="47" t="str">
        <f t="shared" si="3"/>
        <v>435%</v>
      </c>
      <c r="N86" s="47" t="s">
        <v>762</v>
      </c>
    </row>
    <row r="87" spans="11:14" x14ac:dyDescent="0.3">
      <c r="K87" s="47">
        <v>54710</v>
      </c>
      <c r="L87" s="63" t="s">
        <v>763</v>
      </c>
      <c r="M87" s="47" t="str">
        <f t="shared" si="3"/>
        <v>475%</v>
      </c>
      <c r="N87" s="47" t="s">
        <v>763</v>
      </c>
    </row>
    <row r="88" spans="11:14" x14ac:dyDescent="0.3">
      <c r="K88" s="47">
        <v>54810</v>
      </c>
      <c r="L88" s="62" t="s">
        <v>764</v>
      </c>
      <c r="M88" s="47" t="str">
        <f t="shared" si="3"/>
        <v>515%</v>
      </c>
      <c r="N88" s="47" t="s">
        <v>764</v>
      </c>
    </row>
    <row r="89" spans="11:14" x14ac:dyDescent="0.3">
      <c r="K89" s="47">
        <v>54910</v>
      </c>
      <c r="L89" s="63" t="s">
        <v>765</v>
      </c>
      <c r="M89" s="47" t="str">
        <f t="shared" si="3"/>
        <v>555%</v>
      </c>
      <c r="N89" s="47" t="s">
        <v>765</v>
      </c>
    </row>
    <row r="90" spans="11:14" x14ac:dyDescent="0.3">
      <c r="K90" s="47">
        <v>550009</v>
      </c>
      <c r="L90" s="62" t="s">
        <v>766</v>
      </c>
      <c r="M90" s="47" t="str">
        <f t="shared" si="3"/>
        <v>595%</v>
      </c>
      <c r="N90" s="47" t="s">
        <v>766</v>
      </c>
    </row>
    <row r="91" spans="11:14" x14ac:dyDescent="0.3">
      <c r="K91" s="47">
        <v>550109</v>
      </c>
      <c r="L91" s="63" t="s">
        <v>767</v>
      </c>
      <c r="M91" s="47" t="str">
        <f t="shared" si="3"/>
        <v>645%</v>
      </c>
      <c r="N91" s="47" t="s">
        <v>767</v>
      </c>
    </row>
    <row r="92" spans="11:14" x14ac:dyDescent="0.3">
      <c r="K92" s="47">
        <v>550209</v>
      </c>
      <c r="L92" s="62" t="s">
        <v>768</v>
      </c>
      <c r="M92" s="47" t="str">
        <f t="shared" si="3"/>
        <v>695%</v>
      </c>
      <c r="N92" s="47" t="s">
        <v>768</v>
      </c>
    </row>
    <row r="93" spans="11:14" x14ac:dyDescent="0.3">
      <c r="K93" s="47">
        <v>550309</v>
      </c>
      <c r="L93" s="63" t="s">
        <v>769</v>
      </c>
      <c r="M93" s="47" t="str">
        <f t="shared" si="3"/>
        <v>745%</v>
      </c>
      <c r="N93" s="47" t="s">
        <v>769</v>
      </c>
    </row>
    <row r="94" spans="11:14" x14ac:dyDescent="0.3">
      <c r="K94" s="47">
        <v>550409</v>
      </c>
      <c r="L94" s="62" t="s">
        <v>770</v>
      </c>
      <c r="M94" s="47" t="str">
        <f t="shared" si="3"/>
        <v>795%</v>
      </c>
      <c r="N94" s="47" t="s">
        <v>770</v>
      </c>
    </row>
    <row r="95" spans="11:14" x14ac:dyDescent="0.3">
      <c r="K95" s="47">
        <v>550509</v>
      </c>
      <c r="L95" s="63" t="s">
        <v>771</v>
      </c>
      <c r="M95" s="47" t="str">
        <f t="shared" si="3"/>
        <v>845%</v>
      </c>
      <c r="N95" s="47" t="s">
        <v>771</v>
      </c>
    </row>
  </sheetData>
  <mergeCells count="1">
    <mergeCell ref="M4:AA4"/>
  </mergeCells>
  <phoneticPr fontId="2" type="noConversion"/>
  <conditionalFormatting sqref="M5:AA5">
    <cfRule type="duplicateValues" dxfId="36" priority="42"/>
    <cfRule type="duplicateValues" dxfId="35" priority="41"/>
    <cfRule type="duplicateValues" dxfId="34" priority="40"/>
  </conditionalFormatting>
  <conditionalFormatting sqref="M5:AA16">
    <cfRule type="cellIs" dxfId="33" priority="1" operator="equal">
      <formula>1100011</formula>
    </cfRule>
  </conditionalFormatting>
  <conditionalFormatting sqref="M6:AA6">
    <cfRule type="duplicateValues" dxfId="32" priority="44"/>
    <cfRule type="duplicateValues" dxfId="31" priority="43"/>
    <cfRule type="duplicateValues" dxfId="30" priority="45"/>
  </conditionalFormatting>
  <conditionalFormatting sqref="M7:AA7">
    <cfRule type="duplicateValues" dxfId="29" priority="46"/>
    <cfRule type="duplicateValues" dxfId="28" priority="47"/>
    <cfRule type="duplicateValues" dxfId="27" priority="48"/>
  </conditionalFormatting>
  <conditionalFormatting sqref="M8:AA8">
    <cfRule type="duplicateValues" dxfId="26" priority="34"/>
    <cfRule type="duplicateValues" dxfId="25" priority="35"/>
    <cfRule type="duplicateValues" dxfId="24" priority="36"/>
  </conditionalFormatting>
  <conditionalFormatting sqref="M9:AA9">
    <cfRule type="duplicateValues" dxfId="23" priority="30"/>
    <cfRule type="duplicateValues" dxfId="22" priority="31"/>
    <cfRule type="duplicateValues" dxfId="21" priority="32"/>
  </conditionalFormatting>
  <conditionalFormatting sqref="M10:AA10">
    <cfRule type="duplicateValues" dxfId="20" priority="28"/>
    <cfRule type="duplicateValues" dxfId="19" priority="26"/>
    <cfRule type="duplicateValues" dxfId="18" priority="27"/>
  </conditionalFormatting>
  <conditionalFormatting sqref="M11:AA11">
    <cfRule type="duplicateValues" dxfId="17" priority="23"/>
    <cfRule type="duplicateValues" dxfId="16" priority="22"/>
    <cfRule type="duplicateValues" dxfId="15" priority="24"/>
  </conditionalFormatting>
  <conditionalFormatting sqref="M12:AA12">
    <cfRule type="duplicateValues" dxfId="14" priority="20"/>
    <cfRule type="duplicateValues" dxfId="13" priority="19"/>
    <cfRule type="duplicateValues" dxfId="12" priority="18"/>
  </conditionalFormatting>
  <conditionalFormatting sqref="M13:AA13">
    <cfRule type="duplicateValues" dxfId="11" priority="14"/>
    <cfRule type="duplicateValues" dxfId="10" priority="15"/>
    <cfRule type="duplicateValues" dxfId="9" priority="16"/>
  </conditionalFormatting>
  <conditionalFormatting sqref="M14:AA14">
    <cfRule type="duplicateValues" dxfId="8" priority="10"/>
    <cfRule type="duplicateValues" dxfId="7" priority="11"/>
    <cfRule type="duplicateValues" dxfId="6" priority="12"/>
  </conditionalFormatting>
  <conditionalFormatting sqref="M15:AA15">
    <cfRule type="duplicateValues" dxfId="5" priority="6"/>
    <cfRule type="duplicateValues" dxfId="4" priority="7"/>
    <cfRule type="duplicateValues" dxfId="3" priority="8"/>
  </conditionalFormatting>
  <conditionalFormatting sqref="M16:AA16">
    <cfRule type="duplicateValues" dxfId="2" priority="2"/>
    <cfRule type="duplicateValues" dxfId="1" priority="3"/>
    <cfRule type="duplicateValues" dxfId="0" priority="4"/>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874B13-DA03-4B32-BBC7-DAB0CDE91FEE}">
  <dimension ref="A1:K124"/>
  <sheetViews>
    <sheetView topLeftCell="A7" zoomScaleNormal="100" workbookViewId="0">
      <selection activeCell="B28" sqref="B28:C28"/>
    </sheetView>
  </sheetViews>
  <sheetFormatPr defaultRowHeight="14.25" x14ac:dyDescent="0.2"/>
  <cols>
    <col min="1" max="1" width="15.25" customWidth="1"/>
    <col min="2" max="2" width="50.125" customWidth="1"/>
    <col min="3" max="3" width="12.125" customWidth="1"/>
    <col min="4" max="4" width="13.5" customWidth="1"/>
    <col min="5" max="5" width="14.75" customWidth="1"/>
    <col min="6" max="6" width="16" customWidth="1"/>
    <col min="7" max="7" width="17.25" customWidth="1"/>
    <col min="8" max="8" width="20.25" customWidth="1"/>
    <col min="9" max="9" width="18.375" customWidth="1"/>
    <col min="10" max="10" width="16.125" customWidth="1"/>
    <col min="11" max="11" width="23.375" customWidth="1"/>
  </cols>
  <sheetData>
    <row r="1" spans="1:11" x14ac:dyDescent="0.2">
      <c r="A1" s="10" t="s">
        <v>145</v>
      </c>
    </row>
    <row r="2" spans="1:11" x14ac:dyDescent="0.2">
      <c r="C2" s="11" t="s">
        <v>197</v>
      </c>
    </row>
    <row r="3" spans="1:11" x14ac:dyDescent="0.2">
      <c r="C3" t="s">
        <v>174</v>
      </c>
      <c r="D3" t="s">
        <v>182</v>
      </c>
      <c r="E3" t="s">
        <v>177</v>
      </c>
      <c r="F3" t="s">
        <v>178</v>
      </c>
      <c r="G3" t="s">
        <v>180</v>
      </c>
      <c r="H3" t="s">
        <v>176</v>
      </c>
      <c r="I3" t="s">
        <v>181</v>
      </c>
      <c r="J3" t="s">
        <v>179</v>
      </c>
      <c r="K3" t="s">
        <v>175</v>
      </c>
    </row>
    <row r="4" spans="1:11" s="1" customFormat="1" ht="149.25" customHeight="1" x14ac:dyDescent="0.2">
      <c r="C4" s="1" t="s">
        <v>174</v>
      </c>
      <c r="D4" s="12" t="s">
        <v>203</v>
      </c>
      <c r="E4" s="12" t="s">
        <v>202</v>
      </c>
      <c r="F4" s="12" t="s">
        <v>183</v>
      </c>
      <c r="G4" s="12" t="s">
        <v>292</v>
      </c>
      <c r="H4" s="12" t="s">
        <v>324</v>
      </c>
      <c r="I4" s="12" t="s">
        <v>184</v>
      </c>
      <c r="J4" s="12" t="s">
        <v>201</v>
      </c>
      <c r="K4" s="12" t="s">
        <v>190</v>
      </c>
    </row>
    <row r="5" spans="1:11" x14ac:dyDescent="0.2">
      <c r="C5" s="13" t="s">
        <v>99</v>
      </c>
      <c r="D5" s="13" t="s">
        <v>185</v>
      </c>
      <c r="E5" s="13" t="s">
        <v>186</v>
      </c>
      <c r="F5" s="13" t="s">
        <v>192</v>
      </c>
      <c r="G5" s="13" t="s">
        <v>187</v>
      </c>
      <c r="H5" s="13" t="s">
        <v>199</v>
      </c>
      <c r="I5" s="13" t="s">
        <v>188</v>
      </c>
      <c r="J5" s="13" t="s">
        <v>195</v>
      </c>
      <c r="K5" s="13" t="s">
        <v>189</v>
      </c>
    </row>
    <row r="6" spans="1:11" x14ac:dyDescent="0.2">
      <c r="B6" s="10" t="s">
        <v>103</v>
      </c>
      <c r="C6" s="10">
        <v>0</v>
      </c>
      <c r="D6" s="7" t="s">
        <v>193</v>
      </c>
      <c r="E6" s="7" t="s">
        <v>194</v>
      </c>
      <c r="F6" s="10">
        <v>0</v>
      </c>
      <c r="G6" s="7" t="s">
        <v>193</v>
      </c>
      <c r="H6" s="7" t="s">
        <v>200</v>
      </c>
      <c r="I6" s="7" t="s">
        <v>193</v>
      </c>
      <c r="J6" s="7" t="s">
        <v>196</v>
      </c>
      <c r="K6" s="7" t="s">
        <v>191</v>
      </c>
    </row>
    <row r="7" spans="1:11" x14ac:dyDescent="0.2">
      <c r="A7" s="75" t="s">
        <v>415</v>
      </c>
      <c r="B7" s="10" t="s">
        <v>291</v>
      </c>
      <c r="C7" s="10">
        <v>1</v>
      </c>
      <c r="D7" s="7"/>
      <c r="E7" s="7" t="s">
        <v>374</v>
      </c>
      <c r="F7" s="10"/>
      <c r="G7" s="7"/>
      <c r="H7" s="7"/>
      <c r="I7" s="7"/>
      <c r="J7" s="7"/>
      <c r="K7" s="7"/>
    </row>
    <row r="8" spans="1:11" x14ac:dyDescent="0.2">
      <c r="A8" s="75"/>
      <c r="B8" s="10" t="s">
        <v>126</v>
      </c>
      <c r="C8" s="10">
        <v>2</v>
      </c>
      <c r="D8" s="7"/>
      <c r="E8" s="7"/>
      <c r="F8" s="10"/>
      <c r="G8" s="7"/>
      <c r="H8" s="7"/>
      <c r="I8" s="7"/>
      <c r="J8" s="7"/>
      <c r="K8" s="7" t="s">
        <v>204</v>
      </c>
    </row>
    <row r="9" spans="1:11" x14ac:dyDescent="0.2">
      <c r="A9" s="75"/>
      <c r="B9" s="10" t="s">
        <v>127</v>
      </c>
      <c r="C9" s="10">
        <v>3</v>
      </c>
      <c r="D9" s="7"/>
      <c r="E9" s="7"/>
      <c r="F9" s="10"/>
      <c r="G9" s="7"/>
      <c r="H9" s="7" t="s">
        <v>85</v>
      </c>
      <c r="I9" s="7"/>
      <c r="J9" s="7"/>
      <c r="K9" s="7"/>
    </row>
    <row r="10" spans="1:11" x14ac:dyDescent="0.2">
      <c r="A10" s="75"/>
      <c r="B10" s="10" t="s">
        <v>128</v>
      </c>
      <c r="C10" s="10">
        <v>4</v>
      </c>
      <c r="D10" s="7"/>
      <c r="E10" s="7" t="s">
        <v>217</v>
      </c>
      <c r="F10" s="10"/>
      <c r="G10" s="7"/>
      <c r="H10" s="7"/>
      <c r="I10" s="7"/>
      <c r="J10" s="7"/>
      <c r="K10" s="7"/>
    </row>
    <row r="11" spans="1:11" x14ac:dyDescent="0.2">
      <c r="A11" s="75"/>
      <c r="B11" s="10" t="s">
        <v>129</v>
      </c>
      <c r="C11" s="10">
        <v>5</v>
      </c>
      <c r="D11" s="7" t="s">
        <v>218</v>
      </c>
      <c r="E11" s="7"/>
      <c r="F11" s="10"/>
      <c r="G11" s="7"/>
      <c r="H11" s="7"/>
      <c r="I11" s="7"/>
      <c r="J11" s="7"/>
      <c r="K11" s="7"/>
    </row>
    <row r="12" spans="1:11" x14ac:dyDescent="0.2">
      <c r="A12" s="75"/>
      <c r="B12" s="10" t="s">
        <v>130</v>
      </c>
      <c r="C12" s="10">
        <v>6</v>
      </c>
      <c r="D12" s="7"/>
      <c r="E12" s="7"/>
      <c r="F12" s="10">
        <v>20001</v>
      </c>
      <c r="G12" s="7"/>
      <c r="H12" s="7"/>
      <c r="I12" s="7"/>
      <c r="J12" s="7"/>
      <c r="K12" s="7"/>
    </row>
    <row r="13" spans="1:11" x14ac:dyDescent="0.2">
      <c r="A13" s="75"/>
      <c r="B13" s="10" t="s">
        <v>219</v>
      </c>
      <c r="C13" s="10">
        <v>7</v>
      </c>
      <c r="D13" s="7"/>
      <c r="E13" s="7"/>
      <c r="F13" s="10">
        <v>20002</v>
      </c>
      <c r="G13" s="7"/>
      <c r="H13" s="7"/>
      <c r="I13" s="7"/>
      <c r="J13" s="7"/>
      <c r="K13" s="7"/>
    </row>
    <row r="14" spans="1:11" x14ac:dyDescent="0.2">
      <c r="A14" s="75"/>
      <c r="B14" s="10" t="s">
        <v>132</v>
      </c>
      <c r="C14" s="10">
        <v>8</v>
      </c>
      <c r="D14" s="7"/>
      <c r="E14" s="7"/>
      <c r="F14" s="10"/>
      <c r="G14" s="7"/>
      <c r="H14" s="7"/>
      <c r="I14" s="7"/>
      <c r="J14" s="7" t="s">
        <v>220</v>
      </c>
      <c r="K14" s="7"/>
    </row>
    <row r="15" spans="1:11" x14ac:dyDescent="0.2">
      <c r="A15" s="75"/>
      <c r="B15" s="10" t="s">
        <v>133</v>
      </c>
      <c r="C15" s="14">
        <v>9</v>
      </c>
      <c r="D15" s="7"/>
      <c r="E15" s="7"/>
      <c r="F15" s="10"/>
      <c r="G15" s="15" t="s">
        <v>394</v>
      </c>
      <c r="H15" s="7"/>
      <c r="I15" s="7"/>
      <c r="J15" s="7"/>
      <c r="K15" s="7"/>
    </row>
    <row r="16" spans="1:11" x14ac:dyDescent="0.2">
      <c r="A16" s="75"/>
      <c r="B16" s="10" t="s">
        <v>134</v>
      </c>
      <c r="C16" s="10">
        <v>10</v>
      </c>
      <c r="D16" s="7"/>
      <c r="E16" s="7"/>
      <c r="F16" s="10"/>
      <c r="G16" s="7"/>
      <c r="H16" s="7" t="s">
        <v>323</v>
      </c>
      <c r="I16" s="7"/>
      <c r="J16" s="7"/>
      <c r="K16" s="7"/>
    </row>
    <row r="17" spans="1:11" x14ac:dyDescent="0.2">
      <c r="A17" s="75"/>
      <c r="B17" s="10" t="s">
        <v>135</v>
      </c>
      <c r="C17" s="14">
        <v>11</v>
      </c>
      <c r="D17" s="7"/>
      <c r="E17" s="7"/>
      <c r="F17" s="10"/>
      <c r="G17" s="15" t="s">
        <v>326</v>
      </c>
      <c r="H17" s="7"/>
      <c r="I17" s="7"/>
      <c r="J17" s="7"/>
      <c r="K17" s="7"/>
    </row>
    <row r="18" spans="1:11" x14ac:dyDescent="0.2">
      <c r="A18" s="75"/>
      <c r="B18" s="10" t="s">
        <v>137</v>
      </c>
      <c r="C18" s="10">
        <v>12</v>
      </c>
      <c r="D18" s="7"/>
      <c r="E18" s="7"/>
      <c r="F18" s="10"/>
      <c r="G18" s="7"/>
      <c r="H18" s="7"/>
      <c r="I18" s="7"/>
      <c r="J18" s="7"/>
      <c r="K18" s="7" t="s">
        <v>221</v>
      </c>
    </row>
    <row r="19" spans="1:11" x14ac:dyDescent="0.2">
      <c r="A19" s="75"/>
      <c r="B19" s="10" t="s">
        <v>138</v>
      </c>
      <c r="C19" s="14">
        <v>13</v>
      </c>
      <c r="D19" s="7"/>
      <c r="E19" s="7"/>
      <c r="F19" s="10"/>
      <c r="G19" s="15" t="s">
        <v>327</v>
      </c>
      <c r="H19" s="7"/>
      <c r="I19" s="7"/>
      <c r="J19" s="7"/>
      <c r="K19" s="7"/>
    </row>
    <row r="20" spans="1:11" x14ac:dyDescent="0.2">
      <c r="A20" s="76" t="s">
        <v>416</v>
      </c>
      <c r="B20" s="10" t="s">
        <v>141</v>
      </c>
      <c r="C20" s="10">
        <v>14</v>
      </c>
      <c r="D20" s="7" t="s">
        <v>251</v>
      </c>
      <c r="E20" s="7"/>
      <c r="F20" s="10"/>
      <c r="G20" s="7"/>
      <c r="H20" s="7"/>
      <c r="I20" s="7" t="s">
        <v>395</v>
      </c>
      <c r="J20" s="7"/>
      <c r="K20" s="7"/>
    </row>
    <row r="21" spans="1:11" x14ac:dyDescent="0.2">
      <c r="A21" s="76"/>
      <c r="B21" s="10" t="s">
        <v>142</v>
      </c>
      <c r="C21" s="10">
        <v>15</v>
      </c>
      <c r="D21" s="7"/>
      <c r="E21" s="7" t="s">
        <v>331</v>
      </c>
      <c r="F21" s="10"/>
      <c r="G21" s="7"/>
      <c r="H21" s="7"/>
      <c r="I21" s="7" t="s">
        <v>332</v>
      </c>
      <c r="J21" s="7"/>
      <c r="K21" s="7"/>
    </row>
    <row r="22" spans="1:11" x14ac:dyDescent="0.2">
      <c r="A22" s="76"/>
      <c r="B22" s="10" t="s">
        <v>143</v>
      </c>
      <c r="C22" s="10">
        <v>16</v>
      </c>
      <c r="D22" s="7"/>
      <c r="E22" s="7"/>
      <c r="F22" s="10"/>
      <c r="G22" s="7" t="s">
        <v>598</v>
      </c>
      <c r="H22" s="7"/>
      <c r="I22" s="7"/>
      <c r="J22" s="7"/>
      <c r="K22" s="7" t="s">
        <v>249</v>
      </c>
    </row>
    <row r="23" spans="1:11" x14ac:dyDescent="0.2">
      <c r="A23" s="76"/>
      <c r="B23" s="10" t="s">
        <v>144</v>
      </c>
      <c r="C23" s="10">
        <v>17</v>
      </c>
      <c r="D23" s="7"/>
      <c r="E23" s="7"/>
      <c r="F23" s="10"/>
      <c r="G23" s="7"/>
      <c r="H23" s="7"/>
      <c r="I23" s="7" t="s">
        <v>325</v>
      </c>
      <c r="J23" s="7" t="s">
        <v>250</v>
      </c>
      <c r="K23" s="7"/>
    </row>
    <row r="24" spans="1:11" x14ac:dyDescent="0.2">
      <c r="A24" s="75" t="s">
        <v>415</v>
      </c>
      <c r="B24" s="10" t="s">
        <v>403</v>
      </c>
      <c r="C24" s="10">
        <v>18</v>
      </c>
      <c r="D24" s="7" t="s">
        <v>622</v>
      </c>
      <c r="E24" s="10"/>
      <c r="F24" s="10"/>
      <c r="G24" s="10"/>
      <c r="H24" s="7"/>
      <c r="I24" s="10"/>
      <c r="J24" s="10"/>
      <c r="K24" s="10"/>
    </row>
    <row r="25" spans="1:11" x14ac:dyDescent="0.2">
      <c r="A25" s="75"/>
      <c r="B25" s="10" t="s">
        <v>399</v>
      </c>
      <c r="C25" s="10">
        <v>19</v>
      </c>
      <c r="D25" s="7" t="s">
        <v>618</v>
      </c>
      <c r="E25" s="10"/>
      <c r="F25" s="10"/>
      <c r="G25" s="10"/>
      <c r="H25" s="7"/>
      <c r="I25" s="10"/>
      <c r="J25" s="10"/>
      <c r="K25" s="10"/>
    </row>
    <row r="26" spans="1:11" x14ac:dyDescent="0.2">
      <c r="A26" s="75"/>
      <c r="B26" s="10" t="s">
        <v>400</v>
      </c>
      <c r="C26" s="10">
        <v>20</v>
      </c>
      <c r="D26" s="7" t="s">
        <v>619</v>
      </c>
      <c r="E26" s="10"/>
      <c r="F26" s="10"/>
      <c r="G26" s="10"/>
      <c r="H26" s="7"/>
      <c r="I26" s="10"/>
      <c r="J26" s="10"/>
      <c r="K26" s="10"/>
    </row>
    <row r="27" spans="1:11" x14ac:dyDescent="0.2">
      <c r="A27" s="75"/>
      <c r="B27" s="10" t="s">
        <v>401</v>
      </c>
      <c r="C27" s="10">
        <v>21</v>
      </c>
      <c r="D27" s="7" t="s">
        <v>620</v>
      </c>
      <c r="E27" s="10"/>
      <c r="F27" s="10"/>
      <c r="G27" s="10"/>
      <c r="H27" s="7"/>
      <c r="I27" s="10"/>
      <c r="J27" s="10"/>
      <c r="K27" s="10"/>
    </row>
    <row r="28" spans="1:11" x14ac:dyDescent="0.2">
      <c r="A28" s="75"/>
      <c r="B28" s="10" t="s">
        <v>402</v>
      </c>
      <c r="C28" s="10">
        <v>22</v>
      </c>
      <c r="D28" s="7" t="s">
        <v>621</v>
      </c>
      <c r="E28" s="10"/>
      <c r="F28" s="10"/>
      <c r="G28" s="10"/>
      <c r="H28" s="7"/>
      <c r="I28" s="10"/>
      <c r="J28" s="10"/>
      <c r="K28" s="10"/>
    </row>
    <row r="29" spans="1:11" x14ac:dyDescent="0.2">
      <c r="A29" s="75"/>
      <c r="B29" s="10" t="s">
        <v>404</v>
      </c>
      <c r="C29" s="10">
        <v>23</v>
      </c>
      <c r="D29" s="7"/>
      <c r="E29" s="7" t="s">
        <v>624</v>
      </c>
      <c r="F29" s="10"/>
      <c r="G29" s="10"/>
      <c r="H29" s="7"/>
      <c r="I29" s="10"/>
      <c r="J29" s="10"/>
      <c r="K29" s="10"/>
    </row>
    <row r="30" spans="1:11" x14ac:dyDescent="0.2">
      <c r="A30" s="75"/>
      <c r="B30" s="10" t="s">
        <v>405</v>
      </c>
      <c r="C30" s="10">
        <v>24</v>
      </c>
      <c r="D30" s="7"/>
      <c r="E30" s="7" t="s">
        <v>623</v>
      </c>
      <c r="F30" s="10"/>
      <c r="G30" s="10"/>
      <c r="H30" s="7"/>
      <c r="I30" s="10"/>
      <c r="J30" s="10"/>
      <c r="K30" s="10"/>
    </row>
    <row r="31" spans="1:11" x14ac:dyDescent="0.2">
      <c r="A31" s="75"/>
      <c r="B31" s="10" t="s">
        <v>406</v>
      </c>
      <c r="C31" s="10">
        <v>25</v>
      </c>
      <c r="D31" s="7"/>
      <c r="E31" s="7" t="s">
        <v>625</v>
      </c>
      <c r="F31" s="10"/>
      <c r="G31" s="10"/>
      <c r="H31" s="7"/>
      <c r="I31" s="10"/>
      <c r="J31" s="10"/>
      <c r="K31" s="10"/>
    </row>
    <row r="32" spans="1:11" x14ac:dyDescent="0.2">
      <c r="A32" s="77"/>
      <c r="B32" s="23" t="s">
        <v>440</v>
      </c>
      <c r="C32" s="22">
        <v>1001</v>
      </c>
      <c r="D32" s="7" t="s">
        <v>474</v>
      </c>
      <c r="E32" s="10"/>
      <c r="F32" s="10"/>
      <c r="G32" s="10"/>
      <c r="H32" s="7"/>
      <c r="I32" s="10"/>
      <c r="J32" s="10"/>
      <c r="K32" s="10"/>
    </row>
    <row r="33" spans="1:11" x14ac:dyDescent="0.2">
      <c r="A33" s="77"/>
      <c r="B33" s="23" t="s">
        <v>441</v>
      </c>
      <c r="C33" s="22">
        <v>1002</v>
      </c>
      <c r="D33" s="7" t="s">
        <v>476</v>
      </c>
      <c r="E33" s="10"/>
      <c r="F33" s="10"/>
      <c r="G33" s="10"/>
      <c r="H33" s="7"/>
      <c r="I33" s="10"/>
      <c r="J33" s="10"/>
      <c r="K33" s="10"/>
    </row>
    <row r="34" spans="1:11" x14ac:dyDescent="0.2">
      <c r="A34" s="77"/>
      <c r="B34" s="23" t="s">
        <v>442</v>
      </c>
      <c r="C34" s="22">
        <v>1003</v>
      </c>
      <c r="D34" s="7" t="s">
        <v>478</v>
      </c>
      <c r="E34" s="10"/>
      <c r="F34" s="10"/>
      <c r="G34" s="10"/>
      <c r="H34" s="7"/>
      <c r="I34" s="10"/>
      <c r="J34" s="10"/>
      <c r="K34" s="10"/>
    </row>
    <row r="35" spans="1:11" x14ac:dyDescent="0.2">
      <c r="A35" s="77"/>
      <c r="B35" s="23" t="s">
        <v>443</v>
      </c>
      <c r="C35" s="22">
        <v>1004</v>
      </c>
      <c r="D35" s="7" t="s">
        <v>479</v>
      </c>
      <c r="E35" s="10"/>
      <c r="F35" s="10"/>
      <c r="G35" s="10"/>
      <c r="H35" s="7"/>
      <c r="I35" s="10"/>
      <c r="J35" s="10"/>
      <c r="K35" s="10"/>
    </row>
    <row r="36" spans="1:11" x14ac:dyDescent="0.2">
      <c r="A36" s="77"/>
      <c r="B36" s="23" t="s">
        <v>444</v>
      </c>
      <c r="C36" s="22">
        <v>1005</v>
      </c>
      <c r="D36" s="7" t="s">
        <v>480</v>
      </c>
      <c r="E36" s="10"/>
      <c r="F36" s="10"/>
      <c r="G36" s="10"/>
      <c r="H36" s="7"/>
      <c r="I36" s="10"/>
      <c r="J36" s="10"/>
      <c r="K36" s="10"/>
    </row>
    <row r="37" spans="1:11" x14ac:dyDescent="0.2">
      <c r="A37" s="77"/>
      <c r="B37" s="23" t="s">
        <v>445</v>
      </c>
      <c r="C37" s="22">
        <v>1006</v>
      </c>
      <c r="D37" s="7" t="s">
        <v>481</v>
      </c>
      <c r="E37" s="10"/>
      <c r="F37" s="10"/>
      <c r="G37" s="10"/>
      <c r="H37" s="7"/>
      <c r="I37" s="10"/>
      <c r="J37" s="10"/>
      <c r="K37" s="10"/>
    </row>
    <row r="38" spans="1:11" x14ac:dyDescent="0.2">
      <c r="A38" s="77"/>
      <c r="B38" s="23" t="s">
        <v>446</v>
      </c>
      <c r="C38" s="22">
        <v>1007</v>
      </c>
      <c r="D38" s="7" t="s">
        <v>486</v>
      </c>
      <c r="E38" s="10"/>
      <c r="F38" s="10"/>
      <c r="G38" s="10"/>
      <c r="H38" s="7"/>
      <c r="I38" s="10"/>
      <c r="J38" s="10"/>
      <c r="K38" s="10"/>
    </row>
    <row r="39" spans="1:11" x14ac:dyDescent="0.2">
      <c r="A39" s="77"/>
      <c r="B39" s="23" t="s">
        <v>447</v>
      </c>
      <c r="C39" s="22">
        <v>1008</v>
      </c>
      <c r="D39" s="7" t="s">
        <v>487</v>
      </c>
      <c r="E39" s="10"/>
      <c r="F39" s="10"/>
      <c r="G39" s="10"/>
      <c r="H39" s="7"/>
      <c r="I39" s="10"/>
      <c r="J39" s="10"/>
      <c r="K39" s="10"/>
    </row>
    <row r="40" spans="1:11" x14ac:dyDescent="0.2">
      <c r="A40" s="77"/>
      <c r="B40" s="23" t="s">
        <v>448</v>
      </c>
      <c r="C40" s="22">
        <v>1009</v>
      </c>
      <c r="D40" s="7" t="s">
        <v>488</v>
      </c>
      <c r="E40" s="10"/>
      <c r="F40" s="10"/>
      <c r="G40" s="10"/>
      <c r="H40" s="7"/>
      <c r="I40" s="10"/>
      <c r="J40" s="10"/>
      <c r="K40" s="10"/>
    </row>
    <row r="41" spans="1:11" x14ac:dyDescent="0.2">
      <c r="A41" s="77"/>
      <c r="B41" s="23" t="s">
        <v>449</v>
      </c>
      <c r="C41" s="22">
        <v>1010</v>
      </c>
      <c r="D41" s="7" t="s">
        <v>489</v>
      </c>
      <c r="E41" s="10"/>
      <c r="F41" s="10"/>
      <c r="G41" s="10"/>
      <c r="H41" s="7"/>
      <c r="I41" s="10"/>
      <c r="J41" s="10"/>
      <c r="K41" s="10"/>
    </row>
    <row r="42" spans="1:11" x14ac:dyDescent="0.2">
      <c r="A42" s="77"/>
      <c r="B42" s="23" t="s">
        <v>450</v>
      </c>
      <c r="C42" s="22">
        <v>1011</v>
      </c>
      <c r="D42" s="7" t="s">
        <v>490</v>
      </c>
      <c r="E42" s="10"/>
      <c r="F42" s="10"/>
      <c r="G42" s="10"/>
      <c r="H42" s="7"/>
      <c r="I42" s="10"/>
      <c r="J42" s="10"/>
      <c r="K42" s="10"/>
    </row>
    <row r="43" spans="1:11" x14ac:dyDescent="0.2">
      <c r="A43" s="77"/>
      <c r="B43" s="23" t="s">
        <v>451</v>
      </c>
      <c r="C43" s="22">
        <v>1012</v>
      </c>
      <c r="D43" s="7" t="s">
        <v>491</v>
      </c>
      <c r="E43" s="10"/>
      <c r="F43" s="10"/>
      <c r="G43" s="10"/>
      <c r="H43" s="7"/>
      <c r="I43" s="10"/>
      <c r="J43" s="10"/>
      <c r="K43" s="10"/>
    </row>
    <row r="44" spans="1:11" x14ac:dyDescent="0.2">
      <c r="A44" s="77"/>
      <c r="B44" s="23" t="s">
        <v>452</v>
      </c>
      <c r="C44" s="22">
        <v>1013</v>
      </c>
      <c r="D44" s="7" t="s">
        <v>492</v>
      </c>
      <c r="E44" s="10"/>
      <c r="F44" s="10"/>
      <c r="G44" s="10"/>
      <c r="H44" s="7"/>
      <c r="I44" s="10"/>
      <c r="J44" s="10"/>
      <c r="K44" s="10"/>
    </row>
    <row r="45" spans="1:11" x14ac:dyDescent="0.2">
      <c r="A45" s="77"/>
      <c r="B45" s="23" t="s">
        <v>453</v>
      </c>
      <c r="C45" s="22">
        <v>1014</v>
      </c>
      <c r="D45" s="7" t="s">
        <v>493</v>
      </c>
      <c r="E45" s="10"/>
      <c r="F45" s="10"/>
      <c r="G45" s="10"/>
      <c r="H45" s="7"/>
      <c r="I45" s="10"/>
      <c r="J45" s="10"/>
      <c r="K45" s="10"/>
    </row>
    <row r="46" spans="1:11" x14ac:dyDescent="0.2">
      <c r="A46" s="77"/>
      <c r="B46" s="23" t="s">
        <v>454</v>
      </c>
      <c r="C46" s="22">
        <v>1015</v>
      </c>
      <c r="D46" s="7" t="s">
        <v>494</v>
      </c>
      <c r="E46" s="10"/>
      <c r="F46" s="10"/>
      <c r="G46" s="10"/>
      <c r="H46" s="7"/>
      <c r="I46" s="10"/>
      <c r="J46" s="10"/>
      <c r="K46" s="10"/>
    </row>
    <row r="47" spans="1:11" x14ac:dyDescent="0.2">
      <c r="A47" s="77"/>
      <c r="B47" s="23" t="s">
        <v>455</v>
      </c>
      <c r="C47" s="22">
        <v>1016</v>
      </c>
      <c r="D47" s="7" t="s">
        <v>495</v>
      </c>
      <c r="E47" s="10"/>
      <c r="F47" s="10"/>
      <c r="G47" s="10"/>
      <c r="H47" s="7"/>
      <c r="I47" s="10"/>
      <c r="J47" s="10"/>
      <c r="K47" s="10"/>
    </row>
    <row r="48" spans="1:11" x14ac:dyDescent="0.2">
      <c r="A48" s="77"/>
      <c r="B48" s="23" t="s">
        <v>456</v>
      </c>
      <c r="C48" s="22">
        <v>1017</v>
      </c>
      <c r="D48" s="7" t="s">
        <v>517</v>
      </c>
      <c r="E48" s="10"/>
      <c r="F48" s="10"/>
      <c r="G48" s="10"/>
      <c r="H48" s="7"/>
      <c r="I48" s="10"/>
      <c r="J48" s="10"/>
      <c r="K48" s="10"/>
    </row>
    <row r="49" spans="1:11" x14ac:dyDescent="0.2">
      <c r="A49" s="77"/>
      <c r="B49" s="23" t="s">
        <v>457</v>
      </c>
      <c r="C49" s="22">
        <v>1018</v>
      </c>
      <c r="D49" s="7" t="s">
        <v>516</v>
      </c>
      <c r="E49" s="10"/>
      <c r="F49" s="10"/>
      <c r="G49" s="10"/>
      <c r="H49" s="7"/>
      <c r="I49" s="10"/>
      <c r="J49" s="10"/>
      <c r="K49" s="10"/>
    </row>
    <row r="50" spans="1:11" x14ac:dyDescent="0.2">
      <c r="A50" s="77"/>
      <c r="B50" s="23" t="s">
        <v>458</v>
      </c>
      <c r="C50" s="22">
        <v>1019</v>
      </c>
      <c r="D50" s="7" t="s">
        <v>515</v>
      </c>
      <c r="E50" s="10"/>
      <c r="F50" s="10"/>
      <c r="G50" s="10"/>
      <c r="H50" s="7"/>
      <c r="I50" s="10"/>
      <c r="J50" s="10"/>
      <c r="K50" s="10"/>
    </row>
    <row r="51" spans="1:11" x14ac:dyDescent="0.2">
      <c r="A51" s="77"/>
      <c r="B51" s="23" t="s">
        <v>459</v>
      </c>
      <c r="C51" s="22">
        <v>1020</v>
      </c>
      <c r="D51" s="7" t="s">
        <v>514</v>
      </c>
      <c r="E51" s="10"/>
      <c r="F51" s="10"/>
      <c r="G51" s="10"/>
      <c r="H51" s="7"/>
      <c r="I51" s="10"/>
      <c r="J51" s="10"/>
      <c r="K51" s="10"/>
    </row>
    <row r="52" spans="1:11" x14ac:dyDescent="0.2">
      <c r="A52" s="77"/>
      <c r="B52" s="23" t="s">
        <v>460</v>
      </c>
      <c r="C52" s="22">
        <v>1021</v>
      </c>
      <c r="D52" s="7" t="s">
        <v>513</v>
      </c>
      <c r="E52" s="10"/>
      <c r="F52" s="10"/>
      <c r="G52" s="10"/>
      <c r="H52" s="7"/>
      <c r="I52" s="10"/>
      <c r="J52" s="10"/>
      <c r="K52" s="10"/>
    </row>
    <row r="53" spans="1:11" x14ac:dyDescent="0.2">
      <c r="A53" s="77"/>
      <c r="B53" s="23" t="s">
        <v>472</v>
      </c>
      <c r="C53" s="22">
        <v>1022</v>
      </c>
      <c r="D53" s="7" t="s">
        <v>496</v>
      </c>
      <c r="E53" s="10"/>
      <c r="F53" s="10"/>
      <c r="G53" s="10"/>
      <c r="H53" s="7"/>
      <c r="I53" s="10"/>
      <c r="J53" s="10"/>
      <c r="K53" s="10"/>
    </row>
    <row r="54" spans="1:11" x14ac:dyDescent="0.2">
      <c r="A54" s="77"/>
      <c r="B54" s="23" t="s">
        <v>461</v>
      </c>
      <c r="C54" s="22">
        <v>1023</v>
      </c>
      <c r="D54" s="7" t="s">
        <v>531</v>
      </c>
      <c r="E54" s="10"/>
      <c r="F54" s="10"/>
      <c r="G54" s="10"/>
      <c r="H54" s="7"/>
      <c r="I54" s="10"/>
      <c r="J54" s="10"/>
      <c r="K54" s="10"/>
    </row>
    <row r="55" spans="1:11" x14ac:dyDescent="0.2">
      <c r="A55" s="77"/>
      <c r="B55" s="23" t="s">
        <v>462</v>
      </c>
      <c r="C55" s="22">
        <v>1024</v>
      </c>
      <c r="D55" s="7" t="s">
        <v>535</v>
      </c>
      <c r="E55" s="10"/>
      <c r="F55" s="10"/>
      <c r="G55" s="10"/>
      <c r="H55" s="7"/>
      <c r="I55" s="10"/>
      <c r="J55" s="10"/>
      <c r="K55" s="10"/>
    </row>
    <row r="56" spans="1:11" x14ac:dyDescent="0.2">
      <c r="A56" s="77"/>
      <c r="B56" s="23" t="s">
        <v>463</v>
      </c>
      <c r="C56" s="22">
        <v>1025</v>
      </c>
      <c r="D56" s="7" t="s">
        <v>539</v>
      </c>
      <c r="E56" s="10"/>
      <c r="F56" s="10"/>
      <c r="G56" s="10"/>
      <c r="H56" s="7"/>
      <c r="I56" s="10"/>
      <c r="J56" s="10"/>
      <c r="K56" s="10"/>
    </row>
    <row r="57" spans="1:11" x14ac:dyDescent="0.2">
      <c r="A57" s="77"/>
      <c r="B57" s="23" t="s">
        <v>464</v>
      </c>
      <c r="C57" s="22">
        <v>1026</v>
      </c>
      <c r="D57" s="7" t="s">
        <v>540</v>
      </c>
      <c r="E57" s="10"/>
      <c r="F57" s="10"/>
      <c r="G57" s="10"/>
      <c r="H57" s="7"/>
      <c r="I57" s="10"/>
      <c r="J57" s="10"/>
      <c r="K57" s="10"/>
    </row>
    <row r="58" spans="1:11" x14ac:dyDescent="0.2">
      <c r="A58" s="77"/>
      <c r="B58" s="23" t="s">
        <v>465</v>
      </c>
      <c r="C58" s="22">
        <v>1027</v>
      </c>
      <c r="D58" s="7" t="s">
        <v>543</v>
      </c>
      <c r="E58" s="10"/>
      <c r="F58" s="10"/>
      <c r="G58" s="10"/>
      <c r="H58" s="7"/>
      <c r="I58" s="10"/>
      <c r="J58" s="10"/>
      <c r="K58" s="10"/>
    </row>
    <row r="59" spans="1:11" x14ac:dyDescent="0.2">
      <c r="A59" s="77"/>
      <c r="B59" s="23" t="s">
        <v>466</v>
      </c>
      <c r="C59" s="22">
        <v>1028</v>
      </c>
      <c r="D59" s="7" t="s">
        <v>544</v>
      </c>
      <c r="E59" s="10"/>
      <c r="F59" s="10"/>
      <c r="G59" s="10"/>
      <c r="H59" s="7"/>
      <c r="I59" s="10"/>
      <c r="J59" s="10"/>
      <c r="K59" s="10"/>
    </row>
    <row r="60" spans="1:11" x14ac:dyDescent="0.2">
      <c r="A60" s="77"/>
      <c r="B60" s="23" t="s">
        <v>473</v>
      </c>
      <c r="C60" s="22">
        <v>1029</v>
      </c>
      <c r="D60" s="7" t="s">
        <v>549</v>
      </c>
      <c r="E60" s="10"/>
      <c r="F60" s="10"/>
      <c r="G60" s="10"/>
      <c r="H60" s="7"/>
      <c r="I60" s="10"/>
      <c r="J60" s="10"/>
      <c r="K60" s="10"/>
    </row>
    <row r="61" spans="1:11" x14ac:dyDescent="0.2">
      <c r="A61" s="77"/>
      <c r="B61" s="23" t="s">
        <v>467</v>
      </c>
      <c r="C61" s="22">
        <v>1030</v>
      </c>
      <c r="D61" s="7" t="s">
        <v>559</v>
      </c>
      <c r="E61" s="10"/>
      <c r="F61" s="10"/>
      <c r="G61" s="10"/>
      <c r="H61" s="7"/>
      <c r="I61" s="10"/>
      <c r="J61" s="10"/>
      <c r="K61" s="10"/>
    </row>
    <row r="62" spans="1:11" x14ac:dyDescent="0.2">
      <c r="A62" s="77"/>
      <c r="B62" s="23" t="s">
        <v>468</v>
      </c>
      <c r="C62" s="22">
        <v>1031</v>
      </c>
      <c r="D62" s="7" t="s">
        <v>560</v>
      </c>
      <c r="E62" s="10"/>
      <c r="F62" s="10"/>
      <c r="G62" s="10"/>
      <c r="H62" s="7"/>
      <c r="I62" s="10"/>
      <c r="J62" s="10"/>
      <c r="K62" s="10"/>
    </row>
    <row r="63" spans="1:11" x14ac:dyDescent="0.2">
      <c r="A63" s="77"/>
      <c r="B63" s="23" t="s">
        <v>469</v>
      </c>
      <c r="C63" s="22">
        <v>1032</v>
      </c>
      <c r="D63" s="7" t="s">
        <v>561</v>
      </c>
      <c r="E63" s="10"/>
      <c r="F63" s="10"/>
      <c r="G63" s="10"/>
      <c r="H63" s="7"/>
      <c r="I63" s="10"/>
      <c r="J63" s="10"/>
      <c r="K63" s="10"/>
    </row>
    <row r="64" spans="1:11" x14ac:dyDescent="0.2">
      <c r="A64" s="77"/>
      <c r="B64" s="24" t="s">
        <v>440</v>
      </c>
      <c r="C64" s="22">
        <v>2001</v>
      </c>
      <c r="D64" s="7" t="s">
        <v>475</v>
      </c>
      <c r="E64" s="10"/>
      <c r="F64" s="10"/>
      <c r="G64" s="10"/>
      <c r="H64" s="7"/>
      <c r="I64" s="10"/>
      <c r="J64" s="10"/>
      <c r="K64" s="10"/>
    </row>
    <row r="65" spans="1:11" x14ac:dyDescent="0.2">
      <c r="A65" s="77"/>
      <c r="B65" s="24" t="s">
        <v>441</v>
      </c>
      <c r="C65" s="22">
        <v>2002</v>
      </c>
      <c r="D65" s="7" t="s">
        <v>477</v>
      </c>
      <c r="E65" s="10"/>
      <c r="F65" s="10"/>
      <c r="G65" s="10"/>
      <c r="H65" s="7"/>
      <c r="I65" s="10"/>
      <c r="J65" s="10"/>
      <c r="K65" s="10"/>
    </row>
    <row r="66" spans="1:11" x14ac:dyDescent="0.2">
      <c r="A66" s="77"/>
      <c r="B66" s="24" t="s">
        <v>442</v>
      </c>
      <c r="C66" s="22">
        <v>2003</v>
      </c>
      <c r="D66" s="7" t="s">
        <v>482</v>
      </c>
      <c r="E66" s="10"/>
      <c r="F66" s="10"/>
      <c r="G66" s="10"/>
      <c r="H66" s="7"/>
      <c r="I66" s="10"/>
      <c r="J66" s="10"/>
      <c r="K66" s="10"/>
    </row>
    <row r="67" spans="1:11" x14ac:dyDescent="0.2">
      <c r="A67" s="77"/>
      <c r="B67" s="24" t="s">
        <v>443</v>
      </c>
      <c r="C67" s="22">
        <v>2004</v>
      </c>
      <c r="D67" s="7" t="s">
        <v>483</v>
      </c>
      <c r="E67" s="10"/>
      <c r="F67" s="10"/>
      <c r="G67" s="10"/>
      <c r="H67" s="7"/>
      <c r="I67" s="10"/>
      <c r="J67" s="10"/>
      <c r="K67" s="10"/>
    </row>
    <row r="68" spans="1:11" x14ac:dyDescent="0.2">
      <c r="A68" s="77"/>
      <c r="B68" s="24" t="s">
        <v>444</v>
      </c>
      <c r="C68" s="22">
        <v>2005</v>
      </c>
      <c r="D68" s="7" t="s">
        <v>484</v>
      </c>
      <c r="E68" s="10"/>
      <c r="F68" s="10"/>
      <c r="G68" s="10"/>
      <c r="H68" s="7"/>
      <c r="I68" s="10"/>
      <c r="J68" s="10"/>
      <c r="K68" s="10"/>
    </row>
    <row r="69" spans="1:11" x14ac:dyDescent="0.2">
      <c r="A69" s="77"/>
      <c r="B69" s="24" t="s">
        <v>445</v>
      </c>
      <c r="C69" s="22">
        <v>2006</v>
      </c>
      <c r="D69" s="7" t="s">
        <v>485</v>
      </c>
      <c r="E69" s="10"/>
      <c r="F69" s="10"/>
      <c r="G69" s="10"/>
      <c r="H69" s="7"/>
      <c r="I69" s="10"/>
      <c r="J69" s="10"/>
      <c r="K69" s="10"/>
    </row>
    <row r="70" spans="1:11" x14ac:dyDescent="0.2">
      <c r="A70" s="77"/>
      <c r="B70" s="24" t="s">
        <v>446</v>
      </c>
      <c r="C70" s="22">
        <v>2007</v>
      </c>
      <c r="D70" s="7" t="s">
        <v>497</v>
      </c>
      <c r="E70" s="10"/>
      <c r="F70" s="10"/>
      <c r="G70" s="10"/>
      <c r="H70" s="7"/>
      <c r="I70" s="10"/>
      <c r="J70" s="10"/>
      <c r="K70" s="10"/>
    </row>
    <row r="71" spans="1:11" x14ac:dyDescent="0.2">
      <c r="A71" s="77"/>
      <c r="B71" s="24" t="s">
        <v>447</v>
      </c>
      <c r="C71" s="22">
        <v>2008</v>
      </c>
      <c r="D71" s="7" t="s">
        <v>498</v>
      </c>
      <c r="E71" s="10"/>
      <c r="F71" s="10"/>
      <c r="G71" s="10"/>
      <c r="H71" s="7"/>
      <c r="I71" s="10"/>
      <c r="J71" s="10"/>
      <c r="K71" s="10"/>
    </row>
    <row r="72" spans="1:11" x14ac:dyDescent="0.2">
      <c r="A72" s="77"/>
      <c r="B72" s="24" t="s">
        <v>448</v>
      </c>
      <c r="C72" s="22">
        <v>2009</v>
      </c>
      <c r="D72" s="7" t="s">
        <v>499</v>
      </c>
      <c r="E72" s="10"/>
      <c r="F72" s="10"/>
      <c r="G72" s="10"/>
      <c r="H72" s="7"/>
      <c r="I72" s="10"/>
      <c r="J72" s="10"/>
      <c r="K72" s="10"/>
    </row>
    <row r="73" spans="1:11" x14ac:dyDescent="0.2">
      <c r="A73" s="77"/>
      <c r="B73" s="24" t="s">
        <v>449</v>
      </c>
      <c r="C73" s="22">
        <v>2010</v>
      </c>
      <c r="D73" s="7" t="s">
        <v>500</v>
      </c>
      <c r="E73" s="10"/>
      <c r="F73" s="10"/>
      <c r="G73" s="10"/>
      <c r="H73" s="7"/>
      <c r="I73" s="10"/>
      <c r="J73" s="10"/>
      <c r="K73" s="10"/>
    </row>
    <row r="74" spans="1:11" x14ac:dyDescent="0.2">
      <c r="A74" s="77"/>
      <c r="B74" s="24" t="s">
        <v>450</v>
      </c>
      <c r="C74" s="22">
        <v>2011</v>
      </c>
      <c r="D74" s="7" t="s">
        <v>501</v>
      </c>
      <c r="E74" s="10"/>
      <c r="F74" s="10"/>
      <c r="G74" s="10"/>
      <c r="H74" s="7"/>
      <c r="I74" s="10"/>
      <c r="J74" s="10"/>
      <c r="K74" s="10"/>
    </row>
    <row r="75" spans="1:11" x14ac:dyDescent="0.2">
      <c r="A75" s="77"/>
      <c r="B75" s="24" t="s">
        <v>451</v>
      </c>
      <c r="C75" s="22">
        <v>2012</v>
      </c>
      <c r="D75" s="7" t="s">
        <v>502</v>
      </c>
      <c r="E75" s="10"/>
      <c r="F75" s="10"/>
      <c r="G75" s="10"/>
      <c r="H75" s="7"/>
      <c r="I75" s="10"/>
      <c r="J75" s="10"/>
      <c r="K75" s="10"/>
    </row>
    <row r="76" spans="1:11" x14ac:dyDescent="0.2">
      <c r="A76" s="77"/>
      <c r="B76" s="24" t="s">
        <v>452</v>
      </c>
      <c r="C76" s="22">
        <v>2013</v>
      </c>
      <c r="D76" s="7" t="s">
        <v>503</v>
      </c>
      <c r="E76" s="10"/>
      <c r="F76" s="10"/>
      <c r="G76" s="10"/>
      <c r="H76" s="7"/>
      <c r="I76" s="10"/>
      <c r="J76" s="10"/>
      <c r="K76" s="10"/>
    </row>
    <row r="77" spans="1:11" x14ac:dyDescent="0.2">
      <c r="A77" s="77"/>
      <c r="B77" s="24" t="s">
        <v>453</v>
      </c>
      <c r="C77" s="22">
        <v>2014</v>
      </c>
      <c r="D77" s="7" t="s">
        <v>504</v>
      </c>
      <c r="E77" s="10"/>
      <c r="F77" s="10"/>
      <c r="G77" s="10"/>
      <c r="H77" s="7"/>
      <c r="I77" s="10"/>
      <c r="J77" s="10"/>
      <c r="K77" s="10"/>
    </row>
    <row r="78" spans="1:11" x14ac:dyDescent="0.2">
      <c r="A78" s="77"/>
      <c r="B78" s="24" t="s">
        <v>454</v>
      </c>
      <c r="C78" s="22">
        <v>2015</v>
      </c>
      <c r="D78" s="7" t="s">
        <v>505</v>
      </c>
      <c r="E78" s="10"/>
      <c r="F78" s="10"/>
      <c r="G78" s="10"/>
      <c r="H78" s="7"/>
      <c r="I78" s="10"/>
      <c r="J78" s="10"/>
      <c r="K78" s="10"/>
    </row>
    <row r="79" spans="1:11" x14ac:dyDescent="0.2">
      <c r="A79" s="77"/>
      <c r="B79" s="24" t="s">
        <v>455</v>
      </c>
      <c r="C79" s="22">
        <v>2016</v>
      </c>
      <c r="D79" s="7" t="s">
        <v>506</v>
      </c>
      <c r="E79" s="10"/>
      <c r="F79" s="10"/>
      <c r="G79" s="10"/>
      <c r="H79" s="7"/>
      <c r="I79" s="10"/>
      <c r="J79" s="10"/>
      <c r="K79" s="10"/>
    </row>
    <row r="80" spans="1:11" x14ac:dyDescent="0.2">
      <c r="A80" s="77"/>
      <c r="B80" s="24" t="s">
        <v>456</v>
      </c>
      <c r="C80" s="22">
        <v>2017</v>
      </c>
      <c r="D80" s="7" t="s">
        <v>507</v>
      </c>
      <c r="E80" s="10"/>
      <c r="F80" s="10"/>
      <c r="G80" s="10"/>
      <c r="H80" s="7"/>
      <c r="I80" s="10"/>
      <c r="J80" s="10"/>
      <c r="K80" s="10"/>
    </row>
    <row r="81" spans="1:11" x14ac:dyDescent="0.2">
      <c r="A81" s="77"/>
      <c r="B81" s="24" t="s">
        <v>457</v>
      </c>
      <c r="C81" s="22">
        <v>2018</v>
      </c>
      <c r="D81" s="7" t="s">
        <v>508</v>
      </c>
      <c r="E81" s="10"/>
      <c r="F81" s="10"/>
      <c r="G81" s="10"/>
      <c r="H81" s="7"/>
      <c r="I81" s="10"/>
      <c r="J81" s="10"/>
      <c r="K81" s="10"/>
    </row>
    <row r="82" spans="1:11" x14ac:dyDescent="0.2">
      <c r="A82" s="77"/>
      <c r="B82" s="24" t="s">
        <v>458</v>
      </c>
      <c r="C82" s="22">
        <v>2019</v>
      </c>
      <c r="D82" s="7" t="s">
        <v>509</v>
      </c>
      <c r="E82" s="10"/>
      <c r="F82" s="10"/>
      <c r="G82" s="10"/>
      <c r="H82" s="7"/>
      <c r="I82" s="10"/>
      <c r="J82" s="10"/>
      <c r="K82" s="10"/>
    </row>
    <row r="83" spans="1:11" x14ac:dyDescent="0.2">
      <c r="A83" s="77"/>
      <c r="B83" s="24" t="s">
        <v>459</v>
      </c>
      <c r="C83" s="22">
        <v>2020</v>
      </c>
      <c r="D83" s="7" t="s">
        <v>510</v>
      </c>
      <c r="E83" s="10"/>
      <c r="F83" s="10"/>
      <c r="G83" s="10"/>
      <c r="H83" s="7"/>
      <c r="I83" s="10"/>
      <c r="J83" s="10"/>
      <c r="K83" s="10"/>
    </row>
    <row r="84" spans="1:11" x14ac:dyDescent="0.2">
      <c r="A84" s="77"/>
      <c r="B84" s="24" t="s">
        <v>460</v>
      </c>
      <c r="C84" s="22">
        <v>2021</v>
      </c>
      <c r="D84" s="7" t="s">
        <v>511</v>
      </c>
      <c r="E84" s="10"/>
      <c r="F84" s="10"/>
      <c r="G84" s="10"/>
      <c r="H84" s="7"/>
      <c r="I84" s="10"/>
      <c r="J84" s="10"/>
      <c r="K84" s="10"/>
    </row>
    <row r="85" spans="1:11" x14ac:dyDescent="0.2">
      <c r="A85" s="77"/>
      <c r="B85" s="24" t="s">
        <v>472</v>
      </c>
      <c r="C85" s="22">
        <v>2022</v>
      </c>
      <c r="D85" s="7" t="s">
        <v>512</v>
      </c>
      <c r="E85" s="10"/>
      <c r="F85" s="10"/>
      <c r="G85" s="10"/>
      <c r="H85" s="7"/>
      <c r="I85" s="10"/>
      <c r="J85" s="10"/>
      <c r="K85" s="10"/>
    </row>
    <row r="86" spans="1:11" x14ac:dyDescent="0.2">
      <c r="A86" s="77"/>
      <c r="B86" s="24" t="s">
        <v>470</v>
      </c>
      <c r="C86" s="22">
        <v>2023</v>
      </c>
      <c r="D86" s="7" t="s">
        <v>518</v>
      </c>
      <c r="E86" s="10"/>
      <c r="F86" s="10"/>
      <c r="G86" s="10"/>
      <c r="H86" s="7"/>
      <c r="I86" s="10"/>
      <c r="J86" s="10"/>
      <c r="K86" s="10"/>
    </row>
    <row r="87" spans="1:11" x14ac:dyDescent="0.2">
      <c r="A87" s="77"/>
      <c r="B87" s="24" t="s">
        <v>461</v>
      </c>
      <c r="C87" s="22">
        <v>2024</v>
      </c>
      <c r="D87" s="7" t="s">
        <v>533</v>
      </c>
      <c r="E87" s="10"/>
      <c r="F87" s="10"/>
      <c r="G87" s="10"/>
      <c r="H87" s="7"/>
      <c r="I87" s="10"/>
      <c r="J87" s="10"/>
      <c r="K87" s="10"/>
    </row>
    <row r="88" spans="1:11" x14ac:dyDescent="0.2">
      <c r="A88" s="77"/>
      <c r="B88" s="24" t="s">
        <v>462</v>
      </c>
      <c r="C88" s="22">
        <v>2025</v>
      </c>
      <c r="D88" s="7" t="s">
        <v>534</v>
      </c>
      <c r="E88" s="10"/>
      <c r="F88" s="10"/>
      <c r="G88" s="10"/>
      <c r="H88" s="7"/>
      <c r="I88" s="10"/>
      <c r="J88" s="10"/>
      <c r="K88" s="10"/>
    </row>
    <row r="89" spans="1:11" x14ac:dyDescent="0.2">
      <c r="A89" s="77"/>
      <c r="B89" s="24" t="s">
        <v>463</v>
      </c>
      <c r="C89" s="22">
        <v>2026</v>
      </c>
      <c r="D89" s="7" t="s">
        <v>538</v>
      </c>
      <c r="E89" s="10"/>
      <c r="F89" s="10"/>
      <c r="G89" s="10"/>
      <c r="H89" s="7"/>
      <c r="I89" s="10"/>
      <c r="J89" s="10"/>
      <c r="K89" s="10"/>
    </row>
    <row r="90" spans="1:11" x14ac:dyDescent="0.2">
      <c r="A90" s="77"/>
      <c r="B90" s="24" t="s">
        <v>464</v>
      </c>
      <c r="C90" s="22">
        <v>2027</v>
      </c>
      <c r="D90" s="7" t="s">
        <v>541</v>
      </c>
      <c r="E90" s="10"/>
      <c r="F90" s="10"/>
      <c r="G90" s="10"/>
      <c r="H90" s="7"/>
      <c r="I90" s="10"/>
      <c r="J90" s="10"/>
      <c r="K90" s="10"/>
    </row>
    <row r="91" spans="1:11" x14ac:dyDescent="0.2">
      <c r="A91" s="77"/>
      <c r="B91" s="24" t="s">
        <v>465</v>
      </c>
      <c r="C91" s="22">
        <v>2028</v>
      </c>
      <c r="D91" s="7" t="s">
        <v>545</v>
      </c>
      <c r="E91" s="10"/>
      <c r="F91" s="10"/>
      <c r="G91" s="10"/>
      <c r="H91" s="7"/>
      <c r="I91" s="10"/>
      <c r="J91" s="10"/>
      <c r="K91" s="10"/>
    </row>
    <row r="92" spans="1:11" x14ac:dyDescent="0.2">
      <c r="A92" s="77"/>
      <c r="B92" s="24" t="s">
        <v>466</v>
      </c>
      <c r="C92" s="22">
        <v>2029</v>
      </c>
      <c r="D92" s="7" t="s">
        <v>546</v>
      </c>
      <c r="E92" s="10"/>
      <c r="F92" s="10"/>
      <c r="G92" s="10"/>
      <c r="H92" s="7"/>
      <c r="I92" s="10"/>
      <c r="J92" s="10"/>
      <c r="K92" s="10"/>
    </row>
    <row r="93" spans="1:11" x14ac:dyDescent="0.2">
      <c r="A93" s="77"/>
      <c r="B93" s="24" t="s">
        <v>473</v>
      </c>
      <c r="C93" s="22">
        <v>2030</v>
      </c>
      <c r="D93" s="7" t="s">
        <v>550</v>
      </c>
      <c r="E93" s="10"/>
      <c r="F93" s="10"/>
      <c r="G93" s="10"/>
      <c r="H93" s="7"/>
      <c r="I93" s="10"/>
      <c r="J93" s="10"/>
      <c r="K93" s="10"/>
    </row>
    <row r="94" spans="1:11" x14ac:dyDescent="0.2">
      <c r="A94" s="77"/>
      <c r="B94" s="24" t="s">
        <v>467</v>
      </c>
      <c r="C94" s="22">
        <v>2031</v>
      </c>
      <c r="D94" s="7" t="s">
        <v>562</v>
      </c>
      <c r="E94" s="10"/>
      <c r="F94" s="10"/>
      <c r="G94" s="10"/>
      <c r="H94" s="7"/>
      <c r="I94" s="10"/>
      <c r="J94" s="10"/>
      <c r="K94" s="10"/>
    </row>
    <row r="95" spans="1:11" x14ac:dyDescent="0.2">
      <c r="A95" s="77"/>
      <c r="B95" s="24" t="s">
        <v>468</v>
      </c>
      <c r="C95" s="22">
        <v>2032</v>
      </c>
      <c r="D95" s="7" t="s">
        <v>563</v>
      </c>
      <c r="E95" s="10"/>
      <c r="F95" s="10"/>
      <c r="G95" s="10"/>
      <c r="H95" s="7"/>
      <c r="I95" s="10"/>
      <c r="J95" s="10"/>
      <c r="K95" s="10"/>
    </row>
    <row r="96" spans="1:11" x14ac:dyDescent="0.2">
      <c r="A96" s="77"/>
      <c r="B96" s="24" t="s">
        <v>469</v>
      </c>
      <c r="C96" s="22">
        <v>2033</v>
      </c>
      <c r="D96" s="7" t="s">
        <v>564</v>
      </c>
      <c r="E96" s="10"/>
      <c r="F96" s="10"/>
      <c r="G96" s="10"/>
      <c r="H96" s="7"/>
      <c r="I96" s="10"/>
      <c r="J96" s="10"/>
      <c r="K96" s="10"/>
    </row>
    <row r="97" spans="1:11" x14ac:dyDescent="0.2">
      <c r="A97" s="77"/>
      <c r="B97" s="24" t="s">
        <v>557</v>
      </c>
      <c r="C97" s="22">
        <v>2034</v>
      </c>
      <c r="D97" s="7"/>
      <c r="E97" s="10"/>
      <c r="F97" s="10">
        <v>30001</v>
      </c>
      <c r="G97" s="10"/>
      <c r="H97" s="7"/>
      <c r="I97" s="10"/>
      <c r="J97" s="10"/>
      <c r="K97" s="10"/>
    </row>
    <row r="98" spans="1:11" x14ac:dyDescent="0.2">
      <c r="A98" s="77"/>
      <c r="B98" s="24" t="s">
        <v>554</v>
      </c>
      <c r="C98" s="22">
        <v>2035</v>
      </c>
      <c r="D98" s="7"/>
      <c r="E98" s="10"/>
      <c r="F98" s="10">
        <v>30002</v>
      </c>
      <c r="G98" s="10"/>
      <c r="H98" s="7"/>
      <c r="I98" s="10"/>
      <c r="J98" s="10"/>
      <c r="K98" s="10"/>
    </row>
    <row r="99" spans="1:11" x14ac:dyDescent="0.2">
      <c r="A99" s="77"/>
      <c r="B99" s="24" t="s">
        <v>555</v>
      </c>
      <c r="C99" s="22">
        <v>2036</v>
      </c>
      <c r="D99" s="7"/>
      <c r="E99" s="10"/>
      <c r="F99" s="10">
        <v>30003</v>
      </c>
      <c r="G99" s="10"/>
      <c r="H99" s="7"/>
      <c r="I99" s="10"/>
      <c r="J99" s="10"/>
      <c r="K99" s="10"/>
    </row>
    <row r="100" spans="1:11" x14ac:dyDescent="0.2">
      <c r="A100" s="77"/>
      <c r="B100" s="24" t="s">
        <v>556</v>
      </c>
      <c r="C100" s="22">
        <v>2037</v>
      </c>
      <c r="D100" s="7"/>
      <c r="E100" s="10"/>
      <c r="F100" s="10">
        <v>30004</v>
      </c>
      <c r="G100" s="10"/>
      <c r="H100" s="7"/>
      <c r="I100" s="10"/>
      <c r="J100" s="10"/>
      <c r="K100" s="10"/>
    </row>
    <row r="101" spans="1:11" x14ac:dyDescent="0.2">
      <c r="A101" s="77"/>
      <c r="B101" s="25" t="s">
        <v>446</v>
      </c>
      <c r="C101" s="22">
        <v>3001</v>
      </c>
      <c r="D101" s="7" t="s">
        <v>520</v>
      </c>
      <c r="E101" s="10"/>
      <c r="F101" s="10"/>
      <c r="G101" s="10"/>
      <c r="H101" s="7"/>
      <c r="I101" s="10"/>
      <c r="J101" s="10"/>
      <c r="K101" s="10"/>
    </row>
    <row r="102" spans="1:11" x14ac:dyDescent="0.2">
      <c r="A102" s="77"/>
      <c r="B102" s="25" t="s">
        <v>447</v>
      </c>
      <c r="C102" s="22">
        <v>3002</v>
      </c>
      <c r="D102" s="7" t="s">
        <v>521</v>
      </c>
      <c r="E102" s="10"/>
      <c r="F102" s="10"/>
      <c r="G102" s="10"/>
      <c r="H102" s="7"/>
      <c r="I102" s="10"/>
      <c r="J102" s="10"/>
      <c r="K102" s="10"/>
    </row>
    <row r="103" spans="1:11" x14ac:dyDescent="0.2">
      <c r="A103" s="77"/>
      <c r="B103" s="25" t="s">
        <v>448</v>
      </c>
      <c r="C103" s="22">
        <v>3003</v>
      </c>
      <c r="D103" s="7" t="s">
        <v>522</v>
      </c>
      <c r="E103" s="10"/>
      <c r="F103" s="10"/>
      <c r="G103" s="10"/>
      <c r="H103" s="7"/>
      <c r="I103" s="10"/>
      <c r="J103" s="10"/>
      <c r="K103" s="10"/>
    </row>
    <row r="104" spans="1:11" x14ac:dyDescent="0.2">
      <c r="A104" s="77"/>
      <c r="B104" s="25" t="s">
        <v>449</v>
      </c>
      <c r="C104" s="22">
        <v>3004</v>
      </c>
      <c r="D104" s="7" t="s">
        <v>523</v>
      </c>
      <c r="E104" s="10"/>
      <c r="F104" s="10"/>
      <c r="G104" s="10"/>
      <c r="H104" s="7"/>
      <c r="I104" s="10"/>
      <c r="J104" s="10"/>
      <c r="K104" s="10"/>
    </row>
    <row r="105" spans="1:11" x14ac:dyDescent="0.2">
      <c r="A105" s="77"/>
      <c r="B105" s="25" t="s">
        <v>450</v>
      </c>
      <c r="C105" s="22">
        <v>3005</v>
      </c>
      <c r="D105" s="7" t="s">
        <v>524</v>
      </c>
      <c r="E105" s="10"/>
      <c r="F105" s="10"/>
      <c r="G105" s="10"/>
      <c r="H105" s="7"/>
      <c r="I105" s="10"/>
      <c r="J105" s="10"/>
      <c r="K105" s="10"/>
    </row>
    <row r="106" spans="1:11" x14ac:dyDescent="0.2">
      <c r="A106" s="77"/>
      <c r="B106" s="25" t="s">
        <v>451</v>
      </c>
      <c r="C106" s="22">
        <v>3006</v>
      </c>
      <c r="D106" s="7" t="s">
        <v>525</v>
      </c>
      <c r="E106" s="10"/>
      <c r="F106" s="10"/>
      <c r="G106" s="10"/>
      <c r="H106" s="7"/>
      <c r="I106" s="10"/>
      <c r="J106" s="10"/>
      <c r="K106" s="10"/>
    </row>
    <row r="107" spans="1:11" x14ac:dyDescent="0.2">
      <c r="A107" s="77"/>
      <c r="B107" s="25" t="s">
        <v>452</v>
      </c>
      <c r="C107" s="22">
        <v>3007</v>
      </c>
      <c r="D107" s="7" t="s">
        <v>526</v>
      </c>
      <c r="E107" s="10"/>
      <c r="F107" s="10"/>
      <c r="G107" s="10"/>
      <c r="H107" s="7"/>
      <c r="I107" s="10"/>
      <c r="J107" s="10"/>
      <c r="K107" s="10"/>
    </row>
    <row r="108" spans="1:11" x14ac:dyDescent="0.2">
      <c r="A108" s="77"/>
      <c r="B108" s="25" t="s">
        <v>453</v>
      </c>
      <c r="C108" s="22">
        <v>3008</v>
      </c>
      <c r="D108" s="7" t="s">
        <v>527</v>
      </c>
      <c r="E108" s="10"/>
      <c r="F108" s="10"/>
      <c r="G108" s="10"/>
      <c r="H108" s="7"/>
      <c r="I108" s="10"/>
      <c r="J108" s="10"/>
      <c r="K108" s="10"/>
    </row>
    <row r="109" spans="1:11" x14ac:dyDescent="0.2">
      <c r="A109" s="77"/>
      <c r="B109" s="25" t="s">
        <v>454</v>
      </c>
      <c r="C109" s="22">
        <v>3009</v>
      </c>
      <c r="D109" s="7" t="s">
        <v>528</v>
      </c>
      <c r="E109" s="10"/>
      <c r="F109" s="10"/>
      <c r="G109" s="10"/>
      <c r="H109" s="7"/>
      <c r="I109" s="10"/>
      <c r="J109" s="10"/>
      <c r="K109" s="10"/>
    </row>
    <row r="110" spans="1:11" x14ac:dyDescent="0.2">
      <c r="B110" s="25" t="s">
        <v>455</v>
      </c>
      <c r="C110" s="22">
        <v>3010</v>
      </c>
      <c r="D110" s="7" t="s">
        <v>529</v>
      </c>
      <c r="E110" s="10"/>
      <c r="F110" s="10"/>
      <c r="G110" s="10"/>
      <c r="H110" s="7"/>
      <c r="I110" s="10"/>
      <c r="J110" s="10"/>
      <c r="K110" s="10"/>
    </row>
    <row r="111" spans="1:11" x14ac:dyDescent="0.2">
      <c r="B111" s="25" t="s">
        <v>472</v>
      </c>
      <c r="C111" s="22">
        <v>3011</v>
      </c>
      <c r="D111" s="7" t="s">
        <v>530</v>
      </c>
      <c r="E111" s="10"/>
      <c r="F111" s="10"/>
      <c r="G111" s="10"/>
      <c r="H111" s="7"/>
      <c r="I111" s="10"/>
      <c r="J111" s="10"/>
      <c r="K111" s="10"/>
    </row>
    <row r="112" spans="1:11" x14ac:dyDescent="0.2">
      <c r="B112" s="25" t="s">
        <v>470</v>
      </c>
      <c r="C112" s="22">
        <v>3012</v>
      </c>
      <c r="D112" s="7" t="s">
        <v>519</v>
      </c>
      <c r="E112" s="10"/>
      <c r="F112" s="10"/>
      <c r="G112" s="10"/>
      <c r="H112" s="7"/>
      <c r="I112" s="10"/>
      <c r="J112" s="10"/>
      <c r="K112" s="10"/>
    </row>
    <row r="113" spans="2:11" x14ac:dyDescent="0.2">
      <c r="B113" s="25" t="s">
        <v>471</v>
      </c>
      <c r="C113" s="22">
        <v>3013</v>
      </c>
      <c r="D113" s="7" t="s">
        <v>558</v>
      </c>
      <c r="E113" s="10"/>
      <c r="F113" s="10"/>
      <c r="G113" s="10"/>
      <c r="H113" s="7"/>
      <c r="I113" s="10"/>
      <c r="J113" s="10"/>
      <c r="K113" s="10"/>
    </row>
    <row r="114" spans="2:11" x14ac:dyDescent="0.2">
      <c r="B114" s="25" t="s">
        <v>461</v>
      </c>
      <c r="C114" s="22">
        <v>3014</v>
      </c>
      <c r="D114" s="7" t="s">
        <v>532</v>
      </c>
      <c r="E114" s="10"/>
      <c r="F114" s="10"/>
      <c r="G114" s="10"/>
      <c r="H114" s="7"/>
      <c r="I114" s="10"/>
      <c r="J114" s="10"/>
      <c r="K114" s="10"/>
    </row>
    <row r="115" spans="2:11" x14ac:dyDescent="0.2">
      <c r="B115" s="25" t="s">
        <v>462</v>
      </c>
      <c r="C115" s="22">
        <v>3015</v>
      </c>
      <c r="D115" s="7" t="s">
        <v>536</v>
      </c>
      <c r="E115" s="10"/>
      <c r="F115" s="10"/>
      <c r="G115" s="10"/>
      <c r="H115" s="7"/>
      <c r="I115" s="10"/>
      <c r="J115" s="10"/>
      <c r="K115" s="10"/>
    </row>
    <row r="116" spans="2:11" x14ac:dyDescent="0.2">
      <c r="B116" s="25" t="s">
        <v>463</v>
      </c>
      <c r="C116" s="22">
        <v>3016</v>
      </c>
      <c r="D116" s="7" t="s">
        <v>537</v>
      </c>
      <c r="E116" s="10"/>
      <c r="F116" s="10"/>
      <c r="G116" s="10"/>
      <c r="H116" s="7"/>
      <c r="I116" s="10"/>
      <c r="J116" s="10"/>
      <c r="K116" s="10"/>
    </row>
    <row r="117" spans="2:11" x14ac:dyDescent="0.2">
      <c r="B117" s="25" t="s">
        <v>464</v>
      </c>
      <c r="C117" s="22">
        <v>3017</v>
      </c>
      <c r="D117" s="7" t="s">
        <v>542</v>
      </c>
      <c r="E117" s="10"/>
      <c r="F117" s="10"/>
      <c r="G117" s="10"/>
      <c r="H117" s="7"/>
      <c r="I117" s="10"/>
      <c r="J117" s="10"/>
      <c r="K117" s="10"/>
    </row>
    <row r="118" spans="2:11" x14ac:dyDescent="0.2">
      <c r="B118" s="25" t="s">
        <v>465</v>
      </c>
      <c r="C118" s="22">
        <v>3018</v>
      </c>
      <c r="D118" s="7" t="s">
        <v>547</v>
      </c>
      <c r="E118" s="10"/>
      <c r="F118" s="10"/>
      <c r="G118" s="10"/>
      <c r="H118" s="7"/>
      <c r="I118" s="10"/>
      <c r="J118" s="10"/>
      <c r="K118" s="10"/>
    </row>
    <row r="119" spans="2:11" x14ac:dyDescent="0.2">
      <c r="B119" s="25" t="s">
        <v>466</v>
      </c>
      <c r="C119" s="22">
        <v>3019</v>
      </c>
      <c r="D119" s="7" t="s">
        <v>548</v>
      </c>
      <c r="E119" s="10"/>
      <c r="F119" s="10"/>
      <c r="G119" s="10"/>
      <c r="H119" s="7"/>
      <c r="I119" s="10"/>
      <c r="J119" s="10"/>
      <c r="K119" s="10"/>
    </row>
    <row r="120" spans="2:11" x14ac:dyDescent="0.2">
      <c r="B120" s="25" t="s">
        <v>473</v>
      </c>
      <c r="C120" s="22">
        <v>3020</v>
      </c>
      <c r="D120" s="7" t="s">
        <v>551</v>
      </c>
      <c r="E120" s="10"/>
      <c r="F120" s="10"/>
      <c r="G120" s="10"/>
      <c r="H120" s="7"/>
      <c r="I120" s="10"/>
      <c r="J120" s="10"/>
      <c r="K120" s="10"/>
    </row>
    <row r="121" spans="2:11" x14ac:dyDescent="0.2">
      <c r="B121" s="25" t="s">
        <v>553</v>
      </c>
      <c r="C121" s="22">
        <v>3021</v>
      </c>
      <c r="D121" s="10"/>
      <c r="E121" s="7" t="s">
        <v>552</v>
      </c>
      <c r="F121" s="10"/>
      <c r="G121" s="10"/>
      <c r="H121" s="7"/>
      <c r="I121" s="10"/>
      <c r="J121" s="10"/>
      <c r="K121" s="10"/>
    </row>
    <row r="122" spans="2:11" x14ac:dyDescent="0.2">
      <c r="B122" s="25" t="s">
        <v>467</v>
      </c>
      <c r="C122" s="22">
        <v>3022</v>
      </c>
      <c r="D122" s="7" t="s">
        <v>565</v>
      </c>
      <c r="E122" s="10"/>
      <c r="F122" s="10"/>
      <c r="G122" s="10"/>
      <c r="H122" s="7"/>
      <c r="I122" s="10"/>
      <c r="J122" s="10"/>
      <c r="K122" s="10"/>
    </row>
    <row r="123" spans="2:11" x14ac:dyDescent="0.2">
      <c r="B123" s="25" t="s">
        <v>468</v>
      </c>
      <c r="C123" s="22">
        <v>3023</v>
      </c>
      <c r="D123" s="7" t="s">
        <v>566</v>
      </c>
      <c r="E123" s="10"/>
      <c r="F123" s="10"/>
      <c r="G123" s="10"/>
      <c r="H123" s="7"/>
      <c r="I123" s="10"/>
      <c r="J123" s="10"/>
      <c r="K123" s="10"/>
    </row>
    <row r="124" spans="2:11" x14ac:dyDescent="0.2">
      <c r="B124" s="25" t="s">
        <v>469</v>
      </c>
      <c r="C124" s="22">
        <v>3024</v>
      </c>
      <c r="D124" s="7" t="s">
        <v>567</v>
      </c>
      <c r="E124" s="10"/>
      <c r="F124" s="10"/>
      <c r="G124" s="10"/>
      <c r="H124" s="7"/>
      <c r="I124" s="10"/>
      <c r="J124" s="10"/>
      <c r="K124" s="10"/>
    </row>
  </sheetData>
  <mergeCells count="4">
    <mergeCell ref="A7:A19"/>
    <mergeCell ref="A24:A31"/>
    <mergeCell ref="A20:A23"/>
    <mergeCell ref="A32:A109"/>
  </mergeCells>
  <phoneticPr fontId="2" type="noConversion"/>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6BDED1-0BF6-4295-957B-EC5BA881524C}">
  <dimension ref="A1:H29"/>
  <sheetViews>
    <sheetView workbookViewId="0">
      <selection activeCell="C21" sqref="C21"/>
    </sheetView>
  </sheetViews>
  <sheetFormatPr defaultRowHeight="14.25" x14ac:dyDescent="0.2"/>
  <cols>
    <col min="1" max="1" width="16" customWidth="1"/>
    <col min="2" max="2" width="15.375" customWidth="1"/>
    <col min="3" max="3" width="82.75" customWidth="1"/>
    <col min="4" max="4" width="43" customWidth="1"/>
    <col min="7" max="7" width="15.375" bestFit="1" customWidth="1"/>
  </cols>
  <sheetData>
    <row r="1" spans="1:8" x14ac:dyDescent="0.2">
      <c r="A1" s="10">
        <v>1</v>
      </c>
      <c r="B1" s="20" t="s">
        <v>304</v>
      </c>
      <c r="C1" s="10" t="s">
        <v>125</v>
      </c>
      <c r="D1" s="10" t="s">
        <v>104</v>
      </c>
      <c r="G1" s="18" t="s">
        <v>344</v>
      </c>
      <c r="H1" t="s">
        <v>343</v>
      </c>
    </row>
    <row r="2" spans="1:8" x14ac:dyDescent="0.2">
      <c r="A2" s="10">
        <v>2</v>
      </c>
      <c r="B2" s="20" t="s">
        <v>305</v>
      </c>
      <c r="C2" s="10" t="s">
        <v>126</v>
      </c>
      <c r="D2" s="10" t="s">
        <v>105</v>
      </c>
      <c r="G2" s="19" t="s">
        <v>222</v>
      </c>
    </row>
    <row r="3" spans="1:8" x14ac:dyDescent="0.2">
      <c r="A3" s="10">
        <v>3</v>
      </c>
      <c r="B3" s="20" t="s">
        <v>306</v>
      </c>
      <c r="C3" s="10" t="s">
        <v>127</v>
      </c>
      <c r="D3" s="10" t="s">
        <v>106</v>
      </c>
      <c r="G3" s="18" t="s">
        <v>223</v>
      </c>
    </row>
    <row r="4" spans="1:8" x14ac:dyDescent="0.2">
      <c r="A4" s="10">
        <v>4</v>
      </c>
      <c r="B4" s="20" t="s">
        <v>307</v>
      </c>
      <c r="C4" s="10" t="s">
        <v>128</v>
      </c>
      <c r="D4" s="10" t="s">
        <v>107</v>
      </c>
      <c r="G4" s="19" t="s">
        <v>224</v>
      </c>
    </row>
    <row r="5" spans="1:8" x14ac:dyDescent="0.2">
      <c r="A5" s="10">
        <v>5</v>
      </c>
      <c r="B5" s="20" t="s">
        <v>308</v>
      </c>
      <c r="C5" s="10" t="s">
        <v>129</v>
      </c>
      <c r="D5" s="10" t="s">
        <v>108</v>
      </c>
      <c r="G5" s="18" t="s">
        <v>225</v>
      </c>
    </row>
    <row r="6" spans="1:8" x14ac:dyDescent="0.2">
      <c r="A6" s="10">
        <v>6</v>
      </c>
      <c r="B6" s="20" t="s">
        <v>309</v>
      </c>
      <c r="C6" s="10" t="s">
        <v>130</v>
      </c>
      <c r="D6" s="10" t="s">
        <v>109</v>
      </c>
      <c r="G6" s="19" t="s">
        <v>226</v>
      </c>
    </row>
    <row r="7" spans="1:8" x14ac:dyDescent="0.2">
      <c r="A7" s="10">
        <v>7</v>
      </c>
      <c r="B7" s="20" t="s">
        <v>310</v>
      </c>
      <c r="C7" s="10" t="s">
        <v>131</v>
      </c>
      <c r="D7" s="10" t="s">
        <v>110</v>
      </c>
      <c r="G7" s="18" t="s">
        <v>227</v>
      </c>
    </row>
    <row r="8" spans="1:8" x14ac:dyDescent="0.2">
      <c r="A8" s="10">
        <v>8</v>
      </c>
      <c r="B8" s="20" t="s">
        <v>311</v>
      </c>
      <c r="C8" s="10" t="s">
        <v>132</v>
      </c>
      <c r="D8" s="10" t="s">
        <v>111</v>
      </c>
      <c r="G8" s="19" t="s">
        <v>228</v>
      </c>
    </row>
    <row r="9" spans="1:8" x14ac:dyDescent="0.2">
      <c r="A9" s="10">
        <v>9</v>
      </c>
      <c r="B9" s="20" t="s">
        <v>312</v>
      </c>
      <c r="C9" s="10" t="s">
        <v>133</v>
      </c>
      <c r="D9" s="10" t="s">
        <v>115</v>
      </c>
      <c r="G9" s="18" t="s">
        <v>229</v>
      </c>
    </row>
    <row r="10" spans="1:8" x14ac:dyDescent="0.2">
      <c r="A10" s="10">
        <v>10</v>
      </c>
      <c r="B10" s="20" t="s">
        <v>313</v>
      </c>
      <c r="C10" s="10" t="s">
        <v>134</v>
      </c>
      <c r="D10" s="10" t="s">
        <v>113</v>
      </c>
      <c r="G10" s="19" t="s">
        <v>230</v>
      </c>
    </row>
    <row r="11" spans="1:8" x14ac:dyDescent="0.2">
      <c r="A11" s="10">
        <v>11</v>
      </c>
      <c r="B11" s="20" t="s">
        <v>314</v>
      </c>
      <c r="C11" s="10" t="s">
        <v>135</v>
      </c>
      <c r="D11" s="10" t="s">
        <v>114</v>
      </c>
      <c r="G11" s="18" t="s">
        <v>231</v>
      </c>
    </row>
    <row r="12" spans="1:8" x14ac:dyDescent="0.2">
      <c r="A12" s="10">
        <v>12</v>
      </c>
      <c r="B12" s="20" t="s">
        <v>315</v>
      </c>
      <c r="C12" s="10" t="s">
        <v>137</v>
      </c>
      <c r="D12" s="10" t="s">
        <v>112</v>
      </c>
      <c r="G12" s="19" t="s">
        <v>232</v>
      </c>
    </row>
    <row r="13" spans="1:8" x14ac:dyDescent="0.2">
      <c r="A13" s="10">
        <v>13</v>
      </c>
      <c r="B13" s="20" t="s">
        <v>316</v>
      </c>
      <c r="C13" s="10" t="s">
        <v>138</v>
      </c>
      <c r="D13" s="10" t="s">
        <v>114</v>
      </c>
      <c r="G13" s="18" t="s">
        <v>233</v>
      </c>
    </row>
    <row r="14" spans="1:8" x14ac:dyDescent="0.2">
      <c r="C14" s="10" t="s">
        <v>136</v>
      </c>
      <c r="D14" s="10" t="s">
        <v>124</v>
      </c>
      <c r="G14" s="19" t="s">
        <v>234</v>
      </c>
    </row>
    <row r="15" spans="1:8" x14ac:dyDescent="0.2">
      <c r="C15" s="10" t="s">
        <v>123</v>
      </c>
      <c r="D15" s="10" t="s">
        <v>122</v>
      </c>
      <c r="G15" s="18" t="s">
        <v>235</v>
      </c>
    </row>
    <row r="16" spans="1:8" x14ac:dyDescent="0.2">
      <c r="C16" s="10" t="s">
        <v>139</v>
      </c>
      <c r="D16" s="10" t="s">
        <v>121</v>
      </c>
      <c r="G16" s="19" t="s">
        <v>236</v>
      </c>
    </row>
    <row r="17" spans="1:7" x14ac:dyDescent="0.2">
      <c r="C17" s="10" t="s">
        <v>140</v>
      </c>
      <c r="D17" s="10" t="s">
        <v>120</v>
      </c>
      <c r="G17" s="18" t="s">
        <v>237</v>
      </c>
    </row>
    <row r="18" spans="1:7" x14ac:dyDescent="0.2">
      <c r="C18" s="10" t="s">
        <v>141</v>
      </c>
      <c r="D18" s="10" t="s">
        <v>118</v>
      </c>
      <c r="G18" s="19" t="s">
        <v>238</v>
      </c>
    </row>
    <row r="19" spans="1:7" x14ac:dyDescent="0.2">
      <c r="C19" s="10" t="s">
        <v>142</v>
      </c>
      <c r="D19" s="10" t="s">
        <v>119</v>
      </c>
      <c r="G19" s="18" t="s">
        <v>239</v>
      </c>
    </row>
    <row r="20" spans="1:7" x14ac:dyDescent="0.2">
      <c r="C20" s="10" t="s">
        <v>143</v>
      </c>
      <c r="D20" s="10" t="s">
        <v>117</v>
      </c>
      <c r="G20" s="19" t="s">
        <v>240</v>
      </c>
    </row>
    <row r="21" spans="1:7" x14ac:dyDescent="0.2">
      <c r="C21" s="10" t="s">
        <v>144</v>
      </c>
      <c r="D21" s="10" t="s">
        <v>116</v>
      </c>
      <c r="G21" s="18" t="s">
        <v>241</v>
      </c>
    </row>
    <row r="22" spans="1:7" x14ac:dyDescent="0.2">
      <c r="A22" s="10">
        <v>14</v>
      </c>
      <c r="B22" s="20" t="s">
        <v>407</v>
      </c>
      <c r="C22" s="10" t="s">
        <v>403</v>
      </c>
      <c r="D22" s="21"/>
      <c r="G22" s="19" t="s">
        <v>242</v>
      </c>
    </row>
    <row r="23" spans="1:7" x14ac:dyDescent="0.2">
      <c r="A23" s="10">
        <v>15</v>
      </c>
      <c r="B23" s="20" t="s">
        <v>412</v>
      </c>
      <c r="C23" s="10" t="s">
        <v>399</v>
      </c>
      <c r="G23" s="18" t="s">
        <v>243</v>
      </c>
    </row>
    <row r="24" spans="1:7" x14ac:dyDescent="0.2">
      <c r="A24" s="10">
        <v>16</v>
      </c>
      <c r="B24" s="20" t="s">
        <v>408</v>
      </c>
      <c r="C24" s="10" t="s">
        <v>400</v>
      </c>
    </row>
    <row r="25" spans="1:7" x14ac:dyDescent="0.2">
      <c r="A25" s="10">
        <v>17</v>
      </c>
      <c r="B25" s="20" t="s">
        <v>409</v>
      </c>
      <c r="C25" s="10" t="s">
        <v>401</v>
      </c>
    </row>
    <row r="26" spans="1:7" x14ac:dyDescent="0.2">
      <c r="A26" s="10">
        <v>18</v>
      </c>
      <c r="B26" s="20" t="s">
        <v>414</v>
      </c>
      <c r="C26" s="10" t="s">
        <v>402</v>
      </c>
      <c r="D26" s="21"/>
    </row>
    <row r="27" spans="1:7" x14ac:dyDescent="0.2">
      <c r="A27" s="10">
        <v>19</v>
      </c>
      <c r="B27" s="20" t="s">
        <v>410</v>
      </c>
      <c r="C27" s="10" t="s">
        <v>404</v>
      </c>
      <c r="D27" s="21"/>
    </row>
    <row r="28" spans="1:7" x14ac:dyDescent="0.2">
      <c r="A28" s="10">
        <v>20</v>
      </c>
      <c r="B28" s="20" t="s">
        <v>411</v>
      </c>
      <c r="C28" s="10" t="s">
        <v>405</v>
      </c>
      <c r="D28" s="21"/>
    </row>
    <row r="29" spans="1:7" x14ac:dyDescent="0.2">
      <c r="A29" s="10">
        <v>21</v>
      </c>
      <c r="B29" s="20" t="s">
        <v>413</v>
      </c>
      <c r="C29" s="10" t="s">
        <v>406</v>
      </c>
      <c r="D29" s="21"/>
    </row>
  </sheetData>
  <phoneticPr fontId="2" type="noConversion"/>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3CC612-F828-4908-8E14-6D92369CAE6E}">
  <dimension ref="C5:C93"/>
  <sheetViews>
    <sheetView workbookViewId="0">
      <selection activeCell="C12" sqref="C12"/>
    </sheetView>
  </sheetViews>
  <sheetFormatPr defaultRowHeight="14.25" x14ac:dyDescent="0.2"/>
  <sheetData>
    <row r="5" spans="3:3" ht="17.25" x14ac:dyDescent="0.2">
      <c r="C5" s="2" t="s">
        <v>18</v>
      </c>
    </row>
    <row r="6" spans="3:3" x14ac:dyDescent="0.2">
      <c r="C6" s="3"/>
    </row>
    <row r="7" spans="3:3" x14ac:dyDescent="0.2">
      <c r="C7" s="4" t="s">
        <v>19</v>
      </c>
    </row>
    <row r="8" spans="3:3" x14ac:dyDescent="0.2">
      <c r="C8" s="4" t="s">
        <v>20</v>
      </c>
    </row>
    <row r="10" spans="3:3" ht="17.25" x14ac:dyDescent="0.2">
      <c r="C10" s="2" t="s">
        <v>21</v>
      </c>
    </row>
    <row r="11" spans="3:3" x14ac:dyDescent="0.2">
      <c r="C11" s="3"/>
    </row>
    <row r="12" spans="3:3" x14ac:dyDescent="0.2">
      <c r="C12" s="4" t="s">
        <v>71</v>
      </c>
    </row>
    <row r="13" spans="3:3" x14ac:dyDescent="0.2">
      <c r="C13" s="4" t="s">
        <v>22</v>
      </c>
    </row>
    <row r="15" spans="3:3" ht="17.25" x14ac:dyDescent="0.2">
      <c r="C15" s="2" t="s">
        <v>23</v>
      </c>
    </row>
    <row r="16" spans="3:3" x14ac:dyDescent="0.2">
      <c r="C16" s="3"/>
    </row>
    <row r="17" spans="3:3" x14ac:dyDescent="0.2">
      <c r="C17" s="4" t="s">
        <v>24</v>
      </c>
    </row>
    <row r="18" spans="3:3" x14ac:dyDescent="0.2">
      <c r="C18" s="4" t="s">
        <v>25</v>
      </c>
    </row>
    <row r="20" spans="3:3" ht="17.25" x14ac:dyDescent="0.2">
      <c r="C20" s="2" t="s">
        <v>26</v>
      </c>
    </row>
    <row r="21" spans="3:3" x14ac:dyDescent="0.2">
      <c r="C21" s="3"/>
    </row>
    <row r="22" spans="3:3" x14ac:dyDescent="0.2">
      <c r="C22" s="4" t="s">
        <v>27</v>
      </c>
    </row>
    <row r="23" spans="3:3" x14ac:dyDescent="0.2">
      <c r="C23" s="4" t="s">
        <v>28</v>
      </c>
    </row>
    <row r="25" spans="3:3" ht="17.25" x14ac:dyDescent="0.2">
      <c r="C25" s="2" t="s">
        <v>29</v>
      </c>
    </row>
    <row r="26" spans="3:3" x14ac:dyDescent="0.2">
      <c r="C26" s="3"/>
    </row>
    <row r="27" spans="3:3" x14ac:dyDescent="0.2">
      <c r="C27" s="4" t="s">
        <v>30</v>
      </c>
    </row>
    <row r="28" spans="3:3" x14ac:dyDescent="0.2">
      <c r="C28" s="4" t="s">
        <v>31</v>
      </c>
    </row>
    <row r="30" spans="3:3" ht="17.25" x14ac:dyDescent="0.2">
      <c r="C30" s="2" t="s">
        <v>32</v>
      </c>
    </row>
    <row r="31" spans="3:3" x14ac:dyDescent="0.2">
      <c r="C31" s="3"/>
    </row>
    <row r="32" spans="3:3" x14ac:dyDescent="0.2">
      <c r="C32" s="4" t="s">
        <v>33</v>
      </c>
    </row>
    <row r="33" spans="3:3" x14ac:dyDescent="0.2">
      <c r="C33" s="4" t="s">
        <v>34</v>
      </c>
    </row>
    <row r="35" spans="3:3" ht="17.25" x14ac:dyDescent="0.2">
      <c r="C35" s="2" t="s">
        <v>35</v>
      </c>
    </row>
    <row r="36" spans="3:3" x14ac:dyDescent="0.2">
      <c r="C36" s="3"/>
    </row>
    <row r="37" spans="3:3" x14ac:dyDescent="0.2">
      <c r="C37" s="4" t="s">
        <v>36</v>
      </c>
    </row>
    <row r="38" spans="3:3" x14ac:dyDescent="0.2">
      <c r="C38" s="4" t="s">
        <v>37</v>
      </c>
    </row>
    <row r="40" spans="3:3" ht="17.25" x14ac:dyDescent="0.2">
      <c r="C40" s="2" t="s">
        <v>38</v>
      </c>
    </row>
    <row r="41" spans="3:3" x14ac:dyDescent="0.2">
      <c r="C41" s="3"/>
    </row>
    <row r="42" spans="3:3" x14ac:dyDescent="0.2">
      <c r="C42" s="4" t="s">
        <v>39</v>
      </c>
    </row>
    <row r="43" spans="3:3" x14ac:dyDescent="0.2">
      <c r="C43" s="4" t="s">
        <v>40</v>
      </c>
    </row>
    <row r="45" spans="3:3" ht="17.25" x14ac:dyDescent="0.2">
      <c r="C45" s="2" t="s">
        <v>41</v>
      </c>
    </row>
    <row r="46" spans="3:3" x14ac:dyDescent="0.2">
      <c r="C46" s="3"/>
    </row>
    <row r="47" spans="3:3" x14ac:dyDescent="0.2">
      <c r="C47" s="4" t="s">
        <v>42</v>
      </c>
    </row>
    <row r="48" spans="3:3" x14ac:dyDescent="0.2">
      <c r="C48" s="4" t="s">
        <v>43</v>
      </c>
    </row>
    <row r="50" spans="3:3" ht="17.25" x14ac:dyDescent="0.2">
      <c r="C50" s="2" t="s">
        <v>44</v>
      </c>
    </row>
    <row r="51" spans="3:3" x14ac:dyDescent="0.2">
      <c r="C51" s="3"/>
    </row>
    <row r="52" spans="3:3" x14ac:dyDescent="0.2">
      <c r="C52" s="4" t="s">
        <v>45</v>
      </c>
    </row>
    <row r="53" spans="3:3" x14ac:dyDescent="0.2">
      <c r="C53" s="4" t="s">
        <v>46</v>
      </c>
    </row>
    <row r="55" spans="3:3" ht="17.25" x14ac:dyDescent="0.2">
      <c r="C55" s="2" t="s">
        <v>47</v>
      </c>
    </row>
    <row r="56" spans="3:3" x14ac:dyDescent="0.2">
      <c r="C56" s="3"/>
    </row>
    <row r="57" spans="3:3" x14ac:dyDescent="0.2">
      <c r="C57" s="4" t="s">
        <v>48</v>
      </c>
    </row>
    <row r="58" spans="3:3" x14ac:dyDescent="0.2">
      <c r="C58" s="4" t="s">
        <v>49</v>
      </c>
    </row>
    <row r="60" spans="3:3" ht="17.25" x14ac:dyDescent="0.2">
      <c r="C60" s="2" t="s">
        <v>50</v>
      </c>
    </row>
    <row r="61" spans="3:3" x14ac:dyDescent="0.2">
      <c r="C61" s="3"/>
    </row>
    <row r="62" spans="3:3" x14ac:dyDescent="0.2">
      <c r="C62" s="4" t="s">
        <v>51</v>
      </c>
    </row>
    <row r="63" spans="3:3" x14ac:dyDescent="0.2">
      <c r="C63" s="4" t="s">
        <v>52</v>
      </c>
    </row>
    <row r="65" spans="3:3" ht="17.25" x14ac:dyDescent="0.2">
      <c r="C65" s="2" t="s">
        <v>53</v>
      </c>
    </row>
    <row r="66" spans="3:3" x14ac:dyDescent="0.2">
      <c r="C66" s="3"/>
    </row>
    <row r="67" spans="3:3" x14ac:dyDescent="0.2">
      <c r="C67" s="4" t="s">
        <v>54</v>
      </c>
    </row>
    <row r="68" spans="3:3" x14ac:dyDescent="0.2">
      <c r="C68" s="4" t="s">
        <v>55</v>
      </c>
    </row>
    <row r="70" spans="3:3" ht="17.25" x14ac:dyDescent="0.2">
      <c r="C70" s="2" t="s">
        <v>56</v>
      </c>
    </row>
    <row r="71" spans="3:3" x14ac:dyDescent="0.2">
      <c r="C71" s="3"/>
    </row>
    <row r="72" spans="3:3" x14ac:dyDescent="0.2">
      <c r="C72" s="4" t="s">
        <v>57</v>
      </c>
    </row>
    <row r="73" spans="3:3" x14ac:dyDescent="0.2">
      <c r="C73" s="4" t="s">
        <v>58</v>
      </c>
    </row>
    <row r="75" spans="3:3" ht="17.25" x14ac:dyDescent="0.2">
      <c r="C75" s="2" t="s">
        <v>59</v>
      </c>
    </row>
    <row r="76" spans="3:3" x14ac:dyDescent="0.2">
      <c r="C76" s="3"/>
    </row>
    <row r="77" spans="3:3" x14ac:dyDescent="0.2">
      <c r="C77" s="4" t="s">
        <v>60</v>
      </c>
    </row>
    <row r="78" spans="3:3" x14ac:dyDescent="0.2">
      <c r="C78" s="4" t="s">
        <v>61</v>
      </c>
    </row>
    <row r="80" spans="3:3" ht="17.25" x14ac:dyDescent="0.2">
      <c r="C80" s="2" t="s">
        <v>62</v>
      </c>
    </row>
    <row r="81" spans="3:3" x14ac:dyDescent="0.2">
      <c r="C81" s="3"/>
    </row>
    <row r="82" spans="3:3" x14ac:dyDescent="0.2">
      <c r="C82" s="4" t="s">
        <v>63</v>
      </c>
    </row>
    <row r="83" spans="3:3" x14ac:dyDescent="0.2">
      <c r="C83" s="4" t="s">
        <v>64</v>
      </c>
    </row>
    <row r="85" spans="3:3" ht="17.25" x14ac:dyDescent="0.2">
      <c r="C85" s="2" t="s">
        <v>65</v>
      </c>
    </row>
    <row r="86" spans="3:3" x14ac:dyDescent="0.2">
      <c r="C86" s="3"/>
    </row>
    <row r="87" spans="3:3" x14ac:dyDescent="0.2">
      <c r="C87" s="4" t="s">
        <v>66</v>
      </c>
    </row>
    <row r="88" spans="3:3" x14ac:dyDescent="0.2">
      <c r="C88" s="4" t="s">
        <v>67</v>
      </c>
    </row>
    <row r="90" spans="3:3" ht="17.25" x14ac:dyDescent="0.2">
      <c r="C90" s="2" t="s">
        <v>68</v>
      </c>
    </row>
    <row r="91" spans="3:3" x14ac:dyDescent="0.2">
      <c r="C91" s="3"/>
    </row>
    <row r="92" spans="3:3" x14ac:dyDescent="0.2">
      <c r="C92" s="4" t="s">
        <v>69</v>
      </c>
    </row>
    <row r="93" spans="3:3" x14ac:dyDescent="0.2">
      <c r="C93" s="4" t="s">
        <v>70</v>
      </c>
    </row>
  </sheetData>
  <phoneticPr fontId="2"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F19009F-27F2-4A73-86B5-79ABA6DCD62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7</vt:i4>
      </vt:variant>
    </vt:vector>
  </HeadingPairs>
  <TitlesOfParts>
    <vt:vector size="7" baseType="lpstr">
      <vt:lpstr>神像符文配置表</vt:lpstr>
      <vt:lpstr>神像献祭配置表</vt:lpstr>
      <vt:lpstr>神像符文难度表</vt:lpstr>
      <vt:lpstr>符文属性配置调整</vt:lpstr>
      <vt:lpstr>神像符文效果表</vt:lpstr>
      <vt:lpstr>Sheet1</vt:lpstr>
      <vt:lpstr>参考</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1094382024@qq.com</cp:lastModifiedBy>
  <dcterms:created xsi:type="dcterms:W3CDTF">2015-06-05T18:19:34Z</dcterms:created>
  <dcterms:modified xsi:type="dcterms:W3CDTF">2026-02-12T02:32:37Z</dcterms:modified>
</cp:coreProperties>
</file>