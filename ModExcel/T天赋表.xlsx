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 codeName="ThisWorkbook"/>
  <mc:AlternateContent xmlns:mc="http://schemas.openxmlformats.org/markup-compatibility/2006">
    <mc:Choice Requires="x15">
      <x15ac:absPath xmlns:x15ac="http://schemas.microsoft.com/office/spreadsheetml/2010/11/ac" url="G:\SurvivorsData\trunk\excel\"/>
    </mc:Choice>
  </mc:AlternateContent>
  <xr:revisionPtr revIDLastSave="0" documentId="13_ncr:1_{3BEFB52D-C991-4442-BCB5-81E101E6B424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lent" sheetId="6" r:id="rId1"/>
    <sheet name="Sheet1" sheetId="7" r:id="rId2"/>
  </sheets>
  <definedNames>
    <definedName name="_xlnm._FilterDatabase" localSheetId="0" hidden="1">talent!#REF!</definedName>
  </definedNames>
  <calcPr calcId="181029"/>
</workbook>
</file>

<file path=xl/calcChain.xml><?xml version="1.0" encoding="utf-8"?>
<calcChain xmlns="http://schemas.openxmlformats.org/spreadsheetml/2006/main">
  <c r="F2" i="7" l="1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1" i="7"/>
  <c r="C2" i="7"/>
  <c r="D2" i="7" s="1"/>
  <c r="E2" i="7" s="1"/>
  <c r="C3" i="7"/>
  <c r="D3" i="7" s="1"/>
  <c r="E3" i="7" s="1"/>
  <c r="C4" i="7"/>
  <c r="D4" i="7"/>
  <c r="E4" i="7" s="1"/>
  <c r="C5" i="7"/>
  <c r="D5" i="7" s="1"/>
  <c r="E5" i="7" s="1"/>
  <c r="C6" i="7"/>
  <c r="D6" i="7" s="1"/>
  <c r="E6" i="7" s="1"/>
  <c r="C7" i="7"/>
  <c r="D7" i="7" s="1"/>
  <c r="E7" i="7" s="1"/>
  <c r="C8" i="7"/>
  <c r="D8" i="7"/>
  <c r="E8" i="7" s="1"/>
  <c r="C9" i="7"/>
  <c r="D9" i="7" s="1"/>
  <c r="E9" i="7" s="1"/>
  <c r="C10" i="7"/>
  <c r="D10" i="7" s="1"/>
  <c r="E10" i="7" s="1"/>
  <c r="C11" i="7"/>
  <c r="D11" i="7" s="1"/>
  <c r="E11" i="7" s="1"/>
  <c r="C12" i="7"/>
  <c r="D12" i="7"/>
  <c r="E12" i="7" s="1"/>
  <c r="C13" i="7"/>
  <c r="D13" i="7" s="1"/>
  <c r="E13" i="7" s="1"/>
  <c r="C14" i="7"/>
  <c r="D14" i="7" s="1"/>
  <c r="E14" i="7" s="1"/>
  <c r="C15" i="7"/>
  <c r="D15" i="7" s="1"/>
  <c r="E15" i="7" s="1"/>
  <c r="C16" i="7"/>
  <c r="D16" i="7"/>
  <c r="E16" i="7" s="1"/>
  <c r="C17" i="7"/>
  <c r="D17" i="7" s="1"/>
  <c r="E17" i="7" s="1"/>
  <c r="C18" i="7"/>
  <c r="D18" i="7" s="1"/>
  <c r="E18" i="7" s="1"/>
  <c r="C19" i="7"/>
  <c r="D19" i="7" s="1"/>
  <c r="E19" i="7" s="1"/>
  <c r="C20" i="7"/>
  <c r="D20" i="7"/>
  <c r="E20" i="7" s="1"/>
  <c r="C21" i="7"/>
  <c r="D21" i="7" s="1"/>
  <c r="E21" i="7" s="1"/>
  <c r="C22" i="7"/>
  <c r="D22" i="7" s="1"/>
  <c r="E22" i="7" s="1"/>
  <c r="C23" i="7"/>
  <c r="D23" i="7" s="1"/>
  <c r="E23" i="7" s="1"/>
  <c r="C24" i="7"/>
  <c r="D24" i="7"/>
  <c r="E24" i="7" s="1"/>
  <c r="C25" i="7"/>
  <c r="D25" i="7" s="1"/>
  <c r="E25" i="7" s="1"/>
  <c r="C26" i="7"/>
  <c r="D26" i="7" s="1"/>
  <c r="E26" i="7" s="1"/>
  <c r="C27" i="7"/>
  <c r="D27" i="7" s="1"/>
  <c r="E27" i="7" s="1"/>
  <c r="C28" i="7"/>
  <c r="D28" i="7"/>
  <c r="E28" i="7" s="1"/>
  <c r="C29" i="7"/>
  <c r="D29" i="7" s="1"/>
  <c r="E29" i="7" s="1"/>
  <c r="C30" i="7"/>
  <c r="D30" i="7" s="1"/>
  <c r="E30" i="7" s="1"/>
  <c r="C31" i="7"/>
  <c r="D31" i="7" s="1"/>
  <c r="E31" i="7" s="1"/>
  <c r="C32" i="7"/>
  <c r="D32" i="7"/>
  <c r="E32" i="7" s="1"/>
  <c r="C33" i="7"/>
  <c r="D33" i="7" s="1"/>
  <c r="E33" i="7" s="1"/>
  <c r="C34" i="7"/>
  <c r="D34" i="7" s="1"/>
  <c r="E34" i="7" s="1"/>
  <c r="C35" i="7"/>
  <c r="D35" i="7" s="1"/>
  <c r="E35" i="7" s="1"/>
  <c r="C36" i="7"/>
  <c r="D36" i="7"/>
  <c r="E36" i="7" s="1"/>
  <c r="C37" i="7"/>
  <c r="D37" i="7" s="1"/>
  <c r="E37" i="7" s="1"/>
  <c r="C38" i="7"/>
  <c r="D38" i="7" s="1"/>
  <c r="E38" i="7" s="1"/>
  <c r="C39" i="7"/>
  <c r="D39" i="7" s="1"/>
  <c r="E39" i="7" s="1"/>
  <c r="C40" i="7"/>
  <c r="D40" i="7"/>
  <c r="E40" i="7" s="1"/>
  <c r="C41" i="7"/>
  <c r="D41" i="7" s="1"/>
  <c r="E41" i="7" s="1"/>
  <c r="C42" i="7"/>
  <c r="D42" i="7" s="1"/>
  <c r="E42" i="7" s="1"/>
  <c r="C43" i="7"/>
  <c r="D43" i="7" s="1"/>
  <c r="E43" i="7" s="1"/>
  <c r="C44" i="7"/>
  <c r="D44" i="7"/>
  <c r="E44" i="7" s="1"/>
  <c r="C45" i="7"/>
  <c r="D45" i="7" s="1"/>
  <c r="E45" i="7" s="1"/>
  <c r="C46" i="7"/>
  <c r="D46" i="7" s="1"/>
  <c r="E46" i="7" s="1"/>
  <c r="C47" i="7"/>
  <c r="D47" i="7" s="1"/>
  <c r="E47" i="7" s="1"/>
  <c r="C48" i="7"/>
  <c r="D48" i="7"/>
  <c r="E48" i="7" s="1"/>
  <c r="C49" i="7"/>
  <c r="D49" i="7" s="1"/>
  <c r="E49" i="7" s="1"/>
  <c r="C50" i="7"/>
  <c r="D50" i="7" s="1"/>
  <c r="E50" i="7" s="1"/>
  <c r="C51" i="7"/>
  <c r="D51" i="7" s="1"/>
  <c r="E51" i="7" s="1"/>
  <c r="C52" i="7"/>
  <c r="D52" i="7"/>
  <c r="E52" i="7" s="1"/>
  <c r="C53" i="7"/>
  <c r="D53" i="7" s="1"/>
  <c r="E53" i="7" s="1"/>
  <c r="C54" i="7"/>
  <c r="D54" i="7" s="1"/>
  <c r="E54" i="7" s="1"/>
  <c r="C55" i="7"/>
  <c r="D55" i="7" s="1"/>
  <c r="E55" i="7" s="1"/>
  <c r="C56" i="7"/>
  <c r="D56" i="7"/>
  <c r="E56" i="7" s="1"/>
  <c r="C57" i="7"/>
  <c r="D57" i="7" s="1"/>
  <c r="E57" i="7" s="1"/>
  <c r="C58" i="7"/>
  <c r="D58" i="7" s="1"/>
  <c r="E58" i="7" s="1"/>
  <c r="C59" i="7"/>
  <c r="D59" i="7" s="1"/>
  <c r="E59" i="7" s="1"/>
  <c r="E1" i="7"/>
  <c r="D1" i="7"/>
  <c r="C1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1" type="4" refreshedVersion="2" background="1" saveData="1">
    <webPr xml="1" sourceData="1" parsePre="1" consecutive="1" xl2000="1" url="C:\Users\Transistor\Desktop\1.xml" htmlTables="1" htmlFormat="all"/>
  </connection>
  <connection id="2" xr16:uid="{00000000-0015-0000-FFFF-FFFF01000000}" name="11" type="4" refreshedVersion="2" background="1" saveData="1">
    <webPr xml="1" sourceData="1" parsePre="1" consecutive="1" xl2000="1" url="C:\Users\Transistor\Desktop\1.xml" htmlTables="1" htmlFormat="all"/>
  </connection>
  <connection id="3" xr16:uid="{00000000-0015-0000-FFFF-FFFF02000000}" name="1111" type="4" refreshedVersion="2" background="1" saveData="1">
    <webPr xml="1" sourceData="1" parsePre="1" consecutive="1" xl2000="1" url="C:\Users\Administrator\Desktop\1111.xml" htmlTables="1" htmlFormat="all"/>
  </connection>
  <connection id="4" xr16:uid="{00000000-0015-0000-FFFF-FFFF03000000}" name="11111" type="4" refreshedVersion="2" background="1" saveData="1">
    <webPr xml="1" sourceData="1" parsePre="1" consecutive="1" xl2000="1" url="C:\Users\Administrator\Desktop\1111.xml" htmlTables="1" htmlFormat="all"/>
  </connection>
  <connection id="5" xr16:uid="{00000000-0015-0000-FFFF-FFFF04000000}" name="a" type="4" refreshedVersion="2" background="1" saveData="1">
    <webPr xml="1" sourceData="1" parsePre="1" consecutive="1" xl2000="1" url="C:\Users\Administrator\Desktop\a.xml" htmlTables="1"/>
  </connection>
  <connection id="6" xr16:uid="{00000000-0015-0000-FFFF-FFFF05000000}" name="InitEquip" type="4" refreshedVersion="2" background="1" saveData="1">
    <webPr xml="1" sourceData="1" parsePre="1" consecutive="1" xl2000="1" url="\\192.168.43.177\root\xml\InitEquip.xml" htmlTables="1" htmlFormat="all"/>
  </connection>
  <connection id="7" xr16:uid="{00000000-0015-0000-FFFF-FFFF06000000}" name="InitRole" type="4" refreshedVersion="2" background="1" saveData="1">
    <webPr xml="1" sourceData="1" parsePre="1" consecutive="1" xl2000="1" url="G:\server\scripts\data\xml\复件 (2) InitRole.xml" htmlTables="1"/>
  </connection>
  <connection id="8" xr16:uid="{00000000-0015-0000-FFFF-FFFF07000000}" name="ITEM" type="4" refreshedVersion="2" background="1" saveData="1">
    <webPr xml="1" sourceData="1" parsePre="1" consecutive="1" xl2000="1" url="C:\Users\林树贤\Desktop\ITEM.xml" htmlTables="1"/>
  </connection>
  <connection id="9" xr16:uid="{00000000-0015-0000-FFFF-FFFF08000000}" name="ITEM1" type="4" refreshedVersion="2" background="1" saveData="1">
    <webPr xml="1" sourceData="1" parsePre="1" consecutive="1" xl2000="1" url="C:\Users\林树贤\Desktop\ITEM.xml" htmlTables="1"/>
  </connection>
  <connection id="10" xr16:uid="{00000000-0015-0000-FFFF-FFFF09000000}" name="ITEM2" type="4" refreshedVersion="2" background="1" saveData="1">
    <webPr xml="1" sourceData="1" parsePre="1" consecutive="1" xl2000="1" url="C:\Users\林树贤\Desktop\ITEM.xml" htmlTables="1"/>
  </connection>
  <connection id="11" xr16:uid="{00000000-0015-0000-FFFF-FFFF0A000000}" name="role_data" type="4" refreshedVersion="2" background="1" saveData="1">
    <webPr xml="1" sourceData="1" parsePre="1" consecutive="1" xl2000="1" url="G:\server\scripts\data\xml\role_data.xml" htmlTables="1"/>
  </connection>
  <connection id="12" xr16:uid="{00000000-0015-0000-FFFF-FFFF0B000000}" name="role_data1" type="4" refreshedVersion="2" background="1" saveData="1">
    <webPr xml="1" sourceData="1" parsePre="1" consecutive="1" xl2000="1" url="C:\Users\Administrator\Desktop\role_data.xml" htmlTables="1" htmlFormat="all"/>
  </connection>
  <connection id="13" xr16:uid="{00000000-0015-0000-FFFF-FFFF0C000000}" name="role_data10" type="4" refreshedVersion="2" background="1" saveData="1">
    <webPr xml="1" sourceData="1" parsePre="1" consecutive="1" xl2000="1" url="C:\Ari\WorkingSpace\xxgame\data\trunk\excel\xml模板\role_data.xml" htmlTables="1" htmlFormat="all"/>
  </connection>
  <connection id="14" xr16:uid="{00000000-0015-0000-FFFF-FFFF0D000000}" name="role_data11" type="4" refreshedVersion="2" background="1" saveData="1">
    <webPr xml="1" sourceData="1" parsePre="1" consecutive="1" xl2000="1" url="C:\Ari\WorkingSpace\xxgame\data\trunk\excel\xml模板\role_data.xml" htmlTables="1" htmlFormat="all"/>
  </connection>
  <connection id="15" xr16:uid="{00000000-0015-0000-FFFF-FFFF0E000000}" name="role_data12" type="4" refreshedVersion="2" background="1" saveData="1">
    <webPr xml="1" sourceData="1" parsePre="1" consecutive="1" xl2000="1" url="E:\Project\xgame_new\data\trunk_new\excel\xml模板\role_data.xml" htmlTables="1" htmlFormat="all"/>
  </connection>
  <connection id="16" xr16:uid="{00000000-0015-0000-FFFF-FFFF0F000000}" name="role_data13" type="4" refreshedVersion="2" background="1" saveData="1">
    <webPr xml="1" sourceData="1" parsePre="1" consecutive="1" xl2000="1" url="E:\xgame\data\trunk\xml\role_data.xml" htmlTables="1" htmlFormat="all"/>
  </connection>
  <connection id="17" xr16:uid="{00000000-0015-0000-FFFF-FFFF10000000}" name="role_data14" type="4" refreshedVersion="2" background="1" saveData="1">
    <webPr xml="1" sourceData="1" parsePre="1" consecutive="1" xl2000="1" url="E:\xgame\data\trunk\xml\role_data.xml" htmlTables="1" htmlFormat="all"/>
  </connection>
  <connection id="18" xr16:uid="{00000000-0015-0000-FFFF-FFFF11000000}" name="role_data15" type="4" refreshedVersion="2" background="1" saveData="1">
    <webPr xml="1" sourceData="1" parsePre="1" consecutive="1" xl2000="1" url="E:\Aion\data\trunk\excel\xml模板\role_data.xml" htmlTables="1" htmlFormat="all"/>
  </connection>
  <connection id="19" xr16:uid="{00000000-0015-0000-FFFF-FFFF12000000}" name="role_data16" type="4" refreshedVersion="2" background="1" saveData="1">
    <webPr xml="1" sourceData="1" parsePre="1" consecutive="1" xl2000="1" url="E:\Aion\data\trunk\excel\xml模板\role_data.xml" htmlTables="1" htmlFormat="all"/>
  </connection>
  <connection id="20" xr16:uid="{00000000-0015-0000-FFFF-FFFF13000000}" name="role_data17" type="4" refreshedVersion="2" background="1" saveData="1">
    <webPr xml="1" sourceData="1" parsePre="1" consecutive="1" xl2000="1" url="E:\Aion\data\trunk\excel\xml模板\role_data.xml" htmlTables="1" htmlFormat="all"/>
  </connection>
  <connection id="21" xr16:uid="{00000000-0015-0000-FFFF-FFFF14000000}" name="role_data18" type="4" refreshedVersion="2" background="1" saveData="1">
    <webPr xml="1" sourceData="1" parsePre="1" consecutive="1" xl2000="1" url="E:\Aion\data\trunk\excel\xml模板\role_data.xml" htmlTables="1" htmlFormat="all"/>
  </connection>
  <connection id="22" xr16:uid="{00000000-0015-0000-FFFF-FFFF15000000}" name="role_data19" type="4" refreshedVersion="2" background="1" saveData="1">
    <webPr xml="1" sourceData="1" parsePre="1" consecutive="1" xl2000="1" url="E:\Aion\data\trunk\excel\xml模板\role_data.xml" htmlTables="1" htmlFormat="all"/>
  </connection>
  <connection id="23" xr16:uid="{00000000-0015-0000-FFFF-FFFF16000000}" name="role_data2" type="4" refreshedVersion="2" background="1" saveData="1">
    <webPr xml="1" sourceData="1" parsePre="1" consecutive="1" xl2000="1" url="E:\mogo\doc\product\配置表\xml文件最终版\role_data.xml" htmlTables="1" htmlFormat="all"/>
  </connection>
  <connection id="24" xr16:uid="{00000000-0015-0000-FFFF-FFFF17000000}" name="role_data20" type="4" refreshedVersion="2" background="1" saveData="1">
    <webPr xml="1" sourceData="1" parsePre="1" consecutive="1" xl2000="1" url="E:\Aion\data\trunk\excel\xml模板\role_data.xml" htmlTables="1" htmlFormat="all"/>
  </connection>
  <connection id="25" xr16:uid="{00000000-0015-0000-FFFF-FFFF18000000}" name="role_data21" type="4" refreshedVersion="2" background="1" saveData="1">
    <webPr xml="1" sourceData="1" parsePre="1" consecutive="1" xl2000="1" url="E:\Aion\data\trunk\excel\xml模板\role_data.xml" htmlTables="1" htmlFormat="all"/>
  </connection>
  <connection id="26" xr16:uid="{00000000-0015-0000-FFFF-FFFF19000000}" name="role_data22" type="4" refreshedVersion="2" background="1" saveData="1">
    <webPr xml="1" sourceData="1" parsePre="1" consecutive="1" xl2000="1" url="E:\Aion\data\trunk\excel\xml模板\role_data.xml" htmlTables="1" htmlFormat="all"/>
  </connection>
  <connection id="27" xr16:uid="{00000000-0015-0000-FFFF-FFFF1A000000}" name="role_data23" type="4" refreshedVersion="2" background="1" saveData="1">
    <webPr xml="1" sourceData="1" parsePre="1" consecutive="1" xl2000="1" url="E:\Aion\data\trunk\excel\xml模板\role_data.xml" htmlTables="1" htmlFormat="all"/>
  </connection>
  <connection id="28" xr16:uid="{00000000-0015-0000-FFFF-FFFF1B000000}" name="role_data24" type="4" refreshedVersion="2" background="1" saveData="1">
    <webPr xml="1" sourceData="1" parsePre="1" consecutive="1" xl2000="1" url="E:\Aion\data\trunk\excel\xml模板\role_data.xml" htmlTables="1" htmlFormat="all"/>
  </connection>
  <connection id="29" xr16:uid="{00000000-0015-0000-FFFF-FFFF1C000000}" name="role_data25" type="4" refreshedVersion="2" background="1" saveData="1">
    <webPr xml="1" sourceData="1" parsePre="1" consecutive="1" xl2000="1" url="E:\qjzj\data\trunk\excel\xml模板\role_data.xml" htmlTables="1" htmlFormat="all"/>
  </connection>
  <connection id="30" xr16:uid="{00000000-0015-0000-FFFF-FFFF1D000000}" name="role_data26" type="4" refreshedVersion="2" background="1" saveData="1">
    <webPr xml="1" sourceData="1" parsePre="1" consecutive="1" xl2000="1" url="E:\qjzj\data\trunk\excel\xml模板\role_data.xml" htmlTables="1" htmlFormat="all"/>
  </connection>
  <connection id="31" xr16:uid="{00000000-0015-0000-FFFF-FFFF1E000000}" name="role_data27" type="4" refreshedVersion="2" background="1" saveData="1">
    <webPr xml="1" sourceData="1" parsePre="1" consecutive="1" xl2000="1" url="E:\qjzj\data\trunk\xml\role_data.xml" htmlTables="1" htmlFormat="all"/>
  </connection>
  <connection id="32" xr16:uid="{00000000-0015-0000-FFFF-FFFF1F000000}" name="role_data28" type="4" refreshedVersion="2" background="1" saveData="1">
    <webPr xml="1" sourceData="1" parsePre="1" consecutive="1" xl2000="1" url="E:\qjzj\data\trunk\excel\xml模板\role_data.xml" htmlTables="1" htmlFormat="all"/>
  </connection>
  <connection id="33" xr16:uid="{00000000-0015-0000-FFFF-FFFF20000000}" name="role_data29" type="4" refreshedVersion="2" background="1" saveData="1">
    <webPr xml="1" sourceData="1" parsePre="1" consecutive="1" xl2000="1" url="E:\qjzj\data\trunk\excel\xml模板\role_data.xml" htmlTables="1" htmlFormat="all"/>
  </connection>
  <connection id="34" xr16:uid="{00000000-0015-0000-FFFF-FFFF21000000}" name="role_data3" type="4" refreshedVersion="2" background="1" saveData="1">
    <webPr xml="1" sourceData="1" parsePre="1" consecutive="1" xl2000="1" url="F:\workspace_linux\xgame\data\trunk\excel模板\xml模板\role_data.xml" htmlTables="1" htmlFormat="all"/>
  </connection>
  <connection id="35" xr16:uid="{00000000-0015-0000-FFFF-FFFF22000000}" name="role_data30" type="4" refreshedVersion="2" background="1" saveData="1">
    <webPr xml="1" sourceData="1" parsePre="1" consecutive="1" xl2000="1" url="E:\qjzj\data\trunk\excel\xml模板\role_data.xml" htmlTables="1" htmlFormat="all"/>
  </connection>
  <connection id="36" xr16:uid="{00000000-0015-0000-FFFF-FFFF23000000}" name="role_data31" type="4" refreshedVersion="2" background="1" saveData="1">
    <webPr xml="1" sourceData="1" parsePre="1" consecutive="1" xl2000="1" url="D:\doc\data\trunk\excel\xml模板\role_data.xml" htmlTables="1" htmlFormat="all"/>
  </connection>
  <connection id="37" xr16:uid="{00000000-0015-0000-FFFF-FFFF24000000}" name="role_data32" type="4" refreshedVersion="2" background="1" saveData="1">
    <webPr xml="1" sourceData="1" parsePre="1" consecutive="1" xl2000="1" url="D:\doc\data\trunk\excel\xml模板\role_data.xml" htmlTables="1" htmlFormat="all"/>
  </connection>
  <connection id="38" xr16:uid="{00000000-0015-0000-FFFF-FFFF25000000}" name="role_data33" type="4" refreshedVersion="2" background="1" saveData="1">
    <webPr xml="1" sourceData="1" parsePre="1" consecutive="1" xl2000="1" url="D:\doc\data\trunk\excel\xml模板\role_data.xml" htmlTables="1" htmlFormat="all"/>
  </connection>
  <connection id="39" xr16:uid="{00000000-0015-0000-FFFF-FFFF26000000}" name="role_data34" type="4" refreshedVersion="2" background="1" saveData="1">
    <webPr xml="1" sourceData="1" parsePre="1" consecutive="1" xl2000="1" url="D:\doc\data\trunk\excel\xml模板\role_data.xml" htmlTables="1" htmlFormat="all"/>
  </connection>
  <connection id="40" xr16:uid="{00000000-0015-0000-FFFF-FFFF27000000}" name="role_data35" type="4" refreshedVersion="2" background="1" saveData="1">
    <webPr xml="1" sourceData="1" parsePre="1" consecutive="1" xl2000="1" url="F:\xgame\data\trunk\excel\xml模板\role_data.xml" htmlTables="1" htmlFormat="all"/>
  </connection>
  <connection id="41" xr16:uid="{00000000-0015-0000-FFFF-FFFF28000000}" name="role_data36" type="4" refreshedVersion="2" background="1" saveData="1">
    <webPr xml="1" sourceData="1" parsePre="1" consecutive="1" xl2000="1" url="E:\ProjectX\data\trunk\excel\xml模板\role_data.xml" htmlTables="1" htmlFormat="all"/>
  </connection>
  <connection id="42" xr16:uid="{00000000-0015-0000-FFFF-FFFF29000000}" name="role_data37" type="4" refreshedVersion="2" background="1" saveData="1">
    <webPr xml="1" sourceData="1" parsePre="1" consecutive="1" xl2000="1" url="E:\ProjectX\data\trunk\excel\xml模板\role_data.xml" htmlTables="1" htmlFormat="all"/>
  </connection>
  <connection id="43" xr16:uid="{00000000-0015-0000-FFFF-FFFF2A000000}" name="role_data38" type="4" refreshedVersion="2" background="1" saveData="1">
    <webPr xml="1" sourceData="1" parsePre="1" consecutive="1" xl2000="1" url="E:\fm\data\trunk\excel\xml模板\role_data.xml" htmlTables="1" htmlFormat="all"/>
  </connection>
  <connection id="44" xr16:uid="{00000000-0015-0000-FFFF-FFFF2B000000}" name="role_data39" type="4" refreshedVersion="2" background="1" saveData="1">
    <webPr xml="1" sourceData="1" parsePre="1" consecutive="1" xl2000="1" url="E:\ProjectX\data\trunk\excel\xml模板\role_data.xml" htmlTables="1" htmlFormat="all"/>
  </connection>
  <connection id="45" xr16:uid="{00000000-0015-0000-FFFF-FFFF2C000000}" name="role_data4" type="4" refreshedVersion="2" background="1" saveData="1">
    <webPr xml="1" sourceData="1" parsePre="1" consecutive="1" xl2000="1" url="E:\work\mogonew\src\xgame\src\doc\策划文档\data\excel模板\xml模板\role_data.xml" htmlTables="1" htmlFormat="all"/>
  </connection>
  <connection id="46" xr16:uid="{00000000-0015-0000-FFFF-FFFF2D000000}" name="role_data40" type="4" refreshedVersion="2" background="1" saveData="1">
    <webPr xml="1" sourceData="1" parsePre="1" consecutive="1" xl2000="1" url="E:\ProjectX\data\trunk\excel\xml模板\role_data.xml" htmlTables="1" htmlFormat="all"/>
  </connection>
  <connection id="47" xr16:uid="{00000000-0015-0000-FFFF-FFFF2E000000}" name="role_data41" type="4" refreshedVersion="2" background="1" saveData="1">
    <webPr xml="1" sourceData="1" parsePre="1" consecutive="1" xl2000="1" url="E:\data\excel\xml模板\role_data.xml" htmlTables="1" htmlFormat="all"/>
  </connection>
  <connection id="48" xr16:uid="{00000000-0015-0000-FFFF-FFFF2F000000}" name="role_data42" type="4" refreshedVersion="2" background="1" saveData="1">
    <webPr xml="1" sourceData="1" parsePre="1" consecutive="1" xl2000="1" url="C:\shanghaijing\data\trunk\excel\xml模板\role_data.xml" htmlTables="1" htmlFormat="all"/>
  </connection>
  <connection id="49" xr16:uid="{00000000-0015-0000-FFFF-FFFF30000000}" name="role_data43" type="4" refreshedVersion="2" background="1" saveData="1">
    <webPr xml="1" sourceData="1" parsePre="1" consecutive="1" xl2000="1" url="D:\ProjectX\data\trunk\excel\xml模板\role_data.xml" htmlTables="1" htmlFormat="all"/>
  </connection>
  <connection id="50" xr16:uid="{00000000-0015-0000-FFFF-FFFF31000000}" name="role_data44" type="4" refreshedVersion="2" background="1" saveData="1">
    <webPr xml="1" sourceData="1" parsePre="1" consecutive="1" xl2000="1" url="D:\ProjectX\data\trunk\excel\xml模板\role_data.xml" htmlTables="1" htmlFormat="all"/>
  </connection>
  <connection id="51" xr16:uid="{00000000-0015-0000-FFFF-FFFF32000000}" name="role_data45" type="4" refreshedVersion="2" background="1" saveData="1">
    <webPr xml="1" sourceData="1" parsePre="1" consecutive="1" xl2000="1" url="E:\data\trunk\xml\role_data.xml" htmlTables="1" htmlFormat="all"/>
  </connection>
  <connection id="52" xr16:uid="{00000000-0015-0000-FFFF-FFFF33000000}" name="role_data46" type="4" refreshedVersion="2" background="1" saveData="1">
    <webPr xml="1" sourceData="1" parsePre="1" consecutive="1" xl2000="1" url="E:\data\trunk\excel\xml模板\role_data.xml" htmlTables="1" htmlFormat="all"/>
  </connection>
  <connection id="53" xr16:uid="{00000000-0015-0000-FFFF-FFFF34000000}" name="role_data47" type="4" refreshedVersion="2" background="1" saveData="1">
    <webPr xml="1" sourceData="1" parsePre="1" consecutive="1" xl2000="1" url="E:\data\trunk\excel\xml模板\role_data.xml" htmlTables="1" htmlFormat="all"/>
  </connection>
  <connection id="54" xr16:uid="{00000000-0015-0000-FFFF-FFFF35000000}" name="role_data48" type="4" refreshedVersion="0" background="1">
    <webPr xml="1" sourceData="1" url="E:\data\excel\xml模板\role_data.xml" htmlTables="1" htmlFormat="all"/>
  </connection>
  <connection id="55" xr16:uid="{00000000-0015-0000-FFFF-FFFF36000000}" name="role_data49" type="4" refreshedVersion="0" background="1">
    <webPr xml="1" sourceData="1" url="E:\ProjectX\data\trunk\excel\xml模板\role_data.xml" htmlTables="1" htmlFormat="all"/>
  </connection>
  <connection id="56" xr16:uid="{00000000-0015-0000-FFFF-FFFF37000000}" name="role_data5" type="4" refreshedVersion="2" background="1" saveData="1">
    <webPr xml="1" sourceData="1" parsePre="1" consecutive="1" xl2000="1" url="F:\work\mogonew\src\xgame\src\doc\策划文档\data\excel模板\不要在这里提交xml数据\role_data.xml" htmlTables="1" htmlFormat="all"/>
  </connection>
  <connection id="57" xr16:uid="{FBA526FD-C010-4589-898B-9DB040A79043}" name="role_data50" type="4" refreshedVersion="0" background="1">
    <webPr xml="1" sourceData="1" url="F:\data\trunk\excel\xml模板\role_data.xml" htmlTables="1" htmlFormat="all"/>
  </connection>
  <connection id="58" xr16:uid="{E1ABE23E-D546-4715-B5E1-3FAFF8D6D3A7}" name="role_data51" type="4" refreshedVersion="0" background="1">
    <webPr xml="1" sourceData="1" url="F:\data\trunk\excel\xml模板\role_data.xml" htmlTables="1" htmlFormat="all"/>
  </connection>
  <connection id="59" xr16:uid="{1FABE03B-465E-490F-81EC-B59771A68F6B}" name="role_data52" type="4" refreshedVersion="0" background="1">
    <webPr xml="1" sourceData="1" url="F:\data\trunk\excel\xml模板\role_data.xml" htmlTables="1" htmlFormat="all"/>
  </connection>
  <connection id="60" xr16:uid="{9EFEE981-F477-4A10-9456-1695CEB9667A}" name="role_data53" type="4" refreshedVersion="0" background="1">
    <webPr xml="1" sourceData="1" url="E:\data\excel\xml模板\role_data.xml" htmlTables="1" htmlFormat="all"/>
  </connection>
  <connection id="61" xr16:uid="{4E870CB6-E69C-4F7A-BCAC-2B7F84AA1847}" name="role_data54" type="4" refreshedVersion="0" background="1">
    <webPr xml="1" sourceData="1" url="F:\data\trunk\excel\xml模板\role_data.xml" htmlTables="1" htmlFormat="all"/>
  </connection>
  <connection id="62" xr16:uid="{929EE737-F509-4F8A-A26D-314FC680E0B5}" name="role_data55" type="4" refreshedVersion="0" background="1">
    <webPr xml="1" sourceData="1" url="E:\data\excel\xml模板\role_data.xml" htmlTables="1" htmlFormat="all"/>
  </connection>
  <connection id="63" xr16:uid="{AAF03BEB-639E-483C-8182-97BBAE67146D}" name="role_data56" type="4" refreshedVersion="0" background="1">
    <webPr xml="1" sourceData="1" url="F:\data\trunk\excel\xml模板\role_data.xml" htmlTables="1" htmlFormat="all"/>
  </connection>
  <connection id="64" xr16:uid="{82EE1F06-90FE-476E-807D-43168F1E2566}" name="role_data57" type="4" refreshedVersion="0" background="1">
    <webPr xml="1" sourceData="1" url="F:\data\trunk\excel\xml模板\role_data.xml" htmlTables="1" htmlFormat="all"/>
  </connection>
  <connection id="65" xr16:uid="{28DFAD1D-0A0D-4E6E-9481-CEEC0972C9A6}" name="role_data58" type="4" refreshedVersion="0" background="1">
    <webPr xml="1" sourceData="1" url="F:\data\trunk\excel\xml模板\role_data.xml" htmlTables="1" htmlFormat="all"/>
  </connection>
  <connection id="66" xr16:uid="{2AFE4271-B465-421F-935F-07E4D0E198AD}" name="role_data59" type="4" refreshedVersion="0" background="1">
    <webPr xml="1" sourceData="1" url="D:\data\excel\xml模板\role_data.xml" htmlTables="1" htmlFormat="all"/>
  </connection>
  <connection id="67" xr16:uid="{00000000-0015-0000-FFFF-FFFF38000000}" name="role_data6" type="4" refreshedVersion="2" background="1" saveData="1">
    <webPr xml="1" sourceData="1" parsePre="1" consecutive="1" xl2000="1" url="F:\work\mogonew\src\xgame\src\doc\策划文档\data\excel模板\不要在这里提交xml数据\role_data.xml" htmlTables="1" htmlFormat="all"/>
  </connection>
  <connection id="68" xr16:uid="{FAF6D435-9E6A-4D77-8485-BC77D56D5215}" name="role_data60" type="4" refreshedVersion="0" background="1">
    <webPr xml="1" sourceData="1" url="D:\data\excel\xml模板\role_data.xml" htmlTables="1" htmlFormat="all"/>
  </connection>
  <connection id="69" xr16:uid="{CF9DB844-6EFD-4D38-AE9A-B2DB03008EB7}" name="role_data61" type="4" refreshedVersion="0" background="1">
    <webPr xml="1" sourceData="1" url="D:\data\excel\xml模板\role_data.xml" htmlTables="1" htmlFormat="all"/>
  </connection>
  <connection id="70" xr16:uid="{B30F88D5-B489-4B9F-A502-083AAEBB61F5}" name="role_data62" type="4" refreshedVersion="0" background="1">
    <webPr xml="1" sourceData="1" url="D:\data\excel\xml模板\role_data.xml" htmlTables="1" htmlFormat="all"/>
  </connection>
  <connection id="71" xr16:uid="{D7266103-4624-4BBD-8FC9-35238BC17542}" name="role_data63" type="4" refreshedVersion="0" background="1">
    <webPr xml="1" sourceData="1" url="D:\data\trunk\excel\xml模板\role_data.xml" htmlTables="1" htmlFormat="all"/>
  </connection>
  <connection id="72" xr16:uid="{F4D21350-4CC4-44A4-AF49-DE099EAC3A03}" name="role_data64" type="4" refreshedVersion="0" background="1">
    <webPr xml="1" sourceData="1" url="D:\data\trunk\excel\xml模板\role_data.xml" htmlTables="1" htmlFormat="all"/>
  </connection>
  <connection id="73" xr16:uid="{A8CF01E2-981C-4514-AD18-AD7FB602E686}" name="role_data65" type="4" refreshedVersion="0" background="1">
    <webPr xml="1" sourceData="1" url="D:\data\trunk\excel\xml模板\role_data.xml" htmlTables="1" htmlFormat="all"/>
  </connection>
  <connection id="74" xr16:uid="{EE9DF2F9-BF8D-4AF9-97B9-D719550D3DB8}" name="role_data66" type="4" refreshedVersion="0" background="1">
    <webPr xml="1" sourceData="1" url="D:\data\excel\xml模板\role_data.xml" htmlTables="1" htmlFormat="all"/>
  </connection>
  <connection id="75" xr16:uid="{76FCA18A-6AC4-46CD-BBCB-503DFCBB829B}" name="role_data67" type="4" refreshedVersion="0" background="1">
    <webPr xml="1" sourceData="1" url="D:\data\excel\xml模板\role_data.xml" htmlTables="1" htmlFormat="all"/>
  </connection>
  <connection id="76" xr16:uid="{3B2213EA-D864-454D-8CB8-E4CFFD6F7016}" name="role_data68" type="4" refreshedVersion="0" background="1">
    <webPr xml="1" sourceData="1" url="D:\data\excel\xml模板\role_data.xml" htmlTables="1" htmlFormat="all"/>
  </connection>
  <connection id="77" xr16:uid="{EDACB6F2-6483-4AD6-94AC-883497004EDA}" name="role_data69" type="4" refreshedVersion="0" background="1">
    <webPr xml="1" sourceData="1" url="E:\data\excel\xml模板\role_data.xml" htmlTables="1" htmlFormat="all"/>
  </connection>
  <connection id="78" xr16:uid="{00000000-0015-0000-FFFF-FFFF39000000}" name="role_data7" type="4" refreshedVersion="2" background="1" saveData="1">
    <webPr xml="1" sourceData="1" parsePre="1" consecutive="1" xl2000="1" url="E:\Work\Game4\workspace_linux\data\excel模板\不要在这里提交xml数据\role_data.xml" htmlTables="1" htmlFormat="all"/>
  </connection>
  <connection id="79" xr16:uid="{3207C25D-DCE2-4A62-9192-76D42E093987}" name="role_data70" type="4" refreshedVersion="0" background="1">
    <webPr xml="1" sourceData="1" url="D:\data\excel\xml模板\role_data.xml" htmlTables="1" htmlFormat="all"/>
  </connection>
  <connection id="80" xr16:uid="{7AD78902-FDD8-4E84-945C-45FEB91288F0}" name="role_data71" type="4" refreshedVersion="0" background="1">
    <webPr xml="1" sourceData="1" url="E:\data\trunk\excel\xml模板\role_data.xml" htmlTables="1" htmlFormat="all"/>
  </connection>
  <connection id="81" xr16:uid="{024A7092-A931-448E-9146-344E9DD05882}" name="role_data72" type="4" refreshedVersion="0" background="1">
    <webPr xml="1" sourceData="1" url="D:\data\trunk\excel\xml模板\role_data.xml" htmlTables="1" htmlFormat="all"/>
  </connection>
  <connection id="82" xr16:uid="{9749598C-3006-4F20-9EDD-375F08FC9528}" name="role_data73" type="4" refreshedVersion="0" background="1">
    <webPr xml="1" sourceData="1" url="E:\x1-data\trunk\excel\xml模板\role_data.xml" htmlTables="1" htmlFormat="all"/>
  </connection>
  <connection id="83" xr16:uid="{E9655BBB-1458-460B-9FA1-5D46F6BCD481}" name="role_data74" type="4" refreshedVersion="0" background="1">
    <webPr xml="1" sourceData="1" url="E:\x1-data\trunk\xml\role_data.xml" htmlTables="1" htmlFormat="all"/>
  </connection>
  <connection id="84" xr16:uid="{64800697-A9F6-4BDA-A9C4-C8E595D48278}" name="role_data75" type="4" refreshedVersion="0" background="1">
    <webPr xml="1" sourceData="1" url="E:\x1-data\trunk\excel\xml模板\role_data.xml" htmlTables="1" htmlFormat="all"/>
  </connection>
  <connection id="85" xr16:uid="{F36A03AE-5C1B-4A94-BE33-8D2D3457897D}" name="role_data76" type="4" refreshedVersion="0" background="1">
    <webPr xml="1" sourceData="1" url="E:\x1-data\trunk\excel\xml模板\role_data.xml" htmlTables="1" htmlFormat="all"/>
  </connection>
  <connection id="86" xr16:uid="{00000000-0015-0000-FFFF-FFFF3A000000}" name="role_data8" type="4" refreshedVersion="2" background="1" saveData="1">
    <webPr xml="1" sourceData="1" parsePre="1" consecutive="1" xl2000="1" url="G:\ahzs\doc\策划文档\data\excel模板\不要在这里提交xml数据\role_data.xml" htmlTables="1" htmlFormat="all"/>
  </connection>
  <connection id="87" xr16:uid="{00000000-0015-0000-FFFF-FFFF3B000000}" name="role_data9" type="4" refreshedVersion="2" background="1" saveData="1">
    <webPr xml="1" sourceData="1" parsePre="1" consecutive="1" xl2000="1" url="G:\ahzs\doc\策划文档\data\excel模板\不要在这里提交xml数据\role_data.xml" htmlTables="1" htmlFormat="all"/>
  </connection>
  <connection id="88" xr16:uid="{28068074-5ECC-4875-BD09-E5018711BCE5}" name="talent" type="4" refreshedVersion="0" background="1">
    <webPr xml="1" sourceData="1" url="D:\survivorsdata\trunk\excel\xml模板\talent.xml" htmlTables="1" htmlFormat="all"/>
  </connection>
  <connection id="89" xr16:uid="{374A9BA1-2EA1-42D0-A788-C1374E073598}" name="talent1" type="4" refreshedVersion="0" background="1">
    <webPr xml="1" sourceData="1" url="D:\survivorsdata\trunk\xml\talent.xml" htmlTables="1" htmlFormat="all"/>
  </connection>
  <connection id="90" xr16:uid="{BE6C5025-BFC8-49ED-B910-69A284E6865A}" name="talent2" type="4" refreshedVersion="0" background="1">
    <webPr xml="1" sourceData="1" url="D:\survivorsdata\trunk\excel\xml模板\talent.xml" htmlTables="1" htmlFormat="all"/>
  </connection>
  <connection id="91" xr16:uid="{D14266A0-72BA-4896-80A9-CBE1FA4D1B3A}" name="talent3" type="4" refreshedVersion="0" background="1">
    <webPr xml="1" sourceData="1" url="D:\survivorsdata\trunk\excel\xml模板\talent.xml" htmlTables="1" htmlFormat="all"/>
  </connection>
  <connection id="92" xr16:uid="{B66ED36A-0FD0-44F7-B9EE-CEF2428D6453}" name="talent4" type="4" refreshedVersion="0" background="1">
    <webPr xml="1" sourceData="1" url="D:\survivorsdata\trunk\excel\xml模板\talent.xml" htmlTables="1" htmlFormat="all"/>
  </connection>
  <connection id="93" xr16:uid="{2A3E5F80-D932-4A21-B556-67E6C5F260C1}" name="talent5" type="4" refreshedVersion="0" background="1">
    <webPr xml="1" sourceData="1" url="G:\SurvivorsData\trunk\excel\xml模板\talent.xml" htmlTables="1" htmlFormat="all"/>
  </connection>
  <connection id="94" xr16:uid="{00000000-0015-0000-FFFF-FFFF3C000000}" name="复件 (2) InitRole" type="4" refreshedVersion="2" background="1" saveData="1">
    <webPr xml="1" sourceData="1" parsePre="1" consecutive="1" xl2000="1" url="G:\server\scripts\data\xml\role_data.xml" htmlTables="1"/>
  </connection>
  <connection id="95" xr16:uid="{00000000-0015-0000-FFFF-FFFF3D000000}" name="复件 role_data" type="4" refreshedVersion="2" background="1" saveData="1">
    <webPr xml="1" sourceData="1" parsePre="1" consecutive="1" xl2000="1" url="G:\server\scripts\data\xml\复件 role_data.xml" htmlTables="1"/>
  </connection>
  <connection id="96" xr16:uid="{00000000-0015-0000-FFFF-FFFF3E000000}" name="复件 role_data1" type="4" refreshedVersion="2" background="1" saveData="1">
    <webPr xml="1" sourceData="1" parsePre="1" consecutive="1" xl2000="1" url="G:\server\scripts\data\xml\复件 role_data.xml" htmlTables="1"/>
  </connection>
</connections>
</file>

<file path=xl/sharedStrings.xml><?xml version="1.0" encoding="utf-8"?>
<sst xmlns="http://schemas.openxmlformats.org/spreadsheetml/2006/main" count="1055" uniqueCount="578">
  <si>
    <t>id_i</t>
  </si>
  <si>
    <t xml:space="preserve"> 野蛮人</t>
    <phoneticPr fontId="5" type="noConversion"/>
  </si>
  <si>
    <t>talent.xml</t>
  </si>
  <si>
    <t>序号</t>
    <phoneticPr fontId="5" type="noConversion"/>
  </si>
  <si>
    <t>职业</t>
    <phoneticPr fontId="5" type="noConversion"/>
  </si>
  <si>
    <t>天赋名称</t>
    <phoneticPr fontId="5" type="noConversion"/>
  </si>
  <si>
    <t>天赋图标</t>
    <phoneticPr fontId="5" type="noConversion"/>
  </si>
  <si>
    <t>天赋描述</t>
    <phoneticPr fontId="5" type="noConversion"/>
  </si>
  <si>
    <t>前置天赋</t>
    <phoneticPr fontId="5" type="noConversion"/>
  </si>
  <si>
    <t>消耗天赋点</t>
    <phoneticPr fontId="5" type="noConversion"/>
  </si>
  <si>
    <t>天赋等级上限</t>
    <phoneticPr fontId="5" type="noConversion"/>
  </si>
  <si>
    <t>根据职业分</t>
    <phoneticPr fontId="5" type="noConversion"/>
  </si>
  <si>
    <t>填写职业id</t>
    <phoneticPr fontId="5" type="noConversion"/>
  </si>
  <si>
    <t>天赋位置</t>
    <phoneticPr fontId="5" type="noConversion"/>
  </si>
  <si>
    <t>天赋类型</t>
    <phoneticPr fontId="5" type="noConversion"/>
  </si>
  <si>
    <t>1-大节点
2-小节点</t>
    <phoneticPr fontId="5" type="noConversion"/>
  </si>
  <si>
    <t>vocation_i</t>
    <phoneticPr fontId="5" type="noConversion"/>
  </si>
  <si>
    <t>type_i</t>
    <phoneticPr fontId="5" type="noConversion"/>
  </si>
  <si>
    <t>天赋具体效果</t>
    <phoneticPr fontId="5" type="noConversion"/>
  </si>
  <si>
    <t>passive_skill id</t>
    <phoneticPr fontId="5" type="noConversion"/>
  </si>
  <si>
    <t>level_limit_i</t>
    <phoneticPr fontId="5" type="noConversion"/>
  </si>
  <si>
    <t>before_id_l</t>
    <phoneticPr fontId="5" type="noConversion"/>
  </si>
  <si>
    <t>模板</t>
    <phoneticPr fontId="5" type="noConversion"/>
  </si>
  <si>
    <t>0</t>
    <phoneticPr fontId="5" type="noConversion"/>
  </si>
  <si>
    <t>1</t>
    <phoneticPr fontId="5" type="noConversion"/>
  </si>
  <si>
    <t>0,1</t>
    <phoneticPr fontId="5" type="noConversion"/>
  </si>
  <si>
    <t>location_l</t>
    <phoneticPr fontId="5" type="noConversion"/>
  </si>
  <si>
    <t>没有前置不填，有一个填一个，多个前置填多个</t>
    <phoneticPr fontId="5" type="noConversion"/>
  </si>
  <si>
    <t>talent_piont_l</t>
    <phoneticPr fontId="5" type="noConversion"/>
  </si>
  <si>
    <t>0,1,2</t>
    <phoneticPr fontId="5" type="noConversion"/>
  </si>
  <si>
    <r>
      <t>只有1级填</t>
    </r>
    <r>
      <rPr>
        <sz val="11"/>
        <color theme="1"/>
        <rFont val="宋体"/>
        <family val="3"/>
        <charset val="134"/>
        <scheme val="minor"/>
      </rPr>
      <t>1个，多等级上限的根据每级别需求</t>
    </r>
    <phoneticPr fontId="5" type="noConversion"/>
  </si>
  <si>
    <t>name_i</t>
    <phoneticPr fontId="5" type="noConversion"/>
  </si>
  <si>
    <t>icon_i</t>
    <phoneticPr fontId="5" type="noConversion"/>
  </si>
  <si>
    <t>0,0</t>
    <phoneticPr fontId="5" type="noConversion"/>
  </si>
  <si>
    <t>1009</t>
    <phoneticPr fontId="5" type="noConversion"/>
  </si>
  <si>
    <t>1013</t>
    <phoneticPr fontId="5" type="noConversion"/>
  </si>
  <si>
    <t>填写坐标x,y
*100</t>
    <phoneticPr fontId="5" type="noConversion"/>
  </si>
  <si>
    <t>41410,-27880</t>
    <phoneticPr fontId="5" type="noConversion"/>
  </si>
  <si>
    <t>1001</t>
    <phoneticPr fontId="5" type="noConversion"/>
  </si>
  <si>
    <t>1010</t>
    <phoneticPr fontId="5" type="noConversion"/>
  </si>
  <si>
    <t>1011</t>
    <phoneticPr fontId="5" type="noConversion"/>
  </si>
  <si>
    <t>53960,-34990</t>
    <phoneticPr fontId="5" type="noConversion"/>
  </si>
  <si>
    <t>53970,-51980</t>
    <phoneticPr fontId="5" type="noConversion"/>
  </si>
  <si>
    <t>1012</t>
    <phoneticPr fontId="5" type="noConversion"/>
  </si>
  <si>
    <t>28270,-35110</t>
    <phoneticPr fontId="5" type="noConversion"/>
  </si>
  <si>
    <t>41250,-42590</t>
    <phoneticPr fontId="5" type="noConversion"/>
  </si>
  <si>
    <t>1005</t>
    <phoneticPr fontId="5" type="noConversion"/>
  </si>
  <si>
    <t>28300,-52090</t>
    <phoneticPr fontId="5" type="noConversion"/>
  </si>
  <si>
    <t>15160,-42530</t>
    <phoneticPr fontId="5" type="noConversion"/>
  </si>
  <si>
    <t>15170,-55910</t>
    <phoneticPr fontId="5" type="noConversion"/>
  </si>
  <si>
    <t>1014</t>
    <phoneticPr fontId="5" type="noConversion"/>
  </si>
  <si>
    <t>41250,-56380</t>
    <phoneticPr fontId="5" type="noConversion"/>
  </si>
  <si>
    <t>暴击触发狂暴</t>
    <phoneticPr fontId="5" type="noConversion"/>
  </si>
  <si>
    <t>1002</t>
    <phoneticPr fontId="5" type="noConversion"/>
  </si>
  <si>
    <t>1007</t>
    <phoneticPr fontId="5" type="noConversion"/>
  </si>
  <si>
    <t>1008</t>
    <phoneticPr fontId="5" type="noConversion"/>
  </si>
  <si>
    <t>1003</t>
    <phoneticPr fontId="5" type="noConversion"/>
  </si>
  <si>
    <t>1006</t>
    <phoneticPr fontId="5" type="noConversion"/>
  </si>
  <si>
    <t>暴击转cd</t>
    <phoneticPr fontId="5" type="noConversion"/>
  </si>
  <si>
    <t>狂暴减伤</t>
    <phoneticPr fontId="5" type="noConversion"/>
  </si>
  <si>
    <t>血换攻速</t>
    <phoneticPr fontId="5" type="noConversion"/>
  </si>
  <si>
    <t>自动战吼</t>
    <phoneticPr fontId="5" type="noConversion"/>
  </si>
  <si>
    <t>低血量恢复翻倍</t>
    <phoneticPr fontId="5" type="noConversion"/>
  </si>
  <si>
    <t>物理伤害20%</t>
    <phoneticPr fontId="5" type="noConversion"/>
  </si>
  <si>
    <t>暴击率10%</t>
    <phoneticPr fontId="5" type="noConversion"/>
  </si>
  <si>
    <t>爆伤20%</t>
    <phoneticPr fontId="5" type="noConversion"/>
  </si>
  <si>
    <t>攻速20%</t>
    <phoneticPr fontId="5" type="noConversion"/>
  </si>
  <si>
    <t>全抗性20%</t>
    <phoneticPr fontId="5" type="noConversion"/>
  </si>
  <si>
    <t>血量20%</t>
    <phoneticPr fontId="5" type="noConversion"/>
  </si>
  <si>
    <t>passive_skill_id_l</t>
    <phoneticPr fontId="5" type="noConversion"/>
  </si>
  <si>
    <t>1</t>
  </si>
  <si>
    <t>1004</t>
    <phoneticPr fontId="5" type="noConversion"/>
  </si>
  <si>
    <t>游侠</t>
    <phoneticPr fontId="5" type="noConversion"/>
  </si>
  <si>
    <t>巫师</t>
    <phoneticPr fontId="5" type="noConversion"/>
  </si>
  <si>
    <t>主动技能加1%cdr，持续5秒15层上限</t>
  </si>
  <si>
    <t>运气加10</t>
  </si>
  <si>
    <t>5</t>
    <phoneticPr fontId="5" type="noConversion"/>
  </si>
  <si>
    <t>5001</t>
  </si>
  <si>
    <t>5001</t>
    <phoneticPr fontId="5" type="noConversion"/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</si>
  <si>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</si>
  <si>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</si>
  <si>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</si>
  <si>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</si>
  <si>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</si>
  <si>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</si>
  <si>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</si>
  <si>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</si>
  <si>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</si>
  <si>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</si>
  <si>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</si>
  <si>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</si>
  <si>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</si>
  <si>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91101</t>
    <phoneticPr fontId="5" type="noConversion"/>
  </si>
  <si>
    <t>91102</t>
  </si>
  <si>
    <t>91103</t>
  </si>
  <si>
    <t>91104</t>
  </si>
  <si>
    <t>91105</t>
  </si>
  <si>
    <t>91106</t>
  </si>
  <si>
    <t>91107</t>
  </si>
  <si>
    <t>91109</t>
  </si>
  <si>
    <t>91110</t>
  </si>
  <si>
    <t>91111</t>
  </si>
  <si>
    <t>91112</t>
  </si>
  <si>
    <t>91113</t>
  </si>
  <si>
    <t>91114</t>
  </si>
  <si>
    <t>94001</t>
  </si>
  <si>
    <t>94002</t>
  </si>
  <si>
    <t>94003</t>
  </si>
  <si>
    <t>94004</t>
  </si>
  <si>
    <t>94005</t>
  </si>
  <si>
    <t>94006</t>
  </si>
  <si>
    <t>94007</t>
  </si>
  <si>
    <t>94008</t>
  </si>
  <si>
    <t>94009</t>
  </si>
  <si>
    <t>94010</t>
  </si>
  <si>
    <t>94011</t>
  </si>
  <si>
    <t>94012</t>
  </si>
  <si>
    <t>94013</t>
  </si>
  <si>
    <t>94014</t>
  </si>
  <si>
    <t>94101</t>
  </si>
  <si>
    <t>94102</t>
  </si>
  <si>
    <t>94103</t>
  </si>
  <si>
    <t>94104</t>
  </si>
  <si>
    <t>94105</t>
  </si>
  <si>
    <t>94106</t>
  </si>
  <si>
    <t>94107</t>
  </si>
  <si>
    <t>94108</t>
  </si>
  <si>
    <t>94109</t>
  </si>
  <si>
    <t>94110</t>
  </si>
  <si>
    <t>94111</t>
  </si>
  <si>
    <t>94112</t>
  </si>
  <si>
    <t>94113</t>
  </si>
  <si>
    <t>94114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</si>
  <si>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</si>
  <si>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</si>
  <si>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</si>
  <si>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</si>
  <si>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</si>
  <si>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</si>
  <si>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</si>
  <si>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</si>
  <si>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</si>
  <si>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</si>
  <si>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</si>
  <si>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2013</t>
  </si>
  <si>
    <t>2014</t>
  </si>
  <si>
    <t>2</t>
    <phoneticPr fontId="5" type="noConversion"/>
  </si>
  <si>
    <t>2001</t>
    <phoneticPr fontId="5" type="noConversion"/>
  </si>
  <si>
    <t>2004</t>
    <phoneticPr fontId="5" type="noConversion"/>
  </si>
  <si>
    <t>2009</t>
    <phoneticPr fontId="5" type="noConversion"/>
  </si>
  <si>
    <t>2013</t>
    <phoneticPr fontId="5" type="noConversion"/>
  </si>
  <si>
    <t>5002</t>
    <phoneticPr fontId="5" type="noConversion"/>
  </si>
  <si>
    <t>5003</t>
    <phoneticPr fontId="5" type="noConversion"/>
  </si>
  <si>
    <t>5009</t>
    <phoneticPr fontId="5" type="noConversion"/>
  </si>
  <si>
    <t>5010</t>
    <phoneticPr fontId="5" type="noConversion"/>
  </si>
  <si>
    <t>5</t>
  </si>
  <si>
    <t>43300,-50600</t>
  </si>
  <si>
    <t>27800,-50800</t>
  </si>
  <si>
    <t>11300,-45600</t>
  </si>
  <si>
    <t>7500,-29300</t>
  </si>
  <si>
    <t>11900,-17900</t>
  </si>
  <si>
    <t>29900,-37200</t>
    <phoneticPr fontId="5" type="noConversion"/>
  </si>
  <si>
    <t>23700,-25800</t>
    <phoneticPr fontId="5" type="noConversion"/>
  </si>
  <si>
    <t>19200,-35100</t>
    <phoneticPr fontId="5" type="noConversion"/>
  </si>
  <si>
    <t>56200,-40600</t>
    <phoneticPr fontId="5" type="noConversion"/>
  </si>
  <si>
    <t>45200,-36300</t>
    <phoneticPr fontId="5" type="noConversion"/>
  </si>
  <si>
    <t>38000,-26400</t>
    <phoneticPr fontId="5" type="noConversion"/>
  </si>
  <si>
    <t>55600,-26300</t>
    <phoneticPr fontId="5" type="noConversion"/>
  </si>
  <si>
    <t>47600,-13900</t>
    <phoneticPr fontId="5" type="noConversion"/>
  </si>
  <si>
    <t>34100,-13000</t>
    <phoneticPr fontId="5" type="noConversion"/>
  </si>
  <si>
    <t>5012</t>
    <phoneticPr fontId="5" type="noConversion"/>
  </si>
  <si>
    <t>41290,-10280</t>
    <phoneticPr fontId="5" type="noConversion"/>
  </si>
  <si>
    <t>12510,-10280</t>
    <phoneticPr fontId="5" type="noConversion"/>
  </si>
  <si>
    <t>28490,-10280</t>
    <phoneticPr fontId="5" type="noConversion"/>
  </si>
  <si>
    <t>12500,-22640</t>
    <phoneticPr fontId="5" type="noConversion"/>
  </si>
  <si>
    <t>28490,-22640</t>
    <phoneticPr fontId="5" type="noConversion"/>
  </si>
  <si>
    <t>1014</t>
  </si>
  <si>
    <t>战吼+额外AOE伤害</t>
    <phoneticPr fontId="5" type="noConversion"/>
  </si>
  <si>
    <t>手柄二维坐标</t>
    <phoneticPr fontId="5" type="noConversion"/>
  </si>
  <si>
    <t>坐标a行 b列</t>
    <phoneticPr fontId="5" type="noConversion"/>
  </si>
  <si>
    <t>position_l</t>
    <phoneticPr fontId="5" type="noConversion"/>
  </si>
  <si>
    <t>1,1</t>
    <phoneticPr fontId="5" type="noConversion"/>
  </si>
  <si>
    <t>1,3</t>
    <phoneticPr fontId="5" type="noConversion"/>
  </si>
  <si>
    <t>2,1</t>
    <phoneticPr fontId="5" type="noConversion"/>
  </si>
  <si>
    <t>1,2</t>
    <phoneticPr fontId="5" type="noConversion"/>
  </si>
  <si>
    <t>2,2</t>
    <phoneticPr fontId="5" type="noConversion"/>
  </si>
  <si>
    <t>2,3</t>
    <phoneticPr fontId="5" type="noConversion"/>
  </si>
  <si>
    <t>3,2</t>
    <phoneticPr fontId="5" type="noConversion"/>
  </si>
  <si>
    <t>4,1</t>
    <phoneticPr fontId="5" type="noConversion"/>
  </si>
  <si>
    <t>5,1</t>
    <phoneticPr fontId="5" type="noConversion"/>
  </si>
  <si>
    <t>5,2</t>
    <phoneticPr fontId="5" type="noConversion"/>
  </si>
  <si>
    <t>5,3</t>
    <phoneticPr fontId="5" type="noConversion"/>
  </si>
  <si>
    <t>5,4</t>
    <phoneticPr fontId="5" type="noConversion"/>
  </si>
  <si>
    <t>4,3</t>
    <phoneticPr fontId="5" type="noConversion"/>
  </si>
  <si>
    <t>3,4</t>
    <phoneticPr fontId="5" type="noConversion"/>
  </si>
  <si>
    <t>火焰伤害提高20%</t>
  </si>
  <si>
    <t>灼烧状态敌人死亡时，引发爆炸并扩散灼烧</t>
  </si>
  <si>
    <t>冰霜伤害提高20%</t>
  </si>
  <si>
    <t>冰冻敌人死亡时产生四射的冰霜裂片</t>
  </si>
  <si>
    <t>闪电伤提高20%</t>
  </si>
  <si>
    <t>感电状态敌人会持续受到落雷技能打击</t>
  </si>
  <si>
    <t>当目标被施加3种异常状态时，产生黑洞</t>
  </si>
  <si>
    <t>护盾恢复的冷却时间减少4秒</t>
  </si>
  <si>
    <t>护盾上限提高20%</t>
  </si>
  <si>
    <t>生命恢复属性不再生效，获得相当于生命恢复的护盾恢复</t>
  </si>
  <si>
    <t>2015</t>
    <phoneticPr fontId="5" type="noConversion"/>
  </si>
  <si>
    <t>91115</t>
  </si>
  <si>
    <t>31480,-13300</t>
    <phoneticPr fontId="5" type="noConversion"/>
  </si>
  <si>
    <t>17480,-27300</t>
    <phoneticPr fontId="5" type="noConversion"/>
  </si>
  <si>
    <t>31480,-30000</t>
    <phoneticPr fontId="5" type="noConversion"/>
  </si>
  <si>
    <t>45480,-27300</t>
    <phoneticPr fontId="5" type="noConversion"/>
  </si>
  <si>
    <t>31480,-42600</t>
    <phoneticPr fontId="5" type="noConversion"/>
  </si>
  <si>
    <t>18980,-41000</t>
    <phoneticPr fontId="5" type="noConversion"/>
  </si>
  <si>
    <t>43980,-41000</t>
    <phoneticPr fontId="5" type="noConversion"/>
  </si>
  <si>
    <t>31480,-56100</t>
    <phoneticPr fontId="5" type="noConversion"/>
  </si>
  <si>
    <t>13980,-13300</t>
    <phoneticPr fontId="5" type="noConversion"/>
  </si>
  <si>
    <t>48980,-13300</t>
    <phoneticPr fontId="5" type="noConversion"/>
  </si>
  <si>
    <t>4100,-24900</t>
    <phoneticPr fontId="5" type="noConversion"/>
  </si>
  <si>
    <t>4100,-39400</t>
    <phoneticPr fontId="5" type="noConversion"/>
  </si>
  <si>
    <t>58860,-24900</t>
    <phoneticPr fontId="5" type="noConversion"/>
  </si>
  <si>
    <t>58860,-39400</t>
    <phoneticPr fontId="5" type="noConversion"/>
  </si>
  <si>
    <t>48980,-54300</t>
    <phoneticPr fontId="5" type="noConversion"/>
  </si>
  <si>
    <t>2002</t>
    <phoneticPr fontId="5" type="noConversion"/>
  </si>
  <si>
    <t>2006</t>
    <phoneticPr fontId="5" type="noConversion"/>
  </si>
  <si>
    <t>2003,2005,2007</t>
    <phoneticPr fontId="5" type="noConversion"/>
  </si>
  <si>
    <t>2010</t>
    <phoneticPr fontId="5" type="noConversion"/>
  </si>
  <si>
    <t>2012</t>
    <phoneticPr fontId="5" type="noConversion"/>
  </si>
  <si>
    <t>2014</t>
    <phoneticPr fontId="5" type="noConversion"/>
  </si>
  <si>
    <t>处于光辉残迹范围内，生命恢复提升50%</t>
  </si>
  <si>
    <t>格挡几率增加5%</t>
  </si>
  <si>
    <t>格挡成功恢复1%最大生命值（2秒冷却）</t>
  </si>
  <si>
    <t>护甲值增加15%</t>
  </si>
  <si>
    <t>成功格挡时，15%几率发出神圣冲击，造成基于护甲值的伤害</t>
  </si>
  <si>
    <t>荆棘增加20</t>
  </si>
  <si>
    <t>每100护甲增加1点荆棘</t>
  </si>
  <si>
    <t>元素抗性提升10%</t>
  </si>
  <si>
    <t>血量低于40%时，对大范围敌人造成基于荆棘的伤害，并获得20%减伤5秒（30秒冷却）</t>
  </si>
  <si>
    <t>生命值增加20%</t>
  </si>
  <si>
    <t>每50护甲值提升1%物理伤害</t>
  </si>
  <si>
    <t>元素伤害提高，数值为物理伤害的30%</t>
  </si>
  <si>
    <t>生命恢复增加3</t>
  </si>
  <si>
    <t>强化类技能效果持续时间提升2秒</t>
  </si>
  <si>
    <t>生命恢复增加50%</t>
  </si>
  <si>
    <t>骑士</t>
    <phoneticPr fontId="5" type="noConversion"/>
  </si>
  <si>
    <t>3001</t>
  </si>
  <si>
    <t>3001</t>
    <phoneticPr fontId="5" type="noConversion"/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</si>
  <si>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</si>
  <si>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</si>
  <si>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</si>
  <si>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</si>
  <si>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</si>
  <si>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</si>
  <si>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</si>
  <si>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</si>
  <si>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</si>
  <si>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</si>
  <si>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</si>
  <si>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</si>
  <si>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</si>
  <si>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</si>
  <si>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</si>
  <si>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48980,-44300</t>
    <phoneticPr fontId="5" type="noConversion"/>
  </si>
  <si>
    <t>92101</t>
    <phoneticPr fontId="5" type="noConversion"/>
  </si>
  <si>
    <t>92102</t>
  </si>
  <si>
    <t>92103</t>
  </si>
  <si>
    <t>92104</t>
  </si>
  <si>
    <t>92105</t>
  </si>
  <si>
    <t>92106</t>
  </si>
  <si>
    <t>92107</t>
  </si>
  <si>
    <t>92108</t>
  </si>
  <si>
    <t>92109</t>
  </si>
  <si>
    <t>92110</t>
  </si>
  <si>
    <t>92111</t>
  </si>
  <si>
    <t>92112</t>
  </si>
  <si>
    <t>92113</t>
  </si>
  <si>
    <t>92114</t>
  </si>
  <si>
    <t>92115</t>
  </si>
  <si>
    <t>92116</t>
  </si>
  <si>
    <t>3002</t>
    <phoneticPr fontId="5" type="noConversion"/>
  </si>
  <si>
    <t>3006</t>
    <phoneticPr fontId="5" type="noConversion"/>
  </si>
  <si>
    <t>3003</t>
    <phoneticPr fontId="5" type="noConversion"/>
  </si>
  <si>
    <t>3004</t>
    <phoneticPr fontId="5" type="noConversion"/>
  </si>
  <si>
    <t>3007</t>
    <phoneticPr fontId="5" type="noConversion"/>
  </si>
  <si>
    <t>3008</t>
    <phoneticPr fontId="5" type="noConversion"/>
  </si>
  <si>
    <t>3010</t>
    <phoneticPr fontId="5" type="noConversion"/>
  </si>
  <si>
    <t>3011</t>
    <phoneticPr fontId="5" type="noConversion"/>
  </si>
  <si>
    <t>3012</t>
    <phoneticPr fontId="5" type="noConversion"/>
  </si>
  <si>
    <t>3014</t>
    <phoneticPr fontId="5" type="noConversion"/>
  </si>
  <si>
    <t>3015</t>
    <phoneticPr fontId="5" type="noConversion"/>
  </si>
  <si>
    <t>7100,-24900</t>
    <phoneticPr fontId="5" type="noConversion"/>
  </si>
  <si>
    <t>7100,-39400</t>
    <phoneticPr fontId="5" type="noConversion"/>
  </si>
  <si>
    <t>55860,-24900</t>
    <phoneticPr fontId="5" type="noConversion"/>
  </si>
  <si>
    <t>55860,-39400</t>
    <phoneticPr fontId="5" type="noConversion"/>
  </si>
  <si>
    <t>51290,-10280</t>
  </si>
  <si>
    <t>22510,-10280</t>
  </si>
  <si>
    <t>22500,-22640</t>
  </si>
  <si>
    <t>38270,-35110</t>
  </si>
  <si>
    <t>63970,-51980</t>
  </si>
  <si>
    <t>51250,-56380</t>
  </si>
  <si>
    <t>25170,-55910</t>
  </si>
  <si>
    <t>38300,-52090</t>
  </si>
  <si>
    <t>38490,-10280</t>
  </si>
  <si>
    <t>51410,-27880</t>
  </si>
  <si>
    <t>38490,-22640</t>
  </si>
  <si>
    <t>63960,-34990</t>
  </si>
  <si>
    <t>51250,-42590</t>
  </si>
  <si>
    <t>25160,-42530</t>
  </si>
  <si>
    <t>41480,-13300</t>
  </si>
  <si>
    <t>41480,-30000</t>
  </si>
  <si>
    <t>41480,-42600</t>
  </si>
  <si>
    <t>27480,-27300</t>
  </si>
  <si>
    <t>55480,-27300</t>
  </si>
  <si>
    <t>41480,-56100</t>
  </si>
  <si>
    <t>23980,-13300</t>
  </si>
  <si>
    <t>17100,-24900</t>
  </si>
  <si>
    <t>17100,-39400</t>
  </si>
  <si>
    <t>58980,-13300</t>
  </si>
  <si>
    <t>65860,-24900</t>
  </si>
  <si>
    <t>65860,-39400</t>
  </si>
  <si>
    <t>58980,-54300</t>
  </si>
  <si>
    <t>52980,-42000</t>
    <phoneticPr fontId="5" type="noConversion"/>
  </si>
  <si>
    <t>29980,-42000</t>
    <phoneticPr fontId="5" type="noConversion"/>
  </si>
  <si>
    <t>41200,-32700</t>
    <phoneticPr fontId="5" type="noConversion"/>
  </si>
  <si>
    <t>34500,-19300</t>
    <phoneticPr fontId="5" type="noConversion"/>
  </si>
  <si>
    <t>34500,-7600</t>
    <phoneticPr fontId="5" type="noConversion"/>
  </si>
  <si>
    <t>22400,-12700</t>
    <phoneticPr fontId="5" type="noConversion"/>
  </si>
  <si>
    <t>47900,-19300</t>
    <phoneticPr fontId="5" type="noConversion"/>
  </si>
  <si>
    <t>47900,-7600</t>
    <phoneticPr fontId="5" type="noConversion"/>
  </si>
  <si>
    <t>60000,-12700</t>
    <phoneticPr fontId="5" type="noConversion"/>
  </si>
  <si>
    <t>16800,-24600</t>
    <phoneticPr fontId="5" type="noConversion"/>
  </si>
  <si>
    <t>65600,-24600</t>
    <phoneticPr fontId="5" type="noConversion"/>
  </si>
  <si>
    <t>41200,-48200</t>
    <phoneticPr fontId="5" type="noConversion"/>
  </si>
  <si>
    <t>32800,-57000</t>
    <phoneticPr fontId="5" type="noConversion"/>
  </si>
  <si>
    <t>21100,-50700</t>
    <phoneticPr fontId="5" type="noConversion"/>
  </si>
  <si>
    <t>16800,-37900</t>
    <phoneticPr fontId="5" type="noConversion"/>
  </si>
  <si>
    <t>49600,-57000</t>
    <phoneticPr fontId="5" type="noConversion"/>
  </si>
  <si>
    <t>61300,-50700</t>
    <phoneticPr fontId="5" type="noConversion"/>
  </si>
  <si>
    <t>65600,-37900</t>
    <phoneticPr fontId="5" type="noConversion"/>
  </si>
  <si>
    <t>死灵法师</t>
    <phoneticPr fontId="5" type="noConversion"/>
  </si>
  <si>
    <t>怪物死亡暂时提高角色和召唤物1%伤害，持续3秒，可叠加30层</t>
  </si>
  <si>
    <t>混沌伤害提高20%
物理伤害提高20%</t>
  </si>
  <si>
    <t>当施加脆弱之骨时额外施加一层</t>
  </si>
  <si>
    <t>使用物理技能提升10%护盾值，持续5秒，可叠加3层</t>
  </si>
  <si>
    <t>当怪物携带脆弱之骨死亡时，召唤一只白骨之魂攻击附近敌人</t>
  </si>
  <si>
    <t>中毒敌人死亡时，20%概率在原地留下[腐化地面]</t>
  </si>
  <si>
    <t>中毒系数提高6%中毒持续时间+1秒</t>
  </si>
  <si>
    <t>中毒敌人死亡有10%几率发生传染，范围300</t>
  </si>
  <si>
    <t>召唤物生命值提高30%,护甲值增加500点</t>
  </si>
  <si>
    <t>召唤物攻击力提高30%</t>
  </si>
  <si>
    <t>骷髅召唤数量加1</t>
  </si>
  <si>
    <t>召唤物获得10点荆棘</t>
  </si>
  <si>
    <t>每当骷髅和魔像死亡时，为所有友方单位提供伤害和生命值加成，持续5秒 可叠加10层</t>
  </si>
  <si>
    <t>诅咒技能持续时间+2秒</t>
  </si>
  <si>
    <t>使用普通攻击命中持有诅咒的敌人时，30%几率晕眩1秒</t>
  </si>
  <si>
    <t>对小怪施加诅咒后，获得死亡之印，每秒损失3%伤害，持续4秒</t>
  </si>
  <si>
    <t>4001</t>
    <phoneticPr fontId="5" type="noConversion"/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</si>
  <si>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</si>
  <si>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</si>
  <si>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</si>
  <si>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</si>
  <si>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</si>
  <si>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</si>
  <si>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</si>
  <si>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</si>
  <si>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</si>
  <si>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</si>
  <si>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</si>
  <si>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</si>
  <si>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</si>
  <si>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</si>
  <si>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</si>
  <si>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弓箭投射物+1</t>
  </si>
  <si>
    <t>弓箭每次命中50%减少目标伤害抗性10% 叠加3层</t>
  </si>
  <si>
    <t>弓箭投射物穿刺+1</t>
  </si>
  <si>
    <t>使用冲刺技能时，向周围随机射出箭矢，冷却5秒</t>
  </si>
  <si>
    <t>箭矢连锁弹射次数+1 弹射弹药造成伤害减少30%</t>
  </si>
  <si>
    <t>阵地：每静止一秒，命中率提升10%，暴击率提升5%，最多5层</t>
  </si>
  <si>
    <t>闪避增加5%</t>
  </si>
  <si>
    <t>受到伤害50%获得伤害免疫，持续1秒</t>
  </si>
  <si>
    <t>元素抗性+10%</t>
  </si>
  <si>
    <t>根据损失血量获得额外闪避几率，最多30%</t>
  </si>
  <si>
    <t>刷新、锁定、封印骰子+3</t>
  </si>
  <si>
    <t>每点敏捷提升自身和召唤物造成0.3%伤害</t>
  </si>
  <si>
    <t>陷阱、强化和召唤技能冷却时间减少10%</t>
  </si>
  <si>
    <t>陷阱造成伤害时，瘫痪目标5秒</t>
  </si>
  <si>
    <t>普通攻击20%几率获得[风之庇佑]，移动速度提升20%，攻击速度提升20%，持续3秒</t>
    <phoneticPr fontId="5" type="noConversion"/>
  </si>
  <si>
    <t>93101</t>
    <phoneticPr fontId="5" type="noConversion"/>
  </si>
  <si>
    <t>94015</t>
  </si>
  <si>
    <t>94016</t>
  </si>
  <si>
    <t>94115</t>
  </si>
  <si>
    <t>94116</t>
  </si>
  <si>
    <t>5015</t>
  </si>
  <si>
    <t>5016</t>
  </si>
  <si>
    <t>4002</t>
    <phoneticPr fontId="5" type="noConversion"/>
  </si>
  <si>
    <t>4003</t>
    <phoneticPr fontId="5" type="noConversion"/>
  </si>
  <si>
    <t>4004</t>
    <phoneticPr fontId="5" type="noConversion"/>
  </si>
  <si>
    <t>4006</t>
    <phoneticPr fontId="5" type="noConversion"/>
  </si>
  <si>
    <t>4007</t>
    <phoneticPr fontId="5" type="noConversion"/>
  </si>
  <si>
    <t>4009</t>
    <phoneticPr fontId="5" type="noConversion"/>
  </si>
  <si>
    <t>4010</t>
    <phoneticPr fontId="5" type="noConversion"/>
  </si>
  <si>
    <t>4011</t>
    <phoneticPr fontId="5" type="noConversion"/>
  </si>
  <si>
    <t>4012</t>
    <phoneticPr fontId="5" type="noConversion"/>
  </si>
  <si>
    <t>4014</t>
    <phoneticPr fontId="5" type="noConversion"/>
  </si>
  <si>
    <t>4015</t>
    <phoneticPr fontId="5" type="noConversion"/>
  </si>
  <si>
    <t>5004</t>
    <phoneticPr fontId="5" type="noConversion"/>
  </si>
  <si>
    <t>5006</t>
    <phoneticPr fontId="5" type="noConversion"/>
  </si>
  <si>
    <t>5008</t>
    <phoneticPr fontId="5" type="noConversion"/>
  </si>
  <si>
    <t>5013</t>
    <phoneticPr fontId="5" type="noConversion"/>
  </si>
  <si>
    <t>41200,-17200</t>
    <phoneticPr fontId="5" type="noConversion"/>
  </si>
  <si>
    <t>32800,-8400</t>
    <phoneticPr fontId="5" type="noConversion"/>
  </si>
  <si>
    <t>49600,-8400</t>
    <phoneticPr fontId="5" type="noConversion"/>
  </si>
  <si>
    <t>21100,-14700</t>
    <phoneticPr fontId="5" type="noConversion"/>
  </si>
  <si>
    <t>61300,-14700</t>
    <phoneticPr fontId="5" type="noConversion"/>
  </si>
  <si>
    <t>65600,-27500</t>
    <phoneticPr fontId="5" type="noConversion"/>
  </si>
  <si>
    <t>16800,-27500</t>
    <phoneticPr fontId="5" type="noConversion"/>
  </si>
  <si>
    <t>24000,-36000</t>
    <phoneticPr fontId="5" type="noConversion"/>
  </si>
  <si>
    <t>14700,-45800</t>
    <phoneticPr fontId="5" type="noConversion"/>
  </si>
  <si>
    <t>26600,-53600</t>
    <phoneticPr fontId="5" type="noConversion"/>
  </si>
  <si>
    <t>41200,-58000</t>
    <phoneticPr fontId="5" type="noConversion"/>
  </si>
  <si>
    <t>58400,-36000</t>
    <phoneticPr fontId="5" type="noConversion"/>
  </si>
  <si>
    <t>67700,-45800</t>
    <phoneticPr fontId="5" type="noConversion"/>
  </si>
  <si>
    <t>55800,-53600</t>
    <phoneticPr fontId="5" type="noConversion"/>
  </si>
  <si>
    <t>41200,-46000</t>
    <phoneticPr fontId="5" type="noConversion"/>
  </si>
  <si>
    <t>30100,-22800</t>
    <phoneticPr fontId="5" type="noConversion"/>
  </si>
  <si>
    <t>17600,-26700</t>
    <phoneticPr fontId="5" type="noConversion"/>
  </si>
  <si>
    <t>18000,-39800</t>
    <phoneticPr fontId="5" type="noConversion"/>
  </si>
  <si>
    <t>21400,-51400</t>
    <phoneticPr fontId="5" type="noConversion"/>
  </si>
  <si>
    <t>31800,-43200</t>
    <phoneticPr fontId="5" type="noConversion"/>
  </si>
  <si>
    <t>34100,-56000</t>
    <phoneticPr fontId="5" type="noConversion"/>
  </si>
  <si>
    <t>44200,-46600</t>
    <phoneticPr fontId="5" type="noConversion"/>
  </si>
  <si>
    <t>55400,-51400</t>
    <phoneticPr fontId="5" type="noConversion"/>
  </si>
  <si>
    <t>64300,-42000</t>
    <phoneticPr fontId="5" type="noConversion"/>
  </si>
  <si>
    <t>64800,-28800</t>
    <phoneticPr fontId="5" type="noConversion"/>
  </si>
  <si>
    <t>51700,-22700</t>
    <phoneticPr fontId="5" type="noConversion"/>
  </si>
  <si>
    <t>48500,-10300</t>
    <phoneticPr fontId="5" type="noConversion"/>
  </si>
  <si>
    <t>5014</t>
    <phoneticPr fontId="5" type="noConversion"/>
  </si>
  <si>
    <t>36300,-8800</t>
    <phoneticPr fontId="5" type="noConversion"/>
  </si>
  <si>
    <t>59600,-15900</t>
    <phoneticPr fontId="5" type="noConversion"/>
  </si>
  <si>
    <t>24400,-12700</t>
    <phoneticPr fontId="5" type="noConversion"/>
  </si>
  <si>
    <t>3,3</t>
    <phoneticPr fontId="5" type="noConversion"/>
  </si>
  <si>
    <t>2,4</t>
    <phoneticPr fontId="5" type="noConversion"/>
  </si>
  <si>
    <t>3,5</t>
    <phoneticPr fontId="5" type="noConversion"/>
  </si>
  <si>
    <t>3,1</t>
    <phoneticPr fontId="5" type="noConversion"/>
  </si>
  <si>
    <t>1,5</t>
    <phoneticPr fontId="5" type="noConversion"/>
  </si>
  <si>
    <t>2,5</t>
    <phoneticPr fontId="5" type="noConversion"/>
  </si>
  <si>
    <t>4,5</t>
    <phoneticPr fontId="5" type="noConversion"/>
  </si>
  <si>
    <t>1,4</t>
    <phoneticPr fontId="5" type="noConversion"/>
  </si>
  <si>
    <t>4,2</t>
    <phoneticPr fontId="5" type="noConversion"/>
  </si>
  <si>
    <t>93102</t>
  </si>
  <si>
    <t>93103</t>
  </si>
  <si>
    <t>93104</t>
  </si>
  <si>
    <t>93105</t>
  </si>
  <si>
    <t>93106</t>
  </si>
  <si>
    <t>93107</t>
  </si>
  <si>
    <t>93108</t>
  </si>
  <si>
    <t>93109</t>
  </si>
  <si>
    <t>93110</t>
  </si>
  <si>
    <t>93111</t>
  </si>
  <si>
    <t>93112</t>
  </si>
  <si>
    <t>93113</t>
  </si>
  <si>
    <t>93114</t>
  </si>
  <si>
    <t>93115</t>
  </si>
  <si>
    <t>93116</t>
  </si>
  <si>
    <t>使用主动技能时，召唤对应的元素精灵，元素精灵可以使用对应的技能，死亡时释放新星</t>
  </si>
  <si>
    <t>召唤物死亡引发混沌爆发，施加灼烧、冰缓或感电，并有30%几率冻结敌人</t>
  </si>
  <si>
    <t>魔像召唤数量上限+1</t>
  </si>
  <si>
    <t>2015,2016,2017</t>
    <phoneticPr fontId="5" type="noConversion"/>
  </si>
  <si>
    <t>2018,2019,2020</t>
    <phoneticPr fontId="5" type="noConversion"/>
  </si>
  <si>
    <t>魔像会召唤元素</t>
    <phoneticPr fontId="5" type="noConversion"/>
  </si>
  <si>
    <t>6001</t>
    <phoneticPr fontId="5" type="noConversion"/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</si>
  <si>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</si>
  <si>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</si>
  <si>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</si>
  <si>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</si>
  <si>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</si>
  <si>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</si>
  <si>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</si>
  <si>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</si>
  <si>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</si>
  <si>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</si>
  <si>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</si>
  <si>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</si>
  <si>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</si>
  <si>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</si>
  <si>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刺客</t>
    <phoneticPr fontId="5" type="noConversion"/>
  </si>
  <si>
    <t>6</t>
  </si>
  <si>
    <t>6</t>
    <phoneticPr fontId="5" type="noConversion"/>
  </si>
  <si>
    <t>匕首普攻20%恢复1点连击点</t>
  </si>
  <si>
    <t>攻击速度+20%</t>
  </si>
  <si>
    <t>流血中毒灼烧系数+5%</t>
  </si>
  <si>
    <t>每次闪避都会增加10%伤害，可叠加10层，持续5秒</t>
  </si>
  <si>
    <t>终结技能释放后3秒内，所有近战攻击多重施法+50%</t>
  </si>
  <si>
    <t>使用弹道主动技能会增加角色3%闪避几率和20%攻击速度，持续3秒，可叠加3层</t>
  </si>
  <si>
    <t>弹道数量+1</t>
  </si>
  <si>
    <t>穿透+1</t>
  </si>
  <si>
    <t>弹道主动技能命中流血灼烧中毒的目标，随机弹道技能冷却时间-1秒</t>
  </si>
  <si>
    <t>使用非终结技陷阱技能，获得1点连击点</t>
  </si>
  <si>
    <t>召唤物和陷阱伤害+50%</t>
  </si>
  <si>
    <t>陷阱命中敌人添加死亡标记，持续3秒，受到伤害提高20%，近战命中死亡标记的目标伤害提高50%</t>
  </si>
  <si>
    <t>冲刺随机释放已学习的陷阱技能</t>
  </si>
  <si>
    <t>陷阱召唤数量上限+2</t>
  </si>
  <si>
    <t>形态切换</t>
    <phoneticPr fontId="5" type="noConversion"/>
  </si>
  <si>
    <t>95001</t>
    <phoneticPr fontId="5" type="noConversion"/>
  </si>
  <si>
    <t>95002</t>
  </si>
  <si>
    <t>95003</t>
  </si>
  <si>
    <t>95004</t>
  </si>
  <si>
    <t>95005</t>
  </si>
  <si>
    <t>95006</t>
  </si>
  <si>
    <t>95007</t>
  </si>
  <si>
    <t>95008</t>
  </si>
  <si>
    <t>95009</t>
  </si>
  <si>
    <t>95010</t>
  </si>
  <si>
    <t>95011</t>
  </si>
  <si>
    <t>95012</t>
  </si>
  <si>
    <t>95013</t>
  </si>
  <si>
    <t>95014</t>
  </si>
  <si>
    <t>95015</t>
  </si>
  <si>
    <t>6002</t>
    <phoneticPr fontId="5" type="noConversion"/>
  </si>
  <si>
    <t>6003</t>
    <phoneticPr fontId="5" type="noConversion"/>
  </si>
  <si>
    <t>6005</t>
    <phoneticPr fontId="5" type="noConversion"/>
  </si>
  <si>
    <t>6007</t>
    <phoneticPr fontId="5" type="noConversion"/>
  </si>
  <si>
    <t>6008</t>
    <phoneticPr fontId="5" type="noConversion"/>
  </si>
  <si>
    <t>6011</t>
    <phoneticPr fontId="5" type="noConversion"/>
  </si>
  <si>
    <t>6012</t>
    <phoneticPr fontId="5" type="noConversion"/>
  </si>
  <si>
    <t>6013</t>
    <phoneticPr fontId="5" type="noConversion"/>
  </si>
  <si>
    <t>6001,6002,6003</t>
    <phoneticPr fontId="5" type="noConversion"/>
  </si>
  <si>
    <t>6004</t>
    <phoneticPr fontId="5" type="noConversion"/>
  </si>
  <si>
    <t>6016</t>
  </si>
  <si>
    <t>6017</t>
  </si>
  <si>
    <t>95101</t>
    <phoneticPr fontId="5" type="noConversion"/>
  </si>
  <si>
    <t>95102</t>
  </si>
  <si>
    <t>95103</t>
  </si>
  <si>
    <t>95104</t>
  </si>
  <si>
    <t>95105</t>
  </si>
  <si>
    <t>95106</t>
  </si>
  <si>
    <t>95107</t>
  </si>
  <si>
    <t>95108</t>
  </si>
  <si>
    <t>95109</t>
  </si>
  <si>
    <t>95110</t>
  </si>
  <si>
    <t>95111</t>
  </si>
  <si>
    <t>95112</t>
  </si>
  <si>
    <t>95113</t>
  </si>
  <si>
    <t>95114</t>
  </si>
  <si>
    <t>95115</t>
  </si>
  <si>
    <t>41490,-32700</t>
    <phoneticPr fontId="5" type="noConversion"/>
  </si>
  <si>
    <t>41500,-32700</t>
    <phoneticPr fontId="5" type="noConversion"/>
  </si>
  <si>
    <t>62300,-14100</t>
    <phoneticPr fontId="5" type="noConversion"/>
  </si>
  <si>
    <t>66800,-24300</t>
    <phoneticPr fontId="5" type="noConversion"/>
  </si>
  <si>
    <t>50100,-10200</t>
    <phoneticPr fontId="5" type="noConversion"/>
  </si>
  <si>
    <t>35300,-10600</t>
    <phoneticPr fontId="5" type="noConversion"/>
  </si>
  <si>
    <t>41500,-46900</t>
    <phoneticPr fontId="5" type="noConversion"/>
  </si>
  <si>
    <t>53500,-42600</t>
    <phoneticPr fontId="5" type="noConversion"/>
  </si>
  <si>
    <t>65900,-41800</t>
    <phoneticPr fontId="5" type="noConversion"/>
  </si>
  <si>
    <t>59000,-32000</t>
    <phoneticPr fontId="5" type="noConversion"/>
  </si>
  <si>
    <t>52800,-53700</t>
    <phoneticPr fontId="5" type="noConversion"/>
  </si>
  <si>
    <t>4,4</t>
    <phoneticPr fontId="5" type="noConversion"/>
  </si>
  <si>
    <t>26300,-32700</t>
    <phoneticPr fontId="5" type="noConversion"/>
  </si>
  <si>
    <t>18400,-45200</t>
    <phoneticPr fontId="5" type="noConversion"/>
  </si>
  <si>
    <t>18300,-21600</t>
    <phoneticPr fontId="5" type="noConversion"/>
  </si>
  <si>
    <t>28400,-52600</t>
    <phoneticPr fontId="5" type="noConversion"/>
  </si>
  <si>
    <t>11001</t>
    <phoneticPr fontId="5" type="noConversion"/>
  </si>
  <si>
    <t>11002</t>
    <phoneticPr fontId="5" type="noConversion"/>
  </si>
  <si>
    <t>11003</t>
    <phoneticPr fontId="5" type="noConversion"/>
  </si>
  <si>
    <t>1,3</t>
  </si>
  <si>
    <t>1,1</t>
  </si>
  <si>
    <t>2,1</t>
  </si>
  <si>
    <t>110011,110012,110013,110014,110015</t>
    <phoneticPr fontId="5" type="noConversion"/>
  </si>
  <si>
    <t>110021,110022,110023,110024,110025</t>
    <phoneticPr fontId="5" type="noConversion"/>
  </si>
  <si>
    <t>110031,110032,110033,110034,110035</t>
    <phoneticPr fontId="5" type="noConversion"/>
  </si>
  <si>
    <t>desc_l</t>
    <phoneticPr fontId="5" type="noConversion"/>
  </si>
  <si>
    <t>830001</t>
  </si>
  <si>
    <t>830002</t>
  </si>
  <si>
    <t>830003</t>
  </si>
  <si>
    <t>840001,840002,840003,840004,840005</t>
    <phoneticPr fontId="5" type="noConversion"/>
  </si>
  <si>
    <t>840006,840007,840008,840009,840010</t>
    <phoneticPr fontId="5" type="noConversion"/>
  </si>
  <si>
    <t>840011,840012,840013,840014,840015</t>
    <phoneticPr fontId="5" type="noConversion"/>
  </si>
  <si>
    <t>1,1,1,1,1</t>
    <phoneticPr fontId="5" type="noConversion"/>
  </si>
  <si>
    <t>101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</si>
</sst>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sz val="9"/>
      <color rgb="FFFF0000"/>
      <name val="微软雅黑"/>
      <family val="2"/>
      <charset val="134"/>
    </font>
    <font>
      <b/>
      <sz val="9"/>
      <color rgb="FFFF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color theme="1"/>
      <name val="微软雅黑"/>
      <family val="3"/>
    </font>
    <font>
      <sz val="9"/>
      <color indexed="8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1" fillId="0" borderId="0" xfId="0" applyNumberFormat="1" applyFont="1">
      <alignment vertical="center"/>
    </xf>
    <xf numFmtId="0" fontId="3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0" fontId="7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0" fontId="4" fillId="0" borderId="0" xfId="0" applyNumberFormat="1" applyFont="1">
      <alignment vertical="center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4" borderId="0" xfId="0" applyNumberFormat="1" applyFont="1" applyFill="1" applyAlignment="1">
      <alignment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常规" xfId="0" builtinId="0"/>
  </cellStyles>
  <dxfs count="49">
    <dxf>
      <font>
        <b val="0"/>
        <i val="0"/>
        <strike val="0"/>
        <u val="none"/>
        <sz val="9"/>
        <color theme="1"/>
        <name val="微软雅黑"/>
        <family val="3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u val="none"/>
        <sz val="9"/>
        <color theme="1"/>
        <name val="微软雅黑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u val="none"/>
        <sz val="9"/>
        <color theme="1"/>
        <name val="微软雅黑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u val="none"/>
        <sz val="11"/>
        <color theme="1"/>
        <name val="宋体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u val="none"/>
        <sz val="9"/>
        <color theme="1"/>
        <name val="微软雅黑"/>
        <scheme val="none"/>
      </font>
      <numFmt numFmtId="30" formatCode="@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u val="none"/>
        <sz val="9"/>
        <color theme="1"/>
        <name val="微软雅黑"/>
        <scheme val="none"/>
      </font>
      <numFmt numFmtId="30" formatCode="@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</font>
      <alignment horizontal="left" vertical="center" textRotation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3">
    <xsd:schema xmlns:xsd="http://www.w3.org/2001/XMLSchema" xmlns="">
      <xsd:element nillable="true" name="root">
        <xsd:complexType>
          <xsd:sequence minOccurs="0">
            <xsd:element minOccurs="0" maxOccurs="unbounded" nillable="true" name="talent" form="unqualified">
              <xsd:complexType>
                <xsd:sequence minOccurs="0">
                  <xsd:element minOccurs="0" nillable="true" type="xsd:integer" name="id_i" form="unqualified"/>
                  <xsd:element minOccurs="0" nillable="true" type="xsd:integer" name="vocation_i" form="unqualified"/>
                  <xsd:element minOccurs="0" nillable="true" type="xsd:string" name="location_l" form="unqualified"/>
                  <xsd:element minOccurs="0" nillable="true" type="xsd:string" name="position_l" form="unqualified"/>
                  <xsd:element minOccurs="0" nillable="true" type="xsd:integer" name="type_i" form="unqualified"/>
                  <xsd:element minOccurs="0" nillable="true" type="xsd:integer" name="name_i" form="unqualified"/>
                  <xsd:element minOccurs="0" nillable="true" type="xsd:integer" name="icon_i" form="unqualified"/>
                  <xsd:element minOccurs="0" nillable="true" type="xsd:integer" name="desc_l" form="unqualified"/>
                  <xsd:element minOccurs="0" nillable="true" type="xsd:string" name="before_id_l" form="unqualified"/>
                  <xsd:element minOccurs="0" nillable="true" type="xsd:string" name="talent_piont_l" form="unqualified"/>
                  <xsd:element minOccurs="0" nillable="true" type="xsd:integer" name="level_limit_i" form="unqualified"/>
                  <xsd:element minOccurs="0" nillable="true" type="xsd:integer" name="passive_skill_id_l" form="unqualified"/>
                </xsd:sequence>
              </xsd:complexType>
            </xsd:element>
          </xsd:sequence>
        </xsd:complexType>
      </xsd:element>
    </xsd:schema>
  </Schema>
  <Map ID="112" Name="talent" RootElement="root" SchemaID="Schema3" ShowImportExportValidationErrors="false" AutoFit="true" Append="false" PreserveSortAFLayout="true" PreserveFormat="true">
    <DataBinding FileBinding="true" ConnectionID="93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xmlMaps" Target="xmlMap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C9:N105" tableType="xml" totalsRowShown="0" headerRowDxfId="13" dataDxfId="12" connectionId="93">
  <autoFilter ref="C9:N105" xr:uid="{A357EBB1-4E78-485D-BC15-926B118154EF}"/>
  <tableColumns count="12">
    <tableColumn id="1" xr3:uid="{00000000-0010-0000-0000-000001000000}" uniqueName="id_i" name="id_i" dataDxfId="11">
      <xmlColumnPr mapId="112" xpath="/root/talent/id_i" xmlDataType="integer"/>
    </tableColumn>
    <tableColumn id="4" xr3:uid="{68157320-CA69-47E5-887E-C44A345BAD87}" uniqueName="vocation_i" name="vocation_i" dataDxfId="10">
      <xmlColumnPr mapId="112" xpath="/root/talent/vocation_i" xmlDataType="integer"/>
    </tableColumn>
    <tableColumn id="3" xr3:uid="{00000000-0010-0000-0000-000003000000}" uniqueName="location_l" name="location_l" dataDxfId="9">
      <xmlColumnPr mapId="112" xpath="/root/talent/location_l" xmlDataType="string"/>
    </tableColumn>
    <tableColumn id="2" xr3:uid="{12C97581-B596-4CF2-B761-5CB8ACFA75E7}" uniqueName="position_l" name="position_l" dataDxfId="8">
      <xmlColumnPr mapId="112" xpath="/root/talent/position_l" xmlDataType="string"/>
    </tableColumn>
    <tableColumn id="53" xr3:uid="{CD727FA2-7AED-4265-8179-D08B9A1F2560}" uniqueName="type_i" name="type_i" dataDxfId="7">
      <xmlColumnPr mapId="112" xpath="/root/talent/type_i" xmlDataType="integer"/>
    </tableColumn>
    <tableColumn id="55" xr3:uid="{0F62554C-E29F-48AB-BE34-3E2A3118E32A}" uniqueName="name_i" name="name_i" dataDxfId="6">
      <xmlColumnPr mapId="112" xpath="/root/talent/name_i" xmlDataType="integer"/>
    </tableColumn>
    <tableColumn id="14" xr3:uid="{00000000-0010-0000-0000-00000E000000}" uniqueName="icon_i" name="icon_i" dataDxfId="5">
      <xmlColumnPr mapId="112" xpath="/root/talent/icon_i" xmlDataType="integer"/>
    </tableColumn>
    <tableColumn id="16" xr3:uid="{017563E0-FE29-4BD6-9338-E894868C2E3C}" uniqueName="desc_l" name="desc_l" dataDxfId="4">
      <xmlColumnPr mapId="112" xpath="/root/talent/desc_l" xmlDataType="integer"/>
    </tableColumn>
    <tableColumn id="49" xr3:uid="{A09EBE43-59E7-40EC-A6FD-CE98862C62E1}" uniqueName="before_id_l" name="before_id_l" dataDxfId="3">
      <xmlColumnPr mapId="112" xpath="/root/talent/before_id_l" xmlDataType="string"/>
    </tableColumn>
    <tableColumn id="17" xr3:uid="{00000000-0010-0000-0000-000011000000}" uniqueName="talent_piont_l" name="talent_piont_l" dataDxfId="2">
      <xmlColumnPr mapId="112" xpath="/root/talent/talent_piont_l" xmlDataType="string"/>
    </tableColumn>
    <tableColumn id="18" xr3:uid="{00000000-0010-0000-0000-000012000000}" uniqueName="level_limit_i" name="level_limit_i" dataDxfId="1">
      <xmlColumnPr mapId="112" xpath="/root/talent/level_limit_i" xmlDataType="integer"/>
    </tableColumn>
    <tableColumn id="19" xr3:uid="{00000000-0010-0000-0000-000013000000}" uniqueName="passive_skill_id_l" name="passive_skill_id_l" dataDxfId="0">
      <xmlColumnPr mapId="112" xpath="/root/talent/passive_skill_id_l" xmlDataType="integer"/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05"/>
  <sheetViews>
    <sheetView tabSelected="1" workbookViewId="0">
      <pane xSplit="2" ySplit="9" topLeftCell="C95" activePane="bottomRight" state="frozen"/>
      <selection pane="topRight" activeCell="C1" sqref="C1"/>
      <selection pane="bottomLeft" activeCell="A10" sqref="A10"/>
      <selection pane="bottomRight" activeCell="K102" sqref="K102"/>
    </sheetView>
  </sheetViews>
  <sheetFormatPr defaultColWidth="9" defaultRowHeight="14.25" x14ac:dyDescent="0.15"/>
  <cols>
    <col min="1" max="1" width="9.375" style="1" customWidth="1"/>
    <col min="2" max="2" width="16" style="1" customWidth="1"/>
    <col min="3" max="3" width="13.25" style="1" customWidth="1"/>
    <col min="4" max="4" width="10.625" style="1" customWidth="1"/>
    <col min="5" max="6" width="20.5" style="1" customWidth="1"/>
    <col min="7" max="7" width="17.125" style="1" customWidth="1"/>
    <col min="8" max="8" width="16.125" style="1" customWidth="1"/>
    <col min="9" max="9" width="15.125" customWidth="1"/>
    <col min="10" max="10" width="16" customWidth="1"/>
    <col min="11" max="11" width="24.5" customWidth="1"/>
    <col min="12" max="12" width="11.75" customWidth="1"/>
    <col min="13" max="13" width="12.375" style="1" customWidth="1"/>
    <col min="14" max="14" width="27" style="1" customWidth="1"/>
    <col min="15" max="16384" width="9" style="1"/>
  </cols>
  <sheetData>
    <row r="1" spans="1:14" x14ac:dyDescent="0.15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1"/>
    </row>
    <row r="2" spans="1:14" ht="30.75" customHeight="1" x14ac:dyDescent="0.1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1"/>
    </row>
    <row r="3" spans="1:14" x14ac:dyDescent="0.15">
      <c r="A3" s="6"/>
      <c r="I3" s="1"/>
      <c r="J3" s="1"/>
      <c r="K3" s="1"/>
      <c r="L3" s="1"/>
    </row>
    <row r="4" spans="1:14" x14ac:dyDescent="0.15">
      <c r="A4" s="6"/>
      <c r="I4" s="1"/>
      <c r="J4" s="1"/>
      <c r="K4" s="1"/>
      <c r="L4" s="1"/>
    </row>
    <row r="5" spans="1:14" x14ac:dyDescent="0.15">
      <c r="L5" s="1"/>
    </row>
    <row r="6" spans="1:14" x14ac:dyDescent="0.15">
      <c r="L6" s="1"/>
    </row>
    <row r="7" spans="1:14" ht="25.5" customHeight="1" x14ac:dyDescent="0.15">
      <c r="C7" s="9" t="s">
        <v>3</v>
      </c>
      <c r="D7" s="9" t="s">
        <v>4</v>
      </c>
      <c r="E7" s="9" t="s">
        <v>13</v>
      </c>
      <c r="F7" s="10" t="s">
        <v>178</v>
      </c>
      <c r="G7" s="9" t="s">
        <v>14</v>
      </c>
      <c r="H7" s="9" t="s">
        <v>5</v>
      </c>
      <c r="I7" s="9" t="s">
        <v>6</v>
      </c>
      <c r="J7" s="9" t="s">
        <v>7</v>
      </c>
      <c r="K7" s="9" t="s">
        <v>8</v>
      </c>
      <c r="L7" s="9" t="s">
        <v>9</v>
      </c>
      <c r="M7" s="9" t="s">
        <v>10</v>
      </c>
      <c r="N7" s="10" t="s">
        <v>18</v>
      </c>
    </row>
    <row r="8" spans="1:14" ht="57.75" customHeight="1" x14ac:dyDescent="0.15">
      <c r="A8" s="7"/>
      <c r="C8" s="9" t="s">
        <v>11</v>
      </c>
      <c r="D8" s="9" t="s">
        <v>12</v>
      </c>
      <c r="E8" s="10" t="s">
        <v>36</v>
      </c>
      <c r="F8" s="10" t="s">
        <v>179</v>
      </c>
      <c r="G8" s="10" t="s">
        <v>15</v>
      </c>
      <c r="H8" s="9"/>
      <c r="I8" s="9"/>
      <c r="J8" s="9"/>
      <c r="K8" s="10" t="s">
        <v>27</v>
      </c>
      <c r="L8" s="10" t="s">
        <v>30</v>
      </c>
      <c r="M8" s="9"/>
      <c r="N8" s="10" t="s">
        <v>19</v>
      </c>
    </row>
    <row r="9" spans="1:14" s="8" customFormat="1" ht="28.5" customHeight="1" x14ac:dyDescent="0.15">
      <c r="C9" s="3" t="s">
        <v>0</v>
      </c>
      <c r="D9" s="3" t="s">
        <v>16</v>
      </c>
      <c r="E9" s="3" t="s">
        <v>26</v>
      </c>
      <c r="F9" s="3" t="s">
        <v>180</v>
      </c>
      <c r="G9" s="3" t="s">
        <v>17</v>
      </c>
      <c r="H9" s="3" t="s">
        <v>31</v>
      </c>
      <c r="I9" s="3" t="s">
        <v>32</v>
      </c>
      <c r="J9" s="3" t="s">
        <v>569</v>
      </c>
      <c r="K9" s="3" t="s">
        <v>21</v>
      </c>
      <c r="L9" s="3" t="s">
        <v>28</v>
      </c>
      <c r="M9" s="3" t="s">
        <v>20</v>
      </c>
      <c r="N9" s="3" t="s">
        <v>69</v>
      </c>
    </row>
    <row r="10" spans="1:14" s="8" customFormat="1" ht="28.5" customHeight="1" x14ac:dyDescent="0.15">
      <c r="B10" s="8" t="s">
        <v>22</v>
      </c>
      <c r="C10" s="11" t="s">
        <v>23</v>
      </c>
      <c r="D10" s="12" t="s">
        <v>23</v>
      </c>
      <c r="E10" s="8" t="s">
        <v>33</v>
      </c>
      <c r="F10" s="8" t="s">
        <v>33</v>
      </c>
      <c r="G10" s="12" t="s">
        <v>24</v>
      </c>
      <c r="H10" s="12" t="s">
        <v>23</v>
      </c>
      <c r="I10" s="13" t="s">
        <v>23</v>
      </c>
      <c r="J10" s="12" t="s">
        <v>23</v>
      </c>
      <c r="K10" s="14" t="s">
        <v>25</v>
      </c>
      <c r="L10" s="8" t="s">
        <v>29</v>
      </c>
      <c r="M10" s="11" t="s">
        <v>24</v>
      </c>
      <c r="N10" s="15" t="s">
        <v>24</v>
      </c>
    </row>
    <row r="11" spans="1:14" ht="18.75" customHeight="1" x14ac:dyDescent="0.15">
      <c r="A11" s="8" t="s">
        <v>1</v>
      </c>
      <c r="B11" s="1" t="s">
        <v>52</v>
      </c>
      <c r="C11" s="16">
        <v>1001</v>
      </c>
      <c r="D11" s="16">
        <v>1</v>
      </c>
      <c r="E11" s="18" t="s">
        <v>293</v>
      </c>
      <c r="F11" s="18" t="s">
        <v>182</v>
      </c>
      <c r="G11" s="16">
        <v>1</v>
      </c>
      <c r="H11" s="17">
        <v>90001</v>
      </c>
      <c r="I11" s="19">
        <v>3101</v>
      </c>
      <c r="J11" s="17">
        <v>90101</v>
      </c>
      <c r="K11" s="14"/>
      <c r="L11" s="14">
        <v>1</v>
      </c>
      <c r="M11" s="16">
        <v>1</v>
      </c>
      <c r="N11" s="12" t="s">
        <v>40</v>
      </c>
    </row>
    <row r="12" spans="1:14" ht="18.75" customHeight="1" x14ac:dyDescent="0.15">
      <c r="A12" s="8" t="s">
        <v>1</v>
      </c>
      <c r="B12" s="1" t="s">
        <v>59</v>
      </c>
      <c r="C12" s="16">
        <v>1002</v>
      </c>
      <c r="D12" s="16">
        <v>1</v>
      </c>
      <c r="E12" s="18" t="s">
        <v>294</v>
      </c>
      <c r="F12" s="18" t="s">
        <v>181</v>
      </c>
      <c r="G12" s="16">
        <v>1</v>
      </c>
      <c r="H12" s="17">
        <v>90002</v>
      </c>
      <c r="I12" s="19">
        <v>3102</v>
      </c>
      <c r="J12" s="17">
        <v>90102</v>
      </c>
      <c r="K12" s="14" t="s">
        <v>34</v>
      </c>
      <c r="L12" s="14">
        <v>1</v>
      </c>
      <c r="M12" s="16">
        <v>1</v>
      </c>
      <c r="N12" s="12" t="s">
        <v>43</v>
      </c>
    </row>
    <row r="13" spans="1:14" ht="18.75" customHeight="1" x14ac:dyDescent="0.15">
      <c r="A13" s="8" t="s">
        <v>1</v>
      </c>
      <c r="B13" s="1" t="s">
        <v>58</v>
      </c>
      <c r="C13" s="16">
        <v>1003</v>
      </c>
      <c r="D13" s="16">
        <v>1</v>
      </c>
      <c r="E13" s="18" t="s">
        <v>295</v>
      </c>
      <c r="F13" s="18" t="s">
        <v>183</v>
      </c>
      <c r="G13" s="16">
        <v>1</v>
      </c>
      <c r="H13" s="17">
        <v>90003</v>
      </c>
      <c r="I13" s="19">
        <v>3103</v>
      </c>
      <c r="J13" s="17">
        <v>90103</v>
      </c>
      <c r="K13" s="14" t="s">
        <v>40</v>
      </c>
      <c r="L13" s="14">
        <v>1</v>
      </c>
      <c r="M13" s="16">
        <v>1</v>
      </c>
      <c r="N13" s="12" t="s">
        <v>54</v>
      </c>
    </row>
    <row r="14" spans="1:14" ht="18.75" customHeight="1" x14ac:dyDescent="0.15">
      <c r="A14" s="8" t="s">
        <v>1</v>
      </c>
      <c r="B14" s="24" t="s">
        <v>60</v>
      </c>
      <c r="C14" s="16">
        <v>1004</v>
      </c>
      <c r="D14" s="16">
        <v>1</v>
      </c>
      <c r="E14" s="18" t="s">
        <v>296</v>
      </c>
      <c r="F14" s="18" t="s">
        <v>187</v>
      </c>
      <c r="G14" s="16">
        <v>1</v>
      </c>
      <c r="H14" s="17">
        <v>90004</v>
      </c>
      <c r="I14" s="19">
        <v>3104</v>
      </c>
      <c r="J14" s="17">
        <v>90104</v>
      </c>
      <c r="K14" s="14" t="s">
        <v>39</v>
      </c>
      <c r="L14" s="14">
        <v>1</v>
      </c>
      <c r="M14" s="16">
        <v>1</v>
      </c>
      <c r="N14" s="12" t="s">
        <v>55</v>
      </c>
    </row>
    <row r="15" spans="1:14" ht="18.75" customHeight="1" x14ac:dyDescent="0.15">
      <c r="A15" s="8" t="s">
        <v>1</v>
      </c>
      <c r="B15" s="24" t="s">
        <v>177</v>
      </c>
      <c r="C15" s="16">
        <v>1005</v>
      </c>
      <c r="D15" s="16">
        <v>1</v>
      </c>
      <c r="E15" s="18" t="s">
        <v>297</v>
      </c>
      <c r="F15" s="18" t="s">
        <v>192</v>
      </c>
      <c r="G15" s="16">
        <v>1</v>
      </c>
      <c r="H15" s="17">
        <v>90005</v>
      </c>
      <c r="I15" s="19">
        <v>3105</v>
      </c>
      <c r="J15" s="17">
        <v>90105</v>
      </c>
      <c r="K15" s="14" t="s">
        <v>43</v>
      </c>
      <c r="L15" s="14">
        <v>1</v>
      </c>
      <c r="M15" s="16">
        <v>1</v>
      </c>
      <c r="N15" s="12" t="s">
        <v>57</v>
      </c>
    </row>
    <row r="16" spans="1:14" ht="18.75" customHeight="1" x14ac:dyDescent="0.15">
      <c r="A16" s="8" t="s">
        <v>1</v>
      </c>
      <c r="B16" s="1" t="s">
        <v>61</v>
      </c>
      <c r="C16" s="16">
        <v>1006</v>
      </c>
      <c r="D16" s="16">
        <v>1</v>
      </c>
      <c r="E16" s="18" t="s">
        <v>298</v>
      </c>
      <c r="F16" s="18" t="s">
        <v>191</v>
      </c>
      <c r="G16" s="16">
        <v>1</v>
      </c>
      <c r="H16" s="17">
        <v>90006</v>
      </c>
      <c r="I16" s="19">
        <v>3106</v>
      </c>
      <c r="J16" s="17">
        <v>90106</v>
      </c>
      <c r="K16" s="14" t="s">
        <v>35</v>
      </c>
      <c r="L16" s="14">
        <v>1</v>
      </c>
      <c r="M16" s="16">
        <v>1</v>
      </c>
      <c r="N16" s="12" t="s">
        <v>39</v>
      </c>
    </row>
    <row r="17" spans="1:14" ht="18.75" customHeight="1" x14ac:dyDescent="0.15">
      <c r="A17" s="8" t="s">
        <v>1</v>
      </c>
      <c r="B17" s="1" t="s">
        <v>62</v>
      </c>
      <c r="C17" s="16">
        <v>1007</v>
      </c>
      <c r="D17" s="16">
        <v>1</v>
      </c>
      <c r="E17" s="18" t="s">
        <v>299</v>
      </c>
      <c r="F17" s="18" t="s">
        <v>189</v>
      </c>
      <c r="G17" s="16">
        <v>1</v>
      </c>
      <c r="H17" s="17">
        <v>90007</v>
      </c>
      <c r="I17" s="19">
        <v>3107</v>
      </c>
      <c r="J17" s="17">
        <v>90107</v>
      </c>
      <c r="K17" s="14" t="s">
        <v>50</v>
      </c>
      <c r="L17" s="14">
        <v>1</v>
      </c>
      <c r="M17" s="16">
        <v>1</v>
      </c>
      <c r="N17" s="12" t="s">
        <v>34</v>
      </c>
    </row>
    <row r="18" spans="1:14" ht="18.75" customHeight="1" x14ac:dyDescent="0.15">
      <c r="A18" s="8" t="s">
        <v>1</v>
      </c>
      <c r="B18" s="1" t="s">
        <v>63</v>
      </c>
      <c r="C18" s="16">
        <v>1008</v>
      </c>
      <c r="D18" s="16">
        <v>1</v>
      </c>
      <c r="E18" s="18" t="s">
        <v>300</v>
      </c>
      <c r="F18" s="18" t="s">
        <v>190</v>
      </c>
      <c r="G18" s="16">
        <v>2</v>
      </c>
      <c r="H18" s="17">
        <v>90008</v>
      </c>
      <c r="I18" s="19">
        <v>3108</v>
      </c>
      <c r="J18" s="17">
        <v>90108</v>
      </c>
      <c r="K18" s="14" t="s">
        <v>71</v>
      </c>
      <c r="L18" s="14">
        <v>1</v>
      </c>
      <c r="M18" s="16">
        <v>1</v>
      </c>
      <c r="N18" s="12" t="s">
        <v>56</v>
      </c>
    </row>
    <row r="19" spans="1:14" ht="18.75" customHeight="1" x14ac:dyDescent="0.15">
      <c r="A19" s="8" t="s">
        <v>1</v>
      </c>
      <c r="B19" s="1" t="s">
        <v>64</v>
      </c>
      <c r="C19" s="16">
        <v>1009</v>
      </c>
      <c r="D19" s="16">
        <v>1</v>
      </c>
      <c r="E19" s="18" t="s">
        <v>301</v>
      </c>
      <c r="F19" s="18" t="s">
        <v>184</v>
      </c>
      <c r="G19" s="16">
        <v>2</v>
      </c>
      <c r="H19" s="17">
        <v>90009</v>
      </c>
      <c r="I19" s="19">
        <v>3109</v>
      </c>
      <c r="J19" s="17">
        <v>90109</v>
      </c>
      <c r="K19" s="14" t="s">
        <v>38</v>
      </c>
      <c r="L19" s="14">
        <v>1</v>
      </c>
      <c r="M19" s="16">
        <v>1</v>
      </c>
      <c r="N19" s="12" t="s">
        <v>38</v>
      </c>
    </row>
    <row r="20" spans="1:14" ht="18.75" customHeight="1" x14ac:dyDescent="0.15">
      <c r="A20" s="8" t="s">
        <v>1</v>
      </c>
      <c r="B20" s="1" t="s">
        <v>65</v>
      </c>
      <c r="C20" s="16">
        <v>1010</v>
      </c>
      <c r="D20" s="16">
        <v>1</v>
      </c>
      <c r="E20" s="18" t="s">
        <v>302</v>
      </c>
      <c r="F20" s="18" t="s">
        <v>186</v>
      </c>
      <c r="G20" s="16">
        <v>2</v>
      </c>
      <c r="H20" s="17">
        <v>90010</v>
      </c>
      <c r="I20" s="19">
        <v>3110</v>
      </c>
      <c r="J20" s="17">
        <v>90110</v>
      </c>
      <c r="K20" s="14" t="s">
        <v>38</v>
      </c>
      <c r="L20" s="14">
        <v>1</v>
      </c>
      <c r="M20" s="16">
        <v>1</v>
      </c>
      <c r="N20" s="12" t="s">
        <v>53</v>
      </c>
    </row>
    <row r="21" spans="1:14" ht="18.75" customHeight="1" x14ac:dyDescent="0.15">
      <c r="A21" s="8" t="s">
        <v>1</v>
      </c>
      <c r="B21" s="1" t="s">
        <v>64</v>
      </c>
      <c r="C21" s="16">
        <v>1011</v>
      </c>
      <c r="D21" s="16">
        <v>1</v>
      </c>
      <c r="E21" s="18" t="s">
        <v>303</v>
      </c>
      <c r="F21" s="18" t="s">
        <v>185</v>
      </c>
      <c r="G21" s="16">
        <v>2</v>
      </c>
      <c r="H21" s="17">
        <v>90011</v>
      </c>
      <c r="I21" s="19">
        <v>3109</v>
      </c>
      <c r="J21" s="17">
        <v>90111</v>
      </c>
      <c r="K21" s="14" t="s">
        <v>39</v>
      </c>
      <c r="L21" s="14">
        <v>1</v>
      </c>
      <c r="M21" s="16">
        <v>1</v>
      </c>
      <c r="N21" s="12" t="s">
        <v>176</v>
      </c>
    </row>
    <row r="22" spans="1:14" ht="18.75" customHeight="1" x14ac:dyDescent="0.15">
      <c r="A22" s="8" t="s">
        <v>1</v>
      </c>
      <c r="B22" s="1" t="s">
        <v>66</v>
      </c>
      <c r="C22" s="16">
        <v>1012</v>
      </c>
      <c r="D22" s="16">
        <v>1</v>
      </c>
      <c r="E22" s="18" t="s">
        <v>304</v>
      </c>
      <c r="F22" s="18" t="s">
        <v>194</v>
      </c>
      <c r="G22" s="16">
        <v>2</v>
      </c>
      <c r="H22" s="17">
        <v>90012</v>
      </c>
      <c r="I22" s="19">
        <v>3111</v>
      </c>
      <c r="J22" s="17">
        <v>90112</v>
      </c>
      <c r="K22" s="14" t="s">
        <v>39</v>
      </c>
      <c r="L22" s="14">
        <v>1</v>
      </c>
      <c r="M22" s="16">
        <v>1</v>
      </c>
      <c r="N22" s="12" t="s">
        <v>46</v>
      </c>
    </row>
    <row r="23" spans="1:14" ht="18.75" customHeight="1" x14ac:dyDescent="0.15">
      <c r="A23" s="8" t="s">
        <v>1</v>
      </c>
      <c r="B23" s="24" t="s">
        <v>67</v>
      </c>
      <c r="C23" s="16">
        <v>1013</v>
      </c>
      <c r="D23" s="16">
        <v>1</v>
      </c>
      <c r="E23" s="18" t="s">
        <v>305</v>
      </c>
      <c r="F23" s="18" t="s">
        <v>193</v>
      </c>
      <c r="G23" s="16">
        <v>2</v>
      </c>
      <c r="H23" s="17">
        <v>90013</v>
      </c>
      <c r="I23" s="19">
        <v>3112</v>
      </c>
      <c r="J23" s="17">
        <v>90113</v>
      </c>
      <c r="K23" s="14" t="s">
        <v>71</v>
      </c>
      <c r="L23" s="14">
        <v>1</v>
      </c>
      <c r="M23" s="16">
        <v>1</v>
      </c>
      <c r="N23" s="12" t="s">
        <v>35</v>
      </c>
    </row>
    <row r="24" spans="1:14" ht="18.75" customHeight="1" x14ac:dyDescent="0.15">
      <c r="A24" s="8" t="s">
        <v>1</v>
      </c>
      <c r="B24" s="1" t="s">
        <v>68</v>
      </c>
      <c r="C24" s="16">
        <v>1014</v>
      </c>
      <c r="D24" s="16">
        <v>1</v>
      </c>
      <c r="E24" s="18" t="s">
        <v>306</v>
      </c>
      <c r="F24" s="18" t="s">
        <v>188</v>
      </c>
      <c r="G24" s="16">
        <v>2</v>
      </c>
      <c r="H24" s="17">
        <v>90014</v>
      </c>
      <c r="I24" s="19">
        <v>3113</v>
      </c>
      <c r="J24" s="17">
        <v>90114</v>
      </c>
      <c r="K24" s="14" t="s">
        <v>71</v>
      </c>
      <c r="L24" s="14" t="s">
        <v>24</v>
      </c>
      <c r="M24" s="16">
        <v>1</v>
      </c>
      <c r="N24" s="12" t="s">
        <v>71</v>
      </c>
    </row>
    <row r="25" spans="1:14" ht="28.5" x14ac:dyDescent="0.15">
      <c r="A25" s="1" t="s">
        <v>73</v>
      </c>
      <c r="B25" s="1" t="s">
        <v>74</v>
      </c>
      <c r="C25" s="26">
        <v>2001</v>
      </c>
      <c r="D25" s="16">
        <v>2</v>
      </c>
      <c r="E25" s="18" t="s">
        <v>307</v>
      </c>
      <c r="F25" s="18" t="s">
        <v>182</v>
      </c>
      <c r="G25" s="16">
        <v>1</v>
      </c>
      <c r="H25" s="12">
        <v>91001</v>
      </c>
      <c r="I25" s="19">
        <v>3201</v>
      </c>
      <c r="J25" s="12" t="s">
        <v>92</v>
      </c>
      <c r="K25" s="14"/>
      <c r="L25" s="8" t="s">
        <v>24</v>
      </c>
      <c r="M25" s="11" t="s">
        <v>24</v>
      </c>
      <c r="N25" s="15" t="s">
        <v>133</v>
      </c>
    </row>
    <row r="26" spans="1:14" x14ac:dyDescent="0.15">
      <c r="A26" s="1" t="s">
        <v>73</v>
      </c>
      <c r="B26" s="1" t="s">
        <v>195</v>
      </c>
      <c r="C26" s="26">
        <v>2002</v>
      </c>
      <c r="D26" s="16">
        <v>2</v>
      </c>
      <c r="E26" s="8" t="s">
        <v>308</v>
      </c>
      <c r="F26" s="8" t="s">
        <v>186</v>
      </c>
      <c r="G26" s="12">
        <v>2</v>
      </c>
      <c r="H26" s="12">
        <v>91002</v>
      </c>
      <c r="I26" s="19">
        <v>3215</v>
      </c>
      <c r="J26" s="12" t="s">
        <v>93</v>
      </c>
      <c r="K26" s="14" t="s">
        <v>147</v>
      </c>
      <c r="L26" s="8" t="s">
        <v>24</v>
      </c>
      <c r="M26" s="11" t="s">
        <v>24</v>
      </c>
      <c r="N26" s="15" t="s">
        <v>134</v>
      </c>
    </row>
    <row r="27" spans="1:14" ht="28.5" x14ac:dyDescent="0.15">
      <c r="A27" s="1" t="s">
        <v>73</v>
      </c>
      <c r="B27" s="1" t="s">
        <v>196</v>
      </c>
      <c r="C27" s="26">
        <v>2003</v>
      </c>
      <c r="D27" s="16">
        <v>2</v>
      </c>
      <c r="E27" s="8" t="s">
        <v>309</v>
      </c>
      <c r="F27" s="8" t="s">
        <v>439</v>
      </c>
      <c r="G27" s="12">
        <v>1</v>
      </c>
      <c r="H27" s="12">
        <v>91003</v>
      </c>
      <c r="I27" s="19">
        <v>3204</v>
      </c>
      <c r="J27" s="12" t="s">
        <v>94</v>
      </c>
      <c r="K27" s="14" t="s">
        <v>222</v>
      </c>
      <c r="L27" s="8" t="s">
        <v>70</v>
      </c>
      <c r="M27" s="11" t="s">
        <v>70</v>
      </c>
      <c r="N27" s="15" t="s">
        <v>135</v>
      </c>
    </row>
    <row r="28" spans="1:14" x14ac:dyDescent="0.15">
      <c r="A28" s="1" t="s">
        <v>73</v>
      </c>
      <c r="B28" s="1" t="s">
        <v>197</v>
      </c>
      <c r="C28" s="26">
        <v>2004</v>
      </c>
      <c r="D28" s="16">
        <v>2</v>
      </c>
      <c r="E28" s="8" t="s">
        <v>310</v>
      </c>
      <c r="F28" s="8" t="s">
        <v>185</v>
      </c>
      <c r="G28" s="12">
        <v>2</v>
      </c>
      <c r="H28" s="12">
        <v>91004</v>
      </c>
      <c r="I28" s="19">
        <v>3210</v>
      </c>
      <c r="J28" s="12" t="s">
        <v>95</v>
      </c>
      <c r="K28" s="14" t="s">
        <v>147</v>
      </c>
      <c r="L28" s="8" t="s">
        <v>70</v>
      </c>
      <c r="M28" s="11" t="s">
        <v>70</v>
      </c>
      <c r="N28" s="15" t="s">
        <v>136</v>
      </c>
    </row>
    <row r="29" spans="1:14" ht="28.5" x14ac:dyDescent="0.15">
      <c r="A29" s="1" t="s">
        <v>73</v>
      </c>
      <c r="B29" s="1" t="s">
        <v>198</v>
      </c>
      <c r="C29" s="26">
        <v>2005</v>
      </c>
      <c r="D29" s="16">
        <v>2</v>
      </c>
      <c r="E29" s="8" t="s">
        <v>321</v>
      </c>
      <c r="F29" s="8" t="s">
        <v>187</v>
      </c>
      <c r="G29" s="12">
        <v>1</v>
      </c>
      <c r="H29" s="12">
        <v>91005</v>
      </c>
      <c r="I29" s="19">
        <v>3207</v>
      </c>
      <c r="J29" s="12" t="s">
        <v>96</v>
      </c>
      <c r="K29" s="14" t="s">
        <v>148</v>
      </c>
      <c r="L29" s="8" t="s">
        <v>70</v>
      </c>
      <c r="M29" s="11" t="s">
        <v>70</v>
      </c>
      <c r="N29" s="15" t="s">
        <v>137</v>
      </c>
    </row>
    <row r="30" spans="1:14" x14ac:dyDescent="0.15">
      <c r="A30" s="1" t="s">
        <v>73</v>
      </c>
      <c r="B30" s="1" t="s">
        <v>199</v>
      </c>
      <c r="C30" s="26">
        <v>2006</v>
      </c>
      <c r="D30" s="16">
        <v>2</v>
      </c>
      <c r="E30" s="8" t="s">
        <v>311</v>
      </c>
      <c r="F30" s="8" t="s">
        <v>440</v>
      </c>
      <c r="G30" s="12">
        <v>2</v>
      </c>
      <c r="H30" s="12">
        <v>91006</v>
      </c>
      <c r="I30" s="19">
        <v>3211</v>
      </c>
      <c r="J30" s="12" t="s">
        <v>97</v>
      </c>
      <c r="K30" s="14" t="s">
        <v>147</v>
      </c>
      <c r="L30" s="8" t="s">
        <v>70</v>
      </c>
      <c r="M30" s="11" t="s">
        <v>70</v>
      </c>
      <c r="N30" s="15" t="s">
        <v>138</v>
      </c>
    </row>
    <row r="31" spans="1:14" ht="28.5" x14ac:dyDescent="0.15">
      <c r="A31" s="1" t="s">
        <v>73</v>
      </c>
      <c r="B31" s="1" t="s">
        <v>200</v>
      </c>
      <c r="C31" s="26">
        <v>2007</v>
      </c>
      <c r="D31" s="16">
        <v>2</v>
      </c>
      <c r="E31" s="8" t="s">
        <v>320</v>
      </c>
      <c r="F31" s="8" t="s">
        <v>194</v>
      </c>
      <c r="G31" s="12">
        <v>1</v>
      </c>
      <c r="H31" s="12">
        <v>91007</v>
      </c>
      <c r="I31" s="19">
        <v>3212</v>
      </c>
      <c r="J31" s="12" t="s">
        <v>98</v>
      </c>
      <c r="K31" s="14" t="s">
        <v>223</v>
      </c>
      <c r="L31" s="8" t="s">
        <v>70</v>
      </c>
      <c r="M31" s="11" t="s">
        <v>70</v>
      </c>
      <c r="N31" s="15" t="s">
        <v>139</v>
      </c>
    </row>
    <row r="32" spans="1:14" ht="28.5" x14ac:dyDescent="0.15">
      <c r="A32" s="1" t="s">
        <v>73</v>
      </c>
      <c r="B32" s="1" t="s">
        <v>201</v>
      </c>
      <c r="C32" s="26">
        <v>2008</v>
      </c>
      <c r="D32" s="16">
        <v>2</v>
      </c>
      <c r="E32" s="8" t="s">
        <v>312</v>
      </c>
      <c r="F32" s="8" t="s">
        <v>193</v>
      </c>
      <c r="G32" s="12">
        <v>1</v>
      </c>
      <c r="H32" s="12">
        <v>91008</v>
      </c>
      <c r="I32" s="19">
        <v>3218</v>
      </c>
      <c r="J32" s="12">
        <v>91108</v>
      </c>
      <c r="K32" s="14" t="s">
        <v>224</v>
      </c>
      <c r="L32" s="8" t="s">
        <v>70</v>
      </c>
      <c r="M32" s="11" t="s">
        <v>70</v>
      </c>
      <c r="N32" s="15" t="s">
        <v>140</v>
      </c>
    </row>
    <row r="33" spans="1:14" ht="28.5" x14ac:dyDescent="0.15">
      <c r="A33" s="1" t="s">
        <v>73</v>
      </c>
      <c r="B33" s="1" t="s">
        <v>202</v>
      </c>
      <c r="C33" s="26">
        <v>2009</v>
      </c>
      <c r="D33" s="16">
        <v>2</v>
      </c>
      <c r="E33" s="18" t="s">
        <v>313</v>
      </c>
      <c r="F33" s="8" t="s">
        <v>181</v>
      </c>
      <c r="G33" s="12">
        <v>2</v>
      </c>
      <c r="H33" s="12">
        <v>91009</v>
      </c>
      <c r="I33" s="19">
        <v>3220</v>
      </c>
      <c r="J33" s="12" t="s">
        <v>99</v>
      </c>
      <c r="K33" s="14" t="s">
        <v>147</v>
      </c>
      <c r="L33" s="8" t="s">
        <v>70</v>
      </c>
      <c r="M33" s="11" t="s">
        <v>70</v>
      </c>
      <c r="N33" s="15" t="s">
        <v>141</v>
      </c>
    </row>
    <row r="34" spans="1:14" x14ac:dyDescent="0.15">
      <c r="A34" s="1" t="s">
        <v>73</v>
      </c>
      <c r="B34" s="1" t="s">
        <v>203</v>
      </c>
      <c r="C34" s="26">
        <v>2010</v>
      </c>
      <c r="D34" s="16">
        <v>2</v>
      </c>
      <c r="E34" s="8" t="s">
        <v>314</v>
      </c>
      <c r="F34" s="8" t="s">
        <v>183</v>
      </c>
      <c r="G34" s="12">
        <v>2</v>
      </c>
      <c r="H34" s="12">
        <v>91010</v>
      </c>
      <c r="I34" s="19">
        <v>3219</v>
      </c>
      <c r="J34" s="12" t="s">
        <v>100</v>
      </c>
      <c r="K34" s="14" t="s">
        <v>149</v>
      </c>
      <c r="L34" s="8" t="s">
        <v>70</v>
      </c>
      <c r="M34" s="11" t="s">
        <v>70</v>
      </c>
      <c r="N34" s="15" t="s">
        <v>142</v>
      </c>
    </row>
    <row r="35" spans="1:14" ht="42.75" x14ac:dyDescent="0.15">
      <c r="A35" s="1" t="s">
        <v>73</v>
      </c>
      <c r="B35" s="1" t="s">
        <v>204</v>
      </c>
      <c r="C35" s="26">
        <v>2011</v>
      </c>
      <c r="D35" s="16">
        <v>2</v>
      </c>
      <c r="E35" s="8" t="s">
        <v>315</v>
      </c>
      <c r="F35" s="8" t="s">
        <v>442</v>
      </c>
      <c r="G35" s="12">
        <v>1</v>
      </c>
      <c r="H35" s="12">
        <v>91011</v>
      </c>
      <c r="I35" s="19">
        <v>3221</v>
      </c>
      <c r="J35" s="12" t="s">
        <v>101</v>
      </c>
      <c r="K35" s="14" t="s">
        <v>225</v>
      </c>
      <c r="L35" s="8" t="s">
        <v>70</v>
      </c>
      <c r="M35" s="11" t="s">
        <v>70</v>
      </c>
      <c r="N35" s="15" t="s">
        <v>143</v>
      </c>
    </row>
    <row r="36" spans="1:14" ht="57" x14ac:dyDescent="0.15">
      <c r="A36" s="1" t="s">
        <v>73</v>
      </c>
      <c r="B36" s="1" t="s">
        <v>464</v>
      </c>
      <c r="C36" s="26">
        <v>2012</v>
      </c>
      <c r="D36" s="16">
        <v>2</v>
      </c>
      <c r="E36" s="18" t="s">
        <v>316</v>
      </c>
      <c r="F36" s="8" t="s">
        <v>443</v>
      </c>
      <c r="G36" s="12">
        <v>1</v>
      </c>
      <c r="H36" s="12">
        <v>91012</v>
      </c>
      <c r="I36" s="19">
        <v>3222</v>
      </c>
      <c r="J36" s="12" t="s">
        <v>102</v>
      </c>
      <c r="K36" s="14" t="s">
        <v>147</v>
      </c>
      <c r="L36" s="8" t="s">
        <v>70</v>
      </c>
      <c r="M36" s="11" t="s">
        <v>70</v>
      </c>
      <c r="N36" s="15" t="s">
        <v>144</v>
      </c>
    </row>
    <row r="37" spans="1:14" x14ac:dyDescent="0.15">
      <c r="A37" s="1" t="s">
        <v>73</v>
      </c>
      <c r="B37" s="1" t="s">
        <v>468</v>
      </c>
      <c r="C37" s="26">
        <v>2013</v>
      </c>
      <c r="D37" s="16">
        <v>2</v>
      </c>
      <c r="E37" s="18" t="s">
        <v>317</v>
      </c>
      <c r="F37" s="8" t="s">
        <v>444</v>
      </c>
      <c r="G37" s="12">
        <v>1</v>
      </c>
      <c r="H37" s="12">
        <v>91013</v>
      </c>
      <c r="I37" s="19">
        <v>3225</v>
      </c>
      <c r="J37" s="12" t="s">
        <v>103</v>
      </c>
      <c r="K37" s="14" t="s">
        <v>226</v>
      </c>
      <c r="L37" s="8" t="s">
        <v>70</v>
      </c>
      <c r="M37" s="11" t="s">
        <v>70</v>
      </c>
      <c r="N37" s="27" t="s">
        <v>467</v>
      </c>
    </row>
    <row r="38" spans="1:14" x14ac:dyDescent="0.15">
      <c r="A38" s="1" t="s">
        <v>73</v>
      </c>
      <c r="B38" s="1" t="s">
        <v>465</v>
      </c>
      <c r="C38" s="26">
        <v>2014</v>
      </c>
      <c r="D38" s="16">
        <v>2</v>
      </c>
      <c r="E38" s="18" t="s">
        <v>318</v>
      </c>
      <c r="F38" s="8" t="s">
        <v>441</v>
      </c>
      <c r="G38" s="12">
        <v>2</v>
      </c>
      <c r="H38" s="12">
        <v>91014</v>
      </c>
      <c r="I38" s="19">
        <v>3223</v>
      </c>
      <c r="J38" s="12" t="s">
        <v>104</v>
      </c>
      <c r="K38" s="14" t="s">
        <v>150</v>
      </c>
      <c r="L38" s="8" t="s">
        <v>70</v>
      </c>
      <c r="M38" s="11" t="s">
        <v>70</v>
      </c>
      <c r="N38" s="15" t="s">
        <v>145</v>
      </c>
    </row>
    <row r="39" spans="1:14" ht="57" x14ac:dyDescent="0.15">
      <c r="A39" s="1" t="s">
        <v>73</v>
      </c>
      <c r="B39" s="1" t="s">
        <v>463</v>
      </c>
      <c r="C39" s="18" t="s">
        <v>205</v>
      </c>
      <c r="D39" s="16">
        <v>2</v>
      </c>
      <c r="E39" s="18" t="s">
        <v>319</v>
      </c>
      <c r="F39" s="8" t="s">
        <v>445</v>
      </c>
      <c r="G39" s="12">
        <v>1</v>
      </c>
      <c r="H39" s="12">
        <v>91015</v>
      </c>
      <c r="I39" s="19">
        <v>3224</v>
      </c>
      <c r="J39" s="12" t="s">
        <v>206</v>
      </c>
      <c r="K39" s="14" t="s">
        <v>227</v>
      </c>
      <c r="L39" s="8" t="s">
        <v>70</v>
      </c>
      <c r="M39" s="11" t="s">
        <v>70</v>
      </c>
      <c r="N39" s="27" t="s">
        <v>466</v>
      </c>
    </row>
    <row r="40" spans="1:14" ht="28.5" x14ac:dyDescent="0.15">
      <c r="A40" s="1" t="s">
        <v>243</v>
      </c>
      <c r="B40" s="1" t="s">
        <v>228</v>
      </c>
      <c r="C40" s="18" t="s">
        <v>245</v>
      </c>
      <c r="D40" s="16">
        <v>3</v>
      </c>
      <c r="E40" s="18" t="s">
        <v>544</v>
      </c>
      <c r="F40" s="8" t="s">
        <v>439</v>
      </c>
      <c r="G40" s="12">
        <v>1</v>
      </c>
      <c r="H40" s="12">
        <v>92001</v>
      </c>
      <c r="I40" s="19">
        <v>3301</v>
      </c>
      <c r="J40" s="14" t="s">
        <v>262</v>
      </c>
      <c r="K40" s="14"/>
      <c r="L40" s="8" t="s">
        <v>24</v>
      </c>
      <c r="M40" s="8" t="s">
        <v>24</v>
      </c>
      <c r="N40" s="27" t="s">
        <v>244</v>
      </c>
    </row>
    <row r="41" spans="1:14" x14ac:dyDescent="0.15">
      <c r="A41" s="1" t="s">
        <v>243</v>
      </c>
      <c r="B41" s="1" t="s">
        <v>229</v>
      </c>
      <c r="C41" s="18" t="s">
        <v>246</v>
      </c>
      <c r="D41" s="16">
        <v>3</v>
      </c>
      <c r="E41" s="18" t="s">
        <v>323</v>
      </c>
      <c r="F41" s="8" t="s">
        <v>185</v>
      </c>
      <c r="G41" s="12">
        <v>2</v>
      </c>
      <c r="H41" s="12">
        <v>92002</v>
      </c>
      <c r="I41" s="19">
        <v>3302</v>
      </c>
      <c r="J41" s="14" t="s">
        <v>263</v>
      </c>
      <c r="K41" s="14" t="s">
        <v>245</v>
      </c>
      <c r="L41" s="8" t="s">
        <v>70</v>
      </c>
      <c r="M41" s="11" t="s">
        <v>70</v>
      </c>
      <c r="N41" s="27" t="s">
        <v>246</v>
      </c>
    </row>
    <row r="42" spans="1:14" ht="28.5" x14ac:dyDescent="0.15">
      <c r="A42" s="1" t="s">
        <v>243</v>
      </c>
      <c r="B42" s="1" t="s">
        <v>230</v>
      </c>
      <c r="C42" s="18" t="s">
        <v>247</v>
      </c>
      <c r="D42" s="16">
        <v>3</v>
      </c>
      <c r="E42" s="18" t="s">
        <v>324</v>
      </c>
      <c r="F42" s="8" t="s">
        <v>184</v>
      </c>
      <c r="G42" s="12">
        <v>1</v>
      </c>
      <c r="H42" s="12">
        <v>92003</v>
      </c>
      <c r="I42" s="19">
        <v>3303</v>
      </c>
      <c r="J42" s="14" t="s">
        <v>264</v>
      </c>
      <c r="K42" s="14" t="s">
        <v>278</v>
      </c>
      <c r="L42" s="8" t="s">
        <v>70</v>
      </c>
      <c r="M42" s="8" t="s">
        <v>70</v>
      </c>
      <c r="N42" s="27" t="s">
        <v>247</v>
      </c>
    </row>
    <row r="43" spans="1:14" x14ac:dyDescent="0.15">
      <c r="A43" s="1" t="s">
        <v>243</v>
      </c>
      <c r="B43" s="1" t="s">
        <v>231</v>
      </c>
      <c r="C43" s="18" t="s">
        <v>248</v>
      </c>
      <c r="D43" s="16">
        <v>3</v>
      </c>
      <c r="E43" s="18" t="s">
        <v>325</v>
      </c>
      <c r="F43" s="8" t="s">
        <v>181</v>
      </c>
      <c r="G43" s="12">
        <v>2</v>
      </c>
      <c r="H43" s="12">
        <v>92004</v>
      </c>
      <c r="I43" s="19">
        <v>3304</v>
      </c>
      <c r="J43" s="14" t="s">
        <v>265</v>
      </c>
      <c r="K43" s="14" t="s">
        <v>280</v>
      </c>
      <c r="L43" s="8" t="s">
        <v>70</v>
      </c>
      <c r="M43" s="11" t="s">
        <v>70</v>
      </c>
      <c r="N43" s="27" t="s">
        <v>248</v>
      </c>
    </row>
    <row r="44" spans="1:14" ht="42.75" x14ac:dyDescent="0.15">
      <c r="A44" s="1" t="s">
        <v>243</v>
      </c>
      <c r="B44" s="1" t="s">
        <v>232</v>
      </c>
      <c r="C44" s="18" t="s">
        <v>249</v>
      </c>
      <c r="D44" s="16">
        <v>3</v>
      </c>
      <c r="E44" s="18" t="s">
        <v>329</v>
      </c>
      <c r="F44" s="8" t="s">
        <v>183</v>
      </c>
      <c r="G44" s="12">
        <v>1</v>
      </c>
      <c r="H44" s="12">
        <v>92005</v>
      </c>
      <c r="I44" s="19">
        <v>3305</v>
      </c>
      <c r="J44" s="14" t="s">
        <v>266</v>
      </c>
      <c r="K44" s="14" t="s">
        <v>281</v>
      </c>
      <c r="L44" s="8" t="s">
        <v>70</v>
      </c>
      <c r="M44" s="8" t="s">
        <v>70</v>
      </c>
      <c r="N44" s="27" t="s">
        <v>249</v>
      </c>
    </row>
    <row r="45" spans="1:14" x14ac:dyDescent="0.15">
      <c r="A45" s="1" t="s">
        <v>243</v>
      </c>
      <c r="B45" s="1" t="s">
        <v>233</v>
      </c>
      <c r="C45" s="18" t="s">
        <v>250</v>
      </c>
      <c r="D45" s="16">
        <v>3</v>
      </c>
      <c r="E45" s="18" t="s">
        <v>326</v>
      </c>
      <c r="F45" s="8" t="s">
        <v>440</v>
      </c>
      <c r="G45" s="12">
        <v>2</v>
      </c>
      <c r="H45" s="12">
        <v>92006</v>
      </c>
      <c r="I45" s="19">
        <v>3306</v>
      </c>
      <c r="J45" s="14" t="s">
        <v>267</v>
      </c>
      <c r="K45" s="14" t="s">
        <v>245</v>
      </c>
      <c r="L45" s="8" t="s">
        <v>70</v>
      </c>
      <c r="M45" s="11" t="s">
        <v>70</v>
      </c>
      <c r="N45" s="27" t="s">
        <v>250</v>
      </c>
    </row>
    <row r="46" spans="1:14" ht="28.5" x14ac:dyDescent="0.15">
      <c r="A46" s="1" t="s">
        <v>243</v>
      </c>
      <c r="B46" s="1" t="s">
        <v>234</v>
      </c>
      <c r="C46" s="18" t="s">
        <v>251</v>
      </c>
      <c r="D46" s="16">
        <v>3</v>
      </c>
      <c r="E46" s="18" t="s">
        <v>327</v>
      </c>
      <c r="F46" s="8" t="s">
        <v>446</v>
      </c>
      <c r="G46" s="12">
        <v>1</v>
      </c>
      <c r="H46" s="12">
        <v>92007</v>
      </c>
      <c r="I46" s="19">
        <v>3307</v>
      </c>
      <c r="J46" s="14" t="s">
        <v>268</v>
      </c>
      <c r="K46" s="14" t="s">
        <v>279</v>
      </c>
      <c r="L46" s="8" t="s">
        <v>70</v>
      </c>
      <c r="M46" s="8" t="s">
        <v>70</v>
      </c>
      <c r="N46" s="27" t="s">
        <v>251</v>
      </c>
    </row>
    <row r="47" spans="1:14" x14ac:dyDescent="0.15">
      <c r="A47" s="1" t="s">
        <v>243</v>
      </c>
      <c r="B47" s="1" t="s">
        <v>235</v>
      </c>
      <c r="C47" s="18" t="s">
        <v>252</v>
      </c>
      <c r="D47" s="16">
        <v>3</v>
      </c>
      <c r="E47" s="18" t="s">
        <v>328</v>
      </c>
      <c r="F47" s="8" t="s">
        <v>443</v>
      </c>
      <c r="G47" s="12">
        <v>2</v>
      </c>
      <c r="H47" s="12">
        <v>92008</v>
      </c>
      <c r="I47" s="19">
        <v>3308</v>
      </c>
      <c r="J47" s="14" t="s">
        <v>269</v>
      </c>
      <c r="K47" s="14" t="s">
        <v>282</v>
      </c>
      <c r="L47" s="8" t="s">
        <v>70</v>
      </c>
      <c r="M47" s="11" t="s">
        <v>70</v>
      </c>
      <c r="N47" s="27" t="s">
        <v>252</v>
      </c>
    </row>
    <row r="48" spans="1:14" ht="57" x14ac:dyDescent="0.15">
      <c r="A48" s="1" t="s">
        <v>243</v>
      </c>
      <c r="B48" s="1" t="s">
        <v>236</v>
      </c>
      <c r="C48" s="18" t="s">
        <v>253</v>
      </c>
      <c r="D48" s="16">
        <v>3</v>
      </c>
      <c r="E48" s="18" t="s">
        <v>330</v>
      </c>
      <c r="F48" s="8" t="s">
        <v>444</v>
      </c>
      <c r="G48" s="12">
        <v>1</v>
      </c>
      <c r="H48" s="12">
        <v>92009</v>
      </c>
      <c r="I48" s="19">
        <v>3309</v>
      </c>
      <c r="J48" s="14" t="s">
        <v>270</v>
      </c>
      <c r="K48" s="14" t="s">
        <v>283</v>
      </c>
      <c r="L48" s="8" t="s">
        <v>70</v>
      </c>
      <c r="M48" s="8" t="s">
        <v>70</v>
      </c>
      <c r="N48" s="27" t="s">
        <v>253</v>
      </c>
    </row>
    <row r="49" spans="1:14" x14ac:dyDescent="0.15">
      <c r="A49" s="1" t="s">
        <v>243</v>
      </c>
      <c r="B49" s="1" t="s">
        <v>237</v>
      </c>
      <c r="C49" s="18" t="s">
        <v>254</v>
      </c>
      <c r="D49" s="16">
        <v>3</v>
      </c>
      <c r="E49" s="18" t="s">
        <v>331</v>
      </c>
      <c r="F49" s="8" t="s">
        <v>193</v>
      </c>
      <c r="G49" s="12">
        <v>2</v>
      </c>
      <c r="H49" s="12">
        <v>92010</v>
      </c>
      <c r="I49" s="19">
        <v>3310</v>
      </c>
      <c r="J49" s="14" t="s">
        <v>271</v>
      </c>
      <c r="K49" s="14" t="s">
        <v>245</v>
      </c>
      <c r="L49" s="8" t="s">
        <v>70</v>
      </c>
      <c r="M49" s="11" t="s">
        <v>70</v>
      </c>
      <c r="N49" s="27" t="s">
        <v>254</v>
      </c>
    </row>
    <row r="50" spans="1:14" x14ac:dyDescent="0.15">
      <c r="A50" s="1" t="s">
        <v>243</v>
      </c>
      <c r="B50" s="1" t="s">
        <v>231</v>
      </c>
      <c r="C50" s="18" t="s">
        <v>255</v>
      </c>
      <c r="D50" s="16">
        <v>3</v>
      </c>
      <c r="E50" s="18" t="s">
        <v>332</v>
      </c>
      <c r="F50" s="8" t="s">
        <v>190</v>
      </c>
      <c r="G50" s="12">
        <v>2</v>
      </c>
      <c r="H50" s="12">
        <v>92011</v>
      </c>
      <c r="I50" s="19">
        <v>3304</v>
      </c>
      <c r="J50" s="14" t="s">
        <v>272</v>
      </c>
      <c r="K50" s="14" t="s">
        <v>284</v>
      </c>
      <c r="L50" s="8" t="s">
        <v>70</v>
      </c>
      <c r="M50" s="8" t="s">
        <v>70</v>
      </c>
      <c r="N50" s="27" t="s">
        <v>255</v>
      </c>
    </row>
    <row r="51" spans="1:14" ht="28.5" x14ac:dyDescent="0.15">
      <c r="A51" s="1" t="s">
        <v>243</v>
      </c>
      <c r="B51" s="1" t="s">
        <v>238</v>
      </c>
      <c r="C51" s="18" t="s">
        <v>256</v>
      </c>
      <c r="D51" s="16">
        <v>3</v>
      </c>
      <c r="E51" s="18" t="s">
        <v>333</v>
      </c>
      <c r="F51" s="8" t="s">
        <v>188</v>
      </c>
      <c r="G51" s="12">
        <v>1</v>
      </c>
      <c r="H51" s="12">
        <v>92012</v>
      </c>
      <c r="I51" s="19">
        <v>3311</v>
      </c>
      <c r="J51" s="14" t="s">
        <v>273</v>
      </c>
      <c r="K51" s="14" t="s">
        <v>285</v>
      </c>
      <c r="L51" s="8" t="s">
        <v>70</v>
      </c>
      <c r="M51" s="11" t="s">
        <v>70</v>
      </c>
      <c r="N51" s="27" t="s">
        <v>256</v>
      </c>
    </row>
    <row r="52" spans="1:14" ht="28.5" x14ac:dyDescent="0.15">
      <c r="A52" s="1" t="s">
        <v>243</v>
      </c>
      <c r="B52" s="1" t="s">
        <v>239</v>
      </c>
      <c r="C52" s="18" t="s">
        <v>257</v>
      </c>
      <c r="D52" s="16">
        <v>3</v>
      </c>
      <c r="E52" s="18" t="s">
        <v>334</v>
      </c>
      <c r="F52" s="8" t="s">
        <v>442</v>
      </c>
      <c r="G52" s="12">
        <v>1</v>
      </c>
      <c r="H52" s="12">
        <v>92013</v>
      </c>
      <c r="I52" s="19">
        <v>3312</v>
      </c>
      <c r="J52" s="14" t="s">
        <v>274</v>
      </c>
      <c r="K52" s="14" t="s">
        <v>286</v>
      </c>
      <c r="L52" s="8" t="s">
        <v>70</v>
      </c>
      <c r="M52" s="8" t="s">
        <v>70</v>
      </c>
      <c r="N52" s="27" t="s">
        <v>257</v>
      </c>
    </row>
    <row r="53" spans="1:14" x14ac:dyDescent="0.15">
      <c r="A53" s="1" t="s">
        <v>243</v>
      </c>
      <c r="B53" s="1" t="s">
        <v>240</v>
      </c>
      <c r="C53" s="18" t="s">
        <v>258</v>
      </c>
      <c r="D53" s="16">
        <v>3</v>
      </c>
      <c r="E53" s="18" t="s">
        <v>335</v>
      </c>
      <c r="F53" s="8" t="s">
        <v>192</v>
      </c>
      <c r="G53" s="12">
        <v>2</v>
      </c>
      <c r="H53" s="12">
        <v>92014</v>
      </c>
      <c r="I53" s="19">
        <v>3313</v>
      </c>
      <c r="J53" s="14" t="s">
        <v>275</v>
      </c>
      <c r="K53" s="14" t="s">
        <v>284</v>
      </c>
      <c r="L53" s="8" t="s">
        <v>70</v>
      </c>
      <c r="M53" s="11" t="s">
        <v>70</v>
      </c>
      <c r="N53" s="27" t="s">
        <v>258</v>
      </c>
    </row>
    <row r="54" spans="1:14" ht="28.5" x14ac:dyDescent="0.15">
      <c r="A54" s="1" t="s">
        <v>243</v>
      </c>
      <c r="B54" s="1" t="s">
        <v>241</v>
      </c>
      <c r="C54" s="18" t="s">
        <v>259</v>
      </c>
      <c r="D54" s="16">
        <v>3</v>
      </c>
      <c r="E54" s="18" t="s">
        <v>336</v>
      </c>
      <c r="F54" s="8" t="s">
        <v>445</v>
      </c>
      <c r="G54" s="12">
        <v>1</v>
      </c>
      <c r="H54" s="12">
        <v>92015</v>
      </c>
      <c r="I54" s="19">
        <v>3314</v>
      </c>
      <c r="J54" s="14" t="s">
        <v>276</v>
      </c>
      <c r="K54" s="14" t="s">
        <v>287</v>
      </c>
      <c r="L54" s="8" t="s">
        <v>70</v>
      </c>
      <c r="M54" s="8" t="s">
        <v>70</v>
      </c>
      <c r="N54" s="27" t="s">
        <v>259</v>
      </c>
    </row>
    <row r="55" spans="1:14" x14ac:dyDescent="0.15">
      <c r="A55" s="1" t="s">
        <v>243</v>
      </c>
      <c r="B55" s="1" t="s">
        <v>242</v>
      </c>
      <c r="C55" s="18" t="s">
        <v>260</v>
      </c>
      <c r="D55" s="16">
        <v>3</v>
      </c>
      <c r="E55" s="18" t="s">
        <v>337</v>
      </c>
      <c r="F55" s="8" t="s">
        <v>441</v>
      </c>
      <c r="G55" s="12">
        <v>2</v>
      </c>
      <c r="H55" s="12">
        <v>92016</v>
      </c>
      <c r="I55" s="19">
        <v>3315</v>
      </c>
      <c r="J55" s="14" t="s">
        <v>277</v>
      </c>
      <c r="K55" s="14" t="s">
        <v>288</v>
      </c>
      <c r="L55" s="8" t="s">
        <v>70</v>
      </c>
      <c r="M55" s="11" t="s">
        <v>70</v>
      </c>
      <c r="N55" s="27" t="s">
        <v>260</v>
      </c>
    </row>
    <row r="56" spans="1:14" ht="42.75" x14ac:dyDescent="0.15">
      <c r="A56" s="1" t="s">
        <v>338</v>
      </c>
      <c r="B56" s="1" t="s">
        <v>339</v>
      </c>
      <c r="C56" s="18" t="s">
        <v>355</v>
      </c>
      <c r="D56" s="16">
        <v>4</v>
      </c>
      <c r="E56" s="18" t="s">
        <v>322</v>
      </c>
      <c r="F56" s="8" t="s">
        <v>439</v>
      </c>
      <c r="G56" s="12">
        <v>1</v>
      </c>
      <c r="H56" s="12">
        <v>93001</v>
      </c>
      <c r="I56" s="19">
        <v>3401</v>
      </c>
      <c r="J56" s="14" t="s">
        <v>386</v>
      </c>
      <c r="K56" s="14"/>
      <c r="L56" s="8" t="s">
        <v>24</v>
      </c>
      <c r="M56" s="8" t="s">
        <v>24</v>
      </c>
      <c r="N56" s="27" t="s">
        <v>355</v>
      </c>
    </row>
    <row r="57" spans="1:14" ht="28.5" x14ac:dyDescent="0.15">
      <c r="A57" s="1" t="s">
        <v>338</v>
      </c>
      <c r="B57" s="1" t="s">
        <v>340</v>
      </c>
      <c r="C57" s="18" t="s">
        <v>356</v>
      </c>
      <c r="D57" s="16">
        <v>4</v>
      </c>
      <c r="E57" s="18" t="s">
        <v>408</v>
      </c>
      <c r="F57" s="8" t="s">
        <v>186</v>
      </c>
      <c r="G57" s="12">
        <v>2</v>
      </c>
      <c r="H57" s="12">
        <v>93002</v>
      </c>
      <c r="I57" s="19">
        <v>3402</v>
      </c>
      <c r="J57" s="14" t="s">
        <v>448</v>
      </c>
      <c r="K57" s="14" t="s">
        <v>355</v>
      </c>
      <c r="L57" s="8" t="s">
        <v>24</v>
      </c>
      <c r="M57" s="8" t="s">
        <v>24</v>
      </c>
      <c r="N57" s="27" t="s">
        <v>356</v>
      </c>
    </row>
    <row r="58" spans="1:14" ht="28.5" x14ac:dyDescent="0.15">
      <c r="A58" s="1" t="s">
        <v>338</v>
      </c>
      <c r="B58" s="1" t="s">
        <v>341</v>
      </c>
      <c r="C58" s="18" t="s">
        <v>357</v>
      </c>
      <c r="D58" s="16">
        <v>4</v>
      </c>
      <c r="E58" s="18" t="s">
        <v>409</v>
      </c>
      <c r="F58" s="8" t="s">
        <v>184</v>
      </c>
      <c r="G58" s="12">
        <v>1</v>
      </c>
      <c r="H58" s="12">
        <v>93003</v>
      </c>
      <c r="I58" s="19">
        <v>3403</v>
      </c>
      <c r="J58" s="14" t="s">
        <v>449</v>
      </c>
      <c r="K58" s="14" t="s">
        <v>393</v>
      </c>
      <c r="L58" s="8" t="s">
        <v>24</v>
      </c>
      <c r="M58" s="8" t="s">
        <v>24</v>
      </c>
      <c r="N58" s="27" t="s">
        <v>357</v>
      </c>
    </row>
    <row r="59" spans="1:14" ht="42.75" x14ac:dyDescent="0.15">
      <c r="A59" s="1" t="s">
        <v>338</v>
      </c>
      <c r="B59" s="1" t="s">
        <v>342</v>
      </c>
      <c r="C59" s="18" t="s">
        <v>358</v>
      </c>
      <c r="D59" s="16">
        <v>4</v>
      </c>
      <c r="E59" s="18" t="s">
        <v>411</v>
      </c>
      <c r="F59" s="8" t="s">
        <v>183</v>
      </c>
      <c r="G59" s="12">
        <v>2</v>
      </c>
      <c r="H59" s="12">
        <v>93004</v>
      </c>
      <c r="I59" s="19">
        <v>3404</v>
      </c>
      <c r="J59" s="14" t="s">
        <v>450</v>
      </c>
      <c r="K59" s="14" t="s">
        <v>394</v>
      </c>
      <c r="L59" s="8" t="s">
        <v>24</v>
      </c>
      <c r="M59" s="8" t="s">
        <v>24</v>
      </c>
      <c r="N59" s="27" t="s">
        <v>358</v>
      </c>
    </row>
    <row r="60" spans="1:14" ht="42.75" x14ac:dyDescent="0.15">
      <c r="A60" s="1" t="s">
        <v>338</v>
      </c>
      <c r="B60" s="1" t="s">
        <v>343</v>
      </c>
      <c r="C60" s="18" t="s">
        <v>359</v>
      </c>
      <c r="D60" s="16">
        <v>4</v>
      </c>
      <c r="E60" s="18" t="s">
        <v>414</v>
      </c>
      <c r="F60" s="8" t="s">
        <v>442</v>
      </c>
      <c r="G60" s="12">
        <v>1</v>
      </c>
      <c r="H60" s="12">
        <v>93005</v>
      </c>
      <c r="I60" s="19">
        <v>3405</v>
      </c>
      <c r="J60" s="14" t="s">
        <v>451</v>
      </c>
      <c r="K60" s="14" t="s">
        <v>395</v>
      </c>
      <c r="L60" s="8" t="s">
        <v>24</v>
      </c>
      <c r="M60" s="8" t="s">
        <v>24</v>
      </c>
      <c r="N60" s="27" t="s">
        <v>359</v>
      </c>
    </row>
    <row r="61" spans="1:14" ht="42.75" x14ac:dyDescent="0.15">
      <c r="A61" s="1" t="s">
        <v>338</v>
      </c>
      <c r="B61" s="1" t="s">
        <v>344</v>
      </c>
      <c r="C61" s="18" t="s">
        <v>360</v>
      </c>
      <c r="D61" s="16">
        <v>4</v>
      </c>
      <c r="E61" s="18" t="s">
        <v>410</v>
      </c>
      <c r="F61" s="8" t="s">
        <v>446</v>
      </c>
      <c r="G61" s="12">
        <v>1</v>
      </c>
      <c r="H61" s="12">
        <v>93006</v>
      </c>
      <c r="I61" s="19">
        <v>3406</v>
      </c>
      <c r="J61" s="14" t="s">
        <v>452</v>
      </c>
      <c r="K61" s="14" t="s">
        <v>393</v>
      </c>
      <c r="L61" s="8" t="s">
        <v>24</v>
      </c>
      <c r="M61" s="8" t="s">
        <v>24</v>
      </c>
      <c r="N61" s="27" t="s">
        <v>360</v>
      </c>
    </row>
    <row r="62" spans="1:14" ht="28.5" x14ac:dyDescent="0.15">
      <c r="A62" s="1" t="s">
        <v>338</v>
      </c>
      <c r="B62" s="1" t="s">
        <v>345</v>
      </c>
      <c r="C62" s="18" t="s">
        <v>361</v>
      </c>
      <c r="D62" s="16">
        <v>4</v>
      </c>
      <c r="E62" s="18" t="s">
        <v>412</v>
      </c>
      <c r="F62" s="8" t="s">
        <v>444</v>
      </c>
      <c r="G62" s="12">
        <v>2</v>
      </c>
      <c r="H62" s="12">
        <v>93007</v>
      </c>
      <c r="I62" s="19">
        <v>3407</v>
      </c>
      <c r="J62" s="14" t="s">
        <v>453</v>
      </c>
      <c r="K62" s="14" t="s">
        <v>396</v>
      </c>
      <c r="L62" s="8" t="s">
        <v>24</v>
      </c>
      <c r="M62" s="8" t="s">
        <v>24</v>
      </c>
      <c r="N62" s="27" t="s">
        <v>361</v>
      </c>
    </row>
    <row r="63" spans="1:14" ht="28.5" x14ac:dyDescent="0.15">
      <c r="A63" s="1" t="s">
        <v>338</v>
      </c>
      <c r="B63" s="1" t="s">
        <v>346</v>
      </c>
      <c r="C63" s="18" t="s">
        <v>362</v>
      </c>
      <c r="D63" s="16">
        <v>4</v>
      </c>
      <c r="E63" s="18" t="s">
        <v>413</v>
      </c>
      <c r="F63" s="8" t="s">
        <v>441</v>
      </c>
      <c r="G63" s="12">
        <v>1</v>
      </c>
      <c r="H63" s="12">
        <v>93008</v>
      </c>
      <c r="I63" s="19">
        <v>3408</v>
      </c>
      <c r="J63" s="14" t="s">
        <v>454</v>
      </c>
      <c r="K63" s="14" t="s">
        <v>397</v>
      </c>
      <c r="L63" s="8" t="s">
        <v>24</v>
      </c>
      <c r="M63" s="8" t="s">
        <v>24</v>
      </c>
      <c r="N63" s="27" t="s">
        <v>362</v>
      </c>
    </row>
    <row r="64" spans="1:14" ht="28.5" x14ac:dyDescent="0.15">
      <c r="A64" s="1" t="s">
        <v>338</v>
      </c>
      <c r="B64" s="1" t="s">
        <v>347</v>
      </c>
      <c r="C64" s="18" t="s">
        <v>363</v>
      </c>
      <c r="D64" s="16">
        <v>4</v>
      </c>
      <c r="E64" s="18" t="s">
        <v>415</v>
      </c>
      <c r="F64" s="8" t="s">
        <v>187</v>
      </c>
      <c r="G64" s="12">
        <v>2</v>
      </c>
      <c r="H64" s="12">
        <v>93009</v>
      </c>
      <c r="I64" s="19">
        <v>3409</v>
      </c>
      <c r="J64" s="14" t="s">
        <v>455</v>
      </c>
      <c r="K64" s="14" t="s">
        <v>355</v>
      </c>
      <c r="L64" s="8" t="s">
        <v>24</v>
      </c>
      <c r="M64" s="8" t="s">
        <v>24</v>
      </c>
      <c r="N64" s="27" t="s">
        <v>363</v>
      </c>
    </row>
    <row r="65" spans="1:14" x14ac:dyDescent="0.15">
      <c r="A65" s="1" t="s">
        <v>338</v>
      </c>
      <c r="B65" s="1" t="s">
        <v>348</v>
      </c>
      <c r="C65" s="18" t="s">
        <v>364</v>
      </c>
      <c r="D65" s="16">
        <v>4</v>
      </c>
      <c r="E65" s="18" t="s">
        <v>416</v>
      </c>
      <c r="F65" s="8" t="s">
        <v>188</v>
      </c>
      <c r="G65" s="12">
        <v>2</v>
      </c>
      <c r="H65" s="12">
        <v>93010</v>
      </c>
      <c r="I65" s="19">
        <v>3410</v>
      </c>
      <c r="J65" s="14" t="s">
        <v>456</v>
      </c>
      <c r="K65" s="14" t="s">
        <v>398</v>
      </c>
      <c r="L65" s="8" t="s">
        <v>24</v>
      </c>
      <c r="M65" s="8" t="s">
        <v>24</v>
      </c>
      <c r="N65" s="27" t="s">
        <v>364</v>
      </c>
    </row>
    <row r="66" spans="1:14" x14ac:dyDescent="0.15">
      <c r="A66" s="1" t="s">
        <v>338</v>
      </c>
      <c r="B66" s="1" t="s">
        <v>349</v>
      </c>
      <c r="C66" s="18" t="s">
        <v>365</v>
      </c>
      <c r="D66" s="16">
        <v>4</v>
      </c>
      <c r="E66" s="18" t="s">
        <v>417</v>
      </c>
      <c r="F66" s="8" t="s">
        <v>190</v>
      </c>
      <c r="G66" s="12">
        <v>1</v>
      </c>
      <c r="H66" s="12">
        <v>93011</v>
      </c>
      <c r="I66" s="19">
        <v>3411</v>
      </c>
      <c r="J66" s="14" t="s">
        <v>457</v>
      </c>
      <c r="K66" s="14" t="s">
        <v>399</v>
      </c>
      <c r="L66" s="8" t="s">
        <v>24</v>
      </c>
      <c r="M66" s="8" t="s">
        <v>24</v>
      </c>
      <c r="N66" s="27" t="s">
        <v>365</v>
      </c>
    </row>
    <row r="67" spans="1:14" x14ac:dyDescent="0.15">
      <c r="A67" s="1" t="s">
        <v>338</v>
      </c>
      <c r="B67" s="1" t="s">
        <v>350</v>
      </c>
      <c r="C67" s="18" t="s">
        <v>366</v>
      </c>
      <c r="D67" s="16">
        <v>4</v>
      </c>
      <c r="E67" s="18" t="s">
        <v>418</v>
      </c>
      <c r="F67" s="8" t="s">
        <v>191</v>
      </c>
      <c r="G67" s="12">
        <v>2</v>
      </c>
      <c r="H67" s="12">
        <v>93012</v>
      </c>
      <c r="I67" s="19">
        <v>3412</v>
      </c>
      <c r="J67" s="14" t="s">
        <v>458</v>
      </c>
      <c r="K67" s="14" t="s">
        <v>400</v>
      </c>
      <c r="L67" s="8" t="s">
        <v>24</v>
      </c>
      <c r="M67" s="8" t="s">
        <v>24</v>
      </c>
      <c r="N67" s="27" t="s">
        <v>366</v>
      </c>
    </row>
    <row r="68" spans="1:14" ht="57" x14ac:dyDescent="0.15">
      <c r="A68" s="1" t="s">
        <v>338</v>
      </c>
      <c r="B68" s="1" t="s">
        <v>351</v>
      </c>
      <c r="C68" s="18" t="s">
        <v>367</v>
      </c>
      <c r="D68" s="16">
        <v>4</v>
      </c>
      <c r="E68" s="18" t="s">
        <v>422</v>
      </c>
      <c r="F68" s="8" t="s">
        <v>193</v>
      </c>
      <c r="G68" s="12">
        <v>1</v>
      </c>
      <c r="H68" s="12">
        <v>93013</v>
      </c>
      <c r="I68" s="19">
        <v>3413</v>
      </c>
      <c r="J68" s="14" t="s">
        <v>459</v>
      </c>
      <c r="K68" s="14" t="s">
        <v>401</v>
      </c>
      <c r="L68" s="8" t="s">
        <v>24</v>
      </c>
      <c r="M68" s="8" t="s">
        <v>24</v>
      </c>
      <c r="N68" s="27" t="s">
        <v>367</v>
      </c>
    </row>
    <row r="69" spans="1:14" ht="28.5" x14ac:dyDescent="0.15">
      <c r="A69" s="1" t="s">
        <v>338</v>
      </c>
      <c r="B69" s="1" t="s">
        <v>352</v>
      </c>
      <c r="C69" s="18" t="s">
        <v>368</v>
      </c>
      <c r="D69" s="16">
        <v>4</v>
      </c>
      <c r="E69" s="18" t="s">
        <v>419</v>
      </c>
      <c r="F69" s="8" t="s">
        <v>194</v>
      </c>
      <c r="G69" s="12">
        <v>2</v>
      </c>
      <c r="H69" s="12">
        <v>93014</v>
      </c>
      <c r="I69" s="19">
        <v>3414</v>
      </c>
      <c r="J69" s="14" t="s">
        <v>460</v>
      </c>
      <c r="K69" s="14" t="s">
        <v>355</v>
      </c>
      <c r="L69" s="8" t="s">
        <v>24</v>
      </c>
      <c r="M69" s="8" t="s">
        <v>24</v>
      </c>
      <c r="N69" s="27" t="s">
        <v>368</v>
      </c>
    </row>
    <row r="70" spans="1:14" ht="42.75" x14ac:dyDescent="0.15">
      <c r="A70" s="1" t="s">
        <v>338</v>
      </c>
      <c r="B70" s="1" t="s">
        <v>353</v>
      </c>
      <c r="C70" s="18" t="s">
        <v>369</v>
      </c>
      <c r="D70" s="16">
        <v>4</v>
      </c>
      <c r="E70" s="18" t="s">
        <v>420</v>
      </c>
      <c r="F70" s="8" t="s">
        <v>445</v>
      </c>
      <c r="G70" s="12">
        <v>1</v>
      </c>
      <c r="H70" s="12">
        <v>93015</v>
      </c>
      <c r="I70" s="19">
        <v>3415</v>
      </c>
      <c r="J70" s="14" t="s">
        <v>461</v>
      </c>
      <c r="K70" s="14" t="s">
        <v>402</v>
      </c>
      <c r="L70" s="8" t="s">
        <v>24</v>
      </c>
      <c r="M70" s="8" t="s">
        <v>24</v>
      </c>
      <c r="N70" s="27" t="s">
        <v>369</v>
      </c>
    </row>
    <row r="71" spans="1:14" ht="42.75" x14ac:dyDescent="0.15">
      <c r="A71" s="1" t="s">
        <v>338</v>
      </c>
      <c r="B71" s="1" t="s">
        <v>354</v>
      </c>
      <c r="C71" s="18" t="s">
        <v>370</v>
      </c>
      <c r="D71" s="16">
        <v>4</v>
      </c>
      <c r="E71" s="18" t="s">
        <v>421</v>
      </c>
      <c r="F71" s="8" t="s">
        <v>192</v>
      </c>
      <c r="G71" s="12">
        <v>1</v>
      </c>
      <c r="H71" s="12">
        <v>93016</v>
      </c>
      <c r="I71" s="19">
        <v>3416</v>
      </c>
      <c r="J71" s="14" t="s">
        <v>462</v>
      </c>
      <c r="K71" s="14" t="s">
        <v>403</v>
      </c>
      <c r="L71" s="8" t="s">
        <v>24</v>
      </c>
      <c r="M71" s="8" t="s">
        <v>24</v>
      </c>
      <c r="N71" s="27" t="s">
        <v>370</v>
      </c>
    </row>
    <row r="72" spans="1:14" ht="57" x14ac:dyDescent="0.15">
      <c r="A72" s="1" t="s">
        <v>72</v>
      </c>
      <c r="B72" s="1" t="s">
        <v>385</v>
      </c>
      <c r="C72" s="11" t="s">
        <v>78</v>
      </c>
      <c r="D72" s="12" t="s">
        <v>76</v>
      </c>
      <c r="E72" s="18" t="s">
        <v>544</v>
      </c>
      <c r="F72" s="8" t="s">
        <v>439</v>
      </c>
      <c r="G72" s="12">
        <v>1</v>
      </c>
      <c r="H72" s="12" t="s">
        <v>105</v>
      </c>
      <c r="I72" s="19">
        <v>3501</v>
      </c>
      <c r="J72" s="12" t="s">
        <v>119</v>
      </c>
      <c r="K72" s="14"/>
      <c r="L72" s="8" t="s">
        <v>70</v>
      </c>
      <c r="M72" s="11" t="s">
        <v>70</v>
      </c>
      <c r="N72" s="15" t="s">
        <v>77</v>
      </c>
    </row>
    <row r="73" spans="1:14" x14ac:dyDescent="0.15">
      <c r="A73" s="1" t="s">
        <v>72</v>
      </c>
      <c r="B73" s="1" t="s">
        <v>371</v>
      </c>
      <c r="C73" s="11" t="s">
        <v>79</v>
      </c>
      <c r="D73" s="12" t="s">
        <v>76</v>
      </c>
      <c r="E73" s="18" t="s">
        <v>423</v>
      </c>
      <c r="F73" s="8" t="s">
        <v>185</v>
      </c>
      <c r="G73" s="12">
        <v>2</v>
      </c>
      <c r="H73" s="12" t="s">
        <v>106</v>
      </c>
      <c r="I73" s="19">
        <v>3502</v>
      </c>
      <c r="J73" s="12" t="s">
        <v>120</v>
      </c>
      <c r="K73" s="14" t="s">
        <v>78</v>
      </c>
      <c r="L73" s="8" t="s">
        <v>70</v>
      </c>
      <c r="M73" s="11" t="s">
        <v>70</v>
      </c>
      <c r="N73" s="15" t="s">
        <v>79</v>
      </c>
    </row>
    <row r="74" spans="1:14" ht="42.75" x14ac:dyDescent="0.15">
      <c r="A74" s="1" t="s">
        <v>72</v>
      </c>
      <c r="B74" s="1" t="s">
        <v>372</v>
      </c>
      <c r="C74" s="11" t="s">
        <v>80</v>
      </c>
      <c r="D74" s="12" t="s">
        <v>155</v>
      </c>
      <c r="E74" s="18" t="s">
        <v>424</v>
      </c>
      <c r="F74" s="8" t="s">
        <v>183</v>
      </c>
      <c r="G74" s="12">
        <v>1</v>
      </c>
      <c r="H74" s="12" t="s">
        <v>107</v>
      </c>
      <c r="I74" s="19">
        <v>3503</v>
      </c>
      <c r="J74" s="12" t="s">
        <v>121</v>
      </c>
      <c r="K74" s="14" t="s">
        <v>151</v>
      </c>
      <c r="L74" s="8" t="s">
        <v>70</v>
      </c>
      <c r="M74" s="11" t="s">
        <v>70</v>
      </c>
      <c r="N74" s="15" t="s">
        <v>80</v>
      </c>
    </row>
    <row r="75" spans="1:14" x14ac:dyDescent="0.15">
      <c r="A75" s="1" t="s">
        <v>72</v>
      </c>
      <c r="B75" s="1" t="s">
        <v>373</v>
      </c>
      <c r="C75" s="11" t="s">
        <v>81</v>
      </c>
      <c r="D75" s="12" t="s">
        <v>155</v>
      </c>
      <c r="E75" s="18" t="s">
        <v>425</v>
      </c>
      <c r="F75" s="8" t="s">
        <v>442</v>
      </c>
      <c r="G75" s="12">
        <v>2</v>
      </c>
      <c r="H75" s="12" t="s">
        <v>108</v>
      </c>
      <c r="I75" s="19">
        <v>3504</v>
      </c>
      <c r="J75" s="12" t="s">
        <v>122</v>
      </c>
      <c r="K75" s="14" t="s">
        <v>152</v>
      </c>
      <c r="L75" s="8" t="s">
        <v>70</v>
      </c>
      <c r="M75" s="11" t="s">
        <v>70</v>
      </c>
      <c r="N75" s="15" t="s">
        <v>81</v>
      </c>
    </row>
    <row r="76" spans="1:14" ht="42.75" x14ac:dyDescent="0.15">
      <c r="A76" s="1" t="s">
        <v>72</v>
      </c>
      <c r="B76" s="1" t="s">
        <v>374</v>
      </c>
      <c r="C76" s="11" t="s">
        <v>82</v>
      </c>
      <c r="D76" s="12" t="s">
        <v>155</v>
      </c>
      <c r="E76" s="18" t="s">
        <v>427</v>
      </c>
      <c r="F76" s="8" t="s">
        <v>447</v>
      </c>
      <c r="G76" s="12">
        <v>1</v>
      </c>
      <c r="H76" s="12" t="s">
        <v>109</v>
      </c>
      <c r="I76" s="19">
        <v>3505</v>
      </c>
      <c r="J76" s="12" t="s">
        <v>123</v>
      </c>
      <c r="K76" s="14" t="s">
        <v>405</v>
      </c>
      <c r="L76" s="8" t="s">
        <v>70</v>
      </c>
      <c r="M76" s="11" t="s">
        <v>70</v>
      </c>
      <c r="N76" s="15" t="s">
        <v>82</v>
      </c>
    </row>
    <row r="77" spans="1:14" ht="42.75" x14ac:dyDescent="0.15">
      <c r="A77" s="1" t="s">
        <v>72</v>
      </c>
      <c r="B77" s="1" t="s">
        <v>375</v>
      </c>
      <c r="C77" s="11" t="s">
        <v>83</v>
      </c>
      <c r="D77" s="12" t="s">
        <v>155</v>
      </c>
      <c r="E77" s="18" t="s">
        <v>426</v>
      </c>
      <c r="F77" s="8" t="s">
        <v>188</v>
      </c>
      <c r="G77" s="12">
        <v>2</v>
      </c>
      <c r="H77" s="12" t="s">
        <v>110</v>
      </c>
      <c r="I77" s="19">
        <v>3506</v>
      </c>
      <c r="J77" s="12" t="s">
        <v>124</v>
      </c>
      <c r="K77" s="14" t="s">
        <v>404</v>
      </c>
      <c r="L77" s="8" t="s">
        <v>70</v>
      </c>
      <c r="M77" s="11" t="s">
        <v>70</v>
      </c>
      <c r="N77" s="15" t="s">
        <v>83</v>
      </c>
    </row>
    <row r="78" spans="1:14" ht="42.75" x14ac:dyDescent="0.15">
      <c r="A78" s="1" t="s">
        <v>72</v>
      </c>
      <c r="B78" s="1" t="s">
        <v>376</v>
      </c>
      <c r="C78" s="11" t="s">
        <v>84</v>
      </c>
      <c r="D78" s="12" t="s">
        <v>155</v>
      </c>
      <c r="E78" s="18" t="s">
        <v>428</v>
      </c>
      <c r="F78" s="8" t="s">
        <v>190</v>
      </c>
      <c r="G78" s="12">
        <v>1</v>
      </c>
      <c r="H78" s="12" t="s">
        <v>111</v>
      </c>
      <c r="I78" s="19">
        <v>3507</v>
      </c>
      <c r="J78" s="12" t="s">
        <v>125</v>
      </c>
      <c r="K78" s="14" t="s">
        <v>405</v>
      </c>
      <c r="L78" s="8" t="s">
        <v>70</v>
      </c>
      <c r="M78" s="11" t="s">
        <v>70</v>
      </c>
      <c r="N78" s="15" t="s">
        <v>84</v>
      </c>
    </row>
    <row r="79" spans="1:14" x14ac:dyDescent="0.15">
      <c r="A79" s="1" t="s">
        <v>72</v>
      </c>
      <c r="B79" s="1" t="s">
        <v>377</v>
      </c>
      <c r="C79" s="11" t="s">
        <v>85</v>
      </c>
      <c r="D79" s="12" t="s">
        <v>155</v>
      </c>
      <c r="E79" s="18" t="s">
        <v>429</v>
      </c>
      <c r="F79" s="8" t="s">
        <v>193</v>
      </c>
      <c r="G79" s="12">
        <v>2</v>
      </c>
      <c r="H79" s="12" t="s">
        <v>112</v>
      </c>
      <c r="I79" s="19">
        <v>3508</v>
      </c>
      <c r="J79" s="12" t="s">
        <v>126</v>
      </c>
      <c r="K79" s="14" t="s">
        <v>78</v>
      </c>
      <c r="L79" s="8" t="s">
        <v>70</v>
      </c>
      <c r="M79" s="11" t="s">
        <v>70</v>
      </c>
      <c r="N79" s="15" t="s">
        <v>85</v>
      </c>
    </row>
    <row r="80" spans="1:14" ht="28.5" x14ac:dyDescent="0.15">
      <c r="A80" s="1" t="s">
        <v>72</v>
      </c>
      <c r="B80" s="1" t="s">
        <v>378</v>
      </c>
      <c r="C80" s="11" t="s">
        <v>86</v>
      </c>
      <c r="D80" s="12" t="s">
        <v>155</v>
      </c>
      <c r="E80" s="18" t="s">
        <v>430</v>
      </c>
      <c r="F80" s="8" t="s">
        <v>192</v>
      </c>
      <c r="G80" s="12">
        <v>1</v>
      </c>
      <c r="H80" s="12" t="s">
        <v>113</v>
      </c>
      <c r="I80" s="19">
        <v>3509</v>
      </c>
      <c r="J80" s="12" t="s">
        <v>127</v>
      </c>
      <c r="K80" s="14" t="s">
        <v>406</v>
      </c>
      <c r="L80" s="8" t="s">
        <v>70</v>
      </c>
      <c r="M80" s="11" t="s">
        <v>70</v>
      </c>
      <c r="N80" s="15" t="s">
        <v>86</v>
      </c>
    </row>
    <row r="81" spans="1:14" x14ac:dyDescent="0.15">
      <c r="A81" s="1" t="s">
        <v>72</v>
      </c>
      <c r="B81" s="1" t="s">
        <v>379</v>
      </c>
      <c r="C81" s="11" t="s">
        <v>87</v>
      </c>
      <c r="D81" s="12" t="s">
        <v>155</v>
      </c>
      <c r="E81" s="18" t="s">
        <v>431</v>
      </c>
      <c r="F81" s="8" t="s">
        <v>445</v>
      </c>
      <c r="G81" s="12">
        <v>2</v>
      </c>
      <c r="H81" s="12" t="s">
        <v>114</v>
      </c>
      <c r="I81" s="19">
        <v>3510</v>
      </c>
      <c r="J81" s="12" t="s">
        <v>128</v>
      </c>
      <c r="K81" s="14" t="s">
        <v>153</v>
      </c>
      <c r="L81" s="8" t="s">
        <v>70</v>
      </c>
      <c r="M81" s="11" t="s">
        <v>70</v>
      </c>
      <c r="N81" s="15" t="s">
        <v>87</v>
      </c>
    </row>
    <row r="82" spans="1:14" ht="28.5" x14ac:dyDescent="0.15">
      <c r="A82" s="1" t="s">
        <v>72</v>
      </c>
      <c r="B82" s="1" t="s">
        <v>380</v>
      </c>
      <c r="C82" s="11" t="s">
        <v>88</v>
      </c>
      <c r="D82" s="12" t="s">
        <v>155</v>
      </c>
      <c r="E82" s="18" t="s">
        <v>432</v>
      </c>
      <c r="F82" s="8" t="s">
        <v>441</v>
      </c>
      <c r="G82" s="12">
        <v>1</v>
      </c>
      <c r="H82" s="12" t="s">
        <v>115</v>
      </c>
      <c r="I82" s="19">
        <v>3511</v>
      </c>
      <c r="J82" s="12" t="s">
        <v>129</v>
      </c>
      <c r="K82" s="14" t="s">
        <v>154</v>
      </c>
      <c r="L82" s="8" t="s">
        <v>70</v>
      </c>
      <c r="M82" s="11" t="s">
        <v>70</v>
      </c>
      <c r="N82" s="15" t="s">
        <v>88</v>
      </c>
    </row>
    <row r="83" spans="1:14" ht="28.5" x14ac:dyDescent="0.15">
      <c r="A83" s="1" t="s">
        <v>72</v>
      </c>
      <c r="B83" s="1" t="s">
        <v>381</v>
      </c>
      <c r="C83" s="11" t="s">
        <v>89</v>
      </c>
      <c r="D83" s="12" t="s">
        <v>155</v>
      </c>
      <c r="E83" s="18" t="s">
        <v>433</v>
      </c>
      <c r="F83" s="8" t="s">
        <v>440</v>
      </c>
      <c r="G83" s="12">
        <v>2</v>
      </c>
      <c r="H83" s="12" t="s">
        <v>116</v>
      </c>
      <c r="I83" s="19">
        <v>3512</v>
      </c>
      <c r="J83" s="12" t="s">
        <v>130</v>
      </c>
      <c r="K83" s="14" t="s">
        <v>78</v>
      </c>
      <c r="L83" s="8" t="s">
        <v>70</v>
      </c>
      <c r="M83" s="11" t="s">
        <v>70</v>
      </c>
      <c r="N83" s="15" t="s">
        <v>89</v>
      </c>
    </row>
    <row r="84" spans="1:14" ht="28.5" x14ac:dyDescent="0.15">
      <c r="A84" s="1" t="s">
        <v>72</v>
      </c>
      <c r="B84" s="1" t="s">
        <v>382</v>
      </c>
      <c r="C84" s="11" t="s">
        <v>90</v>
      </c>
      <c r="D84" s="12" t="s">
        <v>155</v>
      </c>
      <c r="E84" s="18" t="s">
        <v>434</v>
      </c>
      <c r="F84" s="8" t="s">
        <v>446</v>
      </c>
      <c r="G84" s="12">
        <v>1</v>
      </c>
      <c r="H84" s="12" t="s">
        <v>117</v>
      </c>
      <c r="I84" s="19">
        <v>3513</v>
      </c>
      <c r="J84" s="12" t="s">
        <v>131</v>
      </c>
      <c r="K84" s="14" t="s">
        <v>170</v>
      </c>
      <c r="L84" s="8" t="s">
        <v>70</v>
      </c>
      <c r="M84" s="11" t="s">
        <v>70</v>
      </c>
      <c r="N84" s="15" t="s">
        <v>90</v>
      </c>
    </row>
    <row r="85" spans="1:14" ht="28.5" x14ac:dyDescent="0.15">
      <c r="A85" s="1" t="s">
        <v>72</v>
      </c>
      <c r="B85" s="1" t="s">
        <v>383</v>
      </c>
      <c r="C85" s="11" t="s">
        <v>91</v>
      </c>
      <c r="D85" s="12" t="s">
        <v>155</v>
      </c>
      <c r="E85" s="18" t="s">
        <v>436</v>
      </c>
      <c r="F85" s="25" t="s">
        <v>182</v>
      </c>
      <c r="G85" s="12">
        <v>2</v>
      </c>
      <c r="H85" s="12" t="s">
        <v>118</v>
      </c>
      <c r="I85" s="19">
        <v>3514</v>
      </c>
      <c r="J85" s="12" t="s">
        <v>132</v>
      </c>
      <c r="K85" s="14" t="s">
        <v>407</v>
      </c>
      <c r="L85" s="8" t="s">
        <v>70</v>
      </c>
      <c r="M85" s="11" t="s">
        <v>70</v>
      </c>
      <c r="N85" s="15" t="s">
        <v>91</v>
      </c>
    </row>
    <row r="86" spans="1:14" x14ac:dyDescent="0.15">
      <c r="A86" s="1" t="s">
        <v>72</v>
      </c>
      <c r="B86" s="1" t="s">
        <v>75</v>
      </c>
      <c r="C86" s="11" t="s">
        <v>391</v>
      </c>
      <c r="D86" s="12" t="s">
        <v>155</v>
      </c>
      <c r="E86" s="18" t="s">
        <v>437</v>
      </c>
      <c r="F86" s="8" t="s">
        <v>444</v>
      </c>
      <c r="G86" s="14" t="s">
        <v>146</v>
      </c>
      <c r="H86" s="12" t="s">
        <v>387</v>
      </c>
      <c r="I86" s="19">
        <v>3515</v>
      </c>
      <c r="J86" s="12" t="s">
        <v>389</v>
      </c>
      <c r="K86" s="14" t="s">
        <v>170</v>
      </c>
      <c r="L86" s="8" t="s">
        <v>70</v>
      </c>
      <c r="M86" s="11" t="s">
        <v>70</v>
      </c>
      <c r="N86" s="15" t="s">
        <v>391</v>
      </c>
    </row>
    <row r="87" spans="1:14" ht="28.5" x14ac:dyDescent="0.15">
      <c r="A87" s="1" t="s">
        <v>72</v>
      </c>
      <c r="B87" s="1" t="s">
        <v>384</v>
      </c>
      <c r="C87" s="11" t="s">
        <v>392</v>
      </c>
      <c r="D87" s="12" t="s">
        <v>155</v>
      </c>
      <c r="E87" s="18" t="s">
        <v>438</v>
      </c>
      <c r="F87" s="8" t="s">
        <v>184</v>
      </c>
      <c r="G87" s="14" t="s">
        <v>24</v>
      </c>
      <c r="H87" s="12" t="s">
        <v>388</v>
      </c>
      <c r="I87" s="19">
        <v>3516</v>
      </c>
      <c r="J87" s="12" t="s">
        <v>390</v>
      </c>
      <c r="K87" s="14" t="s">
        <v>435</v>
      </c>
      <c r="L87" s="8" t="s">
        <v>70</v>
      </c>
      <c r="M87" s="11" t="s">
        <v>70</v>
      </c>
      <c r="N87" s="15" t="s">
        <v>392</v>
      </c>
    </row>
    <row r="88" spans="1:14" x14ac:dyDescent="0.15">
      <c r="A88" s="1" t="s">
        <v>484</v>
      </c>
      <c r="B88" s="1" t="s">
        <v>501</v>
      </c>
      <c r="C88" s="8" t="s">
        <v>469</v>
      </c>
      <c r="D88" s="14" t="s">
        <v>486</v>
      </c>
      <c r="E88" s="18" t="s">
        <v>545</v>
      </c>
      <c r="F88" s="8" t="s">
        <v>439</v>
      </c>
      <c r="G88" s="14" t="s">
        <v>24</v>
      </c>
      <c r="H88" s="14" t="s">
        <v>502</v>
      </c>
      <c r="I88" s="19">
        <v>3601</v>
      </c>
      <c r="J88" s="14" t="s">
        <v>529</v>
      </c>
      <c r="K88" s="14"/>
      <c r="L88" s="8" t="s">
        <v>24</v>
      </c>
      <c r="M88" s="8" t="s">
        <v>24</v>
      </c>
      <c r="N88" s="27" t="s">
        <v>525</v>
      </c>
    </row>
    <row r="89" spans="1:14" ht="28.5" x14ac:dyDescent="0.15">
      <c r="A89" s="1" t="s">
        <v>484</v>
      </c>
      <c r="B89" s="1" t="s">
        <v>487</v>
      </c>
      <c r="C89" s="8" t="s">
        <v>470</v>
      </c>
      <c r="D89" s="14" t="s">
        <v>486</v>
      </c>
      <c r="E89" s="18" t="s">
        <v>433</v>
      </c>
      <c r="F89" s="8" t="s">
        <v>440</v>
      </c>
      <c r="G89" s="14" t="s">
        <v>24</v>
      </c>
      <c r="H89" s="14" t="s">
        <v>503</v>
      </c>
      <c r="I89" s="19">
        <v>3602</v>
      </c>
      <c r="J89" s="14" t="s">
        <v>530</v>
      </c>
      <c r="K89" s="14" t="s">
        <v>469</v>
      </c>
      <c r="L89" s="8" t="s">
        <v>24</v>
      </c>
      <c r="M89" s="8" t="s">
        <v>24</v>
      </c>
      <c r="N89" s="27" t="s">
        <v>526</v>
      </c>
    </row>
    <row r="90" spans="1:14" x14ac:dyDescent="0.15">
      <c r="A90" s="1" t="s">
        <v>484</v>
      </c>
      <c r="B90" s="1" t="s">
        <v>488</v>
      </c>
      <c r="C90" s="8" t="s">
        <v>471</v>
      </c>
      <c r="D90" s="14" t="s">
        <v>485</v>
      </c>
      <c r="E90" s="18" t="s">
        <v>546</v>
      </c>
      <c r="F90" s="8" t="s">
        <v>443</v>
      </c>
      <c r="G90" s="14" t="s">
        <v>146</v>
      </c>
      <c r="H90" s="14" t="s">
        <v>504</v>
      </c>
      <c r="I90" s="19">
        <v>3603</v>
      </c>
      <c r="J90" s="14" t="s">
        <v>531</v>
      </c>
      <c r="K90" s="14" t="s">
        <v>517</v>
      </c>
      <c r="L90" s="8" t="s">
        <v>24</v>
      </c>
      <c r="M90" s="8" t="s">
        <v>24</v>
      </c>
      <c r="N90" s="27" t="s">
        <v>473</v>
      </c>
    </row>
    <row r="91" spans="1:14" x14ac:dyDescent="0.15">
      <c r="A91" s="1" t="s">
        <v>484</v>
      </c>
      <c r="B91" s="1" t="s">
        <v>489</v>
      </c>
      <c r="C91" s="8" t="s">
        <v>472</v>
      </c>
      <c r="D91" s="14" t="s">
        <v>485</v>
      </c>
      <c r="E91" s="8" t="s">
        <v>547</v>
      </c>
      <c r="F91" s="8" t="s">
        <v>444</v>
      </c>
      <c r="G91" s="14" t="s">
        <v>146</v>
      </c>
      <c r="H91" s="14" t="s">
        <v>505</v>
      </c>
      <c r="I91" s="19">
        <v>3604</v>
      </c>
      <c r="J91" s="14" t="s">
        <v>532</v>
      </c>
      <c r="K91" s="14" t="s">
        <v>518</v>
      </c>
      <c r="L91" s="8" t="s">
        <v>24</v>
      </c>
      <c r="M91" s="8" t="s">
        <v>24</v>
      </c>
      <c r="N91" s="27" t="s">
        <v>474</v>
      </c>
    </row>
    <row r="92" spans="1:14" ht="42.75" x14ac:dyDescent="0.15">
      <c r="A92" s="1" t="s">
        <v>484</v>
      </c>
      <c r="B92" s="1" t="s">
        <v>490</v>
      </c>
      <c r="C92" s="8" t="s">
        <v>473</v>
      </c>
      <c r="D92" s="14" t="s">
        <v>485</v>
      </c>
      <c r="E92" s="8" t="s">
        <v>548</v>
      </c>
      <c r="F92" s="8" t="s">
        <v>446</v>
      </c>
      <c r="G92" s="14" t="s">
        <v>70</v>
      </c>
      <c r="H92" s="14" t="s">
        <v>506</v>
      </c>
      <c r="I92" s="19">
        <v>3605</v>
      </c>
      <c r="J92" s="14" t="s">
        <v>533</v>
      </c>
      <c r="K92" s="14" t="s">
        <v>518</v>
      </c>
      <c r="L92" s="8" t="s">
        <v>24</v>
      </c>
      <c r="M92" s="8" t="s">
        <v>24</v>
      </c>
      <c r="N92" s="27" t="s">
        <v>475</v>
      </c>
    </row>
    <row r="93" spans="1:14" ht="42.75" x14ac:dyDescent="0.15">
      <c r="A93" s="1" t="s">
        <v>484</v>
      </c>
      <c r="B93" s="1" t="s">
        <v>491</v>
      </c>
      <c r="C93" s="8" t="s">
        <v>474</v>
      </c>
      <c r="D93" s="14" t="s">
        <v>485</v>
      </c>
      <c r="E93" s="8" t="s">
        <v>549</v>
      </c>
      <c r="F93" s="8" t="s">
        <v>184</v>
      </c>
      <c r="G93" s="14" t="s">
        <v>70</v>
      </c>
      <c r="H93" s="14" t="s">
        <v>507</v>
      </c>
      <c r="I93" s="19">
        <v>3606</v>
      </c>
      <c r="J93" s="14" t="s">
        <v>534</v>
      </c>
      <c r="K93" s="14" t="s">
        <v>519</v>
      </c>
      <c r="L93" s="8" t="s">
        <v>24</v>
      </c>
      <c r="M93" s="8" t="s">
        <v>24</v>
      </c>
      <c r="N93" s="27" t="s">
        <v>476</v>
      </c>
    </row>
    <row r="94" spans="1:14" ht="57" x14ac:dyDescent="0.15">
      <c r="A94" s="1" t="s">
        <v>484</v>
      </c>
      <c r="B94" s="1" t="s">
        <v>492</v>
      </c>
      <c r="C94" s="8" t="s">
        <v>475</v>
      </c>
      <c r="D94" s="14" t="s">
        <v>485</v>
      </c>
      <c r="E94" s="18" t="s">
        <v>556</v>
      </c>
      <c r="F94" s="8" t="s">
        <v>187</v>
      </c>
      <c r="G94" s="14" t="s">
        <v>70</v>
      </c>
      <c r="H94" s="14" t="s">
        <v>508</v>
      </c>
      <c r="I94" s="19">
        <v>3607</v>
      </c>
      <c r="J94" s="14" t="s">
        <v>535</v>
      </c>
      <c r="K94" s="14" t="s">
        <v>469</v>
      </c>
      <c r="L94" s="8" t="s">
        <v>24</v>
      </c>
      <c r="M94" s="8" t="s">
        <v>24</v>
      </c>
      <c r="N94" s="27" t="s">
        <v>477</v>
      </c>
    </row>
    <row r="95" spans="1:14" x14ac:dyDescent="0.15">
      <c r="A95" s="1" t="s">
        <v>484</v>
      </c>
      <c r="B95" s="1" t="s">
        <v>493</v>
      </c>
      <c r="C95" s="8" t="s">
        <v>476</v>
      </c>
      <c r="D95" s="14" t="s">
        <v>485</v>
      </c>
      <c r="E95" s="8" t="s">
        <v>557</v>
      </c>
      <c r="F95" s="8" t="s">
        <v>188</v>
      </c>
      <c r="G95" s="14" t="s">
        <v>146</v>
      </c>
      <c r="H95" s="14" t="s">
        <v>509</v>
      </c>
      <c r="I95" s="19">
        <v>3608</v>
      </c>
      <c r="J95" s="14" t="s">
        <v>536</v>
      </c>
      <c r="K95" s="14" t="s">
        <v>520</v>
      </c>
      <c r="L95" s="8" t="s">
        <v>24</v>
      </c>
      <c r="M95" s="8" t="s">
        <v>24</v>
      </c>
      <c r="N95" s="27" t="s">
        <v>478</v>
      </c>
    </row>
    <row r="96" spans="1:14" x14ac:dyDescent="0.15">
      <c r="A96" s="1" t="s">
        <v>484</v>
      </c>
      <c r="B96" s="1" t="s">
        <v>494</v>
      </c>
      <c r="C96" s="8" t="s">
        <v>477</v>
      </c>
      <c r="D96" s="14" t="s">
        <v>485</v>
      </c>
      <c r="E96" s="8" t="s">
        <v>558</v>
      </c>
      <c r="F96" s="8" t="s">
        <v>183</v>
      </c>
      <c r="G96" s="14" t="s">
        <v>146</v>
      </c>
      <c r="H96" s="14" t="s">
        <v>510</v>
      </c>
      <c r="I96" s="19">
        <v>3609</v>
      </c>
      <c r="J96" s="14" t="s">
        <v>537</v>
      </c>
      <c r="K96" s="14" t="s">
        <v>520</v>
      </c>
      <c r="L96" s="8" t="s">
        <v>24</v>
      </c>
      <c r="M96" s="8" t="s">
        <v>24</v>
      </c>
      <c r="N96" s="27" t="s">
        <v>479</v>
      </c>
    </row>
    <row r="97" spans="1:14" ht="42.75" x14ac:dyDescent="0.15">
      <c r="A97" s="1" t="s">
        <v>484</v>
      </c>
      <c r="B97" s="1" t="s">
        <v>495</v>
      </c>
      <c r="C97" s="8" t="s">
        <v>478</v>
      </c>
      <c r="D97" s="14" t="s">
        <v>485</v>
      </c>
      <c r="E97" s="8" t="s">
        <v>559</v>
      </c>
      <c r="F97" s="8" t="s">
        <v>190</v>
      </c>
      <c r="G97" s="14" t="s">
        <v>70</v>
      </c>
      <c r="H97" s="14" t="s">
        <v>511</v>
      </c>
      <c r="I97" s="19">
        <v>3610</v>
      </c>
      <c r="J97" s="14" t="s">
        <v>538</v>
      </c>
      <c r="K97" s="14" t="s">
        <v>521</v>
      </c>
      <c r="L97" s="8" t="s">
        <v>24</v>
      </c>
      <c r="M97" s="8" t="s">
        <v>24</v>
      </c>
      <c r="N97" s="27" t="s">
        <v>480</v>
      </c>
    </row>
    <row r="98" spans="1:14" ht="28.5" x14ac:dyDescent="0.15">
      <c r="A98" s="1" t="s">
        <v>484</v>
      </c>
      <c r="B98" s="1" t="s">
        <v>496</v>
      </c>
      <c r="C98" s="8" t="s">
        <v>479</v>
      </c>
      <c r="D98" s="14" t="s">
        <v>485</v>
      </c>
      <c r="E98" s="18" t="s">
        <v>550</v>
      </c>
      <c r="F98" s="8" t="s">
        <v>193</v>
      </c>
      <c r="G98" s="14" t="s">
        <v>70</v>
      </c>
      <c r="H98" s="14" t="s">
        <v>512</v>
      </c>
      <c r="I98" s="19">
        <v>3611</v>
      </c>
      <c r="J98" s="14" t="s">
        <v>539</v>
      </c>
      <c r="K98" s="14" t="s">
        <v>469</v>
      </c>
      <c r="L98" s="8" t="s">
        <v>24</v>
      </c>
      <c r="M98" s="8" t="s">
        <v>24</v>
      </c>
      <c r="N98" s="27" t="s">
        <v>481</v>
      </c>
    </row>
    <row r="99" spans="1:14" ht="28.5" x14ac:dyDescent="0.15">
      <c r="A99" s="1" t="s">
        <v>484</v>
      </c>
      <c r="B99" s="1" t="s">
        <v>497</v>
      </c>
      <c r="C99" s="8" t="s">
        <v>480</v>
      </c>
      <c r="D99" s="14" t="s">
        <v>485</v>
      </c>
      <c r="E99" s="8" t="s">
        <v>551</v>
      </c>
      <c r="F99" s="8" t="s">
        <v>555</v>
      </c>
      <c r="G99" s="14" t="s">
        <v>146</v>
      </c>
      <c r="H99" s="14" t="s">
        <v>513</v>
      </c>
      <c r="I99" s="19">
        <v>3612</v>
      </c>
      <c r="J99" s="14" t="s">
        <v>540</v>
      </c>
      <c r="K99" s="14" t="s">
        <v>522</v>
      </c>
      <c r="L99" s="8" t="s">
        <v>24</v>
      </c>
      <c r="M99" s="8" t="s">
        <v>24</v>
      </c>
      <c r="N99" s="27" t="s">
        <v>482</v>
      </c>
    </row>
    <row r="100" spans="1:14" ht="71.25" x14ac:dyDescent="0.15">
      <c r="A100" s="1" t="s">
        <v>484</v>
      </c>
      <c r="B100" s="1" t="s">
        <v>498</v>
      </c>
      <c r="C100" s="8" t="s">
        <v>481</v>
      </c>
      <c r="D100" s="14" t="s">
        <v>485</v>
      </c>
      <c r="E100" s="8" t="s">
        <v>552</v>
      </c>
      <c r="F100" s="8" t="s">
        <v>445</v>
      </c>
      <c r="G100" s="14" t="s">
        <v>70</v>
      </c>
      <c r="H100" s="14" t="s">
        <v>514</v>
      </c>
      <c r="I100" s="19">
        <v>3613</v>
      </c>
      <c r="J100" s="14" t="s">
        <v>541</v>
      </c>
      <c r="K100" s="14" t="s">
        <v>523</v>
      </c>
      <c r="L100" s="8" t="s">
        <v>24</v>
      </c>
      <c r="M100" s="8" t="s">
        <v>24</v>
      </c>
      <c r="N100" s="27" t="s">
        <v>483</v>
      </c>
    </row>
    <row r="101" spans="1:14" ht="28.5" x14ac:dyDescent="0.15">
      <c r="A101" s="1" t="s">
        <v>484</v>
      </c>
      <c r="B101" s="1" t="s">
        <v>499</v>
      </c>
      <c r="C101" s="8" t="s">
        <v>482</v>
      </c>
      <c r="D101" s="14" t="s">
        <v>485</v>
      </c>
      <c r="E101" s="8" t="s">
        <v>554</v>
      </c>
      <c r="F101" s="8" t="s">
        <v>441</v>
      </c>
      <c r="G101" s="14" t="s">
        <v>70</v>
      </c>
      <c r="H101" s="14" t="s">
        <v>515</v>
      </c>
      <c r="I101" s="19">
        <v>3614</v>
      </c>
      <c r="J101" s="14" t="s">
        <v>542</v>
      </c>
      <c r="K101" s="14" t="s">
        <v>523</v>
      </c>
      <c r="L101" s="8" t="s">
        <v>24</v>
      </c>
      <c r="M101" s="8" t="s">
        <v>24</v>
      </c>
      <c r="N101" s="27" t="s">
        <v>527</v>
      </c>
    </row>
    <row r="102" spans="1:14" x14ac:dyDescent="0.15">
      <c r="A102" s="1" t="s">
        <v>484</v>
      </c>
      <c r="B102" s="1" t="s">
        <v>500</v>
      </c>
      <c r="C102" s="8" t="s">
        <v>483</v>
      </c>
      <c r="D102" s="14" t="s">
        <v>485</v>
      </c>
      <c r="E102" s="8" t="s">
        <v>553</v>
      </c>
      <c r="F102" s="8" t="s">
        <v>192</v>
      </c>
      <c r="G102" s="14" t="s">
        <v>146</v>
      </c>
      <c r="H102" s="14" t="s">
        <v>516</v>
      </c>
      <c r="I102" s="19">
        <v>3615</v>
      </c>
      <c r="J102" s="14" t="s">
        <v>543</v>
      </c>
      <c r="K102" s="14" t="s">
        <v>524</v>
      </c>
      <c r="L102" s="8" t="s">
        <v>24</v>
      </c>
      <c r="M102" s="8" t="s">
        <v>24</v>
      </c>
      <c r="N102" s="27" t="s">
        <v>528</v>
      </c>
    </row>
    <row r="103" spans="1:14" ht="28.5" x14ac:dyDescent="0.15">
      <c r="C103" s="8" t="s">
        <v>560</v>
      </c>
      <c r="D103" s="14" t="s">
        <v>577</v>
      </c>
      <c r="E103" s="8" t="s">
        <v>293</v>
      </c>
      <c r="F103" s="8" t="s">
        <v>563</v>
      </c>
      <c r="G103" s="14">
        <v>1</v>
      </c>
      <c r="H103" s="14" t="s">
        <v>570</v>
      </c>
      <c r="I103" s="30">
        <v>3101</v>
      </c>
      <c r="J103" s="14" t="s">
        <v>573</v>
      </c>
      <c r="K103" s="14"/>
      <c r="L103" s="8" t="s">
        <v>576</v>
      </c>
      <c r="M103" s="8" t="s">
        <v>76</v>
      </c>
      <c r="N103" s="27" t="s">
        <v>566</v>
      </c>
    </row>
    <row r="104" spans="1:14" ht="28.5" x14ac:dyDescent="0.15">
      <c r="C104" s="8" t="s">
        <v>561</v>
      </c>
      <c r="D104" s="14" t="s">
        <v>577</v>
      </c>
      <c r="E104" s="8" t="s">
        <v>294</v>
      </c>
      <c r="F104" s="8" t="s">
        <v>564</v>
      </c>
      <c r="G104" s="14">
        <v>1</v>
      </c>
      <c r="H104" s="14" t="s">
        <v>571</v>
      </c>
      <c r="I104" s="30">
        <v>3102</v>
      </c>
      <c r="J104" s="14" t="s">
        <v>574</v>
      </c>
      <c r="K104" s="14"/>
      <c r="L104" s="8" t="s">
        <v>576</v>
      </c>
      <c r="M104" s="8" t="s">
        <v>76</v>
      </c>
      <c r="N104" s="27" t="s">
        <v>567</v>
      </c>
    </row>
    <row r="105" spans="1:14" ht="28.5" x14ac:dyDescent="0.15">
      <c r="C105" s="8" t="s">
        <v>562</v>
      </c>
      <c r="D105" s="14" t="s">
        <v>577</v>
      </c>
      <c r="E105" s="8" t="s">
        <v>295</v>
      </c>
      <c r="F105" s="8" t="s">
        <v>565</v>
      </c>
      <c r="G105" s="14">
        <v>1</v>
      </c>
      <c r="H105" s="14" t="s">
        <v>572</v>
      </c>
      <c r="I105" s="30">
        <v>3103</v>
      </c>
      <c r="J105" s="14" t="s">
        <v>575</v>
      </c>
      <c r="K105" s="14"/>
      <c r="L105" s="8" t="s">
        <v>576</v>
      </c>
      <c r="M105" s="8" t="s">
        <v>76</v>
      </c>
      <c r="N105" s="27" t="s">
        <v>568</v>
      </c>
    </row>
  </sheetData>
  <phoneticPr fontId="5" type="noConversion"/>
  <conditionalFormatting sqref="N23">
    <cfRule type="duplicateValues" dxfId="48" priority="52"/>
    <cfRule type="duplicateValues" dxfId="47" priority="53"/>
  </conditionalFormatting>
  <conditionalFormatting sqref="N19:N20">
    <cfRule type="duplicateValues" dxfId="46" priority="48"/>
    <cfRule type="duplicateValues" dxfId="45" priority="49"/>
  </conditionalFormatting>
  <conditionalFormatting sqref="N21">
    <cfRule type="duplicateValues" dxfId="44" priority="46"/>
    <cfRule type="duplicateValues" dxfId="43" priority="47"/>
  </conditionalFormatting>
  <conditionalFormatting sqref="N22">
    <cfRule type="duplicateValues" dxfId="42" priority="44"/>
    <cfRule type="duplicateValues" dxfId="41" priority="45"/>
  </conditionalFormatting>
  <conditionalFormatting sqref="N24">
    <cfRule type="duplicateValues" dxfId="40" priority="42"/>
    <cfRule type="duplicateValues" dxfId="39" priority="43"/>
  </conditionalFormatting>
  <conditionalFormatting sqref="N16">
    <cfRule type="duplicateValues" dxfId="38" priority="40"/>
    <cfRule type="duplicateValues" dxfId="37" priority="41"/>
  </conditionalFormatting>
  <conditionalFormatting sqref="N11:N13">
    <cfRule type="duplicateValues" dxfId="36" priority="38"/>
    <cfRule type="duplicateValues" dxfId="35" priority="39"/>
  </conditionalFormatting>
  <conditionalFormatting sqref="N14">
    <cfRule type="duplicateValues" dxfId="34" priority="36"/>
    <cfRule type="duplicateValues" dxfId="33" priority="37"/>
  </conditionalFormatting>
  <conditionalFormatting sqref="N18">
    <cfRule type="duplicateValues" dxfId="32" priority="34"/>
    <cfRule type="duplicateValues" dxfId="31" priority="35"/>
  </conditionalFormatting>
  <conditionalFormatting sqref="N17">
    <cfRule type="duplicateValues" dxfId="30" priority="32"/>
    <cfRule type="duplicateValues" dxfId="29" priority="33"/>
  </conditionalFormatting>
  <conditionalFormatting sqref="N15">
    <cfRule type="duplicateValues" dxfId="28" priority="30"/>
    <cfRule type="duplicateValues" dxfId="27" priority="31"/>
  </conditionalFormatting>
  <conditionalFormatting sqref="I11:I24">
    <cfRule type="duplicateValues" dxfId="26" priority="26"/>
  </conditionalFormatting>
  <conditionalFormatting sqref="I11:I24">
    <cfRule type="duplicateValues" dxfId="25" priority="27"/>
  </conditionalFormatting>
  <conditionalFormatting sqref="I25:I38">
    <cfRule type="duplicateValues" dxfId="24" priority="24"/>
  </conditionalFormatting>
  <conditionalFormatting sqref="I25:I38">
    <cfRule type="duplicateValues" dxfId="23" priority="25"/>
  </conditionalFormatting>
  <conditionalFormatting sqref="I39">
    <cfRule type="duplicateValues" dxfId="22" priority="12"/>
  </conditionalFormatting>
  <conditionalFormatting sqref="I39">
    <cfRule type="duplicateValues" dxfId="21" priority="13"/>
  </conditionalFormatting>
  <conditionalFormatting sqref="I40:I71">
    <cfRule type="duplicateValues" dxfId="20" priority="10"/>
  </conditionalFormatting>
  <conditionalFormatting sqref="I40:I71">
    <cfRule type="duplicateValues" dxfId="19" priority="11"/>
  </conditionalFormatting>
  <conditionalFormatting sqref="I72:I87">
    <cfRule type="duplicateValues" dxfId="18" priority="4"/>
  </conditionalFormatting>
  <conditionalFormatting sqref="I72:I87">
    <cfRule type="duplicateValues" dxfId="17" priority="5"/>
  </conditionalFormatting>
  <conditionalFormatting sqref="I88:I102">
    <cfRule type="duplicateValues" dxfId="16" priority="2"/>
  </conditionalFormatting>
  <conditionalFormatting sqref="I88:I102">
    <cfRule type="duplicateValues" dxfId="15" priority="3"/>
  </conditionalFormatting>
  <conditionalFormatting sqref="F88:F102">
    <cfRule type="duplicateValues" dxfId="14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73D14-9BD5-4131-90CD-20BC6D58686C}">
  <dimension ref="A1:F59"/>
  <sheetViews>
    <sheetView workbookViewId="0">
      <selection activeCell="I30" sqref="I30"/>
    </sheetView>
  </sheetViews>
  <sheetFormatPr defaultRowHeight="13.5" x14ac:dyDescent="0.15"/>
  <cols>
    <col min="1" max="1" width="31.375" customWidth="1"/>
    <col min="3" max="3" width="28.375" customWidth="1"/>
    <col min="4" max="4" width="21.5" customWidth="1"/>
  </cols>
  <sheetData>
    <row r="1" spans="1:6" ht="14.25" x14ac:dyDescent="0.15">
      <c r="A1" s="28" t="s">
        <v>171</v>
      </c>
      <c r="C1" s="22">
        <f>FIND(",",A1)</f>
        <v>6</v>
      </c>
      <c r="D1" t="str">
        <f>LEFT(A1,C1-1)</f>
        <v>41290</v>
      </c>
      <c r="E1">
        <f>INT(D1)+10000</f>
        <v>51290</v>
      </c>
      <c r="F1" t="str">
        <f>E1&amp;","&amp;RIGHT(A1,LEN(A1)-C1)</f>
        <v>51290,-10280</v>
      </c>
    </row>
    <row r="2" spans="1:6" ht="14.25" x14ac:dyDescent="0.15">
      <c r="A2" s="29" t="s">
        <v>172</v>
      </c>
      <c r="C2" s="22">
        <f t="shared" ref="C2:C59" si="0">FIND(",",A2)</f>
        <v>6</v>
      </c>
      <c r="D2" t="str">
        <f t="shared" ref="D2:D59" si="1">LEFT(A2,C2-1)</f>
        <v>12510</v>
      </c>
      <c r="E2">
        <f t="shared" ref="E2:E59" si="2">INT(D2)+10000</f>
        <v>22510</v>
      </c>
      <c r="F2" t="str">
        <f t="shared" ref="F2:F59" si="3">E2&amp;","&amp;RIGHT(A2,LEN(A2)-C2)</f>
        <v>22510,-10280</v>
      </c>
    </row>
    <row r="3" spans="1:6" ht="14.25" x14ac:dyDescent="0.15">
      <c r="A3" s="28" t="s">
        <v>174</v>
      </c>
      <c r="C3" s="22">
        <f t="shared" si="0"/>
        <v>6</v>
      </c>
      <c r="D3" t="str">
        <f t="shared" si="1"/>
        <v>12500</v>
      </c>
      <c r="E3">
        <f t="shared" si="2"/>
        <v>22500</v>
      </c>
      <c r="F3" t="str">
        <f t="shared" si="3"/>
        <v>22500,-22640</v>
      </c>
    </row>
    <row r="4" spans="1:6" ht="14.25" x14ac:dyDescent="0.15">
      <c r="A4" s="29" t="s">
        <v>44</v>
      </c>
      <c r="C4" s="22">
        <f t="shared" si="0"/>
        <v>6</v>
      </c>
      <c r="D4" t="str">
        <f t="shared" si="1"/>
        <v>28270</v>
      </c>
      <c r="E4">
        <f t="shared" si="2"/>
        <v>38270</v>
      </c>
      <c r="F4" t="str">
        <f t="shared" si="3"/>
        <v>38270,-35110</v>
      </c>
    </row>
    <row r="5" spans="1:6" ht="14.25" x14ac:dyDescent="0.15">
      <c r="A5" s="28" t="s">
        <v>42</v>
      </c>
      <c r="C5" s="22">
        <f t="shared" si="0"/>
        <v>6</v>
      </c>
      <c r="D5" t="str">
        <f t="shared" si="1"/>
        <v>53970</v>
      </c>
      <c r="E5">
        <f t="shared" si="2"/>
        <v>63970</v>
      </c>
      <c r="F5" t="str">
        <f t="shared" si="3"/>
        <v>63970,-51980</v>
      </c>
    </row>
    <row r="6" spans="1:6" ht="14.25" x14ac:dyDescent="0.15">
      <c r="A6" s="29" t="s">
        <v>51</v>
      </c>
      <c r="C6" s="22">
        <f t="shared" si="0"/>
        <v>6</v>
      </c>
      <c r="D6" t="str">
        <f t="shared" si="1"/>
        <v>41250</v>
      </c>
      <c r="E6">
        <f t="shared" si="2"/>
        <v>51250</v>
      </c>
      <c r="F6" t="str">
        <f t="shared" si="3"/>
        <v>51250,-56380</v>
      </c>
    </row>
    <row r="7" spans="1:6" ht="14.25" x14ac:dyDescent="0.15">
      <c r="A7" s="28" t="s">
        <v>49</v>
      </c>
      <c r="C7" s="22">
        <f t="shared" si="0"/>
        <v>6</v>
      </c>
      <c r="D7" t="str">
        <f t="shared" si="1"/>
        <v>15170</v>
      </c>
      <c r="E7">
        <f t="shared" si="2"/>
        <v>25170</v>
      </c>
      <c r="F7" t="str">
        <f t="shared" si="3"/>
        <v>25170,-55910</v>
      </c>
    </row>
    <row r="8" spans="1:6" ht="14.25" x14ac:dyDescent="0.15">
      <c r="A8" s="29" t="s">
        <v>47</v>
      </c>
      <c r="C8" s="22">
        <f t="shared" si="0"/>
        <v>6</v>
      </c>
      <c r="D8" t="str">
        <f t="shared" si="1"/>
        <v>28300</v>
      </c>
      <c r="E8">
        <f t="shared" si="2"/>
        <v>38300</v>
      </c>
      <c r="F8" t="str">
        <f t="shared" si="3"/>
        <v>38300,-52090</v>
      </c>
    </row>
    <row r="9" spans="1:6" ht="14.25" x14ac:dyDescent="0.15">
      <c r="A9" s="28" t="s">
        <v>173</v>
      </c>
      <c r="C9" s="22">
        <f t="shared" si="0"/>
        <v>6</v>
      </c>
      <c r="D9" t="str">
        <f t="shared" si="1"/>
        <v>28490</v>
      </c>
      <c r="E9">
        <f t="shared" si="2"/>
        <v>38490</v>
      </c>
      <c r="F9" t="str">
        <f t="shared" si="3"/>
        <v>38490,-10280</v>
      </c>
    </row>
    <row r="10" spans="1:6" ht="14.25" x14ac:dyDescent="0.15">
      <c r="A10" s="29" t="s">
        <v>37</v>
      </c>
      <c r="C10" s="22">
        <f t="shared" si="0"/>
        <v>6</v>
      </c>
      <c r="D10" t="str">
        <f t="shared" si="1"/>
        <v>41410</v>
      </c>
      <c r="E10">
        <f t="shared" si="2"/>
        <v>51410</v>
      </c>
      <c r="F10" t="str">
        <f t="shared" si="3"/>
        <v>51410,-27880</v>
      </c>
    </row>
    <row r="11" spans="1:6" ht="14.25" x14ac:dyDescent="0.15">
      <c r="A11" s="28" t="s">
        <v>175</v>
      </c>
      <c r="C11" s="22">
        <f t="shared" si="0"/>
        <v>6</v>
      </c>
      <c r="D11" t="str">
        <f t="shared" si="1"/>
        <v>28490</v>
      </c>
      <c r="E11">
        <f t="shared" si="2"/>
        <v>38490</v>
      </c>
      <c r="F11" t="str">
        <f t="shared" si="3"/>
        <v>38490,-22640</v>
      </c>
    </row>
    <row r="12" spans="1:6" ht="14.25" x14ac:dyDescent="0.15">
      <c r="A12" s="29" t="s">
        <v>41</v>
      </c>
      <c r="C12" s="22">
        <f t="shared" si="0"/>
        <v>6</v>
      </c>
      <c r="D12" t="str">
        <f t="shared" si="1"/>
        <v>53960</v>
      </c>
      <c r="E12">
        <f t="shared" si="2"/>
        <v>63960</v>
      </c>
      <c r="F12" t="str">
        <f t="shared" si="3"/>
        <v>63960,-34990</v>
      </c>
    </row>
    <row r="13" spans="1:6" ht="14.25" x14ac:dyDescent="0.15">
      <c r="A13" s="28" t="s">
        <v>45</v>
      </c>
      <c r="C13" s="22">
        <f t="shared" si="0"/>
        <v>6</v>
      </c>
      <c r="D13" t="str">
        <f t="shared" si="1"/>
        <v>41250</v>
      </c>
      <c r="E13">
        <f t="shared" si="2"/>
        <v>51250</v>
      </c>
      <c r="F13" t="str">
        <f t="shared" si="3"/>
        <v>51250,-42590</v>
      </c>
    </row>
    <row r="14" spans="1:6" ht="14.25" x14ac:dyDescent="0.15">
      <c r="A14" s="29" t="s">
        <v>48</v>
      </c>
      <c r="C14" s="22">
        <f t="shared" si="0"/>
        <v>6</v>
      </c>
      <c r="D14" t="str">
        <f t="shared" si="1"/>
        <v>15160</v>
      </c>
      <c r="E14">
        <f t="shared" si="2"/>
        <v>25160</v>
      </c>
      <c r="F14" t="str">
        <f t="shared" si="3"/>
        <v>25160,-42530</v>
      </c>
    </row>
    <row r="15" spans="1:6" ht="14.25" x14ac:dyDescent="0.15">
      <c r="A15" s="28" t="s">
        <v>207</v>
      </c>
      <c r="C15" s="22">
        <f t="shared" si="0"/>
        <v>6</v>
      </c>
      <c r="D15" t="str">
        <f t="shared" si="1"/>
        <v>31480</v>
      </c>
      <c r="E15">
        <f t="shared" si="2"/>
        <v>41480</v>
      </c>
      <c r="F15" t="str">
        <f t="shared" si="3"/>
        <v>41480,-13300</v>
      </c>
    </row>
    <row r="16" spans="1:6" ht="14.25" x14ac:dyDescent="0.15">
      <c r="A16" s="20" t="s">
        <v>209</v>
      </c>
      <c r="C16" s="22">
        <f t="shared" si="0"/>
        <v>6</v>
      </c>
      <c r="D16" t="str">
        <f t="shared" si="1"/>
        <v>31480</v>
      </c>
      <c r="E16">
        <f t="shared" si="2"/>
        <v>41480</v>
      </c>
      <c r="F16" t="str">
        <f t="shared" si="3"/>
        <v>41480,-30000</v>
      </c>
    </row>
    <row r="17" spans="1:6" ht="14.25" x14ac:dyDescent="0.15">
      <c r="A17" s="21" t="s">
        <v>211</v>
      </c>
      <c r="C17" s="22">
        <f t="shared" si="0"/>
        <v>6</v>
      </c>
      <c r="D17" t="str">
        <f t="shared" si="1"/>
        <v>31480</v>
      </c>
      <c r="E17">
        <f t="shared" si="2"/>
        <v>41480</v>
      </c>
      <c r="F17" t="str">
        <f t="shared" si="3"/>
        <v>41480,-42600</v>
      </c>
    </row>
    <row r="18" spans="1:6" ht="14.25" x14ac:dyDescent="0.15">
      <c r="A18" s="20" t="s">
        <v>208</v>
      </c>
      <c r="C18" s="22">
        <f t="shared" si="0"/>
        <v>6</v>
      </c>
      <c r="D18" t="str">
        <f t="shared" si="1"/>
        <v>17480</v>
      </c>
      <c r="E18">
        <f t="shared" si="2"/>
        <v>27480</v>
      </c>
      <c r="F18" t="str">
        <f t="shared" si="3"/>
        <v>27480,-27300</v>
      </c>
    </row>
    <row r="19" spans="1:6" ht="14.25" x14ac:dyDescent="0.15">
      <c r="A19" s="21" t="s">
        <v>212</v>
      </c>
      <c r="C19" s="22">
        <f t="shared" si="0"/>
        <v>6</v>
      </c>
      <c r="D19" t="str">
        <f t="shared" si="1"/>
        <v>18980</v>
      </c>
      <c r="E19">
        <f t="shared" si="2"/>
        <v>28980</v>
      </c>
      <c r="F19" t="str">
        <f t="shared" si="3"/>
        <v>28980,-41000</v>
      </c>
    </row>
    <row r="20" spans="1:6" ht="14.25" x14ac:dyDescent="0.15">
      <c r="A20" s="20" t="s">
        <v>210</v>
      </c>
      <c r="C20" s="22">
        <f t="shared" si="0"/>
        <v>6</v>
      </c>
      <c r="D20" t="str">
        <f t="shared" si="1"/>
        <v>45480</v>
      </c>
      <c r="E20">
        <f t="shared" si="2"/>
        <v>55480</v>
      </c>
      <c r="F20" t="str">
        <f t="shared" si="3"/>
        <v>55480,-27300</v>
      </c>
    </row>
    <row r="21" spans="1:6" ht="14.25" x14ac:dyDescent="0.15">
      <c r="A21" s="21" t="s">
        <v>213</v>
      </c>
      <c r="C21" s="22">
        <f t="shared" si="0"/>
        <v>6</v>
      </c>
      <c r="D21" t="str">
        <f t="shared" si="1"/>
        <v>43980</v>
      </c>
      <c r="E21">
        <f t="shared" si="2"/>
        <v>53980</v>
      </c>
      <c r="F21" t="str">
        <f t="shared" si="3"/>
        <v>53980,-41000</v>
      </c>
    </row>
    <row r="22" spans="1:6" ht="14.25" x14ac:dyDescent="0.15">
      <c r="A22" s="20" t="s">
        <v>214</v>
      </c>
      <c r="C22" s="22">
        <f t="shared" si="0"/>
        <v>6</v>
      </c>
      <c r="D22" t="str">
        <f t="shared" si="1"/>
        <v>31480</v>
      </c>
      <c r="E22">
        <f t="shared" si="2"/>
        <v>41480</v>
      </c>
      <c r="F22" t="str">
        <f t="shared" si="3"/>
        <v>41480,-56100</v>
      </c>
    </row>
    <row r="23" spans="1:6" ht="14.25" x14ac:dyDescent="0.15">
      <c r="A23" s="28" t="s">
        <v>215</v>
      </c>
      <c r="C23" s="22">
        <f t="shared" si="0"/>
        <v>6</v>
      </c>
      <c r="D23" t="str">
        <f t="shared" si="1"/>
        <v>13980</v>
      </c>
      <c r="E23">
        <f t="shared" si="2"/>
        <v>23980</v>
      </c>
      <c r="F23" t="str">
        <f t="shared" si="3"/>
        <v>23980,-13300</v>
      </c>
    </row>
    <row r="24" spans="1:6" ht="14.25" x14ac:dyDescent="0.15">
      <c r="A24" s="20" t="s">
        <v>289</v>
      </c>
      <c r="C24" s="22">
        <f t="shared" si="0"/>
        <v>5</v>
      </c>
      <c r="D24" t="str">
        <f t="shared" si="1"/>
        <v>7100</v>
      </c>
      <c r="E24">
        <f t="shared" si="2"/>
        <v>17100</v>
      </c>
      <c r="F24" t="str">
        <f t="shared" si="3"/>
        <v>17100,-24900</v>
      </c>
    </row>
    <row r="25" spans="1:6" ht="14.25" x14ac:dyDescent="0.15">
      <c r="A25" s="21" t="s">
        <v>290</v>
      </c>
      <c r="C25" s="22">
        <f t="shared" si="0"/>
        <v>5</v>
      </c>
      <c r="D25" t="str">
        <f t="shared" si="1"/>
        <v>7100</v>
      </c>
      <c r="E25">
        <f t="shared" si="2"/>
        <v>17100</v>
      </c>
      <c r="F25" t="str">
        <f t="shared" si="3"/>
        <v>17100,-39400</v>
      </c>
    </row>
    <row r="26" spans="1:6" ht="14.25" x14ac:dyDescent="0.15">
      <c r="A26" s="29" t="s">
        <v>216</v>
      </c>
      <c r="C26" s="22">
        <f t="shared" si="0"/>
        <v>6</v>
      </c>
      <c r="D26" t="str">
        <f t="shared" si="1"/>
        <v>48980</v>
      </c>
      <c r="E26">
        <f t="shared" si="2"/>
        <v>58980</v>
      </c>
      <c r="F26" t="str">
        <f t="shared" si="3"/>
        <v>58980,-13300</v>
      </c>
    </row>
    <row r="27" spans="1:6" ht="14.25" x14ac:dyDescent="0.15">
      <c r="A27" s="28" t="s">
        <v>291</v>
      </c>
      <c r="C27" s="22">
        <f t="shared" si="0"/>
        <v>6</v>
      </c>
      <c r="D27" t="str">
        <f t="shared" si="1"/>
        <v>55860</v>
      </c>
      <c r="E27">
        <f t="shared" si="2"/>
        <v>65860</v>
      </c>
      <c r="F27" t="str">
        <f t="shared" si="3"/>
        <v>65860,-24900</v>
      </c>
    </row>
    <row r="28" spans="1:6" ht="14.25" x14ac:dyDescent="0.15">
      <c r="A28" s="29" t="s">
        <v>292</v>
      </c>
      <c r="C28" s="22">
        <f t="shared" si="0"/>
        <v>6</v>
      </c>
      <c r="D28" t="str">
        <f t="shared" si="1"/>
        <v>55860</v>
      </c>
      <c r="E28">
        <f t="shared" si="2"/>
        <v>65860</v>
      </c>
      <c r="F28" t="str">
        <f t="shared" si="3"/>
        <v>65860,-39400</v>
      </c>
    </row>
    <row r="29" spans="1:6" ht="14.25" x14ac:dyDescent="0.15">
      <c r="A29" s="28" t="s">
        <v>221</v>
      </c>
      <c r="C29" s="22">
        <f t="shared" si="0"/>
        <v>6</v>
      </c>
      <c r="D29" t="str">
        <f t="shared" si="1"/>
        <v>48980</v>
      </c>
      <c r="E29">
        <f t="shared" si="2"/>
        <v>58980</v>
      </c>
      <c r="F29" t="str">
        <f t="shared" si="3"/>
        <v>58980,-54300</v>
      </c>
    </row>
    <row r="30" spans="1:6" ht="14.25" x14ac:dyDescent="0.15">
      <c r="A30" s="29" t="s">
        <v>207</v>
      </c>
      <c r="C30" s="22">
        <f t="shared" si="0"/>
        <v>6</v>
      </c>
      <c r="D30" t="str">
        <f t="shared" si="1"/>
        <v>31480</v>
      </c>
      <c r="E30">
        <f t="shared" si="2"/>
        <v>41480</v>
      </c>
      <c r="F30" t="str">
        <f t="shared" si="3"/>
        <v>41480,-13300</v>
      </c>
    </row>
    <row r="31" spans="1:6" ht="14.25" x14ac:dyDescent="0.15">
      <c r="A31" s="21" t="s">
        <v>209</v>
      </c>
      <c r="C31" s="22">
        <f t="shared" si="0"/>
        <v>6</v>
      </c>
      <c r="D31" t="str">
        <f t="shared" si="1"/>
        <v>31480</v>
      </c>
      <c r="E31">
        <f t="shared" si="2"/>
        <v>41480</v>
      </c>
      <c r="F31" t="str">
        <f t="shared" si="3"/>
        <v>41480,-30000</v>
      </c>
    </row>
    <row r="32" spans="1:6" ht="14.25" x14ac:dyDescent="0.15">
      <c r="A32" s="20" t="s">
        <v>211</v>
      </c>
      <c r="C32" s="22">
        <f t="shared" si="0"/>
        <v>6</v>
      </c>
      <c r="D32" t="str">
        <f t="shared" si="1"/>
        <v>31480</v>
      </c>
      <c r="E32">
        <f t="shared" si="2"/>
        <v>41480</v>
      </c>
      <c r="F32" t="str">
        <f t="shared" si="3"/>
        <v>41480,-42600</v>
      </c>
    </row>
    <row r="33" spans="1:6" ht="14.25" x14ac:dyDescent="0.15">
      <c r="A33" s="21" t="s">
        <v>208</v>
      </c>
      <c r="C33" s="22">
        <f t="shared" si="0"/>
        <v>6</v>
      </c>
      <c r="D33" t="str">
        <f t="shared" si="1"/>
        <v>17480</v>
      </c>
      <c r="E33">
        <f t="shared" si="2"/>
        <v>27480</v>
      </c>
      <c r="F33" t="str">
        <f t="shared" si="3"/>
        <v>27480,-27300</v>
      </c>
    </row>
    <row r="34" spans="1:6" ht="14.25" x14ac:dyDescent="0.15">
      <c r="A34" s="20" t="s">
        <v>212</v>
      </c>
      <c r="C34" s="22">
        <f t="shared" si="0"/>
        <v>6</v>
      </c>
      <c r="D34" t="str">
        <f t="shared" si="1"/>
        <v>18980</v>
      </c>
      <c r="E34">
        <f t="shared" si="2"/>
        <v>28980</v>
      </c>
      <c r="F34" t="str">
        <f t="shared" si="3"/>
        <v>28980,-41000</v>
      </c>
    </row>
    <row r="35" spans="1:6" ht="14.25" x14ac:dyDescent="0.15">
      <c r="A35" s="21" t="s">
        <v>210</v>
      </c>
      <c r="C35" s="22">
        <f t="shared" si="0"/>
        <v>6</v>
      </c>
      <c r="D35" t="str">
        <f t="shared" si="1"/>
        <v>45480</v>
      </c>
      <c r="E35">
        <f t="shared" si="2"/>
        <v>55480</v>
      </c>
      <c r="F35" t="str">
        <f t="shared" si="3"/>
        <v>55480,-27300</v>
      </c>
    </row>
    <row r="36" spans="1:6" ht="14.25" x14ac:dyDescent="0.15">
      <c r="A36" s="20" t="s">
        <v>213</v>
      </c>
      <c r="C36" s="22">
        <f t="shared" si="0"/>
        <v>6</v>
      </c>
      <c r="D36" t="str">
        <f t="shared" si="1"/>
        <v>43980</v>
      </c>
      <c r="E36">
        <f t="shared" si="2"/>
        <v>53980</v>
      </c>
      <c r="F36" t="str">
        <f t="shared" si="3"/>
        <v>53980,-41000</v>
      </c>
    </row>
    <row r="37" spans="1:6" ht="14.25" x14ac:dyDescent="0.15">
      <c r="A37" s="21" t="s">
        <v>214</v>
      </c>
      <c r="C37" s="22">
        <f t="shared" si="0"/>
        <v>6</v>
      </c>
      <c r="D37" t="str">
        <f t="shared" si="1"/>
        <v>31480</v>
      </c>
      <c r="E37">
        <f t="shared" si="2"/>
        <v>41480</v>
      </c>
      <c r="F37" t="str">
        <f t="shared" si="3"/>
        <v>41480,-56100</v>
      </c>
    </row>
    <row r="38" spans="1:6" ht="14.25" x14ac:dyDescent="0.15">
      <c r="A38" s="29" t="s">
        <v>215</v>
      </c>
      <c r="C38" s="22">
        <f t="shared" si="0"/>
        <v>6</v>
      </c>
      <c r="D38" t="str">
        <f t="shared" si="1"/>
        <v>13980</v>
      </c>
      <c r="E38">
        <f t="shared" si="2"/>
        <v>23980</v>
      </c>
      <c r="F38" t="str">
        <f t="shared" si="3"/>
        <v>23980,-13300</v>
      </c>
    </row>
    <row r="39" spans="1:6" ht="14.25" x14ac:dyDescent="0.15">
      <c r="A39" s="21" t="s">
        <v>217</v>
      </c>
      <c r="C39" s="22">
        <f t="shared" si="0"/>
        <v>5</v>
      </c>
      <c r="D39" t="str">
        <f t="shared" si="1"/>
        <v>4100</v>
      </c>
      <c r="E39">
        <f t="shared" si="2"/>
        <v>14100</v>
      </c>
      <c r="F39" t="str">
        <f t="shared" si="3"/>
        <v>14100,-24900</v>
      </c>
    </row>
    <row r="40" spans="1:6" ht="14.25" x14ac:dyDescent="0.15">
      <c r="A40" s="20" t="s">
        <v>218</v>
      </c>
      <c r="C40" s="22">
        <f t="shared" si="0"/>
        <v>5</v>
      </c>
      <c r="D40" t="str">
        <f t="shared" si="1"/>
        <v>4100</v>
      </c>
      <c r="E40">
        <f t="shared" si="2"/>
        <v>14100</v>
      </c>
      <c r="F40" t="str">
        <f t="shared" si="3"/>
        <v>14100,-39400</v>
      </c>
    </row>
    <row r="41" spans="1:6" ht="14.25" x14ac:dyDescent="0.15">
      <c r="A41" s="28" t="s">
        <v>216</v>
      </c>
      <c r="C41" s="22">
        <f t="shared" si="0"/>
        <v>6</v>
      </c>
      <c r="D41" t="str">
        <f t="shared" si="1"/>
        <v>48980</v>
      </c>
      <c r="E41">
        <f t="shared" si="2"/>
        <v>58980</v>
      </c>
      <c r="F41" t="str">
        <f t="shared" si="3"/>
        <v>58980,-13300</v>
      </c>
    </row>
    <row r="42" spans="1:6" ht="14.25" x14ac:dyDescent="0.15">
      <c r="A42" s="29" t="s">
        <v>219</v>
      </c>
      <c r="C42" s="22">
        <f t="shared" si="0"/>
        <v>6</v>
      </c>
      <c r="D42" t="str">
        <f t="shared" si="1"/>
        <v>58860</v>
      </c>
      <c r="E42">
        <f t="shared" si="2"/>
        <v>68860</v>
      </c>
      <c r="F42" t="str">
        <f t="shared" si="3"/>
        <v>68860,-24900</v>
      </c>
    </row>
    <row r="43" spans="1:6" ht="14.25" x14ac:dyDescent="0.15">
      <c r="A43" s="28" t="s">
        <v>220</v>
      </c>
      <c r="C43" s="22">
        <f t="shared" si="0"/>
        <v>6</v>
      </c>
      <c r="D43" t="str">
        <f t="shared" si="1"/>
        <v>58860</v>
      </c>
      <c r="E43">
        <f t="shared" si="2"/>
        <v>68860</v>
      </c>
      <c r="F43" t="str">
        <f t="shared" si="3"/>
        <v>68860,-39400</v>
      </c>
    </row>
    <row r="44" spans="1:6" ht="14.25" x14ac:dyDescent="0.15">
      <c r="A44" s="29" t="s">
        <v>221</v>
      </c>
      <c r="C44" s="22">
        <f t="shared" si="0"/>
        <v>6</v>
      </c>
      <c r="D44" t="str">
        <f t="shared" si="1"/>
        <v>48980</v>
      </c>
      <c r="E44">
        <f t="shared" si="2"/>
        <v>58980</v>
      </c>
      <c r="F44" t="str">
        <f t="shared" si="3"/>
        <v>58980,-54300</v>
      </c>
    </row>
    <row r="45" spans="1:6" ht="14.25" x14ac:dyDescent="0.15">
      <c r="A45" s="28" t="s">
        <v>261</v>
      </c>
      <c r="C45" s="22">
        <f t="shared" si="0"/>
        <v>6</v>
      </c>
      <c r="D45" t="str">
        <f t="shared" si="1"/>
        <v>48980</v>
      </c>
      <c r="E45">
        <f t="shared" si="2"/>
        <v>58980</v>
      </c>
      <c r="F45" t="str">
        <f t="shared" si="3"/>
        <v>58980,-44300</v>
      </c>
    </row>
    <row r="46" spans="1:6" ht="14.25" x14ac:dyDescent="0.15">
      <c r="A46" s="20" t="s">
        <v>156</v>
      </c>
      <c r="C46" s="22">
        <f t="shared" si="0"/>
        <v>6</v>
      </c>
      <c r="D46" t="str">
        <f t="shared" si="1"/>
        <v>43300</v>
      </c>
      <c r="E46">
        <f t="shared" si="2"/>
        <v>53300</v>
      </c>
      <c r="F46" t="str">
        <f t="shared" si="3"/>
        <v>53300,-50600</v>
      </c>
    </row>
    <row r="47" spans="1:6" ht="14.25" x14ac:dyDescent="0.15">
      <c r="A47" s="21" t="s">
        <v>157</v>
      </c>
      <c r="C47" s="22">
        <f t="shared" si="0"/>
        <v>6</v>
      </c>
      <c r="D47" t="str">
        <f t="shared" si="1"/>
        <v>27800</v>
      </c>
      <c r="E47">
        <f t="shared" si="2"/>
        <v>37800</v>
      </c>
      <c r="F47" t="str">
        <f t="shared" si="3"/>
        <v>37800,-50800</v>
      </c>
    </row>
    <row r="48" spans="1:6" ht="14.25" x14ac:dyDescent="0.15">
      <c r="A48" s="20" t="s">
        <v>161</v>
      </c>
      <c r="C48" s="22">
        <f t="shared" si="0"/>
        <v>6</v>
      </c>
      <c r="D48" t="str">
        <f t="shared" si="1"/>
        <v>29900</v>
      </c>
      <c r="E48">
        <f t="shared" si="2"/>
        <v>39900</v>
      </c>
      <c r="F48" t="str">
        <f t="shared" si="3"/>
        <v>39900,-37200</v>
      </c>
    </row>
    <row r="49" spans="1:6" ht="14.25" x14ac:dyDescent="0.15">
      <c r="A49" s="21" t="s">
        <v>162</v>
      </c>
      <c r="C49" s="22">
        <f t="shared" si="0"/>
        <v>6</v>
      </c>
      <c r="D49" t="str">
        <f t="shared" si="1"/>
        <v>23700</v>
      </c>
      <c r="E49">
        <f t="shared" si="2"/>
        <v>33700</v>
      </c>
      <c r="F49" t="str">
        <f t="shared" si="3"/>
        <v>33700,-25800</v>
      </c>
    </row>
    <row r="50" spans="1:6" ht="14.25" x14ac:dyDescent="0.15">
      <c r="A50" s="20" t="s">
        <v>158</v>
      </c>
      <c r="C50" s="22">
        <f t="shared" si="0"/>
        <v>6</v>
      </c>
      <c r="D50" t="str">
        <f t="shared" si="1"/>
        <v>11300</v>
      </c>
      <c r="E50">
        <f t="shared" si="2"/>
        <v>21300</v>
      </c>
      <c r="F50" t="str">
        <f t="shared" si="3"/>
        <v>21300,-45600</v>
      </c>
    </row>
    <row r="51" spans="1:6" ht="14.25" x14ac:dyDescent="0.15">
      <c r="A51" s="21" t="s">
        <v>163</v>
      </c>
      <c r="C51" s="22">
        <f t="shared" si="0"/>
        <v>6</v>
      </c>
      <c r="D51" t="str">
        <f t="shared" si="1"/>
        <v>19200</v>
      </c>
      <c r="E51">
        <f t="shared" si="2"/>
        <v>29200</v>
      </c>
      <c r="F51" t="str">
        <f t="shared" si="3"/>
        <v>29200,-35100</v>
      </c>
    </row>
    <row r="52" spans="1:6" ht="14.25" x14ac:dyDescent="0.15">
      <c r="A52" s="20" t="s">
        <v>159</v>
      </c>
      <c r="C52" s="22">
        <f t="shared" si="0"/>
        <v>5</v>
      </c>
      <c r="D52" t="str">
        <f t="shared" si="1"/>
        <v>7500</v>
      </c>
      <c r="E52">
        <f t="shared" si="2"/>
        <v>17500</v>
      </c>
      <c r="F52" t="str">
        <f t="shared" si="3"/>
        <v>17500,-29300</v>
      </c>
    </row>
    <row r="53" spans="1:6" ht="14.25" x14ac:dyDescent="0.15">
      <c r="A53" s="21" t="s">
        <v>160</v>
      </c>
      <c r="C53" s="22">
        <f t="shared" si="0"/>
        <v>6</v>
      </c>
      <c r="D53" t="str">
        <f t="shared" si="1"/>
        <v>11900</v>
      </c>
      <c r="E53">
        <f t="shared" si="2"/>
        <v>21900</v>
      </c>
      <c r="F53" t="str">
        <f t="shared" si="3"/>
        <v>21900,-17900</v>
      </c>
    </row>
    <row r="54" spans="1:6" ht="14.25" x14ac:dyDescent="0.15">
      <c r="A54" s="20" t="s">
        <v>165</v>
      </c>
      <c r="C54" s="22">
        <f t="shared" si="0"/>
        <v>6</v>
      </c>
      <c r="D54" t="str">
        <f t="shared" si="1"/>
        <v>45200</v>
      </c>
      <c r="E54">
        <f t="shared" si="2"/>
        <v>55200</v>
      </c>
      <c r="F54" t="str">
        <f t="shared" si="3"/>
        <v>55200,-36300</v>
      </c>
    </row>
    <row r="55" spans="1:6" ht="14.25" x14ac:dyDescent="0.15">
      <c r="A55" s="21" t="s">
        <v>164</v>
      </c>
      <c r="C55" s="22">
        <f t="shared" si="0"/>
        <v>6</v>
      </c>
      <c r="D55" t="str">
        <f t="shared" si="1"/>
        <v>56200</v>
      </c>
      <c r="E55">
        <f t="shared" si="2"/>
        <v>66200</v>
      </c>
      <c r="F55" t="str">
        <f t="shared" si="3"/>
        <v>66200,-40600</v>
      </c>
    </row>
    <row r="56" spans="1:6" ht="14.25" x14ac:dyDescent="0.15">
      <c r="A56" s="20" t="s">
        <v>167</v>
      </c>
      <c r="C56" s="22">
        <f t="shared" si="0"/>
        <v>6</v>
      </c>
      <c r="D56" t="str">
        <f t="shared" si="1"/>
        <v>55600</v>
      </c>
      <c r="E56">
        <f t="shared" si="2"/>
        <v>65600</v>
      </c>
      <c r="F56" t="str">
        <f t="shared" si="3"/>
        <v>65600,-26300</v>
      </c>
    </row>
    <row r="57" spans="1:6" ht="14.25" x14ac:dyDescent="0.15">
      <c r="A57" s="21" t="s">
        <v>166</v>
      </c>
      <c r="C57" s="22">
        <f t="shared" si="0"/>
        <v>6</v>
      </c>
      <c r="D57" t="str">
        <f t="shared" si="1"/>
        <v>38000</v>
      </c>
      <c r="E57">
        <f t="shared" si="2"/>
        <v>48000</v>
      </c>
      <c r="F57" t="str">
        <f t="shared" si="3"/>
        <v>48000,-26400</v>
      </c>
    </row>
    <row r="58" spans="1:6" ht="14.25" x14ac:dyDescent="0.15">
      <c r="A58" s="20" t="s">
        <v>168</v>
      </c>
      <c r="C58" s="22">
        <f t="shared" si="0"/>
        <v>6</v>
      </c>
      <c r="D58" t="str">
        <f t="shared" si="1"/>
        <v>47600</v>
      </c>
      <c r="E58">
        <f t="shared" si="2"/>
        <v>57600</v>
      </c>
      <c r="F58" t="str">
        <f t="shared" si="3"/>
        <v>57600,-13900</v>
      </c>
    </row>
    <row r="59" spans="1:6" ht="14.25" x14ac:dyDescent="0.15">
      <c r="A59" s="23" t="s">
        <v>169</v>
      </c>
      <c r="C59" s="22">
        <f t="shared" si="0"/>
        <v>6</v>
      </c>
      <c r="D59" t="str">
        <f t="shared" si="1"/>
        <v>34100</v>
      </c>
      <c r="E59">
        <f t="shared" si="2"/>
        <v>44100</v>
      </c>
      <c r="F59" t="str">
        <f t="shared" si="3"/>
        <v>44100,-13000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talent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2013-04-24T10:35:00Z</dcterms:created>
  <dcterms:modified xsi:type="dcterms:W3CDTF">2026-01-12T12:15:48Z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D915BDD57D884E9A88444054FA11A3F4</vt:lpwstr>
  </property>
  <property fmtid="{D5CDD505-2E9C-101B-9397-08002B2CF9AE}" pid="3" name="KSOProductBuildVer">
    <vt:lpwstr>2052-11.1.0.10577</vt:lpwstr>
  </property>
</Properties>
</file>