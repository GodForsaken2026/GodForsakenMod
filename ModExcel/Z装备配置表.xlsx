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codeName="ThisWorkbook"/>
  <mc:AlternateContent xmlns:mc="http://schemas.openxmlformats.org/markup-compatibility/2006">
    <mc:Choice Requires="x15">
      <x15ac:absPath xmlns:x15ac="http://schemas.microsoft.com/office/spreadsheetml/2010/11/ac" url="G:\survivors\data\trunk\excel\"/>
    </mc:Choice>
  </mc:AlternateContent>
  <xr:revisionPtr revIDLastSave="0" documentId="13_ncr:1_{860FC0CA-5B60-4463-9B38-D2A1D7D6C97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装备表" sheetId="1" r:id="rId1"/>
    <sheet name="套装属性表" sheetId="9" r:id="rId2"/>
    <sheet name="暴击率219设置" sheetId="12" r:id="rId3"/>
    <sheet name="传说装备设计" sheetId="10" r:id="rId4"/>
    <sheet name="暗金包配置" sheetId="13" r:id="rId5"/>
    <sheet name="装备槽位表" sheetId="2" r:id="rId6"/>
    <sheet name="中文名称" sheetId="4" r:id="rId7"/>
    <sheet name="装备掉落包配置" sheetId="3" r:id="rId8"/>
    <sheet name="装备权重" sheetId="5" r:id="rId9"/>
    <sheet name="装备基础属性" sheetId="6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9" i="10" l="1"/>
  <c r="AD9" i="10"/>
  <c r="AE9" i="10"/>
  <c r="AF9" i="10"/>
  <c r="AG9" i="10"/>
  <c r="AH9" i="10"/>
  <c r="AC10" i="10"/>
  <c r="AD10" i="10"/>
  <c r="AE10" i="10"/>
  <c r="AF10" i="10"/>
  <c r="AG10" i="10"/>
  <c r="AH10" i="10"/>
  <c r="AC11" i="10"/>
  <c r="AD11" i="10"/>
  <c r="AE11" i="10"/>
  <c r="AF11" i="10"/>
  <c r="AG11" i="10"/>
  <c r="AH11" i="10"/>
  <c r="AC12" i="10"/>
  <c r="AD12" i="10"/>
  <c r="AE12" i="10"/>
  <c r="AF12" i="10"/>
  <c r="AG12" i="10"/>
  <c r="AH12" i="10"/>
  <c r="AC13" i="10"/>
  <c r="AD13" i="10"/>
  <c r="AE13" i="10"/>
  <c r="AF13" i="10"/>
  <c r="AG13" i="10"/>
  <c r="AH13" i="10"/>
  <c r="AC14" i="10"/>
  <c r="AD14" i="10"/>
  <c r="AE14" i="10"/>
  <c r="AF14" i="10"/>
  <c r="AG14" i="10"/>
  <c r="AH14" i="10"/>
  <c r="AC15" i="10"/>
  <c r="AD15" i="10"/>
  <c r="AE15" i="10"/>
  <c r="AF15" i="10"/>
  <c r="AG15" i="10"/>
  <c r="AH15" i="10"/>
  <c r="AC16" i="10"/>
  <c r="AD16" i="10"/>
  <c r="AE16" i="10"/>
  <c r="AF16" i="10"/>
  <c r="AG16" i="10"/>
  <c r="AH16" i="10"/>
  <c r="AC17" i="10"/>
  <c r="AD17" i="10"/>
  <c r="AE17" i="10"/>
  <c r="AF17" i="10"/>
  <c r="AG17" i="10"/>
  <c r="AH17" i="10"/>
  <c r="AC18" i="10"/>
  <c r="AD18" i="10"/>
  <c r="AE18" i="10"/>
  <c r="AF18" i="10"/>
  <c r="AG18" i="10"/>
  <c r="AH18" i="10"/>
  <c r="AC19" i="10"/>
  <c r="AD19" i="10"/>
  <c r="AE19" i="10"/>
  <c r="AF19" i="10"/>
  <c r="AG19" i="10"/>
  <c r="AH19" i="10"/>
  <c r="AC20" i="10"/>
  <c r="AD20" i="10"/>
  <c r="AE20" i="10"/>
  <c r="AF20" i="10"/>
  <c r="AG20" i="10"/>
  <c r="AH20" i="10"/>
  <c r="AC21" i="10"/>
  <c r="AD21" i="10"/>
  <c r="AE21" i="10"/>
  <c r="AF21" i="10"/>
  <c r="AG21" i="10"/>
  <c r="AH21" i="10"/>
  <c r="AC22" i="10"/>
  <c r="AD22" i="10"/>
  <c r="AE22" i="10"/>
  <c r="AF22" i="10"/>
  <c r="AG22" i="10"/>
  <c r="AH22" i="10"/>
  <c r="AC23" i="10"/>
  <c r="AD23" i="10"/>
  <c r="AE23" i="10"/>
  <c r="AF23" i="10"/>
  <c r="AG23" i="10"/>
  <c r="AH23" i="10"/>
  <c r="AC24" i="10"/>
  <c r="AD24" i="10"/>
  <c r="AE24" i="10"/>
  <c r="AF24" i="10"/>
  <c r="AG24" i="10"/>
  <c r="AH24" i="10"/>
  <c r="AC25" i="10"/>
  <c r="AD25" i="10"/>
  <c r="AE25" i="10"/>
  <c r="AF25" i="10"/>
  <c r="AG25" i="10"/>
  <c r="AH25" i="10"/>
  <c r="AC26" i="10"/>
  <c r="AD26" i="10"/>
  <c r="AE26" i="10"/>
  <c r="AF26" i="10"/>
  <c r="AG26" i="10"/>
  <c r="AH26" i="10"/>
  <c r="AC27" i="10"/>
  <c r="AD27" i="10"/>
  <c r="AE27" i="10"/>
  <c r="AF27" i="10"/>
  <c r="AG27" i="10"/>
  <c r="AH27" i="10"/>
  <c r="AC28" i="10"/>
  <c r="AD28" i="10"/>
  <c r="AE28" i="10"/>
  <c r="AF28" i="10"/>
  <c r="AG28" i="10"/>
  <c r="AH28" i="10"/>
  <c r="AC29" i="10"/>
  <c r="AD29" i="10"/>
  <c r="AE29" i="10"/>
  <c r="AF29" i="10"/>
  <c r="AG29" i="10"/>
  <c r="AH29" i="10"/>
  <c r="AC30" i="10"/>
  <c r="AD30" i="10"/>
  <c r="AE30" i="10"/>
  <c r="AF30" i="10"/>
  <c r="AG30" i="10"/>
  <c r="AH30" i="10"/>
  <c r="AC31" i="10"/>
  <c r="AD31" i="10"/>
  <c r="AE31" i="10"/>
  <c r="AF31" i="10"/>
  <c r="AG31" i="10"/>
  <c r="AH31" i="10"/>
  <c r="AC32" i="10"/>
  <c r="AD32" i="10"/>
  <c r="AE32" i="10"/>
  <c r="AF32" i="10"/>
  <c r="AG32" i="10"/>
  <c r="AH32" i="10"/>
  <c r="AC33" i="10"/>
  <c r="AD33" i="10"/>
  <c r="AE33" i="10"/>
  <c r="AF33" i="10"/>
  <c r="AG33" i="10"/>
  <c r="AH33" i="10"/>
  <c r="AC34" i="10"/>
  <c r="AD34" i="10"/>
  <c r="AE34" i="10"/>
  <c r="AF34" i="10"/>
  <c r="AG34" i="10"/>
  <c r="AH34" i="10"/>
  <c r="AC35" i="10"/>
  <c r="AD35" i="10"/>
  <c r="AE35" i="10"/>
  <c r="AF35" i="10"/>
  <c r="AG35" i="10"/>
  <c r="AH35" i="10"/>
  <c r="AC36" i="10"/>
  <c r="AD36" i="10"/>
  <c r="AE36" i="10"/>
  <c r="AF36" i="10"/>
  <c r="AG36" i="10"/>
  <c r="AH36" i="10"/>
  <c r="AC37" i="10"/>
  <c r="AD37" i="10"/>
  <c r="AE37" i="10"/>
  <c r="AF37" i="10"/>
  <c r="AG37" i="10"/>
  <c r="AH37" i="10"/>
  <c r="AC38" i="10"/>
  <c r="AD38" i="10"/>
  <c r="AE38" i="10"/>
  <c r="AF38" i="10"/>
  <c r="AG38" i="10"/>
  <c r="AH38" i="10"/>
  <c r="AC39" i="10"/>
  <c r="AD39" i="10"/>
  <c r="AE39" i="10"/>
  <c r="AF39" i="10"/>
  <c r="AG39" i="10"/>
  <c r="AH39" i="10"/>
  <c r="AC40" i="10"/>
  <c r="AD40" i="10"/>
  <c r="AE40" i="10"/>
  <c r="AF40" i="10"/>
  <c r="AG40" i="10"/>
  <c r="AH40" i="10"/>
  <c r="AC41" i="10"/>
  <c r="AD41" i="10"/>
  <c r="AE41" i="10"/>
  <c r="AF41" i="10"/>
  <c r="AG41" i="10"/>
  <c r="AH41" i="10"/>
  <c r="AC42" i="10"/>
  <c r="AD42" i="10"/>
  <c r="AE42" i="10"/>
  <c r="AF42" i="10"/>
  <c r="AG42" i="10"/>
  <c r="AH42" i="10"/>
  <c r="AC43" i="10"/>
  <c r="AD43" i="10"/>
  <c r="AE43" i="10"/>
  <c r="AF43" i="10"/>
  <c r="AG43" i="10"/>
  <c r="AH43" i="10"/>
  <c r="AC44" i="10"/>
  <c r="AD44" i="10"/>
  <c r="AE44" i="10"/>
  <c r="AF44" i="10"/>
  <c r="AG44" i="10"/>
  <c r="AH44" i="10"/>
  <c r="AC45" i="10"/>
  <c r="AD45" i="10"/>
  <c r="AE45" i="10"/>
  <c r="AF45" i="10"/>
  <c r="AG45" i="10"/>
  <c r="AH45" i="10"/>
  <c r="AC46" i="10"/>
  <c r="AD46" i="10"/>
  <c r="AE46" i="10"/>
  <c r="AF46" i="10"/>
  <c r="AG46" i="10"/>
  <c r="AH46" i="10"/>
  <c r="AC47" i="10"/>
  <c r="AD47" i="10"/>
  <c r="AE47" i="10"/>
  <c r="AF47" i="10"/>
  <c r="AG47" i="10"/>
  <c r="AH47" i="10"/>
  <c r="AC48" i="10"/>
  <c r="AD48" i="10"/>
  <c r="AE48" i="10"/>
  <c r="AF48" i="10"/>
  <c r="AG48" i="10"/>
  <c r="AH48" i="10"/>
  <c r="AC49" i="10"/>
  <c r="AD49" i="10"/>
  <c r="AE49" i="10"/>
  <c r="AF49" i="10"/>
  <c r="AG49" i="10"/>
  <c r="AH49" i="10"/>
  <c r="AC50" i="10"/>
  <c r="AD50" i="10"/>
  <c r="AE50" i="10"/>
  <c r="AF50" i="10"/>
  <c r="AG50" i="10"/>
  <c r="AH50" i="10"/>
  <c r="AC51" i="10"/>
  <c r="AD51" i="10"/>
  <c r="AE51" i="10"/>
  <c r="AF51" i="10"/>
  <c r="AG51" i="10"/>
  <c r="AH51" i="10"/>
  <c r="AC52" i="10"/>
  <c r="AD52" i="10"/>
  <c r="AE52" i="10"/>
  <c r="AF52" i="10"/>
  <c r="AG52" i="10"/>
  <c r="AH52" i="10"/>
  <c r="AC53" i="10"/>
  <c r="AD53" i="10"/>
  <c r="AE53" i="10"/>
  <c r="AF53" i="10"/>
  <c r="AG53" i="10"/>
  <c r="AH53" i="10"/>
  <c r="AC54" i="10"/>
  <c r="AD54" i="10"/>
  <c r="AE54" i="10"/>
  <c r="AF54" i="10"/>
  <c r="AG54" i="10"/>
  <c r="AH54" i="10"/>
  <c r="AC55" i="10"/>
  <c r="AD55" i="10"/>
  <c r="AE55" i="10"/>
  <c r="AF55" i="10"/>
  <c r="AG55" i="10"/>
  <c r="AH55" i="10"/>
  <c r="AC56" i="10"/>
  <c r="AD56" i="10"/>
  <c r="AE56" i="10"/>
  <c r="AF56" i="10"/>
  <c r="AG56" i="10"/>
  <c r="AH56" i="10"/>
  <c r="AC57" i="10"/>
  <c r="AD57" i="10"/>
  <c r="AE57" i="10"/>
  <c r="AF57" i="10"/>
  <c r="AG57" i="10"/>
  <c r="AH57" i="10"/>
  <c r="AC58" i="10"/>
  <c r="AD58" i="10"/>
  <c r="AE58" i="10"/>
  <c r="AF58" i="10"/>
  <c r="AG58" i="10"/>
  <c r="AH58" i="10"/>
  <c r="AC59" i="10"/>
  <c r="AD59" i="10"/>
  <c r="AE59" i="10"/>
  <c r="AF59" i="10"/>
  <c r="AG59" i="10"/>
  <c r="AH59" i="10"/>
  <c r="AC60" i="10"/>
  <c r="AD60" i="10"/>
  <c r="AE60" i="10"/>
  <c r="AF60" i="10"/>
  <c r="AG60" i="10"/>
  <c r="AH60" i="10"/>
  <c r="AC61" i="10"/>
  <c r="AD61" i="10"/>
  <c r="AE61" i="10"/>
  <c r="AF61" i="10"/>
  <c r="AG61" i="10"/>
  <c r="AH61" i="10"/>
  <c r="AC62" i="10"/>
  <c r="AD62" i="10"/>
  <c r="AE62" i="10"/>
  <c r="AF62" i="10"/>
  <c r="AG62" i="10"/>
  <c r="AH62" i="10"/>
  <c r="AC63" i="10"/>
  <c r="AD63" i="10"/>
  <c r="AE63" i="10"/>
  <c r="AF63" i="10"/>
  <c r="AG63" i="10"/>
  <c r="AH63" i="10"/>
  <c r="AC64" i="10"/>
  <c r="AD64" i="10"/>
  <c r="AE64" i="10"/>
  <c r="AF64" i="10"/>
  <c r="AG64" i="10"/>
  <c r="AH64" i="10"/>
  <c r="AC65" i="10"/>
  <c r="AD65" i="10"/>
  <c r="AE65" i="10"/>
  <c r="AF65" i="10"/>
  <c r="AG65" i="10"/>
  <c r="AH65" i="10"/>
  <c r="AC66" i="10"/>
  <c r="AD66" i="10"/>
  <c r="AE66" i="10"/>
  <c r="AF66" i="10"/>
  <c r="AG66" i="10"/>
  <c r="AH66" i="10"/>
  <c r="AC67" i="10"/>
  <c r="AD67" i="10"/>
  <c r="AE67" i="10"/>
  <c r="AF67" i="10"/>
  <c r="AG67" i="10"/>
  <c r="AH67" i="10"/>
  <c r="AC68" i="10"/>
  <c r="AD68" i="10"/>
  <c r="AE68" i="10"/>
  <c r="AF68" i="10"/>
  <c r="AG68" i="10"/>
  <c r="AH68" i="10"/>
  <c r="AC69" i="10"/>
  <c r="AD69" i="10"/>
  <c r="AE69" i="10"/>
  <c r="AF69" i="10"/>
  <c r="AG69" i="10"/>
  <c r="AH69" i="10"/>
  <c r="AC70" i="10"/>
  <c r="AD70" i="10"/>
  <c r="AE70" i="10"/>
  <c r="AF70" i="10"/>
  <c r="AG70" i="10"/>
  <c r="AH70" i="10"/>
  <c r="AC71" i="10"/>
  <c r="AD71" i="10"/>
  <c r="AE71" i="10"/>
  <c r="AF71" i="10"/>
  <c r="AG71" i="10"/>
  <c r="AH71" i="10"/>
  <c r="AC72" i="10"/>
  <c r="AD72" i="10"/>
  <c r="AE72" i="10"/>
  <c r="AF72" i="10"/>
  <c r="AG72" i="10"/>
  <c r="AH72" i="10"/>
  <c r="AC73" i="10"/>
  <c r="AD73" i="10"/>
  <c r="AE73" i="10"/>
  <c r="AF73" i="10"/>
  <c r="AG73" i="10"/>
  <c r="AH73" i="10"/>
  <c r="AC74" i="10"/>
  <c r="AD74" i="10"/>
  <c r="AE74" i="10"/>
  <c r="AF74" i="10"/>
  <c r="AG74" i="10"/>
  <c r="AH74" i="10"/>
  <c r="AC75" i="10"/>
  <c r="AD75" i="10"/>
  <c r="AE75" i="10"/>
  <c r="AF75" i="10"/>
  <c r="AG75" i="10"/>
  <c r="AH75" i="10"/>
  <c r="AC76" i="10"/>
  <c r="AD76" i="10"/>
  <c r="AE76" i="10"/>
  <c r="AF76" i="10"/>
  <c r="AG76" i="10"/>
  <c r="AH76" i="10"/>
  <c r="AC77" i="10"/>
  <c r="AD77" i="10"/>
  <c r="AE77" i="10"/>
  <c r="AF77" i="10"/>
  <c r="AG77" i="10"/>
  <c r="AH77" i="10"/>
  <c r="AC78" i="10"/>
  <c r="AD78" i="10"/>
  <c r="AE78" i="10"/>
  <c r="AF78" i="10"/>
  <c r="AG78" i="10"/>
  <c r="AH78" i="10"/>
  <c r="AC79" i="10"/>
  <c r="AD79" i="10"/>
  <c r="AE79" i="10"/>
  <c r="AF79" i="10"/>
  <c r="AG79" i="10"/>
  <c r="AH79" i="10"/>
  <c r="AC80" i="10"/>
  <c r="AD80" i="10"/>
  <c r="AE80" i="10"/>
  <c r="AF80" i="10"/>
  <c r="AG80" i="10"/>
  <c r="AH80" i="10"/>
  <c r="AC81" i="10"/>
  <c r="AD81" i="10"/>
  <c r="AE81" i="10"/>
  <c r="AF81" i="10"/>
  <c r="AG81" i="10"/>
  <c r="AH81" i="10"/>
  <c r="AC82" i="10"/>
  <c r="AD82" i="10"/>
  <c r="AE82" i="10"/>
  <c r="AF82" i="10"/>
  <c r="AG82" i="10"/>
  <c r="AH82" i="10"/>
  <c r="AC83" i="10"/>
  <c r="AD83" i="10"/>
  <c r="AE83" i="10"/>
  <c r="AF83" i="10"/>
  <c r="AG83" i="10"/>
  <c r="AH83" i="10"/>
  <c r="AC84" i="10"/>
  <c r="AD84" i="10"/>
  <c r="AE84" i="10"/>
  <c r="AF84" i="10"/>
  <c r="AG84" i="10"/>
  <c r="AH84" i="10"/>
  <c r="AC85" i="10"/>
  <c r="AD85" i="10"/>
  <c r="AE85" i="10"/>
  <c r="AF85" i="10"/>
  <c r="AG85" i="10"/>
  <c r="AH85" i="10"/>
  <c r="AC86" i="10"/>
  <c r="AD86" i="10"/>
  <c r="AE86" i="10"/>
  <c r="AF86" i="10"/>
  <c r="AG86" i="10"/>
  <c r="AH86" i="10"/>
  <c r="AC87" i="10"/>
  <c r="AD87" i="10"/>
  <c r="AE87" i="10"/>
  <c r="AF87" i="10"/>
  <c r="AG87" i="10"/>
  <c r="AH87" i="10"/>
  <c r="AC88" i="10"/>
  <c r="AD88" i="10"/>
  <c r="AE88" i="10"/>
  <c r="AF88" i="10"/>
  <c r="AG88" i="10"/>
  <c r="AH88" i="10"/>
  <c r="AC89" i="10"/>
  <c r="AD89" i="10"/>
  <c r="AE89" i="10"/>
  <c r="AF89" i="10"/>
  <c r="AG89" i="10"/>
  <c r="AH89" i="10"/>
  <c r="AC90" i="10"/>
  <c r="AD90" i="10"/>
  <c r="AE90" i="10"/>
  <c r="AF90" i="10"/>
  <c r="AG90" i="10"/>
  <c r="AH90" i="10"/>
  <c r="AC91" i="10"/>
  <c r="AD91" i="10"/>
  <c r="AE91" i="10"/>
  <c r="AF91" i="10"/>
  <c r="AG91" i="10"/>
  <c r="AH91" i="10"/>
  <c r="AC92" i="10"/>
  <c r="AD92" i="10"/>
  <c r="AE92" i="10"/>
  <c r="AF92" i="10"/>
  <c r="AG92" i="10"/>
  <c r="AH92" i="10"/>
  <c r="AC93" i="10"/>
  <c r="AD93" i="10"/>
  <c r="AE93" i="10"/>
  <c r="AF93" i="10"/>
  <c r="AG93" i="10"/>
  <c r="AH93" i="10"/>
  <c r="AC94" i="10"/>
  <c r="AD94" i="10"/>
  <c r="AE94" i="10"/>
  <c r="AF94" i="10"/>
  <c r="AG94" i="10"/>
  <c r="AH94" i="10"/>
  <c r="AC95" i="10"/>
  <c r="AD95" i="10"/>
  <c r="AE95" i="10"/>
  <c r="AF95" i="10"/>
  <c r="AG95" i="10"/>
  <c r="AH95" i="10"/>
  <c r="AC96" i="10"/>
  <c r="AD96" i="10"/>
  <c r="AE96" i="10"/>
  <c r="AF96" i="10"/>
  <c r="AG96" i="10"/>
  <c r="AH96" i="10"/>
  <c r="AC97" i="10"/>
  <c r="AD97" i="10"/>
  <c r="AE97" i="10"/>
  <c r="AF97" i="10"/>
  <c r="AG97" i="10"/>
  <c r="AH97" i="10"/>
  <c r="AC98" i="10"/>
  <c r="AD98" i="10"/>
  <c r="AE98" i="10"/>
  <c r="AF98" i="10"/>
  <c r="AG98" i="10"/>
  <c r="AH98" i="10"/>
  <c r="AC99" i="10"/>
  <c r="AD99" i="10"/>
  <c r="AE99" i="10"/>
  <c r="AF99" i="10"/>
  <c r="AG99" i="10"/>
  <c r="AH99" i="10"/>
  <c r="AC100" i="10"/>
  <c r="AD100" i="10"/>
  <c r="AE100" i="10"/>
  <c r="AF100" i="10"/>
  <c r="AG100" i="10"/>
  <c r="AH100" i="10"/>
  <c r="AC101" i="10"/>
  <c r="AD101" i="10"/>
  <c r="AE101" i="10"/>
  <c r="AF101" i="10"/>
  <c r="AG101" i="10"/>
  <c r="AH101" i="10"/>
  <c r="AC102" i="10"/>
  <c r="AD102" i="10"/>
  <c r="AE102" i="10"/>
  <c r="AF102" i="10"/>
  <c r="AG102" i="10"/>
  <c r="AH102" i="10"/>
  <c r="AC103" i="10"/>
  <c r="AD103" i="10"/>
  <c r="AE103" i="10"/>
  <c r="AF103" i="10"/>
  <c r="AG103" i="10"/>
  <c r="AH103" i="10"/>
  <c r="AC104" i="10"/>
  <c r="AD104" i="10"/>
  <c r="AE104" i="10"/>
  <c r="AF104" i="10"/>
  <c r="AG104" i="10"/>
  <c r="AH104" i="10"/>
  <c r="AC105" i="10"/>
  <c r="AD105" i="10"/>
  <c r="AE105" i="10"/>
  <c r="AF105" i="10"/>
  <c r="AG105" i="10"/>
  <c r="AH105" i="10"/>
  <c r="AC106" i="10"/>
  <c r="AD106" i="10"/>
  <c r="AE106" i="10"/>
  <c r="AF106" i="10"/>
  <c r="AG106" i="10"/>
  <c r="AH106" i="10"/>
  <c r="AC107" i="10"/>
  <c r="AD107" i="10"/>
  <c r="AE107" i="10"/>
  <c r="AF107" i="10"/>
  <c r="AG107" i="10"/>
  <c r="AH107" i="10"/>
  <c r="AC108" i="10"/>
  <c r="AD108" i="10"/>
  <c r="AE108" i="10"/>
  <c r="AF108" i="10"/>
  <c r="AG108" i="10"/>
  <c r="AH108" i="10"/>
  <c r="AC109" i="10"/>
  <c r="AD109" i="10"/>
  <c r="AE109" i="10"/>
  <c r="AF109" i="10"/>
  <c r="AG109" i="10"/>
  <c r="AH109" i="10"/>
  <c r="AC110" i="10"/>
  <c r="AD110" i="10"/>
  <c r="AE110" i="10"/>
  <c r="AF110" i="10"/>
  <c r="AG110" i="10"/>
  <c r="AH110" i="10"/>
  <c r="AC111" i="10"/>
  <c r="AD111" i="10"/>
  <c r="AE111" i="10"/>
  <c r="AF111" i="10"/>
  <c r="AG111" i="10"/>
  <c r="AH111" i="10"/>
  <c r="AC112" i="10"/>
  <c r="AD112" i="10"/>
  <c r="AE112" i="10"/>
  <c r="AF112" i="10"/>
  <c r="AG112" i="10"/>
  <c r="AH112" i="10"/>
  <c r="AC113" i="10"/>
  <c r="AD113" i="10"/>
  <c r="AE113" i="10"/>
  <c r="AF113" i="10"/>
  <c r="AG113" i="10"/>
  <c r="AH113" i="10"/>
  <c r="AC114" i="10"/>
  <c r="AD114" i="10"/>
  <c r="AE114" i="10"/>
  <c r="AF114" i="10"/>
  <c r="AG114" i="10"/>
  <c r="AH114" i="10"/>
  <c r="AC115" i="10"/>
  <c r="AD115" i="10"/>
  <c r="AE115" i="10"/>
  <c r="AF115" i="10"/>
  <c r="AG115" i="10"/>
  <c r="AH115" i="10"/>
  <c r="AC116" i="10"/>
  <c r="AD116" i="10"/>
  <c r="AE116" i="10"/>
  <c r="AF116" i="10"/>
  <c r="AG116" i="10"/>
  <c r="AH116" i="10"/>
  <c r="AC117" i="10"/>
  <c r="AD117" i="10"/>
  <c r="AE117" i="10"/>
  <c r="AF117" i="10"/>
  <c r="AG117" i="10"/>
  <c r="AH117" i="10"/>
  <c r="AC118" i="10"/>
  <c r="AD118" i="10"/>
  <c r="AE118" i="10"/>
  <c r="AF118" i="10"/>
  <c r="AG118" i="10"/>
  <c r="AH118" i="10"/>
  <c r="AC119" i="10"/>
  <c r="AD119" i="10"/>
  <c r="AE119" i="10"/>
  <c r="AF119" i="10"/>
  <c r="AG119" i="10"/>
  <c r="AH119" i="10"/>
  <c r="AC120" i="10"/>
  <c r="AD120" i="10"/>
  <c r="AE120" i="10"/>
  <c r="AF120" i="10"/>
  <c r="AG120" i="10"/>
  <c r="AH120" i="10"/>
  <c r="AC121" i="10"/>
  <c r="AD121" i="10"/>
  <c r="AE121" i="10"/>
  <c r="AF121" i="10"/>
  <c r="AG121" i="10"/>
  <c r="AH121" i="10"/>
  <c r="AC122" i="10"/>
  <c r="AD122" i="10"/>
  <c r="AE122" i="10"/>
  <c r="AF122" i="10"/>
  <c r="AG122" i="10"/>
  <c r="AH122" i="10"/>
  <c r="AC123" i="10"/>
  <c r="AD123" i="10"/>
  <c r="AE123" i="10"/>
  <c r="AF123" i="10"/>
  <c r="AG123" i="10"/>
  <c r="AH123" i="10"/>
  <c r="AC124" i="10"/>
  <c r="AD124" i="10"/>
  <c r="AE124" i="10"/>
  <c r="AF124" i="10"/>
  <c r="AG124" i="10"/>
  <c r="AH124" i="10"/>
  <c r="AC125" i="10"/>
  <c r="AD125" i="10"/>
  <c r="AE125" i="10"/>
  <c r="AF125" i="10"/>
  <c r="AG125" i="10"/>
  <c r="AH125" i="10"/>
  <c r="AC126" i="10"/>
  <c r="AD126" i="10"/>
  <c r="AE126" i="10"/>
  <c r="AF126" i="10"/>
  <c r="AG126" i="10"/>
  <c r="AH126" i="10"/>
  <c r="AC127" i="10"/>
  <c r="AD127" i="10"/>
  <c r="AE127" i="10"/>
  <c r="AF127" i="10"/>
  <c r="AG127" i="10"/>
  <c r="AH127" i="10"/>
  <c r="AC128" i="10"/>
  <c r="AD128" i="10"/>
  <c r="AE128" i="10"/>
  <c r="AF128" i="10"/>
  <c r="AG128" i="10"/>
  <c r="AH128" i="10"/>
  <c r="AC129" i="10"/>
  <c r="AD129" i="10"/>
  <c r="AE129" i="10"/>
  <c r="AF129" i="10"/>
  <c r="AG129" i="10"/>
  <c r="AH129" i="10"/>
  <c r="AC130" i="10"/>
  <c r="AD130" i="10"/>
  <c r="AE130" i="10"/>
  <c r="AF130" i="10"/>
  <c r="AG130" i="10"/>
  <c r="AH130" i="10"/>
  <c r="AC131" i="10"/>
  <c r="AD131" i="10"/>
  <c r="AE131" i="10"/>
  <c r="AF131" i="10"/>
  <c r="AG131" i="10"/>
  <c r="AH131" i="10"/>
  <c r="AC132" i="10"/>
  <c r="AD132" i="10"/>
  <c r="AE132" i="10"/>
  <c r="AF132" i="10"/>
  <c r="AG132" i="10"/>
  <c r="AH132" i="10"/>
  <c r="AC133" i="10"/>
  <c r="AD133" i="10"/>
  <c r="AE133" i="10"/>
  <c r="AF133" i="10"/>
  <c r="AG133" i="10"/>
  <c r="AH133" i="10"/>
  <c r="AC134" i="10"/>
  <c r="AD134" i="10"/>
  <c r="AE134" i="10"/>
  <c r="AF134" i="10"/>
  <c r="AG134" i="10"/>
  <c r="AH134" i="10"/>
  <c r="AC135" i="10"/>
  <c r="AD135" i="10"/>
  <c r="AE135" i="10"/>
  <c r="AF135" i="10"/>
  <c r="AG135" i="10"/>
  <c r="AH135" i="10"/>
  <c r="AC136" i="10"/>
  <c r="AD136" i="10"/>
  <c r="AE136" i="10"/>
  <c r="AF136" i="10"/>
  <c r="AG136" i="10"/>
  <c r="AH136" i="10"/>
  <c r="AC137" i="10"/>
  <c r="AD137" i="10"/>
  <c r="AE137" i="10"/>
  <c r="AF137" i="10"/>
  <c r="AG137" i="10"/>
  <c r="AH137" i="10"/>
  <c r="AC138" i="10"/>
  <c r="AD138" i="10"/>
  <c r="AE138" i="10"/>
  <c r="AF138" i="10"/>
  <c r="AG138" i="10"/>
  <c r="AH138" i="10"/>
  <c r="AC139" i="10"/>
  <c r="AD139" i="10"/>
  <c r="AE139" i="10"/>
  <c r="AF139" i="10"/>
  <c r="AG139" i="10"/>
  <c r="AH139" i="10"/>
  <c r="AC140" i="10"/>
  <c r="AD140" i="10"/>
  <c r="AE140" i="10"/>
  <c r="AF140" i="10"/>
  <c r="AG140" i="10"/>
  <c r="AH140" i="10"/>
  <c r="AC141" i="10"/>
  <c r="AD141" i="10"/>
  <c r="AE141" i="10"/>
  <c r="AF141" i="10"/>
  <c r="AG141" i="10"/>
  <c r="AH141" i="10"/>
  <c r="AC142" i="10"/>
  <c r="AD142" i="10"/>
  <c r="AE142" i="10"/>
  <c r="AF142" i="10"/>
  <c r="AG142" i="10"/>
  <c r="AH142" i="10"/>
  <c r="AC143" i="10"/>
  <c r="AD143" i="10"/>
  <c r="AE143" i="10"/>
  <c r="AF143" i="10"/>
  <c r="AG143" i="10"/>
  <c r="AH143" i="10"/>
  <c r="AC144" i="10"/>
  <c r="AD144" i="10"/>
  <c r="AE144" i="10"/>
  <c r="AF144" i="10"/>
  <c r="AG144" i="10"/>
  <c r="AH144" i="10"/>
  <c r="AC145" i="10"/>
  <c r="AD145" i="10"/>
  <c r="AE145" i="10"/>
  <c r="AF145" i="10"/>
  <c r="AG145" i="10"/>
  <c r="AH145" i="10"/>
  <c r="AC146" i="10"/>
  <c r="AD146" i="10"/>
  <c r="AE146" i="10"/>
  <c r="AF146" i="10"/>
  <c r="AG146" i="10"/>
  <c r="AH146" i="10"/>
  <c r="AC147" i="10"/>
  <c r="AD147" i="10"/>
  <c r="AE147" i="10"/>
  <c r="AF147" i="10"/>
  <c r="AG147" i="10"/>
  <c r="AH147" i="10"/>
  <c r="AC148" i="10"/>
  <c r="AD148" i="10"/>
  <c r="AE148" i="10"/>
  <c r="AF148" i="10"/>
  <c r="AG148" i="10"/>
  <c r="AH148" i="10"/>
  <c r="AC149" i="10"/>
  <c r="AD149" i="10"/>
  <c r="AE149" i="10"/>
  <c r="AF149" i="10"/>
  <c r="AG149" i="10"/>
  <c r="AH149" i="10"/>
  <c r="AC150" i="10"/>
  <c r="AD150" i="10"/>
  <c r="AE150" i="10"/>
  <c r="AF150" i="10"/>
  <c r="AG150" i="10"/>
  <c r="AH150" i="10"/>
  <c r="AC151" i="10"/>
  <c r="AD151" i="10"/>
  <c r="AE151" i="10"/>
  <c r="AF151" i="10"/>
  <c r="AG151" i="10"/>
  <c r="AH151" i="10"/>
  <c r="AC152" i="10"/>
  <c r="AD152" i="10"/>
  <c r="AE152" i="10"/>
  <c r="AF152" i="10"/>
  <c r="AG152" i="10"/>
  <c r="AH152" i="10"/>
  <c r="AC153" i="10"/>
  <c r="AD153" i="10"/>
  <c r="AE153" i="10"/>
  <c r="AF153" i="10"/>
  <c r="AG153" i="10"/>
  <c r="AH153" i="10"/>
  <c r="AC154" i="10"/>
  <c r="AD154" i="10"/>
  <c r="AE154" i="10"/>
  <c r="AF154" i="10"/>
  <c r="AG154" i="10"/>
  <c r="AH154" i="10"/>
  <c r="AC155" i="10"/>
  <c r="AD155" i="10"/>
  <c r="AE155" i="10"/>
  <c r="AF155" i="10"/>
  <c r="AG155" i="10"/>
  <c r="AH155" i="10"/>
  <c r="AC156" i="10"/>
  <c r="AD156" i="10"/>
  <c r="AE156" i="10"/>
  <c r="AF156" i="10"/>
  <c r="AG156" i="10"/>
  <c r="AH156" i="10"/>
  <c r="AC157" i="10"/>
  <c r="AD157" i="10"/>
  <c r="AE157" i="10"/>
  <c r="AF157" i="10"/>
  <c r="AG157" i="10"/>
  <c r="AH157" i="10"/>
  <c r="AC158" i="10"/>
  <c r="AD158" i="10"/>
  <c r="AE158" i="10"/>
  <c r="AF158" i="10"/>
  <c r="AG158" i="10"/>
  <c r="AH158" i="10"/>
  <c r="AC159" i="10"/>
  <c r="AD159" i="10"/>
  <c r="AE159" i="10"/>
  <c r="AF159" i="10"/>
  <c r="AG159" i="10"/>
  <c r="AH159" i="10"/>
  <c r="AC160" i="10"/>
  <c r="AD160" i="10"/>
  <c r="AE160" i="10"/>
  <c r="AF160" i="10"/>
  <c r="AG160" i="10"/>
  <c r="AH160" i="10"/>
  <c r="AC161" i="10"/>
  <c r="AD161" i="10"/>
  <c r="AE161" i="10"/>
  <c r="AF161" i="10"/>
  <c r="AG161" i="10"/>
  <c r="AH161" i="10"/>
  <c r="AC162" i="10"/>
  <c r="AD162" i="10"/>
  <c r="AE162" i="10"/>
  <c r="AF162" i="10"/>
  <c r="AG162" i="10"/>
  <c r="AH162" i="10"/>
  <c r="AC163" i="10"/>
  <c r="AD163" i="10"/>
  <c r="AE163" i="10"/>
  <c r="AF163" i="10"/>
  <c r="AG163" i="10"/>
  <c r="AH163" i="10"/>
  <c r="AC164" i="10"/>
  <c r="AD164" i="10"/>
  <c r="AE164" i="10"/>
  <c r="AF164" i="10"/>
  <c r="AG164" i="10"/>
  <c r="AH164" i="10"/>
  <c r="AC165" i="10"/>
  <c r="AD165" i="10"/>
  <c r="AE165" i="10"/>
  <c r="AF165" i="10"/>
  <c r="AG165" i="10"/>
  <c r="AH165" i="10"/>
  <c r="AC166" i="10"/>
  <c r="AD166" i="10"/>
  <c r="AE166" i="10"/>
  <c r="AF166" i="10"/>
  <c r="AG166" i="10"/>
  <c r="AH166" i="10"/>
  <c r="AC167" i="10"/>
  <c r="AD167" i="10"/>
  <c r="AE167" i="10"/>
  <c r="AF167" i="10"/>
  <c r="AG167" i="10"/>
  <c r="AH167" i="10"/>
  <c r="AC168" i="10"/>
  <c r="AD168" i="10"/>
  <c r="AE168" i="10"/>
  <c r="AF168" i="10"/>
  <c r="AG168" i="10"/>
  <c r="AH168" i="10"/>
  <c r="AC169" i="10"/>
  <c r="AD169" i="10"/>
  <c r="AE169" i="10"/>
  <c r="AF169" i="10"/>
  <c r="AG169" i="10"/>
  <c r="AH169" i="10"/>
  <c r="AC170" i="10"/>
  <c r="AD170" i="10"/>
  <c r="AE170" i="10"/>
  <c r="AF170" i="10"/>
  <c r="AG170" i="10"/>
  <c r="AH170" i="10"/>
  <c r="AC171" i="10"/>
  <c r="AD171" i="10"/>
  <c r="AE171" i="10"/>
  <c r="AF171" i="10"/>
  <c r="AG171" i="10"/>
  <c r="AH171" i="10"/>
  <c r="AC172" i="10"/>
  <c r="AD172" i="10"/>
  <c r="AE172" i="10"/>
  <c r="AF172" i="10"/>
  <c r="AG172" i="10"/>
  <c r="AH172" i="10"/>
  <c r="AC173" i="10"/>
  <c r="AD173" i="10"/>
  <c r="AE173" i="10"/>
  <c r="AF173" i="10"/>
  <c r="AG173" i="10"/>
  <c r="AH173" i="10"/>
  <c r="AC174" i="10"/>
  <c r="AD174" i="10"/>
  <c r="AE174" i="10"/>
  <c r="AF174" i="10"/>
  <c r="AG174" i="10"/>
  <c r="AH174" i="10"/>
  <c r="AC175" i="10"/>
  <c r="AD175" i="10"/>
  <c r="AE175" i="10"/>
  <c r="AF175" i="10"/>
  <c r="AG175" i="10"/>
  <c r="AH175" i="10"/>
  <c r="AC176" i="10"/>
  <c r="AD176" i="10"/>
  <c r="AE176" i="10"/>
  <c r="AF176" i="10"/>
  <c r="AG176" i="10"/>
  <c r="AH176" i="10"/>
  <c r="AC177" i="10"/>
  <c r="AD177" i="10"/>
  <c r="AE177" i="10"/>
  <c r="AF177" i="10"/>
  <c r="AG177" i="10"/>
  <c r="AH177" i="10"/>
  <c r="AC178" i="10"/>
  <c r="AD178" i="10"/>
  <c r="AE178" i="10"/>
  <c r="AF178" i="10"/>
  <c r="AG178" i="10"/>
  <c r="AH178" i="10"/>
  <c r="AC179" i="10"/>
  <c r="AD179" i="10"/>
  <c r="AE179" i="10"/>
  <c r="AF179" i="10"/>
  <c r="AG179" i="10"/>
  <c r="AH179" i="10"/>
  <c r="AH8" i="10"/>
  <c r="AG8" i="10"/>
  <c r="AF8" i="10"/>
  <c r="AE8" i="10"/>
  <c r="AD8" i="10"/>
  <c r="AC180" i="10"/>
  <c r="AC181" i="10"/>
  <c r="AC182" i="10"/>
  <c r="AC183" i="10"/>
  <c r="AC184" i="10"/>
  <c r="AC185" i="10"/>
  <c r="AC186" i="10"/>
  <c r="AC187" i="10"/>
  <c r="AC188" i="10"/>
  <c r="AC189" i="10"/>
  <c r="AC190" i="10"/>
  <c r="AC191" i="10"/>
  <c r="AC192" i="10"/>
  <c r="AC193" i="10"/>
  <c r="AC194" i="10"/>
  <c r="AC195" i="10"/>
  <c r="AC196" i="10"/>
  <c r="AC197" i="10"/>
  <c r="AC198" i="10"/>
  <c r="AC199" i="10"/>
  <c r="AC200" i="10"/>
  <c r="AC201" i="10"/>
  <c r="AC202" i="10"/>
  <c r="AC203" i="10"/>
  <c r="AC204" i="10"/>
  <c r="AC205" i="10"/>
  <c r="AC206" i="10"/>
  <c r="AC207" i="10"/>
  <c r="AC208" i="10"/>
  <c r="AC209" i="10"/>
  <c r="AC210" i="10"/>
  <c r="AC211" i="10"/>
  <c r="AC212" i="10"/>
  <c r="AC213" i="10"/>
  <c r="AC214" i="10"/>
  <c r="AC215" i="10"/>
  <c r="AC216" i="10"/>
  <c r="AC217" i="10"/>
  <c r="AC218" i="10"/>
  <c r="AC219" i="10"/>
  <c r="AC220" i="10"/>
  <c r="AC221" i="10"/>
  <c r="AC222" i="10"/>
  <c r="AC223" i="10"/>
  <c r="AC224" i="10"/>
  <c r="AC225" i="10"/>
  <c r="AC226" i="10"/>
  <c r="AC227" i="10"/>
  <c r="AC228" i="10"/>
  <c r="AI228" i="10" s="1"/>
  <c r="AC229" i="10"/>
  <c r="AC230" i="10"/>
  <c r="AC231" i="10"/>
  <c r="AC232" i="10"/>
  <c r="AI232" i="10" s="1"/>
  <c r="AC233" i="10"/>
  <c r="AI233" i="10" s="1"/>
  <c r="AC234" i="10"/>
  <c r="AI234" i="10" s="1"/>
  <c r="AC235" i="10"/>
  <c r="AI235" i="10" s="1"/>
  <c r="AC236" i="10"/>
  <c r="AI236" i="10" s="1"/>
  <c r="AC237" i="10"/>
  <c r="AC238" i="10"/>
  <c r="AC239" i="10"/>
  <c r="AC240" i="10"/>
  <c r="AC241" i="10"/>
  <c r="AC242" i="10"/>
  <c r="AI242" i="10" s="1"/>
  <c r="AC243" i="10"/>
  <c r="AI243" i="10" s="1"/>
  <c r="AC244" i="10"/>
  <c r="AI244" i="10" s="1"/>
  <c r="AC245" i="10"/>
  <c r="AC246" i="10"/>
  <c r="AC247" i="10"/>
  <c r="AI247" i="10" s="1"/>
  <c r="AC248" i="10"/>
  <c r="AI248" i="10" s="1"/>
  <c r="AC249" i="10"/>
  <c r="AI249" i="10" s="1"/>
  <c r="AC250" i="10"/>
  <c r="AI250" i="10" s="1"/>
  <c r="AC251" i="10"/>
  <c r="AI251" i="10" s="1"/>
  <c r="AC252" i="10"/>
  <c r="AC253" i="10"/>
  <c r="AC254" i="10"/>
  <c r="AC255" i="10"/>
  <c r="AC256" i="10"/>
  <c r="AC257" i="10"/>
  <c r="AC258" i="10"/>
  <c r="AI258" i="10" s="1"/>
  <c r="AC259" i="10"/>
  <c r="AI259" i="10" s="1"/>
  <c r="AC260" i="10"/>
  <c r="AI260" i="10" s="1"/>
  <c r="AC261" i="10"/>
  <c r="AC262" i="10"/>
  <c r="AC263" i="10"/>
  <c r="AN263" i="10" s="1"/>
  <c r="AC264" i="10"/>
  <c r="AN264" i="10" s="1"/>
  <c r="AC265" i="10"/>
  <c r="AI265" i="10" s="1"/>
  <c r="AC266" i="10"/>
  <c r="AC267" i="10"/>
  <c r="AI267" i="10" s="1"/>
  <c r="AC268" i="10"/>
  <c r="AC269" i="10"/>
  <c r="AC270" i="10"/>
  <c r="AC271" i="10"/>
  <c r="AC272" i="10"/>
  <c r="AC273" i="10"/>
  <c r="AC274" i="10"/>
  <c r="AC275" i="10"/>
  <c r="AC276" i="10"/>
  <c r="AC277" i="10"/>
  <c r="AC278" i="10"/>
  <c r="AC279" i="10"/>
  <c r="AC280" i="10"/>
  <c r="AC281" i="10"/>
  <c r="AC282" i="10"/>
  <c r="AC283" i="10"/>
  <c r="AC284" i="10"/>
  <c r="AC285" i="10"/>
  <c r="AC286" i="10"/>
  <c r="AC287" i="10"/>
  <c r="AC288" i="10"/>
  <c r="AC289" i="10"/>
  <c r="AC290" i="10"/>
  <c r="AC291" i="10"/>
  <c r="AC292" i="10"/>
  <c r="AC293" i="10"/>
  <c r="AC294" i="10"/>
  <c r="AC295" i="10"/>
  <c r="AC296" i="10"/>
  <c r="AC297" i="10"/>
  <c r="AC298" i="10"/>
  <c r="AC299" i="10"/>
  <c r="AC300" i="10"/>
  <c r="AC301" i="10"/>
  <c r="AC302" i="10"/>
  <c r="AC303" i="10"/>
  <c r="AC304" i="10"/>
  <c r="AC305" i="10"/>
  <c r="AC306" i="10"/>
  <c r="AC307" i="10"/>
  <c r="AC8" i="10"/>
  <c r="AM8" i="10" s="1"/>
  <c r="AA228" i="10"/>
  <c r="AB228" i="10" s="1"/>
  <c r="AD228" i="10"/>
  <c r="AE228" i="10"/>
  <c r="AF228" i="10"/>
  <c r="AG228" i="10"/>
  <c r="AA229" i="10"/>
  <c r="AB229" i="10" s="1"/>
  <c r="AI229" i="10"/>
  <c r="AD229" i="10"/>
  <c r="AE229" i="10"/>
  <c r="AF229" i="10"/>
  <c r="AG229" i="10"/>
  <c r="AA230" i="10"/>
  <c r="AB230" i="10" s="1"/>
  <c r="AI230" i="10"/>
  <c r="AD230" i="10"/>
  <c r="AE230" i="10"/>
  <c r="AF230" i="10"/>
  <c r="AG230" i="10"/>
  <c r="AA231" i="10"/>
  <c r="AB231" i="10" s="1"/>
  <c r="AI231" i="10"/>
  <c r="AD231" i="10"/>
  <c r="AE231" i="10"/>
  <c r="AF231" i="10"/>
  <c r="AG231" i="10"/>
  <c r="AA232" i="10"/>
  <c r="AB232" i="10" s="1"/>
  <c r="AD232" i="10"/>
  <c r="AE232" i="10"/>
  <c r="AF232" i="10"/>
  <c r="AG232" i="10"/>
  <c r="AA233" i="10"/>
  <c r="AB233" i="10" s="1"/>
  <c r="AD233" i="10"/>
  <c r="AE233" i="10"/>
  <c r="AF233" i="10"/>
  <c r="AG233" i="10"/>
  <c r="AA234" i="10"/>
  <c r="AB234" i="10" s="1"/>
  <c r="AD234" i="10"/>
  <c r="AE234" i="10"/>
  <c r="AF234" i="10"/>
  <c r="AG234" i="10"/>
  <c r="AA235" i="10"/>
  <c r="AB235" i="10" s="1"/>
  <c r="AD235" i="10"/>
  <c r="AE235" i="10"/>
  <c r="AF235" i="10"/>
  <c r="AG235" i="10"/>
  <c r="AA236" i="10"/>
  <c r="AB236" i="10" s="1"/>
  <c r="AD236" i="10"/>
  <c r="AE236" i="10"/>
  <c r="AF236" i="10"/>
  <c r="AG236" i="10"/>
  <c r="AA237" i="10"/>
  <c r="AB237" i="10" s="1"/>
  <c r="AI237" i="10"/>
  <c r="AD237" i="10"/>
  <c r="AE237" i="10"/>
  <c r="AF237" i="10"/>
  <c r="AG237" i="10"/>
  <c r="AA238" i="10"/>
  <c r="AB238" i="10" s="1"/>
  <c r="AI238" i="10"/>
  <c r="AD238" i="10"/>
  <c r="AE238" i="10"/>
  <c r="AF238" i="10"/>
  <c r="AG238" i="10"/>
  <c r="AA239" i="10"/>
  <c r="AB239" i="10" s="1"/>
  <c r="AI239" i="10"/>
  <c r="AD239" i="10"/>
  <c r="AE239" i="10"/>
  <c r="AF239" i="10"/>
  <c r="AG239" i="10"/>
  <c r="AA240" i="10"/>
  <c r="AB240" i="10" s="1"/>
  <c r="AI240" i="10"/>
  <c r="AD240" i="10"/>
  <c r="AE240" i="10"/>
  <c r="AF240" i="10"/>
  <c r="AG240" i="10"/>
  <c r="AA241" i="10"/>
  <c r="AB241" i="10" s="1"/>
  <c r="AI241" i="10"/>
  <c r="AD241" i="10"/>
  <c r="AE241" i="10"/>
  <c r="AF241" i="10"/>
  <c r="AG241" i="10"/>
  <c r="AA242" i="10"/>
  <c r="AB242" i="10" s="1"/>
  <c r="AD242" i="10"/>
  <c r="AE242" i="10"/>
  <c r="AF242" i="10"/>
  <c r="AG242" i="10"/>
  <c r="AA243" i="10"/>
  <c r="AB243" i="10" s="1"/>
  <c r="AD243" i="10"/>
  <c r="AE243" i="10"/>
  <c r="AF243" i="10"/>
  <c r="AG243" i="10"/>
  <c r="AA244" i="10"/>
  <c r="AB244" i="10" s="1"/>
  <c r="AD244" i="10"/>
  <c r="AE244" i="10"/>
  <c r="AF244" i="10"/>
  <c r="AG244" i="10"/>
  <c r="AA245" i="10"/>
  <c r="AB245" i="10" s="1"/>
  <c r="AI245" i="10"/>
  <c r="AD245" i="10"/>
  <c r="AE245" i="10"/>
  <c r="AF245" i="10"/>
  <c r="AG245" i="10"/>
  <c r="AA246" i="10"/>
  <c r="AB246" i="10" s="1"/>
  <c r="AI246" i="10"/>
  <c r="AD246" i="10"/>
  <c r="AE246" i="10"/>
  <c r="AF246" i="10"/>
  <c r="AG246" i="10"/>
  <c r="AA247" i="10"/>
  <c r="AB247" i="10" s="1"/>
  <c r="AD247" i="10"/>
  <c r="AE247" i="10"/>
  <c r="AF247" i="10"/>
  <c r="AG247" i="10"/>
  <c r="AA248" i="10"/>
  <c r="AB248" i="10" s="1"/>
  <c r="AD248" i="10"/>
  <c r="AE248" i="10"/>
  <c r="AF248" i="10"/>
  <c r="AG248" i="10"/>
  <c r="H249" i="10"/>
  <c r="AA249" i="10"/>
  <c r="AB249" i="10" s="1"/>
  <c r="AD249" i="10"/>
  <c r="AE249" i="10"/>
  <c r="AF249" i="10"/>
  <c r="AG249" i="10"/>
  <c r="AH249" i="10"/>
  <c r="BI249" i="10"/>
  <c r="H250" i="10"/>
  <c r="AA250" i="10"/>
  <c r="AB250" i="10" s="1"/>
  <c r="AD250" i="10"/>
  <c r="AE250" i="10"/>
  <c r="AF250" i="10"/>
  <c r="AG250" i="10"/>
  <c r="AH250" i="10"/>
  <c r="BI250" i="10"/>
  <c r="H251" i="10"/>
  <c r="AA251" i="10"/>
  <c r="AB251" i="10" s="1"/>
  <c r="AD251" i="10"/>
  <c r="AE251" i="10"/>
  <c r="AF251" i="10"/>
  <c r="AG251" i="10"/>
  <c r="AH251" i="10"/>
  <c r="BI251" i="10"/>
  <c r="H252" i="10"/>
  <c r="AA252" i="10"/>
  <c r="AB252" i="10" s="1"/>
  <c r="AI252" i="10"/>
  <c r="AD252" i="10"/>
  <c r="AE252" i="10"/>
  <c r="AF252" i="10"/>
  <c r="AG252" i="10"/>
  <c r="AH252" i="10"/>
  <c r="BI252" i="10"/>
  <c r="H253" i="10"/>
  <c r="AA253" i="10"/>
  <c r="AB253" i="10" s="1"/>
  <c r="AI253" i="10"/>
  <c r="AD253" i="10"/>
  <c r="AE253" i="10"/>
  <c r="AF253" i="10"/>
  <c r="AG253" i="10"/>
  <c r="AH253" i="10"/>
  <c r="BI253" i="10"/>
  <c r="H254" i="10"/>
  <c r="AA254" i="10"/>
  <c r="AB254" i="10" s="1"/>
  <c r="AI254" i="10"/>
  <c r="AD254" i="10"/>
  <c r="AE254" i="10"/>
  <c r="AF254" i="10"/>
  <c r="AG254" i="10"/>
  <c r="AH254" i="10"/>
  <c r="BI254" i="10"/>
  <c r="H255" i="10"/>
  <c r="AA255" i="10"/>
  <c r="AB255" i="10" s="1"/>
  <c r="AI255" i="10"/>
  <c r="AD255" i="10"/>
  <c r="AE255" i="10"/>
  <c r="AF255" i="10"/>
  <c r="AG255" i="10"/>
  <c r="AH255" i="10"/>
  <c r="BI255" i="10"/>
  <c r="H256" i="10"/>
  <c r="AA256" i="10"/>
  <c r="AB256" i="10" s="1"/>
  <c r="AI256" i="10"/>
  <c r="AD256" i="10"/>
  <c r="AE256" i="10"/>
  <c r="AF256" i="10"/>
  <c r="AG256" i="10"/>
  <c r="AH256" i="10"/>
  <c r="BI256" i="10"/>
  <c r="H257" i="10"/>
  <c r="AA257" i="10"/>
  <c r="AB257" i="10" s="1"/>
  <c r="AI257" i="10"/>
  <c r="AD257" i="10"/>
  <c r="AE257" i="10"/>
  <c r="AF257" i="10"/>
  <c r="AG257" i="10"/>
  <c r="AH257" i="10"/>
  <c r="BI257" i="10"/>
  <c r="H258" i="10"/>
  <c r="AA258" i="10"/>
  <c r="AB258" i="10" s="1"/>
  <c r="AD258" i="10"/>
  <c r="AE258" i="10"/>
  <c r="AF258" i="10"/>
  <c r="AG258" i="10"/>
  <c r="AH258" i="10"/>
  <c r="BI258" i="10"/>
  <c r="H259" i="10"/>
  <c r="AA259" i="10"/>
  <c r="AB259" i="10" s="1"/>
  <c r="AD259" i="10"/>
  <c r="AE259" i="10"/>
  <c r="AF259" i="10"/>
  <c r="AG259" i="10"/>
  <c r="AH259" i="10"/>
  <c r="BI259" i="10"/>
  <c r="H260" i="10"/>
  <c r="AA260" i="10"/>
  <c r="AB260" i="10" s="1"/>
  <c r="AD260" i="10"/>
  <c r="AE260" i="10"/>
  <c r="AF260" i="10"/>
  <c r="AG260" i="10"/>
  <c r="AH260" i="10"/>
  <c r="BI260" i="10"/>
  <c r="H261" i="10"/>
  <c r="AA261" i="10"/>
  <c r="AB261" i="10" s="1"/>
  <c r="AI261" i="10"/>
  <c r="AD261" i="10"/>
  <c r="AE261" i="10"/>
  <c r="AF261" i="10"/>
  <c r="AG261" i="10"/>
  <c r="AH261" i="10"/>
  <c r="H262" i="10"/>
  <c r="AA262" i="10"/>
  <c r="AB262" i="10" s="1"/>
  <c r="AD262" i="10"/>
  <c r="AE262" i="10"/>
  <c r="AF262" i="10"/>
  <c r="AG262" i="10"/>
  <c r="AH262" i="10"/>
  <c r="H263" i="10"/>
  <c r="AA263" i="10"/>
  <c r="AB263" i="10" s="1"/>
  <c r="AD263" i="10"/>
  <c r="AE263" i="10"/>
  <c r="AF263" i="10"/>
  <c r="AG263" i="10"/>
  <c r="AH263" i="10"/>
  <c r="H264" i="10"/>
  <c r="AA264" i="10"/>
  <c r="AB264" i="10" s="1"/>
  <c r="AD264" i="10"/>
  <c r="AE264" i="10"/>
  <c r="AF264" i="10"/>
  <c r="AG264" i="10"/>
  <c r="AH264" i="10"/>
  <c r="H265" i="10"/>
  <c r="AA265" i="10"/>
  <c r="AB265" i="10" s="1"/>
  <c r="AD265" i="10"/>
  <c r="AE265" i="10"/>
  <c r="AF265" i="10"/>
  <c r="AG265" i="10"/>
  <c r="AH265" i="10"/>
  <c r="H266" i="10"/>
  <c r="AA266" i="10"/>
  <c r="AB266" i="10" s="1"/>
  <c r="AD266" i="10"/>
  <c r="AE266" i="10"/>
  <c r="AF266" i="10"/>
  <c r="AG266" i="10"/>
  <c r="AH266" i="10"/>
  <c r="H267" i="10"/>
  <c r="AA267" i="10"/>
  <c r="AB267" i="10" s="1"/>
  <c r="AD267" i="10"/>
  <c r="AE267" i="10"/>
  <c r="AF267" i="10"/>
  <c r="AG267" i="10"/>
  <c r="AH267" i="10"/>
  <c r="H268" i="10"/>
  <c r="AA268" i="10"/>
  <c r="AB268" i="10" s="1"/>
  <c r="AI268" i="10"/>
  <c r="AD268" i="10"/>
  <c r="AE268" i="10"/>
  <c r="AF268" i="10"/>
  <c r="AG268" i="10"/>
  <c r="AH268" i="10"/>
  <c r="H269" i="10"/>
  <c r="AA269" i="10"/>
  <c r="AB269" i="10" s="1"/>
  <c r="AI269" i="10"/>
  <c r="AD269" i="10"/>
  <c r="AE269" i="10"/>
  <c r="AF269" i="10"/>
  <c r="AG269" i="10"/>
  <c r="AH269" i="10"/>
  <c r="AK240" i="10" l="1"/>
  <c r="AK246" i="10"/>
  <c r="AK242" i="10"/>
  <c r="AM258" i="10"/>
  <c r="AK247" i="10"/>
  <c r="AK241" i="10"/>
  <c r="AN255" i="10"/>
  <c r="AM255" i="10"/>
  <c r="AK245" i="10"/>
  <c r="AK230" i="10"/>
  <c r="AK239" i="10"/>
  <c r="AK234" i="10"/>
  <c r="AK229" i="10"/>
  <c r="AK248" i="10"/>
  <c r="AK243" i="10"/>
  <c r="AN251" i="10"/>
  <c r="AK228" i="10"/>
  <c r="AM251" i="10"/>
  <c r="AK244" i="10"/>
  <c r="AK237" i="10"/>
  <c r="AK232" i="10"/>
  <c r="AK238" i="10"/>
  <c r="AK236" i="10"/>
  <c r="AK235" i="10"/>
  <c r="AK233" i="10"/>
  <c r="AK231" i="10"/>
  <c r="AM248" i="10"/>
  <c r="AM247" i="10"/>
  <c r="AM246" i="10"/>
  <c r="AM245" i="10"/>
  <c r="AM244" i="10"/>
  <c r="AM243" i="10"/>
  <c r="AM242" i="10"/>
  <c r="AM241" i="10"/>
  <c r="AM240" i="10"/>
  <c r="AM239" i="10"/>
  <c r="AM238" i="10"/>
  <c r="AM237" i="10"/>
  <c r="AM236" i="10"/>
  <c r="AM235" i="10"/>
  <c r="AM234" i="10"/>
  <c r="AM233" i="10"/>
  <c r="AM232" i="10"/>
  <c r="AM231" i="10"/>
  <c r="AM230" i="10"/>
  <c r="AM229" i="10"/>
  <c r="AM228" i="10"/>
  <c r="AL248" i="10"/>
  <c r="AL247" i="10"/>
  <c r="AL246" i="10"/>
  <c r="AL245" i="10"/>
  <c r="AL244" i="10"/>
  <c r="AL243" i="10"/>
  <c r="AL242" i="10"/>
  <c r="AL241" i="10"/>
  <c r="AL240" i="10"/>
  <c r="AL239" i="10"/>
  <c r="AL238" i="10"/>
  <c r="AL237" i="10"/>
  <c r="AL236" i="10"/>
  <c r="AL235" i="10"/>
  <c r="AL234" i="10"/>
  <c r="AL233" i="10"/>
  <c r="AL232" i="10"/>
  <c r="AL231" i="10"/>
  <c r="AL230" i="10"/>
  <c r="AL229" i="10"/>
  <c r="AL228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M260" i="10"/>
  <c r="AN260" i="10"/>
  <c r="AM261" i="10"/>
  <c r="AL255" i="10"/>
  <c r="AM262" i="10"/>
  <c r="AI263" i="10"/>
  <c r="AN256" i="10"/>
  <c r="AM256" i="10"/>
  <c r="AN259" i="10"/>
  <c r="AM259" i="10"/>
  <c r="AL251" i="10"/>
  <c r="AM257" i="10"/>
  <c r="AM253" i="10"/>
  <c r="AL259" i="10"/>
  <c r="AN252" i="10"/>
  <c r="AM252" i="10"/>
  <c r="AJ263" i="10"/>
  <c r="AJ262" i="10"/>
  <c r="AL260" i="10"/>
  <c r="AL256" i="10"/>
  <c r="AL252" i="10"/>
  <c r="AN261" i="10"/>
  <c r="AN257" i="10"/>
  <c r="AN253" i="10"/>
  <c r="AN249" i="10"/>
  <c r="AM249" i="10"/>
  <c r="AL261" i="10"/>
  <c r="AL257" i="10"/>
  <c r="AL253" i="10"/>
  <c r="AL249" i="10"/>
  <c r="AN262" i="10"/>
  <c r="AN258" i="10"/>
  <c r="AN254" i="10"/>
  <c r="AN250" i="10"/>
  <c r="AM250" i="10"/>
  <c r="AM254" i="10"/>
  <c r="AK266" i="10"/>
  <c r="AI262" i="10"/>
  <c r="AL258" i="10"/>
  <c r="AL254" i="10"/>
  <c r="AL250" i="10"/>
  <c r="AM263" i="10"/>
  <c r="AN269" i="10"/>
  <c r="AN265" i="10"/>
  <c r="AM264" i="10"/>
  <c r="AL263" i="10"/>
  <c r="AL262" i="10"/>
  <c r="AK261" i="10"/>
  <c r="AK260" i="10"/>
  <c r="AK259" i="10"/>
  <c r="AK258" i="10"/>
  <c r="AK257" i="10"/>
  <c r="AK256" i="10"/>
  <c r="AK255" i="10"/>
  <c r="AK254" i="10"/>
  <c r="AK253" i="10"/>
  <c r="AK252" i="10"/>
  <c r="AK251" i="10"/>
  <c r="AK250" i="10"/>
  <c r="AK249" i="10"/>
  <c r="AM269" i="10"/>
  <c r="AN267" i="10"/>
  <c r="AN266" i="10"/>
  <c r="AM265" i="10"/>
  <c r="AL264" i="10"/>
  <c r="AK263" i="10"/>
  <c r="AK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L269" i="10"/>
  <c r="AN268" i="10"/>
  <c r="AM267" i="10"/>
  <c r="AM266" i="10"/>
  <c r="AL265" i="10"/>
  <c r="AK264" i="10"/>
  <c r="AK269" i="10"/>
  <c r="AM268" i="10"/>
  <c r="AL267" i="10"/>
  <c r="AJ264" i="10"/>
  <c r="AL268" i="10"/>
  <c r="AK267" i="10"/>
  <c r="AI264" i="10"/>
  <c r="AJ269" i="10"/>
  <c r="AJ267" i="10"/>
  <c r="AK265" i="10"/>
  <c r="AJ265" i="10"/>
  <c r="AK268" i="10"/>
  <c r="AJ266" i="10"/>
  <c r="AJ268" i="10"/>
  <c r="AI266" i="10"/>
  <c r="AL266" i="10"/>
  <c r="AO229" i="10" l="1"/>
  <c r="AP229" i="10" s="1"/>
  <c r="AR229" i="10" s="1"/>
  <c r="AS229" i="10" s="1"/>
  <c r="AO245" i="10"/>
  <c r="AP245" i="10" s="1"/>
  <c r="AR245" i="10" s="1"/>
  <c r="AS245" i="10" s="1"/>
  <c r="AO232" i="10"/>
  <c r="AP232" i="10" s="1"/>
  <c r="AR232" i="10" s="1"/>
  <c r="AS232" i="10" s="1"/>
  <c r="AO248" i="10"/>
  <c r="AP248" i="10" s="1"/>
  <c r="AR248" i="10" s="1"/>
  <c r="AS248" i="10" s="1"/>
  <c r="AO228" i="10"/>
  <c r="AP228" i="10" s="1"/>
  <c r="AR228" i="10" s="1"/>
  <c r="AS228" i="10" s="1"/>
  <c r="AO230" i="10"/>
  <c r="AP230" i="10" s="1"/>
  <c r="AR230" i="10" s="1"/>
  <c r="AS230" i="10" s="1"/>
  <c r="AO246" i="10"/>
  <c r="AP246" i="10" s="1"/>
  <c r="AR246" i="10" s="1"/>
  <c r="AS246" i="10" s="1"/>
  <c r="AO247" i="10"/>
  <c r="AP247" i="10" s="1"/>
  <c r="AR247" i="10" s="1"/>
  <c r="AS247" i="10" s="1"/>
  <c r="AO233" i="10"/>
  <c r="AP233" i="10" s="1"/>
  <c r="AR233" i="10" s="1"/>
  <c r="AS233" i="10" s="1"/>
  <c r="AO239" i="10"/>
  <c r="AP239" i="10" s="1"/>
  <c r="AR239" i="10" s="1"/>
  <c r="AS239" i="10" s="1"/>
  <c r="AO240" i="10"/>
  <c r="AP240" i="10" s="1"/>
  <c r="AR240" i="10" s="1"/>
  <c r="AS240" i="10" s="1"/>
  <c r="AO234" i="10"/>
  <c r="AP234" i="10" s="1"/>
  <c r="AR234" i="10" s="1"/>
  <c r="AS234" i="10" s="1"/>
  <c r="AO235" i="10"/>
  <c r="AP235" i="10" s="1"/>
  <c r="AR235" i="10" s="1"/>
  <c r="AS235" i="10" s="1"/>
  <c r="AO236" i="10"/>
  <c r="AP236" i="10" s="1"/>
  <c r="AR236" i="10" s="1"/>
  <c r="AS236" i="10" s="1"/>
  <c r="AO231" i="10"/>
  <c r="AP231" i="10" s="1"/>
  <c r="AR231" i="10" s="1"/>
  <c r="AS231" i="10" s="1"/>
  <c r="AO237" i="10"/>
  <c r="AP237" i="10" s="1"/>
  <c r="AR237" i="10" s="1"/>
  <c r="AS237" i="10" s="1"/>
  <c r="AO238" i="10"/>
  <c r="AP238" i="10" s="1"/>
  <c r="AR238" i="10" s="1"/>
  <c r="AS238" i="10" s="1"/>
  <c r="AO244" i="10"/>
  <c r="AP244" i="10" s="1"/>
  <c r="AR244" i="10" s="1"/>
  <c r="AS244" i="10" s="1"/>
  <c r="AO241" i="10"/>
  <c r="AP241" i="10" s="1"/>
  <c r="AR241" i="10" s="1"/>
  <c r="AS241" i="10" s="1"/>
  <c r="AO242" i="10"/>
  <c r="AP242" i="10" s="1"/>
  <c r="AR242" i="10" s="1"/>
  <c r="AS242" i="10" s="1"/>
  <c r="AO243" i="10"/>
  <c r="AP243" i="10" s="1"/>
  <c r="AR243" i="10" s="1"/>
  <c r="AS243" i="10" s="1"/>
  <c r="AO251" i="10"/>
  <c r="AP251" i="10" s="1"/>
  <c r="AR251" i="10" s="1"/>
  <c r="AS251" i="10" s="1"/>
  <c r="AO253" i="10"/>
  <c r="AP253" i="10" s="1"/>
  <c r="AR253" i="10" s="1"/>
  <c r="AS253" i="10" s="1"/>
  <c r="AO255" i="10"/>
  <c r="AP255" i="10" s="1"/>
  <c r="AR255" i="10" s="1"/>
  <c r="AS255" i="10" s="1"/>
  <c r="AO258" i="10"/>
  <c r="AP258" i="10" s="1"/>
  <c r="AR258" i="10" s="1"/>
  <c r="AS258" i="10" s="1"/>
  <c r="AO256" i="10"/>
  <c r="AP256" i="10" s="1"/>
  <c r="AR256" i="10" s="1"/>
  <c r="AS256" i="10" s="1"/>
  <c r="AO257" i="10"/>
  <c r="AP257" i="10" s="1"/>
  <c r="AR257" i="10" s="1"/>
  <c r="AS257" i="10" s="1"/>
  <c r="AO268" i="10"/>
  <c r="AP268" i="10" s="1"/>
  <c r="AR268" i="10" s="1"/>
  <c r="AS268" i="10" s="1"/>
  <c r="AO267" i="10"/>
  <c r="AP267" i="10" s="1"/>
  <c r="AR267" i="10" s="1"/>
  <c r="AS267" i="10" s="1"/>
  <c r="AO250" i="10"/>
  <c r="AP250" i="10" s="1"/>
  <c r="AR250" i="10" s="1"/>
  <c r="AS250" i="10" s="1"/>
  <c r="AO252" i="10"/>
  <c r="AP252" i="10" s="1"/>
  <c r="AR252" i="10" s="1"/>
  <c r="AS252" i="10" s="1"/>
  <c r="AO249" i="10"/>
  <c r="AP249" i="10" s="1"/>
  <c r="AR249" i="10" s="1"/>
  <c r="AS249" i="10" s="1"/>
  <c r="AO269" i="10"/>
  <c r="AP269" i="10" s="1"/>
  <c r="AR269" i="10" s="1"/>
  <c r="AS269" i="10" s="1"/>
  <c r="AO254" i="10"/>
  <c r="AP254" i="10" s="1"/>
  <c r="AR254" i="10" s="1"/>
  <c r="AS254" i="10" s="1"/>
  <c r="AO261" i="10"/>
  <c r="AP261" i="10" s="1"/>
  <c r="AR261" i="10" s="1"/>
  <c r="AS261" i="10" s="1"/>
  <c r="AO262" i="10"/>
  <c r="AP262" i="10" s="1"/>
  <c r="AR262" i="10" s="1"/>
  <c r="AS262" i="10" s="1"/>
  <c r="AO265" i="10"/>
  <c r="AP265" i="10" s="1"/>
  <c r="AR265" i="10" s="1"/>
  <c r="AS265" i="10" s="1"/>
  <c r="AO263" i="10"/>
  <c r="AP263" i="10" s="1"/>
  <c r="AR263" i="10" s="1"/>
  <c r="AS263" i="10" s="1"/>
  <c r="AO264" i="10"/>
  <c r="AP264" i="10" s="1"/>
  <c r="AR264" i="10" s="1"/>
  <c r="AS264" i="10" s="1"/>
  <c r="AO266" i="10"/>
  <c r="AP266" i="10" s="1"/>
  <c r="AR266" i="10" s="1"/>
  <c r="AS266" i="10" s="1"/>
  <c r="AO259" i="10"/>
  <c r="AP259" i="10" s="1"/>
  <c r="AR259" i="10" s="1"/>
  <c r="AS259" i="10" s="1"/>
  <c r="AO260" i="10"/>
  <c r="AP260" i="10" s="1"/>
  <c r="AR260" i="10" s="1"/>
  <c r="AS260" i="10" s="1"/>
  <c r="AA220" i="10" l="1"/>
  <c r="AB220" i="10" s="1"/>
  <c r="AI220" i="10"/>
  <c r="AD220" i="10"/>
  <c r="AE220" i="10"/>
  <c r="AF220" i="10"/>
  <c r="AG220" i="10"/>
  <c r="AA221" i="10"/>
  <c r="AB221" i="10" s="1"/>
  <c r="AI221" i="10"/>
  <c r="AD221" i="10"/>
  <c r="AE221" i="10"/>
  <c r="AF221" i="10"/>
  <c r="AG221" i="10"/>
  <c r="AA222" i="10"/>
  <c r="AB222" i="10" s="1"/>
  <c r="AI222" i="10"/>
  <c r="AD222" i="10"/>
  <c r="AE222" i="10"/>
  <c r="AF222" i="10"/>
  <c r="AG222" i="10"/>
  <c r="AD223" i="10"/>
  <c r="AE223" i="10"/>
  <c r="AF223" i="10"/>
  <c r="AG223" i="10"/>
  <c r="AA224" i="10"/>
  <c r="AB224" i="10" s="1"/>
  <c r="AI224" i="10"/>
  <c r="AD224" i="10"/>
  <c r="AE224" i="10"/>
  <c r="AF224" i="10"/>
  <c r="AG224" i="10"/>
  <c r="AA225" i="10"/>
  <c r="AB225" i="10" s="1"/>
  <c r="AI225" i="10"/>
  <c r="AD225" i="10"/>
  <c r="AE225" i="10"/>
  <c r="AF225" i="10"/>
  <c r="AG225" i="10"/>
  <c r="AA226" i="10"/>
  <c r="AB226" i="10" s="1"/>
  <c r="AI226" i="10"/>
  <c r="AD226" i="10"/>
  <c r="AE226" i="10"/>
  <c r="AF226" i="10"/>
  <c r="AG226" i="10"/>
  <c r="AA227" i="10"/>
  <c r="AB227" i="10" s="1"/>
  <c r="AI227" i="10"/>
  <c r="AD227" i="10"/>
  <c r="AE227" i="10"/>
  <c r="AF227" i="10"/>
  <c r="AG227" i="10"/>
  <c r="AA187" i="10"/>
  <c r="AB187" i="10" s="1"/>
  <c r="AI187" i="10"/>
  <c r="AD187" i="10"/>
  <c r="AE187" i="10"/>
  <c r="AF187" i="10"/>
  <c r="AG187" i="10"/>
  <c r="AA188" i="10"/>
  <c r="AB188" i="10" s="1"/>
  <c r="AI188" i="10"/>
  <c r="AD188" i="10"/>
  <c r="AE188" i="10"/>
  <c r="AF188" i="10"/>
  <c r="AG188" i="10"/>
  <c r="AA189" i="10"/>
  <c r="AB189" i="10" s="1"/>
  <c r="AI189" i="10"/>
  <c r="AD189" i="10"/>
  <c r="AE189" i="10"/>
  <c r="AF189" i="10"/>
  <c r="AG189" i="10"/>
  <c r="AA190" i="10"/>
  <c r="AB190" i="10" s="1"/>
  <c r="AI190" i="10"/>
  <c r="AD190" i="10"/>
  <c r="AE190" i="10"/>
  <c r="AF190" i="10"/>
  <c r="AG190" i="10"/>
  <c r="AA191" i="10"/>
  <c r="AB191" i="10" s="1"/>
  <c r="AI191" i="10"/>
  <c r="AD191" i="10"/>
  <c r="AE191" i="10"/>
  <c r="AF191" i="10"/>
  <c r="AG191" i="10"/>
  <c r="AA192" i="10"/>
  <c r="AB192" i="10" s="1"/>
  <c r="AI192" i="10"/>
  <c r="AD192" i="10"/>
  <c r="AE192" i="10"/>
  <c r="AF192" i="10"/>
  <c r="AG192" i="10"/>
  <c r="AA193" i="10"/>
  <c r="AB193" i="10" s="1"/>
  <c r="AI193" i="10"/>
  <c r="AD193" i="10"/>
  <c r="AE193" i="10"/>
  <c r="AF193" i="10"/>
  <c r="AG193" i="10"/>
  <c r="AA194" i="10"/>
  <c r="AB194" i="10" s="1"/>
  <c r="AI194" i="10"/>
  <c r="AD194" i="10"/>
  <c r="AE194" i="10"/>
  <c r="AF194" i="10"/>
  <c r="AG194" i="10"/>
  <c r="AA195" i="10"/>
  <c r="AB195" i="10" s="1"/>
  <c r="AI195" i="10"/>
  <c r="AD195" i="10"/>
  <c r="AE195" i="10"/>
  <c r="AF195" i="10"/>
  <c r="AG195" i="10"/>
  <c r="AA196" i="10"/>
  <c r="AB196" i="10" s="1"/>
  <c r="AI196" i="10"/>
  <c r="AD196" i="10"/>
  <c r="AE196" i="10"/>
  <c r="AF196" i="10"/>
  <c r="AG196" i="10"/>
  <c r="AA197" i="10"/>
  <c r="AB197" i="10" s="1"/>
  <c r="AI197" i="10"/>
  <c r="AD197" i="10"/>
  <c r="AE197" i="10"/>
  <c r="AF197" i="10"/>
  <c r="AG197" i="10"/>
  <c r="AA198" i="10"/>
  <c r="AB198" i="10" s="1"/>
  <c r="AI198" i="10"/>
  <c r="AD198" i="10"/>
  <c r="AE198" i="10"/>
  <c r="AF198" i="10"/>
  <c r="AG198" i="10"/>
  <c r="AA199" i="10"/>
  <c r="AB199" i="10" s="1"/>
  <c r="AI199" i="10"/>
  <c r="AD199" i="10"/>
  <c r="AE199" i="10"/>
  <c r="AF199" i="10"/>
  <c r="AG199" i="10"/>
  <c r="AA200" i="10"/>
  <c r="AB200" i="10" s="1"/>
  <c r="AI200" i="10"/>
  <c r="AD200" i="10"/>
  <c r="AE200" i="10"/>
  <c r="AF200" i="10"/>
  <c r="AG200" i="10"/>
  <c r="AA201" i="10"/>
  <c r="AB201" i="10" s="1"/>
  <c r="AI201" i="10"/>
  <c r="AD201" i="10"/>
  <c r="AE201" i="10"/>
  <c r="AF201" i="10"/>
  <c r="AG201" i="10"/>
  <c r="AA202" i="10"/>
  <c r="AB202" i="10" s="1"/>
  <c r="AI202" i="10"/>
  <c r="AD202" i="10"/>
  <c r="AE202" i="10"/>
  <c r="AF202" i="10"/>
  <c r="AG202" i="10"/>
  <c r="AA203" i="10"/>
  <c r="AB203" i="10" s="1"/>
  <c r="AI203" i="10"/>
  <c r="AD203" i="10"/>
  <c r="AE203" i="10"/>
  <c r="AF203" i="10"/>
  <c r="AG203" i="10"/>
  <c r="AA204" i="10"/>
  <c r="AB204" i="10" s="1"/>
  <c r="AI204" i="10"/>
  <c r="AD204" i="10"/>
  <c r="AE204" i="10"/>
  <c r="AF204" i="10"/>
  <c r="AG204" i="10"/>
  <c r="AA205" i="10"/>
  <c r="AB205" i="10" s="1"/>
  <c r="AI205" i="10"/>
  <c r="AD205" i="10"/>
  <c r="AE205" i="10"/>
  <c r="AF205" i="10"/>
  <c r="AG205" i="10"/>
  <c r="AA206" i="10"/>
  <c r="AB206" i="10" s="1"/>
  <c r="AI206" i="10"/>
  <c r="AD206" i="10"/>
  <c r="AE206" i="10"/>
  <c r="AF206" i="10"/>
  <c r="AG206" i="10"/>
  <c r="AA207" i="10"/>
  <c r="AB207" i="10" s="1"/>
  <c r="AI207" i="10"/>
  <c r="AD207" i="10"/>
  <c r="AE207" i="10"/>
  <c r="AF207" i="10"/>
  <c r="AG207" i="10"/>
  <c r="AA208" i="10"/>
  <c r="AB208" i="10" s="1"/>
  <c r="AI208" i="10"/>
  <c r="AD208" i="10"/>
  <c r="AE208" i="10"/>
  <c r="AF208" i="10"/>
  <c r="AG208" i="10"/>
  <c r="AA209" i="10"/>
  <c r="AB209" i="10" s="1"/>
  <c r="AI209" i="10"/>
  <c r="AD209" i="10"/>
  <c r="AE209" i="10"/>
  <c r="AF209" i="10"/>
  <c r="AG209" i="10"/>
  <c r="AA210" i="10"/>
  <c r="AB210" i="10" s="1"/>
  <c r="AI210" i="10"/>
  <c r="AD210" i="10"/>
  <c r="AE210" i="10"/>
  <c r="AF210" i="10"/>
  <c r="AG210" i="10"/>
  <c r="AA211" i="10"/>
  <c r="AB211" i="10" s="1"/>
  <c r="AI211" i="10"/>
  <c r="AD211" i="10"/>
  <c r="AE211" i="10"/>
  <c r="AF211" i="10"/>
  <c r="AG211" i="10"/>
  <c r="AA212" i="10"/>
  <c r="AB212" i="10" s="1"/>
  <c r="AI212" i="10"/>
  <c r="AD212" i="10"/>
  <c r="AE212" i="10"/>
  <c r="AF212" i="10"/>
  <c r="AG212" i="10"/>
  <c r="AA213" i="10"/>
  <c r="AB213" i="10" s="1"/>
  <c r="AI213" i="10"/>
  <c r="AD213" i="10"/>
  <c r="AE213" i="10"/>
  <c r="AF213" i="10"/>
  <c r="AG213" i="10"/>
  <c r="AA214" i="10"/>
  <c r="AB214" i="10" s="1"/>
  <c r="AI214" i="10"/>
  <c r="AD214" i="10"/>
  <c r="AE214" i="10"/>
  <c r="AF214" i="10"/>
  <c r="AG214" i="10"/>
  <c r="AA215" i="10"/>
  <c r="AB215" i="10" s="1"/>
  <c r="AI215" i="10"/>
  <c r="AD215" i="10"/>
  <c r="AE215" i="10"/>
  <c r="AF215" i="10"/>
  <c r="AG215" i="10"/>
  <c r="AA216" i="10"/>
  <c r="AB216" i="10" s="1"/>
  <c r="AI216" i="10"/>
  <c r="AD216" i="10"/>
  <c r="AE216" i="10"/>
  <c r="AF216" i="10"/>
  <c r="AG216" i="10"/>
  <c r="AA217" i="10"/>
  <c r="AB217" i="10" s="1"/>
  <c r="AI217" i="10"/>
  <c r="AD217" i="10"/>
  <c r="AE217" i="10"/>
  <c r="AF217" i="10"/>
  <c r="AG217" i="10"/>
  <c r="AA218" i="10"/>
  <c r="AB218" i="10" s="1"/>
  <c r="AI218" i="10"/>
  <c r="AD218" i="10"/>
  <c r="AE218" i="10"/>
  <c r="AF218" i="10"/>
  <c r="AG218" i="10"/>
  <c r="AA219" i="10"/>
  <c r="AB219" i="10" s="1"/>
  <c r="AI219" i="10"/>
  <c r="AD219" i="10"/>
  <c r="AE219" i="10"/>
  <c r="AF219" i="10"/>
  <c r="AG219" i="10"/>
  <c r="AA223" i="10" l="1"/>
  <c r="AB223" i="10" s="1"/>
  <c r="AI223" i="10"/>
  <c r="AM227" i="10"/>
  <c r="AM226" i="10"/>
  <c r="AM225" i="10"/>
  <c r="AM224" i="10"/>
  <c r="AM222" i="10"/>
  <c r="AM221" i="10"/>
  <c r="AM220" i="10"/>
  <c r="AL227" i="10"/>
  <c r="AL226" i="10"/>
  <c r="AL225" i="10"/>
  <c r="AL224" i="10"/>
  <c r="AL223" i="10"/>
  <c r="AL222" i="10"/>
  <c r="AL221" i="10"/>
  <c r="AL220" i="10"/>
  <c r="AK227" i="10"/>
  <c r="AK226" i="10"/>
  <c r="AK225" i="10"/>
  <c r="AK224" i="10"/>
  <c r="AK222" i="10"/>
  <c r="AK221" i="10"/>
  <c r="AK220" i="10"/>
  <c r="AJ227" i="10"/>
  <c r="AJ226" i="10"/>
  <c r="AJ225" i="10"/>
  <c r="AJ224" i="10"/>
  <c r="AJ223" i="10"/>
  <c r="AJ222" i="10"/>
  <c r="AJ221" i="10"/>
  <c r="AJ220" i="10"/>
  <c r="AM219" i="10"/>
  <c r="AM218" i="10"/>
  <c r="AM217" i="10"/>
  <c r="AM216" i="10"/>
  <c r="AM215" i="10"/>
  <c r="AM214" i="10"/>
  <c r="AM213" i="10"/>
  <c r="AM212" i="10"/>
  <c r="AM211" i="10"/>
  <c r="AM210" i="10"/>
  <c r="AM209" i="10"/>
  <c r="AM208" i="10"/>
  <c r="AM207" i="10"/>
  <c r="AM206" i="10"/>
  <c r="AM205" i="10"/>
  <c r="AM204" i="10"/>
  <c r="AM203" i="10"/>
  <c r="AM202" i="10"/>
  <c r="AM201" i="10"/>
  <c r="AM200" i="10"/>
  <c r="AM199" i="10"/>
  <c r="AM198" i="10"/>
  <c r="AM197" i="10"/>
  <c r="AM196" i="10"/>
  <c r="AM195" i="10"/>
  <c r="AM194" i="10"/>
  <c r="AM193" i="10"/>
  <c r="AM192" i="10"/>
  <c r="AM191" i="10"/>
  <c r="AM190" i="10"/>
  <c r="AM189" i="10"/>
  <c r="AM188" i="10"/>
  <c r="AM187" i="10"/>
  <c r="AL219" i="10"/>
  <c r="AL218" i="10"/>
  <c r="AL217" i="10"/>
  <c r="AL216" i="10"/>
  <c r="AL215" i="10"/>
  <c r="AL214" i="10"/>
  <c r="AL213" i="10"/>
  <c r="AL212" i="10"/>
  <c r="AL211" i="10"/>
  <c r="AL210" i="10"/>
  <c r="AL209" i="10"/>
  <c r="AL208" i="10"/>
  <c r="AL207" i="10"/>
  <c r="AL206" i="10"/>
  <c r="AL205" i="10"/>
  <c r="AL204" i="10"/>
  <c r="AL203" i="10"/>
  <c r="AL202" i="10"/>
  <c r="AL201" i="10"/>
  <c r="AL200" i="10"/>
  <c r="AL199" i="10"/>
  <c r="AL198" i="10"/>
  <c r="AL197" i="10"/>
  <c r="AL196" i="10"/>
  <c r="AL195" i="10"/>
  <c r="AL194" i="10"/>
  <c r="AL193" i="10"/>
  <c r="AL192" i="10"/>
  <c r="AL191" i="10"/>
  <c r="AL190" i="10"/>
  <c r="AL189" i="10"/>
  <c r="AL188" i="10"/>
  <c r="AL187" i="10"/>
  <c r="AK219" i="10"/>
  <c r="AK218" i="10"/>
  <c r="AK217" i="10"/>
  <c r="AK216" i="10"/>
  <c r="AK215" i="10"/>
  <c r="AK214" i="10"/>
  <c r="AK213" i="10"/>
  <c r="AK212" i="10"/>
  <c r="AK211" i="10"/>
  <c r="AK210" i="10"/>
  <c r="AK209" i="10"/>
  <c r="AK208" i="10"/>
  <c r="AK207" i="10"/>
  <c r="AK206" i="10"/>
  <c r="AK205" i="10"/>
  <c r="AK204" i="10"/>
  <c r="AK203" i="10"/>
  <c r="AK202" i="10"/>
  <c r="AK201" i="10"/>
  <c r="AK200" i="10"/>
  <c r="AK199" i="10"/>
  <c r="AK198" i="10"/>
  <c r="AK197" i="10"/>
  <c r="AK196" i="10"/>
  <c r="AK195" i="10"/>
  <c r="AK194" i="10"/>
  <c r="AK193" i="10"/>
  <c r="AK192" i="10"/>
  <c r="AK191" i="10"/>
  <c r="AK190" i="10"/>
  <c r="AK189" i="10"/>
  <c r="AK188" i="10"/>
  <c r="AK187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BI184" i="10"/>
  <c r="BI183" i="10"/>
  <c r="BI182" i="10"/>
  <c r="BI181" i="10"/>
  <c r="BI180" i="10"/>
  <c r="BI179" i="10"/>
  <c r="BI178" i="10"/>
  <c r="BI177" i="10"/>
  <c r="BI176" i="10"/>
  <c r="BI175" i="10"/>
  <c r="BI174" i="10"/>
  <c r="BI173" i="10"/>
  <c r="BI172" i="10"/>
  <c r="BI171" i="10"/>
  <c r="BI170" i="10"/>
  <c r="BI169" i="10"/>
  <c r="BI168" i="10"/>
  <c r="BI167" i="10"/>
  <c r="BI166" i="10"/>
  <c r="BI165" i="10"/>
  <c r="BI164" i="10"/>
  <c r="BI163" i="10"/>
  <c r="BI162" i="10"/>
  <c r="BI161" i="10"/>
  <c r="BI160" i="10"/>
  <c r="BI159" i="10"/>
  <c r="BI158" i="10"/>
  <c r="BI157" i="10"/>
  <c r="BI156" i="10"/>
  <c r="BI155" i="10"/>
  <c r="BI154" i="10"/>
  <c r="BI153" i="10"/>
  <c r="BI152" i="10"/>
  <c r="BI151" i="10"/>
  <c r="BI150" i="10"/>
  <c r="BI149" i="10"/>
  <c r="BI148" i="10"/>
  <c r="BI147" i="10"/>
  <c r="BI146" i="10"/>
  <c r="BI145" i="10"/>
  <c r="BI144" i="10"/>
  <c r="BI143" i="10"/>
  <c r="BI142" i="10"/>
  <c r="BI141" i="10"/>
  <c r="BI140" i="10"/>
  <c r="BI139" i="10"/>
  <c r="BI138" i="10"/>
  <c r="BI137" i="10"/>
  <c r="BI136" i="10"/>
  <c r="BI135" i="10"/>
  <c r="BI134" i="10"/>
  <c r="BI133" i="10"/>
  <c r="BI132" i="10"/>
  <c r="BI131" i="10"/>
  <c r="BI130" i="10"/>
  <c r="BI129" i="10"/>
  <c r="BI128" i="10"/>
  <c r="BI127" i="10"/>
  <c r="BI126" i="10"/>
  <c r="BI125" i="10"/>
  <c r="BI124" i="10"/>
  <c r="BI123" i="10"/>
  <c r="BI122" i="10"/>
  <c r="BI121" i="10"/>
  <c r="BI120" i="10"/>
  <c r="BI119" i="10"/>
  <c r="BI118" i="10"/>
  <c r="BI117" i="10"/>
  <c r="BI116" i="10"/>
  <c r="BI115" i="10"/>
  <c r="BI114" i="10"/>
  <c r="BI113" i="10"/>
  <c r="BI112" i="10"/>
  <c r="BI111" i="10"/>
  <c r="BI110" i="10"/>
  <c r="BI109" i="10"/>
  <c r="BI108" i="10"/>
  <c r="BI107" i="10"/>
  <c r="BI106" i="10"/>
  <c r="BI105" i="10"/>
  <c r="BI104" i="10"/>
  <c r="BI103" i="10"/>
  <c r="BI102" i="10"/>
  <c r="BI101" i="10"/>
  <c r="BI100" i="10"/>
  <c r="BI99" i="10"/>
  <c r="BI98" i="10"/>
  <c r="BI97" i="10"/>
  <c r="BI96" i="10"/>
  <c r="BI95" i="10"/>
  <c r="BI94" i="10"/>
  <c r="BI93" i="10"/>
  <c r="BI92" i="10"/>
  <c r="BI91" i="10"/>
  <c r="BI90" i="10"/>
  <c r="BI89" i="10"/>
  <c r="BI88" i="10"/>
  <c r="BI87" i="10"/>
  <c r="BI86" i="10"/>
  <c r="BI85" i="10"/>
  <c r="BI84" i="10"/>
  <c r="BI83" i="10"/>
  <c r="BI82" i="10"/>
  <c r="BI81" i="10"/>
  <c r="BI80" i="10"/>
  <c r="BI79" i="10"/>
  <c r="BI78" i="10"/>
  <c r="BI77" i="10"/>
  <c r="BI76" i="10"/>
  <c r="BI75" i="10"/>
  <c r="BI74" i="10"/>
  <c r="BI73" i="10"/>
  <c r="BI72" i="10"/>
  <c r="BI71" i="10"/>
  <c r="BI70" i="10"/>
  <c r="BI69" i="10"/>
  <c r="BI68" i="10"/>
  <c r="BI67" i="10"/>
  <c r="BI66" i="10"/>
  <c r="BI65" i="10"/>
  <c r="BI64" i="10"/>
  <c r="BI63" i="10"/>
  <c r="BI62" i="10"/>
  <c r="BI61" i="10"/>
  <c r="BI60" i="10"/>
  <c r="BI59" i="10"/>
  <c r="BI58" i="10"/>
  <c r="BI57" i="10"/>
  <c r="BI56" i="10"/>
  <c r="BI55" i="10"/>
  <c r="BI54" i="10"/>
  <c r="BI53" i="10"/>
  <c r="BI52" i="10"/>
  <c r="BI51" i="10"/>
  <c r="BI50" i="10"/>
  <c r="BI49" i="10"/>
  <c r="BI48" i="10"/>
  <c r="BI47" i="10"/>
  <c r="BI46" i="10"/>
  <c r="BI45" i="10"/>
  <c r="BI44" i="10"/>
  <c r="BI43" i="10"/>
  <c r="BI42" i="10"/>
  <c r="BI41" i="10"/>
  <c r="BI40" i="10"/>
  <c r="BI39" i="10"/>
  <c r="BI38" i="10"/>
  <c r="BI37" i="10"/>
  <c r="BI36" i="10"/>
  <c r="BI35" i="10"/>
  <c r="BI34" i="10"/>
  <c r="BI33" i="10"/>
  <c r="BI32" i="10"/>
  <c r="BI31" i="10"/>
  <c r="BI30" i="10"/>
  <c r="BI29" i="10"/>
  <c r="BI28" i="10"/>
  <c r="BI27" i="10"/>
  <c r="BI26" i="10"/>
  <c r="BI25" i="10"/>
  <c r="BI24" i="10"/>
  <c r="BI23" i="10"/>
  <c r="BI22" i="10"/>
  <c r="BI21" i="10"/>
  <c r="BI20" i="10"/>
  <c r="BI19" i="10"/>
  <c r="BI18" i="10"/>
  <c r="BI17" i="10"/>
  <c r="BI16" i="10"/>
  <c r="BI15" i="10"/>
  <c r="BI14" i="10"/>
  <c r="BI13" i="10"/>
  <c r="BI12" i="10"/>
  <c r="BI11" i="10"/>
  <c r="BI10" i="10"/>
  <c r="BI9" i="10"/>
  <c r="BI8" i="10"/>
  <c r="AO197" i="10" l="1"/>
  <c r="AP197" i="10" s="1"/>
  <c r="AR197" i="10" s="1"/>
  <c r="AS197" i="10" s="1"/>
  <c r="AO213" i="10"/>
  <c r="AP213" i="10" s="1"/>
  <c r="AR213" i="10" s="1"/>
  <c r="AS213" i="10" s="1"/>
  <c r="AO226" i="10"/>
  <c r="AP226" i="10" s="1"/>
  <c r="AR226" i="10" s="1"/>
  <c r="AS226" i="10" s="1"/>
  <c r="AO227" i="10"/>
  <c r="AP227" i="10" s="1"/>
  <c r="AR227" i="10" s="1"/>
  <c r="AS227" i="10" s="1"/>
  <c r="AO221" i="10"/>
  <c r="AP221" i="10" s="1"/>
  <c r="AR221" i="10" s="1"/>
  <c r="AS221" i="10" s="1"/>
  <c r="AO225" i="10"/>
  <c r="AP225" i="10" s="1"/>
  <c r="AR225" i="10" s="1"/>
  <c r="AS225" i="10" s="1"/>
  <c r="AK223" i="10"/>
  <c r="AM223" i="10"/>
  <c r="AO222" i="10"/>
  <c r="AP222" i="10" s="1"/>
  <c r="AR222" i="10" s="1"/>
  <c r="AS222" i="10" s="1"/>
  <c r="AO224" i="10"/>
  <c r="AP224" i="10" s="1"/>
  <c r="AR224" i="10" s="1"/>
  <c r="AS224" i="10" s="1"/>
  <c r="AO220" i="10"/>
  <c r="AP220" i="10" s="1"/>
  <c r="AR220" i="10" s="1"/>
  <c r="AS220" i="10" s="1"/>
  <c r="AO203" i="10"/>
  <c r="AP203" i="10" s="1"/>
  <c r="AR203" i="10" s="1"/>
  <c r="AS203" i="10" s="1"/>
  <c r="AO219" i="10"/>
  <c r="AP219" i="10" s="1"/>
  <c r="AR219" i="10" s="1"/>
  <c r="AS219" i="10" s="1"/>
  <c r="AO202" i="10"/>
  <c r="AP202" i="10" s="1"/>
  <c r="AR202" i="10" s="1"/>
  <c r="AS202" i="10" s="1"/>
  <c r="AO218" i="10"/>
  <c r="AP218" i="10" s="1"/>
  <c r="AR218" i="10" s="1"/>
  <c r="AS218" i="10" s="1"/>
  <c r="AO196" i="10"/>
  <c r="AP196" i="10" s="1"/>
  <c r="AR196" i="10" s="1"/>
  <c r="AS196" i="10" s="1"/>
  <c r="AO212" i="10"/>
  <c r="AP212" i="10" s="1"/>
  <c r="AR212" i="10" s="1"/>
  <c r="AS212" i="10" s="1"/>
  <c r="AO198" i="10"/>
  <c r="AP198" i="10" s="1"/>
  <c r="AR198" i="10" s="1"/>
  <c r="AS198" i="10" s="1"/>
  <c r="AO214" i="10"/>
  <c r="AP214" i="10" s="1"/>
  <c r="AR214" i="10" s="1"/>
  <c r="AS214" i="10" s="1"/>
  <c r="AO200" i="10"/>
  <c r="AP200" i="10" s="1"/>
  <c r="AR200" i="10" s="1"/>
  <c r="AS200" i="10" s="1"/>
  <c r="AO216" i="10"/>
  <c r="AP216" i="10" s="1"/>
  <c r="AR216" i="10" s="1"/>
  <c r="AS216" i="10" s="1"/>
  <c r="AO192" i="10"/>
  <c r="AP192" i="10" s="1"/>
  <c r="AR192" i="10" s="1"/>
  <c r="AS192" i="10" s="1"/>
  <c r="AO208" i="10"/>
  <c r="AP208" i="10" s="1"/>
  <c r="AR208" i="10" s="1"/>
  <c r="AS208" i="10" s="1"/>
  <c r="AO195" i="10"/>
  <c r="AP195" i="10" s="1"/>
  <c r="AR195" i="10" s="1"/>
  <c r="AS195" i="10" s="1"/>
  <c r="AO211" i="10"/>
  <c r="AP211" i="10" s="1"/>
  <c r="AR211" i="10" s="1"/>
  <c r="AS211" i="10" s="1"/>
  <c r="AO215" i="10"/>
  <c r="AP215" i="10" s="1"/>
  <c r="AR215" i="10" s="1"/>
  <c r="AS215" i="10" s="1"/>
  <c r="AO188" i="10"/>
  <c r="AP188" i="10" s="1"/>
  <c r="AR188" i="10" s="1"/>
  <c r="AS188" i="10" s="1"/>
  <c r="AO204" i="10"/>
  <c r="AP204" i="10" s="1"/>
  <c r="AR204" i="10" s="1"/>
  <c r="AS204" i="10" s="1"/>
  <c r="AO193" i="10"/>
  <c r="AP193" i="10" s="1"/>
  <c r="AR193" i="10" s="1"/>
  <c r="AS193" i="10" s="1"/>
  <c r="AO209" i="10"/>
  <c r="AP209" i="10" s="1"/>
  <c r="AR209" i="10" s="1"/>
  <c r="AS209" i="10" s="1"/>
  <c r="AO194" i="10"/>
  <c r="AP194" i="10" s="1"/>
  <c r="AR194" i="10" s="1"/>
  <c r="AS194" i="10" s="1"/>
  <c r="AO210" i="10"/>
  <c r="AP210" i="10" s="1"/>
  <c r="AR210" i="10" s="1"/>
  <c r="AS210" i="10" s="1"/>
  <c r="AO199" i="10"/>
  <c r="AP199" i="10" s="1"/>
  <c r="AR199" i="10" s="1"/>
  <c r="AS199" i="10" s="1"/>
  <c r="AO201" i="10"/>
  <c r="AP201" i="10" s="1"/>
  <c r="AR201" i="10" s="1"/>
  <c r="AS201" i="10" s="1"/>
  <c r="AO217" i="10"/>
  <c r="AP217" i="10" s="1"/>
  <c r="AR217" i="10" s="1"/>
  <c r="AS217" i="10" s="1"/>
  <c r="AO187" i="10"/>
  <c r="AP187" i="10" s="1"/>
  <c r="AR187" i="10" s="1"/>
  <c r="AS187" i="10" s="1"/>
  <c r="AO189" i="10"/>
  <c r="AP189" i="10" s="1"/>
  <c r="AR189" i="10" s="1"/>
  <c r="AS189" i="10" s="1"/>
  <c r="AO205" i="10"/>
  <c r="AP205" i="10" s="1"/>
  <c r="AR205" i="10" s="1"/>
  <c r="AS205" i="10" s="1"/>
  <c r="AO190" i="10"/>
  <c r="AP190" i="10" s="1"/>
  <c r="AR190" i="10" s="1"/>
  <c r="AS190" i="10" s="1"/>
  <c r="AO191" i="10"/>
  <c r="AP191" i="10" s="1"/>
  <c r="AR191" i="10" s="1"/>
  <c r="AS191" i="10" s="1"/>
  <c r="AO207" i="10"/>
  <c r="AP207" i="10" s="1"/>
  <c r="AR207" i="10" s="1"/>
  <c r="AS207" i="10" s="1"/>
  <c r="AO206" i="10"/>
  <c r="AP206" i="10" s="1"/>
  <c r="AR206" i="10" s="1"/>
  <c r="AS206" i="10" s="1"/>
  <c r="AA8" i="10"/>
  <c r="AB8" i="10"/>
  <c r="AA9" i="10"/>
  <c r="AB9" i="10" s="1"/>
  <c r="AA10" i="10"/>
  <c r="AB10" i="10" s="1"/>
  <c r="AA11" i="10"/>
  <c r="AB11" i="10" s="1"/>
  <c r="AA12" i="10"/>
  <c r="AB12" i="10" s="1"/>
  <c r="AA13" i="10"/>
  <c r="AB13" i="10" s="1"/>
  <c r="AA14" i="10"/>
  <c r="AB14" i="10" s="1"/>
  <c r="AA15" i="10"/>
  <c r="AB15" i="10" s="1"/>
  <c r="AA16" i="10"/>
  <c r="AB16" i="10" s="1"/>
  <c r="AA17" i="10"/>
  <c r="AB17" i="10" s="1"/>
  <c r="AA18" i="10"/>
  <c r="AB18" i="10" s="1"/>
  <c r="AA19" i="10"/>
  <c r="AB19" i="10" s="1"/>
  <c r="AA20" i="10"/>
  <c r="AB20" i="10" s="1"/>
  <c r="AA21" i="10"/>
  <c r="AB21" i="10" s="1"/>
  <c r="AA22" i="10"/>
  <c r="AB22" i="10" s="1"/>
  <c r="AA23" i="10"/>
  <c r="AB23" i="10" s="1"/>
  <c r="AA24" i="10"/>
  <c r="AB24" i="10" s="1"/>
  <c r="AA25" i="10"/>
  <c r="AB25" i="10" s="1"/>
  <c r="AA26" i="10"/>
  <c r="AB26" i="10" s="1"/>
  <c r="AA27" i="10"/>
  <c r="AB27" i="10" s="1"/>
  <c r="AA28" i="10"/>
  <c r="AB28" i="10" s="1"/>
  <c r="AA29" i="10"/>
  <c r="AB29" i="10" s="1"/>
  <c r="AA30" i="10"/>
  <c r="AB30" i="10" s="1"/>
  <c r="AA31" i="10"/>
  <c r="AB31" i="10" s="1"/>
  <c r="AA32" i="10"/>
  <c r="AB32" i="10" s="1"/>
  <c r="AA33" i="10"/>
  <c r="AB33" i="10" s="1"/>
  <c r="AA34" i="10"/>
  <c r="AB34" i="10" s="1"/>
  <c r="AA35" i="10"/>
  <c r="AB35" i="10" s="1"/>
  <c r="AA36" i="10"/>
  <c r="AB36" i="10" s="1"/>
  <c r="AA37" i="10"/>
  <c r="AB37" i="10" s="1"/>
  <c r="AA38" i="10"/>
  <c r="AB38" i="10" s="1"/>
  <c r="AA39" i="10"/>
  <c r="AB39" i="10" s="1"/>
  <c r="AA40" i="10"/>
  <c r="AB40" i="10" s="1"/>
  <c r="AA41" i="10"/>
  <c r="AB41" i="10" s="1"/>
  <c r="AA42" i="10"/>
  <c r="AB42" i="10" s="1"/>
  <c r="AA43" i="10"/>
  <c r="AB43" i="10" s="1"/>
  <c r="AA44" i="10"/>
  <c r="AB44" i="10" s="1"/>
  <c r="AA45" i="10"/>
  <c r="AB45" i="10" s="1"/>
  <c r="AA46" i="10"/>
  <c r="AB46" i="10" s="1"/>
  <c r="AA47" i="10"/>
  <c r="AB47" i="10" s="1"/>
  <c r="AA48" i="10"/>
  <c r="AB48" i="10" s="1"/>
  <c r="AA49" i="10"/>
  <c r="AB49" i="10" s="1"/>
  <c r="AA50" i="10"/>
  <c r="AB50" i="10" s="1"/>
  <c r="AA51" i="10"/>
  <c r="AB51" i="10" s="1"/>
  <c r="AA52" i="10"/>
  <c r="AB52" i="10" s="1"/>
  <c r="AA53" i="10"/>
  <c r="AB53" i="10" s="1"/>
  <c r="AA54" i="10"/>
  <c r="AB54" i="10" s="1"/>
  <c r="AA55" i="10"/>
  <c r="AB55" i="10" s="1"/>
  <c r="AA56" i="10"/>
  <c r="AB56" i="10" s="1"/>
  <c r="AA57" i="10"/>
  <c r="AB57" i="10" s="1"/>
  <c r="AA58" i="10"/>
  <c r="AB58" i="10" s="1"/>
  <c r="AA59" i="10"/>
  <c r="AB59" i="10" s="1"/>
  <c r="AA60" i="10"/>
  <c r="AB60" i="10" s="1"/>
  <c r="AA61" i="10"/>
  <c r="AB61" i="10" s="1"/>
  <c r="AA62" i="10"/>
  <c r="AB62" i="10" s="1"/>
  <c r="AA63" i="10"/>
  <c r="AB63" i="10" s="1"/>
  <c r="AA64" i="10"/>
  <c r="AB64" i="10" s="1"/>
  <c r="AA65" i="10"/>
  <c r="AB65" i="10" s="1"/>
  <c r="AA66" i="10"/>
  <c r="AB66" i="10" s="1"/>
  <c r="AA67" i="10"/>
  <c r="AB67" i="10" s="1"/>
  <c r="AA68" i="10"/>
  <c r="AB68" i="10" s="1"/>
  <c r="AA69" i="10"/>
  <c r="AB69" i="10" s="1"/>
  <c r="AA70" i="10"/>
  <c r="AB70" i="10" s="1"/>
  <c r="AA71" i="10"/>
  <c r="AB71" i="10" s="1"/>
  <c r="AA72" i="10"/>
  <c r="AB72" i="10" s="1"/>
  <c r="AA73" i="10"/>
  <c r="AB73" i="10" s="1"/>
  <c r="AA74" i="10"/>
  <c r="AB74" i="10" s="1"/>
  <c r="AA75" i="10"/>
  <c r="AB75" i="10" s="1"/>
  <c r="AA76" i="10"/>
  <c r="AB76" i="10" s="1"/>
  <c r="AA77" i="10"/>
  <c r="AB77" i="10" s="1"/>
  <c r="AA78" i="10"/>
  <c r="AB78" i="10" s="1"/>
  <c r="AA79" i="10"/>
  <c r="AB79" i="10" s="1"/>
  <c r="AA80" i="10"/>
  <c r="AB80" i="10" s="1"/>
  <c r="AA81" i="10"/>
  <c r="AB81" i="10" s="1"/>
  <c r="AA82" i="10"/>
  <c r="AB82" i="10" s="1"/>
  <c r="AA83" i="10"/>
  <c r="AB83" i="10" s="1"/>
  <c r="AA84" i="10"/>
  <c r="AB84" i="10" s="1"/>
  <c r="AA85" i="10"/>
  <c r="AB85" i="10" s="1"/>
  <c r="AA86" i="10"/>
  <c r="AB86" i="10" s="1"/>
  <c r="AA87" i="10"/>
  <c r="AB87" i="10" s="1"/>
  <c r="AA88" i="10"/>
  <c r="AB88" i="10" s="1"/>
  <c r="AA89" i="10"/>
  <c r="AB89" i="10" s="1"/>
  <c r="AA90" i="10"/>
  <c r="AB90" i="10" s="1"/>
  <c r="AA91" i="10"/>
  <c r="AB91" i="10" s="1"/>
  <c r="AA92" i="10"/>
  <c r="AB92" i="10" s="1"/>
  <c r="AA93" i="10"/>
  <c r="AB93" i="10" s="1"/>
  <c r="AA94" i="10"/>
  <c r="AB94" i="10" s="1"/>
  <c r="AA95" i="10"/>
  <c r="AB95" i="10" s="1"/>
  <c r="AA96" i="10"/>
  <c r="AB96" i="10" s="1"/>
  <c r="AA97" i="10"/>
  <c r="AB97" i="10" s="1"/>
  <c r="AA98" i="10"/>
  <c r="AB98" i="10" s="1"/>
  <c r="AA99" i="10"/>
  <c r="AB99" i="10" s="1"/>
  <c r="AA100" i="10"/>
  <c r="AB100" i="10" s="1"/>
  <c r="AA101" i="10"/>
  <c r="AB101" i="10" s="1"/>
  <c r="AA102" i="10"/>
  <c r="AB102" i="10" s="1"/>
  <c r="AA103" i="10"/>
  <c r="AB103" i="10" s="1"/>
  <c r="AA104" i="10"/>
  <c r="AB104" i="10" s="1"/>
  <c r="AA105" i="10"/>
  <c r="AB105" i="10" s="1"/>
  <c r="AA106" i="10"/>
  <c r="AB106" i="10" s="1"/>
  <c r="AA107" i="10"/>
  <c r="AB107" i="10" s="1"/>
  <c r="AA108" i="10"/>
  <c r="AB108" i="10" s="1"/>
  <c r="AA109" i="10"/>
  <c r="AB109" i="10" s="1"/>
  <c r="AA110" i="10"/>
  <c r="AB110" i="10" s="1"/>
  <c r="AA111" i="10"/>
  <c r="AB111" i="10" s="1"/>
  <c r="AA112" i="10"/>
  <c r="AB112" i="10" s="1"/>
  <c r="AA113" i="10"/>
  <c r="AB113" i="10" s="1"/>
  <c r="AA114" i="10"/>
  <c r="AB114" i="10" s="1"/>
  <c r="AA115" i="10"/>
  <c r="AB115" i="10" s="1"/>
  <c r="AA116" i="10"/>
  <c r="AB116" i="10" s="1"/>
  <c r="AA117" i="10"/>
  <c r="AB117" i="10" s="1"/>
  <c r="AA118" i="10"/>
  <c r="AB118" i="10" s="1"/>
  <c r="AA119" i="10"/>
  <c r="AB119" i="10" s="1"/>
  <c r="AA120" i="10"/>
  <c r="AB120" i="10" s="1"/>
  <c r="AA121" i="10"/>
  <c r="AB121" i="10" s="1"/>
  <c r="AA122" i="10"/>
  <c r="AB122" i="10" s="1"/>
  <c r="AA123" i="10"/>
  <c r="AB123" i="10" s="1"/>
  <c r="AA124" i="10"/>
  <c r="AB124" i="10" s="1"/>
  <c r="AA125" i="10"/>
  <c r="AB125" i="10" s="1"/>
  <c r="AA126" i="10"/>
  <c r="AB126" i="10" s="1"/>
  <c r="AA127" i="10"/>
  <c r="AB127" i="10" s="1"/>
  <c r="AA128" i="10"/>
  <c r="AB128" i="10" s="1"/>
  <c r="AA129" i="10"/>
  <c r="AB129" i="10" s="1"/>
  <c r="AA130" i="10"/>
  <c r="AB130" i="10" s="1"/>
  <c r="AA131" i="10"/>
  <c r="AB131" i="10" s="1"/>
  <c r="AA132" i="10"/>
  <c r="AB132" i="10" s="1"/>
  <c r="AA133" i="10"/>
  <c r="AB133" i="10" s="1"/>
  <c r="AA134" i="10"/>
  <c r="AB134" i="10" s="1"/>
  <c r="AA135" i="10"/>
  <c r="AB135" i="10" s="1"/>
  <c r="AA136" i="10"/>
  <c r="AB136" i="10" s="1"/>
  <c r="AA137" i="10"/>
  <c r="AB137" i="10" s="1"/>
  <c r="AA138" i="10"/>
  <c r="AB138" i="10" s="1"/>
  <c r="AA139" i="10"/>
  <c r="AB139" i="10" s="1"/>
  <c r="AA140" i="10"/>
  <c r="AB140" i="10" s="1"/>
  <c r="AA141" i="10"/>
  <c r="AB141" i="10" s="1"/>
  <c r="AA142" i="10"/>
  <c r="AB142" i="10" s="1"/>
  <c r="AA143" i="10"/>
  <c r="AB143" i="10" s="1"/>
  <c r="AA144" i="10"/>
  <c r="AB144" i="10" s="1"/>
  <c r="AA145" i="10"/>
  <c r="AB145" i="10" s="1"/>
  <c r="AA146" i="10"/>
  <c r="AB146" i="10" s="1"/>
  <c r="AA147" i="10"/>
  <c r="AB147" i="10" s="1"/>
  <c r="AA148" i="10"/>
  <c r="AB148" i="10" s="1"/>
  <c r="AA149" i="10"/>
  <c r="AB149" i="10" s="1"/>
  <c r="AA150" i="10"/>
  <c r="AB150" i="10" s="1"/>
  <c r="AA151" i="10"/>
  <c r="AB151" i="10" s="1"/>
  <c r="AA152" i="10"/>
  <c r="AB152" i="10" s="1"/>
  <c r="AA153" i="10"/>
  <c r="AB153" i="10" s="1"/>
  <c r="AA154" i="10"/>
  <c r="AB154" i="10" s="1"/>
  <c r="AA155" i="10"/>
  <c r="AB155" i="10" s="1"/>
  <c r="AA156" i="10"/>
  <c r="AB156" i="10" s="1"/>
  <c r="AA157" i="10"/>
  <c r="AB157" i="10" s="1"/>
  <c r="AA158" i="10"/>
  <c r="AB158" i="10" s="1"/>
  <c r="AA159" i="10"/>
  <c r="AB159" i="10" s="1"/>
  <c r="AA160" i="10"/>
  <c r="AB160" i="10" s="1"/>
  <c r="AA161" i="10"/>
  <c r="AB161" i="10" s="1"/>
  <c r="AA162" i="10"/>
  <c r="AB162" i="10" s="1"/>
  <c r="AA163" i="10"/>
  <c r="AB163" i="10" s="1"/>
  <c r="AA164" i="10"/>
  <c r="AB164" i="10" s="1"/>
  <c r="AA165" i="10"/>
  <c r="AB165" i="10" s="1"/>
  <c r="AA166" i="10"/>
  <c r="AB166" i="10" s="1"/>
  <c r="AA167" i="10"/>
  <c r="AB167" i="10" s="1"/>
  <c r="AA168" i="10"/>
  <c r="AB168" i="10" s="1"/>
  <c r="AA169" i="10"/>
  <c r="AB169" i="10" s="1"/>
  <c r="AA170" i="10"/>
  <c r="AB170" i="10" s="1"/>
  <c r="AA171" i="10"/>
  <c r="AB171" i="10" s="1"/>
  <c r="AA172" i="10"/>
  <c r="AB172" i="10" s="1"/>
  <c r="AA173" i="10"/>
  <c r="AB173" i="10" s="1"/>
  <c r="AA174" i="10"/>
  <c r="AB174" i="10" s="1"/>
  <c r="AA175" i="10"/>
  <c r="AB175" i="10" s="1"/>
  <c r="AA176" i="10"/>
  <c r="AB176" i="10" s="1"/>
  <c r="AA177" i="10"/>
  <c r="AB177" i="10" s="1"/>
  <c r="AA178" i="10"/>
  <c r="AB178" i="10" s="1"/>
  <c r="AA179" i="10"/>
  <c r="AB179" i="10" s="1"/>
  <c r="AA180" i="10"/>
  <c r="AB180" i="10" s="1"/>
  <c r="AD180" i="10"/>
  <c r="AE180" i="10"/>
  <c r="AA181" i="10"/>
  <c r="AB181" i="10" s="1"/>
  <c r="AD181" i="10"/>
  <c r="AE181" i="10"/>
  <c r="AA182" i="10"/>
  <c r="AB182" i="10" s="1"/>
  <c r="AD182" i="10"/>
  <c r="AE182" i="10"/>
  <c r="AA183" i="10"/>
  <c r="AB183" i="10" s="1"/>
  <c r="AD183" i="10"/>
  <c r="AE183" i="10"/>
  <c r="AA184" i="10"/>
  <c r="AB184" i="10" s="1"/>
  <c r="AD184" i="10"/>
  <c r="AE184" i="10"/>
  <c r="AA185" i="10"/>
  <c r="AB185" i="10" s="1"/>
  <c r="AD185" i="10"/>
  <c r="AE185" i="10"/>
  <c r="AA186" i="10"/>
  <c r="AB186" i="10" s="1"/>
  <c r="AD186" i="10"/>
  <c r="AE186" i="10"/>
  <c r="AO223" i="10" l="1"/>
  <c r="AP223" i="10" s="1"/>
  <c r="AR223" i="10" s="1"/>
  <c r="AS223" i="10" s="1"/>
  <c r="AI185" i="10"/>
  <c r="AF185" i="10"/>
  <c r="AG185" i="10"/>
  <c r="AI186" i="10"/>
  <c r="AF186" i="10"/>
  <c r="AG186" i="10"/>
  <c r="AK185" i="10" l="1"/>
  <c r="AM185" i="10"/>
  <c r="AL185" i="10"/>
  <c r="AL186" i="10"/>
  <c r="AJ185" i="10"/>
  <c r="AM186" i="10"/>
  <c r="AK186" i="10"/>
  <c r="AJ186" i="10"/>
  <c r="AO186" i="10" l="1"/>
  <c r="AP186" i="10" s="1"/>
  <c r="AR186" i="10" s="1"/>
  <c r="AS186" i="10" s="1"/>
  <c r="AO185" i="10"/>
  <c r="AP185" i="10" s="1"/>
  <c r="AR185" i="10" s="1"/>
  <c r="AS185" i="10" s="1"/>
  <c r="AA280" i="10"/>
  <c r="AB280" i="10" s="1"/>
  <c r="AI280" i="10"/>
  <c r="AD280" i="10"/>
  <c r="AE280" i="10"/>
  <c r="AF280" i="10"/>
  <c r="AG280" i="10"/>
  <c r="AH280" i="10"/>
  <c r="AA281" i="10"/>
  <c r="AB281" i="10" s="1"/>
  <c r="AI281" i="10"/>
  <c r="AD281" i="10"/>
  <c r="AE281" i="10"/>
  <c r="AF281" i="10"/>
  <c r="AG281" i="10"/>
  <c r="AH281" i="10"/>
  <c r="AA282" i="10"/>
  <c r="AB282" i="10" s="1"/>
  <c r="AN282" i="10"/>
  <c r="AD282" i="10"/>
  <c r="AE282" i="10"/>
  <c r="AF282" i="10"/>
  <c r="AG282" i="10"/>
  <c r="AH282" i="10"/>
  <c r="AA283" i="10"/>
  <c r="AB283" i="10" s="1"/>
  <c r="AI283" i="10"/>
  <c r="AD283" i="10"/>
  <c r="AE283" i="10"/>
  <c r="AF283" i="10"/>
  <c r="AG283" i="10"/>
  <c r="AH283" i="10"/>
  <c r="AA284" i="10"/>
  <c r="AB284" i="10" s="1"/>
  <c r="AI284" i="10"/>
  <c r="AD284" i="10"/>
  <c r="AE284" i="10"/>
  <c r="AF284" i="10"/>
  <c r="AG284" i="10"/>
  <c r="AH284" i="10"/>
  <c r="AA285" i="10"/>
  <c r="AB285" i="10" s="1"/>
  <c r="AI285" i="10"/>
  <c r="AD285" i="10"/>
  <c r="AE285" i="10"/>
  <c r="AF285" i="10"/>
  <c r="AG285" i="10"/>
  <c r="AH285" i="10"/>
  <c r="AA286" i="10"/>
  <c r="AB286" i="10" s="1"/>
  <c r="AI286" i="10"/>
  <c r="AD286" i="10"/>
  <c r="AE286" i="10"/>
  <c r="AF286" i="10"/>
  <c r="AG286" i="10"/>
  <c r="AH286" i="10"/>
  <c r="AA287" i="10"/>
  <c r="AB287" i="10" s="1"/>
  <c r="AI287" i="10"/>
  <c r="AD287" i="10"/>
  <c r="AE287" i="10"/>
  <c r="AF287" i="10"/>
  <c r="AG287" i="10"/>
  <c r="AH287" i="10"/>
  <c r="AA288" i="10"/>
  <c r="AB288" i="10" s="1"/>
  <c r="AI288" i="10"/>
  <c r="AD288" i="10"/>
  <c r="AE288" i="10"/>
  <c r="AF288" i="10"/>
  <c r="AG288" i="10"/>
  <c r="AH288" i="10"/>
  <c r="AA289" i="10"/>
  <c r="AB289" i="10" s="1"/>
  <c r="AI289" i="10"/>
  <c r="AD289" i="10"/>
  <c r="AE289" i="10"/>
  <c r="AF289" i="10"/>
  <c r="AG289" i="10"/>
  <c r="AH289" i="10"/>
  <c r="AA290" i="10"/>
  <c r="AB290" i="10" s="1"/>
  <c r="AN290" i="10"/>
  <c r="AD290" i="10"/>
  <c r="AE290" i="10"/>
  <c r="AF290" i="10"/>
  <c r="AG290" i="10"/>
  <c r="AH290" i="10"/>
  <c r="AI274" i="10"/>
  <c r="AD274" i="10"/>
  <c r="AE274" i="10"/>
  <c r="AF274" i="10"/>
  <c r="AG274" i="10"/>
  <c r="AH274" i="10"/>
  <c r="AI275" i="10"/>
  <c r="AD275" i="10"/>
  <c r="AE275" i="10"/>
  <c r="AF275" i="10"/>
  <c r="AG275" i="10"/>
  <c r="AH275" i="10"/>
  <c r="AI276" i="10"/>
  <c r="AD276" i="10"/>
  <c r="AE276" i="10"/>
  <c r="AF276" i="10"/>
  <c r="AG276" i="10"/>
  <c r="AH276" i="10"/>
  <c r="AI277" i="10"/>
  <c r="AD277" i="10"/>
  <c r="AE277" i="10"/>
  <c r="AF277" i="10"/>
  <c r="AG277" i="10"/>
  <c r="AH277" i="10"/>
  <c r="AI278" i="10"/>
  <c r="AD278" i="10"/>
  <c r="AE278" i="10"/>
  <c r="AF278" i="10"/>
  <c r="AG278" i="10"/>
  <c r="AH278" i="10"/>
  <c r="AD279" i="10"/>
  <c r="AE279" i="10"/>
  <c r="AF279" i="10"/>
  <c r="AG279" i="10"/>
  <c r="AH279" i="10"/>
  <c r="AD273" i="10"/>
  <c r="AE273" i="10"/>
  <c r="AF273" i="10"/>
  <c r="AG273" i="10"/>
  <c r="AK283" i="10" l="1"/>
  <c r="AJ276" i="10"/>
  <c r="AK275" i="10"/>
  <c r="AM275" i="10"/>
  <c r="AK285" i="10"/>
  <c r="AL274" i="10"/>
  <c r="AL283" i="10"/>
  <c r="AK277" i="10"/>
  <c r="AL276" i="10"/>
  <c r="AJ284" i="10"/>
  <c r="AK284" i="10"/>
  <c r="AM282" i="10"/>
  <c r="AL280" i="10"/>
  <c r="AK282" i="10"/>
  <c r="AM283" i="10"/>
  <c r="AM281" i="10"/>
  <c r="AJ285" i="10"/>
  <c r="AJ281" i="10"/>
  <c r="AM284" i="10"/>
  <c r="AM290" i="10"/>
  <c r="AJ279" i="10"/>
  <c r="AK290" i="10"/>
  <c r="AJ290" i="10"/>
  <c r="AI290" i="10"/>
  <c r="AJ277" i="10"/>
  <c r="AJ278" i="10"/>
  <c r="AN274" i="10"/>
  <c r="AL290" i="10"/>
  <c r="AN289" i="10"/>
  <c r="AJ283" i="10"/>
  <c r="AL282" i="10"/>
  <c r="AN281" i="10"/>
  <c r="AL289" i="10"/>
  <c r="AN288" i="10"/>
  <c r="AJ282" i="10"/>
  <c r="AL281" i="10"/>
  <c r="AN280" i="10"/>
  <c r="AI282" i="10"/>
  <c r="AK281" i="10"/>
  <c r="AM280" i="10"/>
  <c r="AM289" i="10"/>
  <c r="AK280" i="10"/>
  <c r="AJ289" i="10"/>
  <c r="AL288" i="10"/>
  <c r="AN287" i="10"/>
  <c r="AJ288" i="10"/>
  <c r="AL287" i="10"/>
  <c r="AN286" i="10"/>
  <c r="AJ280" i="10"/>
  <c r="AK289" i="10"/>
  <c r="AM288" i="10"/>
  <c r="AK288" i="10"/>
  <c r="AM287" i="10"/>
  <c r="AK287" i="10"/>
  <c r="AM286" i="10"/>
  <c r="AJ287" i="10"/>
  <c r="AL286" i="10"/>
  <c r="AN285" i="10"/>
  <c r="AK286" i="10"/>
  <c r="AM285" i="10"/>
  <c r="AJ286" i="10"/>
  <c r="AL285" i="10"/>
  <c r="AN284" i="10"/>
  <c r="AL284" i="10"/>
  <c r="AN283" i="10"/>
  <c r="AI279" i="10"/>
  <c r="AN279" i="10"/>
  <c r="AM279" i="10"/>
  <c r="AN278" i="10"/>
  <c r="AL279" i="10"/>
  <c r="AM278" i="10"/>
  <c r="AN277" i="10"/>
  <c r="AK279" i="10"/>
  <c r="AL278" i="10"/>
  <c r="AM277" i="10"/>
  <c r="AN276" i="10"/>
  <c r="AK278" i="10"/>
  <c r="AL277" i="10"/>
  <c r="AM276" i="10"/>
  <c r="AN275" i="10"/>
  <c r="AK276" i="10"/>
  <c r="AL275" i="10"/>
  <c r="AM274" i="10"/>
  <c r="AJ275" i="10"/>
  <c r="AK274" i="10"/>
  <c r="AJ274" i="10"/>
  <c r="AO277" i="10" l="1"/>
  <c r="AP277" i="10" s="1"/>
  <c r="AR277" i="10" s="1"/>
  <c r="AS277" i="10" s="1"/>
  <c r="AO275" i="10"/>
  <c r="AP275" i="10" s="1"/>
  <c r="AR275" i="10" s="1"/>
  <c r="AS275" i="10" s="1"/>
  <c r="AO285" i="10"/>
  <c r="AP285" i="10" s="1"/>
  <c r="AR285" i="10" s="1"/>
  <c r="AS285" i="10" s="1"/>
  <c r="AO287" i="10"/>
  <c r="AP287" i="10" s="1"/>
  <c r="AR287" i="10" s="1"/>
  <c r="AS287" i="10" s="1"/>
  <c r="AO281" i="10"/>
  <c r="AP281" i="10" s="1"/>
  <c r="AR281" i="10" s="1"/>
  <c r="AS281" i="10" s="1"/>
  <c r="AO280" i="10"/>
  <c r="AP280" i="10" s="1"/>
  <c r="AR280" i="10" s="1"/>
  <c r="AS280" i="10" s="1"/>
  <c r="AO274" i="10"/>
  <c r="AP274" i="10" s="1"/>
  <c r="AR274" i="10" s="1"/>
  <c r="AS274" i="10" s="1"/>
  <c r="AO276" i="10"/>
  <c r="AP276" i="10" s="1"/>
  <c r="AR276" i="10" s="1"/>
  <c r="AS276" i="10" s="1"/>
  <c r="AO284" i="10"/>
  <c r="AP284" i="10" s="1"/>
  <c r="AR284" i="10" s="1"/>
  <c r="AS284" i="10" s="1"/>
  <c r="AO288" i="10"/>
  <c r="AP288" i="10" s="1"/>
  <c r="AR288" i="10" s="1"/>
  <c r="AS288" i="10" s="1"/>
  <c r="AO283" i="10"/>
  <c r="AP283" i="10" s="1"/>
  <c r="AR283" i="10" s="1"/>
  <c r="AS283" i="10" s="1"/>
  <c r="AO286" i="10"/>
  <c r="AP286" i="10" s="1"/>
  <c r="AR286" i="10" s="1"/>
  <c r="AS286" i="10" s="1"/>
  <c r="AO290" i="10"/>
  <c r="AP290" i="10" s="1"/>
  <c r="AR290" i="10" s="1"/>
  <c r="AS290" i="10" s="1"/>
  <c r="AO289" i="10"/>
  <c r="AP289" i="10" s="1"/>
  <c r="AR289" i="10" s="1"/>
  <c r="AS289" i="10" s="1"/>
  <c r="AO282" i="10"/>
  <c r="AP282" i="10" s="1"/>
  <c r="AR282" i="10" s="1"/>
  <c r="AS282" i="10" s="1"/>
  <c r="AO278" i="10"/>
  <c r="AP278" i="10" s="1"/>
  <c r="AR278" i="10" s="1"/>
  <c r="AS278" i="10" s="1"/>
  <c r="AO279" i="10"/>
  <c r="AP279" i="10" s="1"/>
  <c r="AR279" i="10" s="1"/>
  <c r="AS279" i="10" s="1"/>
  <c r="AI182" i="10" l="1"/>
  <c r="AF182" i="10"/>
  <c r="AG182" i="10"/>
  <c r="AI183" i="10"/>
  <c r="AF183" i="10"/>
  <c r="AG183" i="10"/>
  <c r="AK184" i="10"/>
  <c r="AF184" i="10"/>
  <c r="AG184" i="10"/>
  <c r="AG181" i="10"/>
  <c r="AF181" i="10"/>
  <c r="AI181" i="10"/>
  <c r="AG180" i="10"/>
  <c r="AF180" i="10"/>
  <c r="AI180" i="10"/>
  <c r="AL182" i="10" l="1"/>
  <c r="AK181" i="10"/>
  <c r="AM181" i="10"/>
  <c r="AK182" i="10"/>
  <c r="AL181" i="10"/>
  <c r="AJ181" i="10"/>
  <c r="AJ184" i="10"/>
  <c r="AI184" i="10"/>
  <c r="AM182" i="10"/>
  <c r="AJ182" i="10"/>
  <c r="AM183" i="10"/>
  <c r="AL183" i="10"/>
  <c r="AK183" i="10"/>
  <c r="AJ183" i="10"/>
  <c r="AM184" i="10"/>
  <c r="AL184" i="10"/>
  <c r="AJ180" i="10"/>
  <c r="AK180" i="10"/>
  <c r="AL180" i="10"/>
  <c r="AM180" i="10"/>
  <c r="AO183" i="10" l="1"/>
  <c r="AP183" i="10" s="1"/>
  <c r="AR183" i="10" s="1"/>
  <c r="AS183" i="10" s="1"/>
  <c r="AO182" i="10"/>
  <c r="AP182" i="10" s="1"/>
  <c r="AR182" i="10" s="1"/>
  <c r="AS182" i="10" s="1"/>
  <c r="AO184" i="10"/>
  <c r="AP184" i="10" s="1"/>
  <c r="AR184" i="10" s="1"/>
  <c r="AS184" i="10" s="1"/>
  <c r="AO180" i="10"/>
  <c r="AP180" i="10" s="1"/>
  <c r="AR180" i="10" s="1"/>
  <c r="AS180" i="10" s="1"/>
  <c r="AO181" i="10"/>
  <c r="AP181" i="10" s="1"/>
  <c r="AR181" i="10" s="1"/>
  <c r="AS181" i="10" s="1"/>
  <c r="AG307" i="10"/>
  <c r="AE307" i="10"/>
  <c r="AA272" i="10"/>
  <c r="AA275" i="10" l="1"/>
  <c r="AB275" i="10" s="1"/>
  <c r="AA276" i="10"/>
  <c r="AB276" i="10" s="1"/>
  <c r="AD291" i="10" l="1"/>
  <c r="AD292" i="10"/>
  <c r="AD293" i="10"/>
  <c r="AD294" i="10"/>
  <c r="AD295" i="10"/>
  <c r="AD296" i="10"/>
  <c r="AD306" i="10"/>
  <c r="AD307" i="10"/>
  <c r="AH270" i="10"/>
  <c r="AH271" i="10"/>
  <c r="AH272" i="10"/>
  <c r="AH273" i="10"/>
  <c r="AH291" i="10"/>
  <c r="AH292" i="10"/>
  <c r="AH293" i="10"/>
  <c r="AH294" i="10"/>
  <c r="AH295" i="10"/>
  <c r="AH296" i="10"/>
  <c r="AH297" i="10"/>
  <c r="AH298" i="10"/>
  <c r="AH299" i="10"/>
  <c r="AH300" i="10"/>
  <c r="AH301" i="10"/>
  <c r="AH302" i="10"/>
  <c r="AH303" i="10"/>
  <c r="AH304" i="10"/>
  <c r="AH305" i="10"/>
  <c r="AH306" i="10"/>
  <c r="AH307" i="10"/>
  <c r="AF270" i="10"/>
  <c r="AF271" i="10"/>
  <c r="AF272" i="10"/>
  <c r="AF291" i="10"/>
  <c r="AF292" i="10"/>
  <c r="AF293" i="10"/>
  <c r="AF294" i="10"/>
  <c r="AF295" i="10"/>
  <c r="AF296" i="10"/>
  <c r="AF297" i="10"/>
  <c r="AF298" i="10"/>
  <c r="AF299" i="10"/>
  <c r="AF300" i="10"/>
  <c r="AF301" i="10"/>
  <c r="AF302" i="10"/>
  <c r="AF303" i="10"/>
  <c r="AF304" i="10"/>
  <c r="AF305" i="10"/>
  <c r="AF306" i="10"/>
  <c r="AF307" i="10"/>
  <c r="AG270" i="10"/>
  <c r="AG271" i="10"/>
  <c r="AG272" i="10"/>
  <c r="AG291" i="10"/>
  <c r="AG292" i="10"/>
  <c r="AG293" i="10"/>
  <c r="AG294" i="10"/>
  <c r="AG295" i="10"/>
  <c r="AG296" i="10"/>
  <c r="AG297" i="10"/>
  <c r="AG298" i="10"/>
  <c r="AG299" i="10"/>
  <c r="AG300" i="10"/>
  <c r="AG301" i="10"/>
  <c r="AG302" i="10"/>
  <c r="AG303" i="10"/>
  <c r="AG304" i="10"/>
  <c r="AG305" i="10"/>
  <c r="AG306" i="10"/>
  <c r="AM271" i="10"/>
  <c r="AN272" i="10"/>
  <c r="AN273" i="10"/>
  <c r="AL291" i="10"/>
  <c r="AN292" i="10"/>
  <c r="AN293" i="10"/>
  <c r="AJ295" i="10"/>
  <c r="AJ296" i="10"/>
  <c r="AI305" i="10"/>
  <c r="AN306" i="10"/>
  <c r="AN307" i="10"/>
  <c r="AD270" i="10"/>
  <c r="AE270" i="10"/>
  <c r="AE271" i="10"/>
  <c r="AD272" i="10"/>
  <c r="AE272" i="10"/>
  <c r="AE291" i="10"/>
  <c r="AE292" i="10"/>
  <c r="AE293" i="10"/>
  <c r="AE294" i="10"/>
  <c r="AE295" i="10"/>
  <c r="AE296" i="10"/>
  <c r="AD297" i="10"/>
  <c r="AE297" i="10"/>
  <c r="AD298" i="10"/>
  <c r="AE298" i="10"/>
  <c r="AE299" i="10"/>
  <c r="AD300" i="10"/>
  <c r="AE300" i="10"/>
  <c r="AD301" i="10"/>
  <c r="AE301" i="10"/>
  <c r="AD302" i="10"/>
  <c r="AE302" i="10"/>
  <c r="AD303" i="10"/>
  <c r="AE303" i="10"/>
  <c r="AD304" i="10"/>
  <c r="AE304" i="10"/>
  <c r="AD305" i="10"/>
  <c r="AE305" i="10"/>
  <c r="AE306" i="10"/>
  <c r="AM300" i="10" l="1"/>
  <c r="AK270" i="10"/>
  <c r="AK305" i="10"/>
  <c r="AJ305" i="10"/>
  <c r="AK304" i="10"/>
  <c r="AM291" i="10"/>
  <c r="AM301" i="10"/>
  <c r="AM302" i="10"/>
  <c r="AL273" i="10"/>
  <c r="AI273" i="10"/>
  <c r="AL306" i="10"/>
  <c r="AM307" i="10"/>
  <c r="AL305" i="10"/>
  <c r="AM306" i="10"/>
  <c r="AJ307" i="10"/>
  <c r="AL301" i="10"/>
  <c r="AM305" i="10"/>
  <c r="AJ306" i="10"/>
  <c r="AJ301" i="10"/>
  <c r="AM273" i="10"/>
  <c r="AJ291" i="10"/>
  <c r="AI307" i="10"/>
  <c r="AI306" i="10"/>
  <c r="AI302" i="10"/>
  <c r="AN305" i="10"/>
  <c r="AI301" i="10"/>
  <c r="AJ273" i="10"/>
  <c r="AN301" i="10"/>
  <c r="AK306" i="10"/>
  <c r="AK299" i="10"/>
  <c r="AI291" i="10"/>
  <c r="AK301" i="10"/>
  <c r="AK292" i="10"/>
  <c r="AI270" i="10"/>
  <c r="AJ270" i="10"/>
  <c r="AJ299" i="10"/>
  <c r="AK293" i="10"/>
  <c r="AI300" i="10"/>
  <c r="AN298" i="10"/>
  <c r="AL298" i="10"/>
  <c r="AI299" i="10"/>
  <c r="AM296" i="10"/>
  <c r="AL296" i="10"/>
  <c r="AN296" i="10"/>
  <c r="AK296" i="10"/>
  <c r="AL295" i="10"/>
  <c r="AN295" i="10"/>
  <c r="AK295" i="10"/>
  <c r="AI296" i="10"/>
  <c r="AL272" i="10"/>
  <c r="AJ293" i="10"/>
  <c r="AI293" i="10"/>
  <c r="AL304" i="10"/>
  <c r="AL271" i="10"/>
  <c r="AN294" i="10"/>
  <c r="AK294" i="10"/>
  <c r="AJ294" i="10"/>
  <c r="AI294" i="10"/>
  <c r="AI295" i="10"/>
  <c r="AL302" i="10"/>
  <c r="AL292" i="10"/>
  <c r="AJ292" i="10"/>
  <c r="AI292" i="10"/>
  <c r="AM292" i="10"/>
  <c r="AN299" i="10"/>
  <c r="AL299" i="10"/>
  <c r="AL294" i="10"/>
  <c r="AK272" i="10"/>
  <c r="AL293" i="10"/>
  <c r="AJ298" i="10"/>
  <c r="AM297" i="10"/>
  <c r="AL297" i="10"/>
  <c r="AN297" i="10"/>
  <c r="AJ297" i="10"/>
  <c r="AI297" i="10"/>
  <c r="AM303" i="10"/>
  <c r="AN303" i="10"/>
  <c r="AL303" i="10"/>
  <c r="AK303" i="10"/>
  <c r="AK302" i="10"/>
  <c r="AK271" i="10"/>
  <c r="AM299" i="10"/>
  <c r="AJ272" i="10"/>
  <c r="AI272" i="10"/>
  <c r="AM272" i="10"/>
  <c r="AJ271" i="10"/>
  <c r="AI271" i="10"/>
  <c r="AN271" i="10"/>
  <c r="AM295" i="10"/>
  <c r="AJ304" i="10"/>
  <c r="AM304" i="10"/>
  <c r="AM270" i="10"/>
  <c r="AL270" i="10"/>
  <c r="AJ303" i="10"/>
  <c r="AI304" i="10"/>
  <c r="AJ302" i="10"/>
  <c r="AN304" i="10"/>
  <c r="AN270" i="10"/>
  <c r="AM294" i="10"/>
  <c r="AN300" i="10"/>
  <c r="AL300" i="10"/>
  <c r="AK300" i="10"/>
  <c r="AJ300" i="10"/>
  <c r="AI303" i="10"/>
  <c r="AK297" i="10"/>
  <c r="AN302" i="10"/>
  <c r="AM293" i="10"/>
  <c r="AK291" i="10"/>
  <c r="AN291" i="10"/>
  <c r="AK307" i="10"/>
  <c r="AK273" i="10"/>
  <c r="AL307" i="10"/>
  <c r="AI298" i="10"/>
  <c r="AM298" i="10"/>
  <c r="AK298" i="10"/>
  <c r="AO273" i="10" l="1"/>
  <c r="AP273" i="10" s="1"/>
  <c r="AR273" i="10" s="1"/>
  <c r="AS273" i="10" s="1"/>
  <c r="AO296" i="10"/>
  <c r="AP296" i="10" s="1"/>
  <c r="AR296" i="10" s="1"/>
  <c r="AS296" i="10" s="1"/>
  <c r="AO291" i="10"/>
  <c r="AP291" i="10" s="1"/>
  <c r="AR291" i="10" s="1"/>
  <c r="AS291" i="10" s="1"/>
  <c r="AO305" i="10"/>
  <c r="AP305" i="10" s="1"/>
  <c r="AR305" i="10" s="1"/>
  <c r="AS305" i="10" s="1"/>
  <c r="AO306" i="10"/>
  <c r="AP306" i="10" s="1"/>
  <c r="AR306" i="10" s="1"/>
  <c r="AS306" i="10" s="1"/>
  <c r="AO307" i="10"/>
  <c r="AP307" i="10" s="1"/>
  <c r="AR307" i="10" s="1"/>
  <c r="AS307" i="10" s="1"/>
  <c r="AO302" i="10"/>
  <c r="AP302" i="10" s="1"/>
  <c r="AR302" i="10" s="1"/>
  <c r="AS302" i="10" s="1"/>
  <c r="AO303" i="10"/>
  <c r="AP303" i="10" s="1"/>
  <c r="AR303" i="10" s="1"/>
  <c r="AS303" i="10" s="1"/>
  <c r="AO304" i="10"/>
  <c r="AP304" i="10" s="1"/>
  <c r="AR304" i="10" s="1"/>
  <c r="AS304" i="10" s="1"/>
  <c r="AO301" i="10"/>
  <c r="AP301" i="10" s="1"/>
  <c r="AR301" i="10" s="1"/>
  <c r="AS301" i="10" s="1"/>
  <c r="AO270" i="10"/>
  <c r="AP270" i="10" s="1"/>
  <c r="AR270" i="10" s="1"/>
  <c r="AS270" i="10" s="1"/>
  <c r="AO294" i="10"/>
  <c r="AP294" i="10" s="1"/>
  <c r="AR294" i="10" s="1"/>
  <c r="AS294" i="10" s="1"/>
  <c r="AO293" i="10"/>
  <c r="AP293" i="10" s="1"/>
  <c r="AR293" i="10" s="1"/>
  <c r="AS293" i="10" s="1"/>
  <c r="AO292" i="10"/>
  <c r="AP292" i="10" s="1"/>
  <c r="AR292" i="10" s="1"/>
  <c r="AS292" i="10" s="1"/>
  <c r="AO300" i="10"/>
  <c r="AP300" i="10" s="1"/>
  <c r="AR300" i="10" s="1"/>
  <c r="AS300" i="10" s="1"/>
  <c r="AO272" i="10"/>
  <c r="AP272" i="10" s="1"/>
  <c r="AR272" i="10" s="1"/>
  <c r="AS272" i="10" s="1"/>
  <c r="AO295" i="10"/>
  <c r="AP295" i="10" s="1"/>
  <c r="AR295" i="10" s="1"/>
  <c r="AS295" i="10" s="1"/>
  <c r="AO271" i="10"/>
  <c r="AP271" i="10" s="1"/>
  <c r="AR271" i="10" s="1"/>
  <c r="AS271" i="10" s="1"/>
  <c r="AO299" i="10"/>
  <c r="AP299" i="10" s="1"/>
  <c r="AR299" i="10" s="1"/>
  <c r="AS299" i="10" s="1"/>
  <c r="AO297" i="10"/>
  <c r="AP297" i="10" s="1"/>
  <c r="AR297" i="10" s="1"/>
  <c r="AS297" i="10" s="1"/>
  <c r="AO298" i="10"/>
  <c r="AP298" i="10" s="1"/>
  <c r="AR298" i="10" s="1"/>
  <c r="AS298" i="10" s="1"/>
  <c r="AI179" i="10" l="1"/>
  <c r="AN179" i="10" l="1"/>
  <c r="AM179" i="10"/>
  <c r="AL179" i="10"/>
  <c r="AK179" i="10"/>
  <c r="AJ179" i="10"/>
  <c r="AA270" i="10"/>
  <c r="AB270" i="10" s="1"/>
  <c r="AA271" i="10"/>
  <c r="AB271" i="10" s="1"/>
  <c r="AB272" i="10"/>
  <c r="AA273" i="10"/>
  <c r="AB273" i="10" s="1"/>
  <c r="AA274" i="10"/>
  <c r="AB274" i="10" s="1"/>
  <c r="AA277" i="10"/>
  <c r="AB277" i="10" s="1"/>
  <c r="AA278" i="10"/>
  <c r="AB278" i="10" s="1"/>
  <c r="AA279" i="10"/>
  <c r="AB279" i="10" s="1"/>
  <c r="AA291" i="10"/>
  <c r="AB291" i="10" s="1"/>
  <c r="AA292" i="10"/>
  <c r="AB292" i="10" s="1"/>
  <c r="AA293" i="10"/>
  <c r="AB293" i="10" s="1"/>
  <c r="AA294" i="10"/>
  <c r="AB294" i="10" s="1"/>
  <c r="AA295" i="10"/>
  <c r="AB295" i="10" s="1"/>
  <c r="AA296" i="10"/>
  <c r="AB296" i="10" s="1"/>
  <c r="AA297" i="10"/>
  <c r="AB297" i="10" s="1"/>
  <c r="AA298" i="10"/>
  <c r="AB298" i="10" s="1"/>
  <c r="AA299" i="10"/>
  <c r="AB299" i="10" s="1"/>
  <c r="AA300" i="10"/>
  <c r="AB300" i="10" s="1"/>
  <c r="AA301" i="10"/>
  <c r="AB301" i="10" s="1"/>
  <c r="AA302" i="10"/>
  <c r="AB302" i="10" s="1"/>
  <c r="AA303" i="10"/>
  <c r="AB303" i="10" s="1"/>
  <c r="AA304" i="10"/>
  <c r="AB304" i="10" s="1"/>
  <c r="AA305" i="10"/>
  <c r="AB305" i="10" s="1"/>
  <c r="AA306" i="10"/>
  <c r="AB306" i="10" s="1"/>
  <c r="AA307" i="10"/>
  <c r="AB307" i="10" s="1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D313" i="10"/>
  <c r="E313" i="10" s="1"/>
  <c r="F313" i="10" s="1"/>
  <c r="D314" i="10"/>
  <c r="E314" i="10" s="1"/>
  <c r="F314" i="10" s="1"/>
  <c r="D315" i="10"/>
  <c r="E315" i="10" s="1"/>
  <c r="F315" i="10" s="1"/>
  <c r="D316" i="10"/>
  <c r="E316" i="10" s="1"/>
  <c r="F316" i="10" s="1"/>
  <c r="D317" i="10"/>
  <c r="E317" i="10" s="1"/>
  <c r="F317" i="10" s="1"/>
  <c r="D312" i="10"/>
  <c r="E312" i="10" s="1"/>
  <c r="F312" i="10" s="1"/>
  <c r="AO179" i="10" l="1"/>
  <c r="AP179" i="10" s="1"/>
  <c r="AR179" i="10" s="1"/>
  <c r="G312" i="10"/>
  <c r="G317" i="10"/>
  <c r="G316" i="10"/>
  <c r="G315" i="10"/>
  <c r="G314" i="10"/>
  <c r="G313" i="10"/>
  <c r="AS179" i="10" l="1"/>
  <c r="J24" i="3" l="1"/>
  <c r="J25" i="3"/>
  <c r="J93" i="3"/>
  <c r="J96" i="3"/>
  <c r="J109" i="3"/>
  <c r="J121" i="3"/>
  <c r="J165" i="3"/>
  <c r="J195" i="3"/>
  <c r="J206" i="3"/>
  <c r="J211" i="3"/>
  <c r="J225" i="3"/>
  <c r="J234" i="3"/>
  <c r="J257" i="3"/>
  <c r="J267" i="3"/>
  <c r="J268" i="3"/>
  <c r="J269" i="3"/>
  <c r="D327" i="3"/>
  <c r="J327" i="3" s="1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137" i="13"/>
  <c r="N138" i="13"/>
  <c r="N139" i="13"/>
  <c r="N140" i="13"/>
  <c r="N141" i="13"/>
  <c r="N142" i="13"/>
  <c r="N143" i="13"/>
  <c r="N144" i="13"/>
  <c r="N145" i="13"/>
  <c r="N146" i="13"/>
  <c r="N147" i="13"/>
  <c r="N148" i="13"/>
  <c r="N149" i="13"/>
  <c r="N150" i="13"/>
  <c r="N151" i="13"/>
  <c r="N152" i="13"/>
  <c r="N153" i="13"/>
  <c r="N154" i="13"/>
  <c r="N155" i="13"/>
  <c r="N156" i="13"/>
  <c r="N157" i="13"/>
  <c r="N158" i="13"/>
  <c r="N159" i="13"/>
  <c r="N160" i="13"/>
  <c r="N161" i="13"/>
  <c r="N162" i="13"/>
  <c r="N163" i="13"/>
  <c r="N164" i="13"/>
  <c r="N165" i="13"/>
  <c r="N166" i="13"/>
  <c r="N167" i="13"/>
  <c r="N168" i="13"/>
  <c r="N169" i="13"/>
  <c r="N170" i="13"/>
  <c r="N171" i="13"/>
  <c r="N172" i="13"/>
  <c r="N173" i="13"/>
  <c r="N174" i="13"/>
  <c r="N3" i="13"/>
  <c r="I4" i="13"/>
  <c r="J4" i="13"/>
  <c r="K4" i="13"/>
  <c r="L4" i="13"/>
  <c r="M4" i="13"/>
  <c r="I5" i="13"/>
  <c r="J5" i="13"/>
  <c r="K5" i="13"/>
  <c r="L5" i="13"/>
  <c r="M5" i="13"/>
  <c r="I6" i="13"/>
  <c r="J6" i="13"/>
  <c r="K6" i="13"/>
  <c r="L6" i="13"/>
  <c r="M6" i="13"/>
  <c r="I7" i="13"/>
  <c r="J7" i="13"/>
  <c r="K7" i="13"/>
  <c r="L7" i="13"/>
  <c r="M7" i="13"/>
  <c r="I8" i="13"/>
  <c r="J8" i="13"/>
  <c r="K8" i="13"/>
  <c r="L8" i="13"/>
  <c r="M8" i="13"/>
  <c r="I9" i="13"/>
  <c r="J9" i="13"/>
  <c r="K9" i="13"/>
  <c r="L9" i="13"/>
  <c r="M9" i="13"/>
  <c r="I10" i="13"/>
  <c r="J10" i="13"/>
  <c r="K10" i="13"/>
  <c r="L10" i="13"/>
  <c r="M10" i="13"/>
  <c r="I11" i="13"/>
  <c r="J11" i="13"/>
  <c r="K11" i="13"/>
  <c r="L11" i="13"/>
  <c r="M11" i="13"/>
  <c r="I12" i="13"/>
  <c r="J12" i="13"/>
  <c r="K12" i="13"/>
  <c r="L12" i="13"/>
  <c r="M12" i="13"/>
  <c r="I13" i="13"/>
  <c r="J13" i="13"/>
  <c r="K13" i="13"/>
  <c r="L13" i="13"/>
  <c r="M13" i="13"/>
  <c r="I14" i="13"/>
  <c r="J14" i="13"/>
  <c r="K14" i="13"/>
  <c r="L14" i="13"/>
  <c r="M14" i="13"/>
  <c r="I15" i="13"/>
  <c r="J15" i="13"/>
  <c r="K15" i="13"/>
  <c r="L15" i="13"/>
  <c r="M15" i="13"/>
  <c r="I16" i="13"/>
  <c r="J16" i="13"/>
  <c r="K16" i="13"/>
  <c r="L16" i="13"/>
  <c r="M16" i="13"/>
  <c r="I17" i="13"/>
  <c r="J17" i="13"/>
  <c r="K17" i="13"/>
  <c r="L17" i="13"/>
  <c r="M17" i="13"/>
  <c r="I18" i="13"/>
  <c r="J18" i="13"/>
  <c r="K18" i="13"/>
  <c r="L18" i="13"/>
  <c r="M18" i="13"/>
  <c r="I19" i="13"/>
  <c r="J19" i="13"/>
  <c r="K19" i="13"/>
  <c r="L19" i="13"/>
  <c r="M19" i="13"/>
  <c r="I20" i="13"/>
  <c r="J20" i="13"/>
  <c r="K20" i="13"/>
  <c r="L20" i="13"/>
  <c r="M20" i="13"/>
  <c r="I21" i="13"/>
  <c r="J21" i="13"/>
  <c r="K21" i="13"/>
  <c r="L21" i="13"/>
  <c r="M21" i="13"/>
  <c r="I22" i="13"/>
  <c r="J22" i="13"/>
  <c r="K22" i="13"/>
  <c r="L22" i="13"/>
  <c r="M22" i="13"/>
  <c r="I23" i="13"/>
  <c r="J23" i="13"/>
  <c r="K23" i="13"/>
  <c r="L23" i="13"/>
  <c r="M23" i="13"/>
  <c r="I24" i="13"/>
  <c r="J24" i="13"/>
  <c r="K24" i="13"/>
  <c r="L24" i="13"/>
  <c r="M24" i="13"/>
  <c r="I25" i="13"/>
  <c r="J25" i="13"/>
  <c r="K25" i="13"/>
  <c r="L25" i="13"/>
  <c r="M25" i="13"/>
  <c r="I26" i="13"/>
  <c r="J26" i="13"/>
  <c r="K26" i="13"/>
  <c r="L26" i="13"/>
  <c r="M26" i="13"/>
  <c r="I27" i="13"/>
  <c r="J27" i="13"/>
  <c r="K27" i="13"/>
  <c r="L27" i="13"/>
  <c r="M27" i="13"/>
  <c r="I28" i="13"/>
  <c r="J28" i="13"/>
  <c r="K28" i="13"/>
  <c r="L28" i="13"/>
  <c r="M28" i="13"/>
  <c r="I29" i="13"/>
  <c r="J29" i="13"/>
  <c r="K29" i="13"/>
  <c r="L29" i="13"/>
  <c r="M29" i="13"/>
  <c r="I30" i="13"/>
  <c r="J30" i="13"/>
  <c r="K30" i="13"/>
  <c r="L30" i="13"/>
  <c r="M30" i="13"/>
  <c r="I31" i="13"/>
  <c r="J31" i="13"/>
  <c r="K31" i="13"/>
  <c r="L31" i="13"/>
  <c r="M31" i="13"/>
  <c r="I32" i="13"/>
  <c r="J32" i="13"/>
  <c r="K32" i="13"/>
  <c r="L32" i="13"/>
  <c r="M32" i="13"/>
  <c r="I33" i="13"/>
  <c r="J33" i="13"/>
  <c r="K33" i="13"/>
  <c r="L33" i="13"/>
  <c r="M33" i="13"/>
  <c r="I34" i="13"/>
  <c r="J34" i="13"/>
  <c r="K34" i="13"/>
  <c r="L34" i="13"/>
  <c r="M34" i="13"/>
  <c r="I35" i="13"/>
  <c r="J35" i="13"/>
  <c r="K35" i="13"/>
  <c r="L35" i="13"/>
  <c r="M35" i="13"/>
  <c r="I36" i="13"/>
  <c r="J36" i="13"/>
  <c r="K36" i="13"/>
  <c r="L36" i="13"/>
  <c r="M36" i="13"/>
  <c r="I37" i="13"/>
  <c r="J37" i="13"/>
  <c r="K37" i="13"/>
  <c r="L37" i="13"/>
  <c r="M37" i="13"/>
  <c r="I38" i="13"/>
  <c r="J38" i="13"/>
  <c r="K38" i="13"/>
  <c r="L38" i="13"/>
  <c r="M38" i="13"/>
  <c r="I39" i="13"/>
  <c r="J39" i="13"/>
  <c r="K39" i="13"/>
  <c r="L39" i="13"/>
  <c r="M39" i="13"/>
  <c r="I40" i="13"/>
  <c r="J40" i="13"/>
  <c r="K40" i="13"/>
  <c r="L40" i="13"/>
  <c r="M40" i="13"/>
  <c r="I41" i="13"/>
  <c r="J41" i="13"/>
  <c r="K41" i="13"/>
  <c r="L41" i="13"/>
  <c r="M41" i="13"/>
  <c r="I42" i="13"/>
  <c r="J42" i="13"/>
  <c r="K42" i="13"/>
  <c r="L42" i="13"/>
  <c r="M42" i="13"/>
  <c r="I43" i="13"/>
  <c r="J43" i="13"/>
  <c r="K43" i="13"/>
  <c r="L43" i="13"/>
  <c r="M43" i="13"/>
  <c r="I44" i="13"/>
  <c r="J44" i="13"/>
  <c r="K44" i="13"/>
  <c r="L44" i="13"/>
  <c r="M44" i="13"/>
  <c r="I45" i="13"/>
  <c r="J45" i="13"/>
  <c r="K45" i="13"/>
  <c r="L45" i="13"/>
  <c r="M45" i="13"/>
  <c r="I46" i="13"/>
  <c r="J46" i="13"/>
  <c r="K46" i="13"/>
  <c r="L46" i="13"/>
  <c r="M46" i="13"/>
  <c r="I47" i="13"/>
  <c r="J47" i="13"/>
  <c r="K47" i="13"/>
  <c r="L47" i="13"/>
  <c r="M47" i="13"/>
  <c r="I48" i="13"/>
  <c r="J48" i="13"/>
  <c r="K48" i="13"/>
  <c r="L48" i="13"/>
  <c r="M48" i="13"/>
  <c r="I49" i="13"/>
  <c r="J49" i="13"/>
  <c r="K49" i="13"/>
  <c r="L49" i="13"/>
  <c r="M49" i="13"/>
  <c r="I50" i="13"/>
  <c r="J50" i="13"/>
  <c r="K50" i="13"/>
  <c r="L50" i="13"/>
  <c r="M50" i="13"/>
  <c r="I51" i="13"/>
  <c r="J51" i="13"/>
  <c r="K51" i="13"/>
  <c r="L51" i="13"/>
  <c r="M51" i="13"/>
  <c r="I52" i="13"/>
  <c r="J52" i="13"/>
  <c r="K52" i="13"/>
  <c r="L52" i="13"/>
  <c r="M52" i="13"/>
  <c r="I53" i="13"/>
  <c r="J53" i="13"/>
  <c r="K53" i="13"/>
  <c r="L53" i="13"/>
  <c r="M53" i="13"/>
  <c r="I54" i="13"/>
  <c r="J54" i="13"/>
  <c r="K54" i="13"/>
  <c r="L54" i="13"/>
  <c r="M54" i="13"/>
  <c r="I55" i="13"/>
  <c r="J55" i="13"/>
  <c r="K55" i="13"/>
  <c r="L55" i="13"/>
  <c r="M55" i="13"/>
  <c r="I56" i="13"/>
  <c r="J56" i="13"/>
  <c r="K56" i="13"/>
  <c r="L56" i="13"/>
  <c r="M56" i="13"/>
  <c r="I57" i="13"/>
  <c r="J57" i="13"/>
  <c r="K57" i="13"/>
  <c r="L57" i="13"/>
  <c r="M57" i="13"/>
  <c r="I58" i="13"/>
  <c r="J58" i="13"/>
  <c r="K58" i="13"/>
  <c r="L58" i="13"/>
  <c r="M58" i="13"/>
  <c r="I59" i="13"/>
  <c r="J59" i="13"/>
  <c r="K59" i="13"/>
  <c r="L59" i="13"/>
  <c r="M59" i="13"/>
  <c r="I60" i="13"/>
  <c r="J60" i="13"/>
  <c r="K60" i="13"/>
  <c r="L60" i="13"/>
  <c r="M60" i="13"/>
  <c r="I61" i="13"/>
  <c r="J61" i="13"/>
  <c r="K61" i="13"/>
  <c r="L61" i="13"/>
  <c r="M61" i="13"/>
  <c r="I62" i="13"/>
  <c r="J62" i="13"/>
  <c r="K62" i="13"/>
  <c r="L62" i="13"/>
  <c r="M62" i="13"/>
  <c r="I63" i="13"/>
  <c r="J63" i="13"/>
  <c r="K63" i="13"/>
  <c r="L63" i="13"/>
  <c r="M63" i="13"/>
  <c r="I64" i="13"/>
  <c r="J64" i="13"/>
  <c r="K64" i="13"/>
  <c r="L64" i="13"/>
  <c r="M64" i="13"/>
  <c r="I65" i="13"/>
  <c r="J65" i="13"/>
  <c r="K65" i="13"/>
  <c r="L65" i="13"/>
  <c r="M65" i="13"/>
  <c r="I66" i="13"/>
  <c r="J66" i="13"/>
  <c r="K66" i="13"/>
  <c r="L66" i="13"/>
  <c r="M66" i="13"/>
  <c r="I67" i="13"/>
  <c r="J67" i="13"/>
  <c r="K67" i="13"/>
  <c r="L67" i="13"/>
  <c r="M67" i="13"/>
  <c r="I68" i="13"/>
  <c r="J68" i="13"/>
  <c r="K68" i="13"/>
  <c r="L68" i="13"/>
  <c r="M68" i="13"/>
  <c r="I69" i="13"/>
  <c r="J69" i="13"/>
  <c r="K69" i="13"/>
  <c r="L69" i="13"/>
  <c r="M69" i="13"/>
  <c r="I70" i="13"/>
  <c r="J70" i="13"/>
  <c r="K70" i="13"/>
  <c r="L70" i="13"/>
  <c r="M70" i="13"/>
  <c r="I71" i="13"/>
  <c r="J71" i="13"/>
  <c r="K71" i="13"/>
  <c r="L71" i="13"/>
  <c r="M71" i="13"/>
  <c r="I72" i="13"/>
  <c r="J72" i="13"/>
  <c r="K72" i="13"/>
  <c r="L72" i="13"/>
  <c r="M72" i="13"/>
  <c r="I73" i="13"/>
  <c r="J73" i="13"/>
  <c r="K73" i="13"/>
  <c r="L73" i="13"/>
  <c r="M73" i="13"/>
  <c r="I74" i="13"/>
  <c r="J74" i="13"/>
  <c r="K74" i="13"/>
  <c r="L74" i="13"/>
  <c r="M74" i="13"/>
  <c r="I75" i="13"/>
  <c r="J75" i="13"/>
  <c r="K75" i="13"/>
  <c r="L75" i="13"/>
  <c r="M75" i="13"/>
  <c r="I76" i="13"/>
  <c r="J76" i="13"/>
  <c r="K76" i="13"/>
  <c r="L76" i="13"/>
  <c r="M76" i="13"/>
  <c r="I77" i="13"/>
  <c r="J77" i="13"/>
  <c r="K77" i="13"/>
  <c r="L77" i="13"/>
  <c r="M77" i="13"/>
  <c r="I78" i="13"/>
  <c r="J78" i="13"/>
  <c r="K78" i="13"/>
  <c r="L78" i="13"/>
  <c r="M78" i="13"/>
  <c r="I79" i="13"/>
  <c r="J79" i="13"/>
  <c r="K79" i="13"/>
  <c r="L79" i="13"/>
  <c r="M79" i="13"/>
  <c r="I80" i="13"/>
  <c r="J80" i="13"/>
  <c r="K80" i="13"/>
  <c r="L80" i="13"/>
  <c r="M80" i="13"/>
  <c r="I81" i="13"/>
  <c r="J81" i="13"/>
  <c r="K81" i="13"/>
  <c r="L81" i="13"/>
  <c r="M81" i="13"/>
  <c r="I82" i="13"/>
  <c r="J82" i="13"/>
  <c r="K82" i="13"/>
  <c r="L82" i="13"/>
  <c r="M82" i="13"/>
  <c r="I83" i="13"/>
  <c r="J83" i="13"/>
  <c r="K83" i="13"/>
  <c r="L83" i="13"/>
  <c r="M83" i="13"/>
  <c r="I84" i="13"/>
  <c r="J84" i="13"/>
  <c r="K84" i="13"/>
  <c r="L84" i="13"/>
  <c r="M84" i="13"/>
  <c r="I85" i="13"/>
  <c r="J85" i="13"/>
  <c r="K85" i="13"/>
  <c r="L85" i="13"/>
  <c r="M85" i="13"/>
  <c r="I86" i="13"/>
  <c r="J86" i="13"/>
  <c r="K86" i="13"/>
  <c r="L86" i="13"/>
  <c r="M86" i="13"/>
  <c r="I87" i="13"/>
  <c r="J87" i="13"/>
  <c r="K87" i="13"/>
  <c r="L87" i="13"/>
  <c r="M87" i="13"/>
  <c r="I88" i="13"/>
  <c r="J88" i="13"/>
  <c r="K88" i="13"/>
  <c r="L88" i="13"/>
  <c r="M88" i="13"/>
  <c r="I89" i="13"/>
  <c r="J89" i="13"/>
  <c r="K89" i="13"/>
  <c r="L89" i="13"/>
  <c r="M89" i="13"/>
  <c r="I90" i="13"/>
  <c r="J90" i="13"/>
  <c r="K90" i="13"/>
  <c r="L90" i="13"/>
  <c r="M90" i="13"/>
  <c r="I91" i="13"/>
  <c r="J91" i="13"/>
  <c r="K91" i="13"/>
  <c r="L91" i="13"/>
  <c r="M91" i="13"/>
  <c r="I92" i="13"/>
  <c r="J92" i="13"/>
  <c r="K92" i="13"/>
  <c r="L92" i="13"/>
  <c r="M92" i="13"/>
  <c r="I93" i="13"/>
  <c r="J93" i="13"/>
  <c r="K93" i="13"/>
  <c r="L93" i="13"/>
  <c r="M93" i="13"/>
  <c r="I94" i="13"/>
  <c r="J94" i="13"/>
  <c r="K94" i="13"/>
  <c r="L94" i="13"/>
  <c r="M94" i="13"/>
  <c r="I95" i="13"/>
  <c r="J95" i="13"/>
  <c r="K95" i="13"/>
  <c r="L95" i="13"/>
  <c r="M95" i="13"/>
  <c r="I96" i="13"/>
  <c r="J96" i="13"/>
  <c r="K96" i="13"/>
  <c r="L96" i="13"/>
  <c r="M96" i="13"/>
  <c r="I97" i="13"/>
  <c r="J97" i="13"/>
  <c r="K97" i="13"/>
  <c r="L97" i="13"/>
  <c r="M97" i="13"/>
  <c r="I98" i="13"/>
  <c r="J98" i="13"/>
  <c r="K98" i="13"/>
  <c r="L98" i="13"/>
  <c r="M98" i="13"/>
  <c r="I99" i="13"/>
  <c r="J99" i="13"/>
  <c r="K99" i="13"/>
  <c r="L99" i="13"/>
  <c r="M99" i="13"/>
  <c r="I100" i="13"/>
  <c r="J100" i="13"/>
  <c r="K100" i="13"/>
  <c r="L100" i="13"/>
  <c r="M100" i="13"/>
  <c r="I101" i="13"/>
  <c r="J101" i="13"/>
  <c r="K101" i="13"/>
  <c r="L101" i="13"/>
  <c r="M101" i="13"/>
  <c r="I102" i="13"/>
  <c r="J102" i="13"/>
  <c r="K102" i="13"/>
  <c r="L102" i="13"/>
  <c r="M102" i="13"/>
  <c r="I103" i="13"/>
  <c r="J103" i="13"/>
  <c r="K103" i="13"/>
  <c r="L103" i="13"/>
  <c r="M103" i="13"/>
  <c r="I104" i="13"/>
  <c r="J104" i="13"/>
  <c r="K104" i="13"/>
  <c r="L104" i="13"/>
  <c r="M104" i="13"/>
  <c r="I105" i="13"/>
  <c r="J105" i="13"/>
  <c r="K105" i="13"/>
  <c r="L105" i="13"/>
  <c r="M105" i="13"/>
  <c r="I106" i="13"/>
  <c r="J106" i="13"/>
  <c r="K106" i="13"/>
  <c r="L106" i="13"/>
  <c r="M106" i="13"/>
  <c r="I107" i="13"/>
  <c r="J107" i="13"/>
  <c r="K107" i="13"/>
  <c r="L107" i="13"/>
  <c r="M107" i="13"/>
  <c r="I108" i="13"/>
  <c r="J108" i="13"/>
  <c r="K108" i="13"/>
  <c r="L108" i="13"/>
  <c r="M108" i="13"/>
  <c r="I109" i="13"/>
  <c r="J109" i="13"/>
  <c r="K109" i="13"/>
  <c r="L109" i="13"/>
  <c r="M109" i="13"/>
  <c r="I110" i="13"/>
  <c r="J110" i="13"/>
  <c r="K110" i="13"/>
  <c r="L110" i="13"/>
  <c r="M110" i="13"/>
  <c r="I111" i="13"/>
  <c r="J111" i="13"/>
  <c r="K111" i="13"/>
  <c r="L111" i="13"/>
  <c r="M111" i="13"/>
  <c r="I112" i="13"/>
  <c r="J112" i="13"/>
  <c r="K112" i="13"/>
  <c r="L112" i="13"/>
  <c r="M112" i="13"/>
  <c r="I113" i="13"/>
  <c r="J113" i="13"/>
  <c r="K113" i="13"/>
  <c r="L113" i="13"/>
  <c r="M113" i="13"/>
  <c r="I114" i="13"/>
  <c r="J114" i="13"/>
  <c r="K114" i="13"/>
  <c r="L114" i="13"/>
  <c r="M114" i="13"/>
  <c r="I115" i="13"/>
  <c r="J115" i="13"/>
  <c r="K115" i="13"/>
  <c r="L115" i="13"/>
  <c r="M115" i="13"/>
  <c r="I116" i="13"/>
  <c r="J116" i="13"/>
  <c r="K116" i="13"/>
  <c r="L116" i="13"/>
  <c r="M116" i="13"/>
  <c r="I117" i="13"/>
  <c r="J117" i="13"/>
  <c r="K117" i="13"/>
  <c r="L117" i="13"/>
  <c r="M117" i="13"/>
  <c r="I118" i="13"/>
  <c r="J118" i="13"/>
  <c r="K118" i="13"/>
  <c r="L118" i="13"/>
  <c r="M118" i="13"/>
  <c r="I119" i="13"/>
  <c r="J119" i="13"/>
  <c r="K119" i="13"/>
  <c r="L119" i="13"/>
  <c r="M119" i="13"/>
  <c r="I120" i="13"/>
  <c r="J120" i="13"/>
  <c r="K120" i="13"/>
  <c r="L120" i="13"/>
  <c r="M120" i="13"/>
  <c r="I121" i="13"/>
  <c r="J121" i="13"/>
  <c r="K121" i="13"/>
  <c r="L121" i="13"/>
  <c r="M121" i="13"/>
  <c r="I122" i="13"/>
  <c r="J122" i="13"/>
  <c r="K122" i="13"/>
  <c r="L122" i="13"/>
  <c r="M122" i="13"/>
  <c r="I123" i="13"/>
  <c r="J123" i="13"/>
  <c r="K123" i="13"/>
  <c r="L123" i="13"/>
  <c r="M123" i="13"/>
  <c r="I124" i="13"/>
  <c r="J124" i="13"/>
  <c r="K124" i="13"/>
  <c r="L124" i="13"/>
  <c r="M124" i="13"/>
  <c r="I125" i="13"/>
  <c r="J125" i="13"/>
  <c r="K125" i="13"/>
  <c r="L125" i="13"/>
  <c r="M125" i="13"/>
  <c r="I126" i="13"/>
  <c r="J126" i="13"/>
  <c r="K126" i="13"/>
  <c r="L126" i="13"/>
  <c r="M126" i="13"/>
  <c r="I127" i="13"/>
  <c r="J127" i="13"/>
  <c r="K127" i="13"/>
  <c r="L127" i="13"/>
  <c r="M127" i="13"/>
  <c r="I128" i="13"/>
  <c r="J128" i="13"/>
  <c r="K128" i="13"/>
  <c r="L128" i="13"/>
  <c r="M128" i="13"/>
  <c r="I129" i="13"/>
  <c r="J129" i="13"/>
  <c r="K129" i="13"/>
  <c r="L129" i="13"/>
  <c r="M129" i="13"/>
  <c r="I130" i="13"/>
  <c r="J130" i="13"/>
  <c r="K130" i="13"/>
  <c r="L130" i="13"/>
  <c r="M130" i="13"/>
  <c r="I131" i="13"/>
  <c r="J131" i="13"/>
  <c r="K131" i="13"/>
  <c r="L131" i="13"/>
  <c r="M131" i="13"/>
  <c r="I132" i="13"/>
  <c r="J132" i="13"/>
  <c r="K132" i="13"/>
  <c r="L132" i="13"/>
  <c r="M132" i="13"/>
  <c r="I133" i="13"/>
  <c r="J133" i="13"/>
  <c r="K133" i="13"/>
  <c r="L133" i="13"/>
  <c r="M133" i="13"/>
  <c r="I134" i="13"/>
  <c r="J134" i="13"/>
  <c r="K134" i="13"/>
  <c r="L134" i="13"/>
  <c r="M134" i="13"/>
  <c r="I135" i="13"/>
  <c r="J135" i="13"/>
  <c r="K135" i="13"/>
  <c r="L135" i="13"/>
  <c r="M135" i="13"/>
  <c r="I136" i="13"/>
  <c r="J136" i="13"/>
  <c r="K136" i="13"/>
  <c r="L136" i="13"/>
  <c r="M136" i="13"/>
  <c r="I137" i="13"/>
  <c r="J137" i="13"/>
  <c r="K137" i="13"/>
  <c r="L137" i="13"/>
  <c r="M137" i="13"/>
  <c r="I138" i="13"/>
  <c r="J138" i="13"/>
  <c r="K138" i="13"/>
  <c r="L138" i="13"/>
  <c r="M138" i="13"/>
  <c r="I139" i="13"/>
  <c r="J139" i="13"/>
  <c r="K139" i="13"/>
  <c r="L139" i="13"/>
  <c r="M139" i="13"/>
  <c r="I140" i="13"/>
  <c r="J140" i="13"/>
  <c r="K140" i="13"/>
  <c r="L140" i="13"/>
  <c r="M140" i="13"/>
  <c r="I141" i="13"/>
  <c r="J141" i="13"/>
  <c r="K141" i="13"/>
  <c r="L141" i="13"/>
  <c r="M141" i="13"/>
  <c r="I142" i="13"/>
  <c r="J142" i="13"/>
  <c r="K142" i="13"/>
  <c r="L142" i="13"/>
  <c r="M142" i="13"/>
  <c r="I143" i="13"/>
  <c r="J143" i="13"/>
  <c r="K143" i="13"/>
  <c r="L143" i="13"/>
  <c r="M143" i="13"/>
  <c r="I144" i="13"/>
  <c r="J144" i="13"/>
  <c r="K144" i="13"/>
  <c r="L144" i="13"/>
  <c r="M144" i="13"/>
  <c r="I145" i="13"/>
  <c r="J145" i="13"/>
  <c r="K145" i="13"/>
  <c r="L145" i="13"/>
  <c r="M145" i="13"/>
  <c r="I146" i="13"/>
  <c r="J146" i="13"/>
  <c r="K146" i="13"/>
  <c r="L146" i="13"/>
  <c r="M146" i="13"/>
  <c r="I147" i="13"/>
  <c r="J147" i="13"/>
  <c r="K147" i="13"/>
  <c r="L147" i="13"/>
  <c r="M147" i="13"/>
  <c r="I148" i="13"/>
  <c r="J148" i="13"/>
  <c r="K148" i="13"/>
  <c r="L148" i="13"/>
  <c r="M148" i="13"/>
  <c r="I149" i="13"/>
  <c r="J149" i="13"/>
  <c r="K149" i="13"/>
  <c r="L149" i="13"/>
  <c r="M149" i="13"/>
  <c r="I150" i="13"/>
  <c r="J150" i="13"/>
  <c r="K150" i="13"/>
  <c r="L150" i="13"/>
  <c r="M150" i="13"/>
  <c r="I151" i="13"/>
  <c r="J151" i="13"/>
  <c r="K151" i="13"/>
  <c r="L151" i="13"/>
  <c r="M151" i="13"/>
  <c r="I152" i="13"/>
  <c r="J152" i="13"/>
  <c r="K152" i="13"/>
  <c r="L152" i="13"/>
  <c r="M152" i="13"/>
  <c r="I153" i="13"/>
  <c r="J153" i="13"/>
  <c r="K153" i="13"/>
  <c r="L153" i="13"/>
  <c r="M153" i="13"/>
  <c r="I154" i="13"/>
  <c r="J154" i="13"/>
  <c r="K154" i="13"/>
  <c r="L154" i="13"/>
  <c r="M154" i="13"/>
  <c r="I155" i="13"/>
  <c r="J155" i="13"/>
  <c r="K155" i="13"/>
  <c r="L155" i="13"/>
  <c r="M155" i="13"/>
  <c r="I156" i="13"/>
  <c r="J156" i="13"/>
  <c r="K156" i="13"/>
  <c r="L156" i="13"/>
  <c r="M156" i="13"/>
  <c r="I157" i="13"/>
  <c r="J157" i="13"/>
  <c r="K157" i="13"/>
  <c r="L157" i="13"/>
  <c r="M157" i="13"/>
  <c r="I158" i="13"/>
  <c r="J158" i="13"/>
  <c r="K158" i="13"/>
  <c r="L158" i="13"/>
  <c r="M158" i="13"/>
  <c r="I159" i="13"/>
  <c r="J159" i="13"/>
  <c r="K159" i="13"/>
  <c r="L159" i="13"/>
  <c r="M159" i="13"/>
  <c r="I160" i="13"/>
  <c r="J160" i="13"/>
  <c r="K160" i="13"/>
  <c r="L160" i="13"/>
  <c r="M160" i="13"/>
  <c r="I161" i="13"/>
  <c r="J161" i="13"/>
  <c r="K161" i="13"/>
  <c r="L161" i="13"/>
  <c r="M161" i="13"/>
  <c r="I162" i="13"/>
  <c r="J162" i="13"/>
  <c r="K162" i="13"/>
  <c r="L162" i="13"/>
  <c r="M162" i="13"/>
  <c r="I163" i="13"/>
  <c r="J163" i="13"/>
  <c r="K163" i="13"/>
  <c r="L163" i="13"/>
  <c r="M163" i="13"/>
  <c r="I164" i="13"/>
  <c r="J164" i="13"/>
  <c r="K164" i="13"/>
  <c r="L164" i="13"/>
  <c r="M164" i="13"/>
  <c r="I165" i="13"/>
  <c r="J165" i="13"/>
  <c r="K165" i="13"/>
  <c r="L165" i="13"/>
  <c r="M165" i="13"/>
  <c r="I166" i="13"/>
  <c r="J166" i="13"/>
  <c r="K166" i="13"/>
  <c r="L166" i="13"/>
  <c r="M166" i="13"/>
  <c r="I167" i="13"/>
  <c r="J167" i="13"/>
  <c r="K167" i="13"/>
  <c r="L167" i="13"/>
  <c r="M167" i="13"/>
  <c r="I168" i="13"/>
  <c r="J168" i="13"/>
  <c r="K168" i="13"/>
  <c r="L168" i="13"/>
  <c r="M168" i="13"/>
  <c r="I169" i="13"/>
  <c r="J169" i="13"/>
  <c r="K169" i="13"/>
  <c r="L169" i="13"/>
  <c r="M169" i="13"/>
  <c r="I170" i="13"/>
  <c r="J170" i="13"/>
  <c r="K170" i="13"/>
  <c r="L170" i="13"/>
  <c r="M170" i="13"/>
  <c r="I171" i="13"/>
  <c r="J171" i="13"/>
  <c r="K171" i="13"/>
  <c r="L171" i="13"/>
  <c r="M171" i="13"/>
  <c r="I172" i="13"/>
  <c r="J172" i="13"/>
  <c r="K172" i="13"/>
  <c r="L172" i="13"/>
  <c r="M172" i="13"/>
  <c r="I173" i="13"/>
  <c r="J173" i="13"/>
  <c r="K173" i="13"/>
  <c r="L173" i="13"/>
  <c r="M173" i="13"/>
  <c r="I174" i="13"/>
  <c r="J174" i="13"/>
  <c r="K174" i="13"/>
  <c r="L174" i="13"/>
  <c r="M174" i="13"/>
  <c r="I3" i="13"/>
  <c r="J3" i="13"/>
  <c r="K3" i="13"/>
  <c r="L3" i="13"/>
  <c r="M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3" i="13"/>
  <c r="I1" i="10"/>
  <c r="I3" i="10"/>
  <c r="I4" i="10"/>
  <c r="I5" i="10"/>
  <c r="I6" i="10"/>
  <c r="I2" i="10"/>
  <c r="P8" i="13" l="1"/>
  <c r="P7" i="13"/>
  <c r="P3" i="13"/>
  <c r="P6" i="13"/>
  <c r="P2" i="13"/>
  <c r="P5" i="13"/>
  <c r="P4" i="13"/>
  <c r="L4" i="3" l="1"/>
  <c r="D5" i="3" l="1"/>
  <c r="J5" i="3" s="1"/>
  <c r="D6" i="3"/>
  <c r="J6" i="3" s="1"/>
  <c r="D7" i="3"/>
  <c r="D8" i="3"/>
  <c r="E8" i="3" s="1"/>
  <c r="D9" i="3"/>
  <c r="D10" i="3"/>
  <c r="J10" i="3" s="1"/>
  <c r="D11" i="3"/>
  <c r="J11" i="3" s="1"/>
  <c r="D12" i="3"/>
  <c r="E12" i="3" s="1"/>
  <c r="D13" i="3"/>
  <c r="D14" i="3"/>
  <c r="D15" i="3"/>
  <c r="D16" i="3"/>
  <c r="D17" i="3"/>
  <c r="J17" i="3" s="1"/>
  <c r="D18" i="3"/>
  <c r="J18" i="3" s="1"/>
  <c r="D19" i="3"/>
  <c r="J19" i="3" s="1"/>
  <c r="D20" i="3"/>
  <c r="E20" i="3" s="1"/>
  <c r="D21" i="3"/>
  <c r="D22" i="3"/>
  <c r="J22" i="3" s="1"/>
  <c r="D23" i="3"/>
  <c r="J23" i="3" s="1"/>
  <c r="D24" i="3"/>
  <c r="D25" i="3"/>
  <c r="D26" i="3"/>
  <c r="D27" i="3"/>
  <c r="D28" i="3"/>
  <c r="D29" i="3"/>
  <c r="J29" i="3" s="1"/>
  <c r="D30" i="3"/>
  <c r="J30" i="3" s="1"/>
  <c r="D31" i="3"/>
  <c r="E31" i="3" s="1"/>
  <c r="D32" i="3"/>
  <c r="E32" i="3" s="1"/>
  <c r="D33" i="3"/>
  <c r="G33" i="3" s="1"/>
  <c r="D34" i="3"/>
  <c r="J34" i="3" s="1"/>
  <c r="D35" i="3"/>
  <c r="J35" i="3" s="1"/>
  <c r="D36" i="3"/>
  <c r="D37" i="3"/>
  <c r="D38" i="3"/>
  <c r="D39" i="3"/>
  <c r="D40" i="3"/>
  <c r="D41" i="3"/>
  <c r="J41" i="3" s="1"/>
  <c r="D42" i="3"/>
  <c r="J42" i="3" s="1"/>
  <c r="D43" i="3"/>
  <c r="E43" i="3" s="1"/>
  <c r="D44" i="3"/>
  <c r="J44" i="3" s="1"/>
  <c r="D45" i="3"/>
  <c r="G45" i="3" s="1"/>
  <c r="D46" i="3"/>
  <c r="J46" i="3" s="1"/>
  <c r="D47" i="3"/>
  <c r="J47" i="3" s="1"/>
  <c r="D48" i="3"/>
  <c r="D49" i="3"/>
  <c r="D50" i="3"/>
  <c r="J50" i="3" s="1"/>
  <c r="D51" i="3"/>
  <c r="D52" i="3"/>
  <c r="D53" i="3"/>
  <c r="J53" i="3" s="1"/>
  <c r="D54" i="3"/>
  <c r="J54" i="3" s="1"/>
  <c r="D55" i="3"/>
  <c r="E55" i="3" s="1"/>
  <c r="D56" i="3"/>
  <c r="E56" i="3" s="1"/>
  <c r="D57" i="3"/>
  <c r="F57" i="3" s="1"/>
  <c r="D58" i="3"/>
  <c r="J58" i="3" s="1"/>
  <c r="D59" i="3"/>
  <c r="J59" i="3" s="1"/>
  <c r="D60" i="3"/>
  <c r="D61" i="3"/>
  <c r="D62" i="3"/>
  <c r="D63" i="3"/>
  <c r="D64" i="3"/>
  <c r="D65" i="3"/>
  <c r="J65" i="3" s="1"/>
  <c r="D66" i="3"/>
  <c r="J66" i="3" s="1"/>
  <c r="D67" i="3"/>
  <c r="E67" i="3" s="1"/>
  <c r="D68" i="3"/>
  <c r="F68" i="3" s="1"/>
  <c r="D69" i="3"/>
  <c r="H69" i="3" s="1"/>
  <c r="D70" i="3"/>
  <c r="J70" i="3" s="1"/>
  <c r="D71" i="3"/>
  <c r="J71" i="3" s="1"/>
  <c r="D72" i="3"/>
  <c r="D73" i="3"/>
  <c r="D74" i="3"/>
  <c r="D75" i="3"/>
  <c r="D76" i="3"/>
  <c r="D77" i="3"/>
  <c r="J77" i="3" s="1"/>
  <c r="D78" i="3"/>
  <c r="J78" i="3" s="1"/>
  <c r="D79" i="3"/>
  <c r="E79" i="3" s="1"/>
  <c r="D80" i="3"/>
  <c r="I80" i="3" s="1"/>
  <c r="D81" i="3"/>
  <c r="G81" i="3" s="1"/>
  <c r="D82" i="3"/>
  <c r="J82" i="3" s="1"/>
  <c r="D83" i="3"/>
  <c r="J83" i="3" s="1"/>
  <c r="D84" i="3"/>
  <c r="J84" i="3" s="1"/>
  <c r="D85" i="3"/>
  <c r="D86" i="3"/>
  <c r="D87" i="3"/>
  <c r="D88" i="3"/>
  <c r="D89" i="3"/>
  <c r="J89" i="3" s="1"/>
  <c r="D90" i="3"/>
  <c r="J90" i="3" s="1"/>
  <c r="D91" i="3"/>
  <c r="D92" i="3"/>
  <c r="H92" i="3" s="1"/>
  <c r="D93" i="3"/>
  <c r="D94" i="3"/>
  <c r="J94" i="3" s="1"/>
  <c r="D95" i="3"/>
  <c r="J95" i="3" s="1"/>
  <c r="D96" i="3"/>
  <c r="H96" i="3" s="1"/>
  <c r="D97" i="3"/>
  <c r="D98" i="3"/>
  <c r="J98" i="3" s="1"/>
  <c r="D99" i="3"/>
  <c r="D100" i="3"/>
  <c r="D101" i="3"/>
  <c r="J101" i="3" s="1"/>
  <c r="D102" i="3"/>
  <c r="J102" i="3" s="1"/>
  <c r="D103" i="3"/>
  <c r="J103" i="3" s="1"/>
  <c r="D104" i="3"/>
  <c r="J104" i="3" s="1"/>
  <c r="D105" i="3"/>
  <c r="I105" i="3" s="1"/>
  <c r="D106" i="3"/>
  <c r="J106" i="3" s="1"/>
  <c r="D107" i="3"/>
  <c r="J107" i="3" s="1"/>
  <c r="D108" i="3"/>
  <c r="F108" i="3" s="1"/>
  <c r="D109" i="3"/>
  <c r="D110" i="3"/>
  <c r="J110" i="3" s="1"/>
  <c r="D111" i="3"/>
  <c r="D112" i="3"/>
  <c r="D113" i="3"/>
  <c r="J113" i="3" s="1"/>
  <c r="D114" i="3"/>
  <c r="J114" i="3" s="1"/>
  <c r="D115" i="3"/>
  <c r="J115" i="3" s="1"/>
  <c r="D116" i="3"/>
  <c r="E116" i="3" s="1"/>
  <c r="D117" i="3"/>
  <c r="F117" i="3" s="1"/>
  <c r="D118" i="3"/>
  <c r="J118" i="3" s="1"/>
  <c r="D119" i="3"/>
  <c r="J119" i="3" s="1"/>
  <c r="D120" i="3"/>
  <c r="F120" i="3" s="1"/>
  <c r="D121" i="3"/>
  <c r="D122" i="3"/>
  <c r="D123" i="3"/>
  <c r="D124" i="3"/>
  <c r="D125" i="3"/>
  <c r="J125" i="3" s="1"/>
  <c r="D126" i="3"/>
  <c r="J126" i="3" s="1"/>
  <c r="D127" i="3"/>
  <c r="E127" i="3" s="1"/>
  <c r="D128" i="3"/>
  <c r="G128" i="3" s="1"/>
  <c r="D129" i="3"/>
  <c r="J129" i="3" s="1"/>
  <c r="D130" i="3"/>
  <c r="J130" i="3" s="1"/>
  <c r="D131" i="3"/>
  <c r="J131" i="3" s="1"/>
  <c r="D132" i="3"/>
  <c r="F132" i="3" s="1"/>
  <c r="D133" i="3"/>
  <c r="D134" i="3"/>
  <c r="D135" i="3"/>
  <c r="D136" i="3"/>
  <c r="D137" i="3"/>
  <c r="J137" i="3" s="1"/>
  <c r="D138" i="3"/>
  <c r="J138" i="3" s="1"/>
  <c r="D139" i="3"/>
  <c r="J139" i="3" s="1"/>
  <c r="D140" i="3"/>
  <c r="J140" i="3" s="1"/>
  <c r="D141" i="3"/>
  <c r="J141" i="3" s="1"/>
  <c r="D142" i="3"/>
  <c r="J142" i="3" s="1"/>
  <c r="D143" i="3"/>
  <c r="J143" i="3" s="1"/>
  <c r="D144" i="3"/>
  <c r="E144" i="3" s="1"/>
  <c r="D145" i="3"/>
  <c r="D146" i="3"/>
  <c r="D147" i="3"/>
  <c r="D148" i="3"/>
  <c r="I148" i="3" s="1"/>
  <c r="D149" i="3"/>
  <c r="J149" i="3" s="1"/>
  <c r="D150" i="3"/>
  <c r="J150" i="3" s="1"/>
  <c r="D151" i="3"/>
  <c r="J151" i="3" s="1"/>
  <c r="D152" i="3"/>
  <c r="J152" i="3" s="1"/>
  <c r="D153" i="3"/>
  <c r="E153" i="3" s="1"/>
  <c r="D154" i="3"/>
  <c r="J154" i="3" s="1"/>
  <c r="D155" i="3"/>
  <c r="J155" i="3" s="1"/>
  <c r="D156" i="3"/>
  <c r="H156" i="3" s="1"/>
  <c r="D157" i="3"/>
  <c r="J157" i="3" s="1"/>
  <c r="D158" i="3"/>
  <c r="J158" i="3" s="1"/>
  <c r="D159" i="3"/>
  <c r="D160" i="3"/>
  <c r="E160" i="3" s="1"/>
  <c r="D161" i="3"/>
  <c r="J161" i="3" s="1"/>
  <c r="D162" i="3"/>
  <c r="J162" i="3" s="1"/>
  <c r="D163" i="3"/>
  <c r="J163" i="3" s="1"/>
  <c r="D164" i="3"/>
  <c r="J164" i="3" s="1"/>
  <c r="D165" i="3"/>
  <c r="D166" i="3"/>
  <c r="J166" i="3" s="1"/>
  <c r="D167" i="3"/>
  <c r="J167" i="3" s="1"/>
  <c r="D168" i="3"/>
  <c r="G168" i="3" s="1"/>
  <c r="D169" i="3"/>
  <c r="D170" i="3"/>
  <c r="J170" i="3" s="1"/>
  <c r="D171" i="3"/>
  <c r="D172" i="3"/>
  <c r="D173" i="3"/>
  <c r="J173" i="3" s="1"/>
  <c r="D174" i="3"/>
  <c r="J174" i="3" s="1"/>
  <c r="D175" i="3"/>
  <c r="J175" i="3" s="1"/>
  <c r="D176" i="3"/>
  <c r="J176" i="3" s="1"/>
  <c r="D177" i="3"/>
  <c r="I177" i="3" s="1"/>
  <c r="D178" i="3"/>
  <c r="J178" i="3" s="1"/>
  <c r="D179" i="3"/>
  <c r="J179" i="3" s="1"/>
  <c r="D180" i="3"/>
  <c r="F180" i="3" s="1"/>
  <c r="D181" i="3"/>
  <c r="J181" i="3" s="1"/>
  <c r="D182" i="3"/>
  <c r="J182" i="3" s="1"/>
  <c r="D183" i="3"/>
  <c r="G183" i="3" s="1"/>
  <c r="D184" i="3"/>
  <c r="E184" i="3" s="1"/>
  <c r="D185" i="3"/>
  <c r="J185" i="3" s="1"/>
  <c r="D186" i="3"/>
  <c r="J186" i="3" s="1"/>
  <c r="D187" i="3"/>
  <c r="D188" i="3"/>
  <c r="J188" i="3" s="1"/>
  <c r="D189" i="3"/>
  <c r="H189" i="3" s="1"/>
  <c r="D190" i="3"/>
  <c r="J190" i="3" s="1"/>
  <c r="D191" i="3"/>
  <c r="J191" i="3" s="1"/>
  <c r="D192" i="3"/>
  <c r="D193" i="3"/>
  <c r="J193" i="3" s="1"/>
  <c r="D194" i="3"/>
  <c r="J194" i="3" s="1"/>
  <c r="D195" i="3"/>
  <c r="D196" i="3"/>
  <c r="E196" i="3" s="1"/>
  <c r="D197" i="3"/>
  <c r="J197" i="3" s="1"/>
  <c r="D198" i="3"/>
  <c r="J198" i="3" s="1"/>
  <c r="D199" i="3"/>
  <c r="J199" i="3" s="1"/>
  <c r="D200" i="3"/>
  <c r="J200" i="3" s="1"/>
  <c r="D201" i="3"/>
  <c r="D202" i="3"/>
  <c r="J202" i="3" s="1"/>
  <c r="D203" i="3"/>
  <c r="J203" i="3" s="1"/>
  <c r="D204" i="3"/>
  <c r="F204" i="3" s="1"/>
  <c r="D205" i="3"/>
  <c r="J205" i="3" s="1"/>
  <c r="D206" i="3"/>
  <c r="D207" i="3"/>
  <c r="D208" i="3"/>
  <c r="D209" i="3"/>
  <c r="J209" i="3" s="1"/>
  <c r="D210" i="3"/>
  <c r="J210" i="3" s="1"/>
  <c r="D211" i="3"/>
  <c r="D212" i="3"/>
  <c r="J212" i="3" s="1"/>
  <c r="D213" i="3"/>
  <c r="F213" i="3" s="1"/>
  <c r="D214" i="3"/>
  <c r="J214" i="3" s="1"/>
  <c r="D215" i="3"/>
  <c r="J215" i="3" s="1"/>
  <c r="D216" i="3"/>
  <c r="H216" i="3" s="1"/>
  <c r="D217" i="3"/>
  <c r="D218" i="3"/>
  <c r="J218" i="3" s="1"/>
  <c r="D219" i="3"/>
  <c r="J219" i="3" s="1"/>
  <c r="D220" i="3"/>
  <c r="D221" i="3"/>
  <c r="J221" i="3" s="1"/>
  <c r="D222" i="3"/>
  <c r="J222" i="3" s="1"/>
  <c r="D223" i="3"/>
  <c r="E223" i="3" s="1"/>
  <c r="D224" i="3"/>
  <c r="J224" i="3" s="1"/>
  <c r="D225" i="3"/>
  <c r="D226" i="3"/>
  <c r="J226" i="3" s="1"/>
  <c r="D227" i="3"/>
  <c r="J227" i="3" s="1"/>
  <c r="D228" i="3"/>
  <c r="J228" i="3" s="1"/>
  <c r="D229" i="3"/>
  <c r="J229" i="3" s="1"/>
  <c r="D230" i="3"/>
  <c r="J230" i="3" s="1"/>
  <c r="D231" i="3"/>
  <c r="F231" i="3" s="1"/>
  <c r="D232" i="3"/>
  <c r="E232" i="3" s="1"/>
  <c r="D233" i="3"/>
  <c r="J233" i="3" s="1"/>
  <c r="D234" i="3"/>
  <c r="D235" i="3"/>
  <c r="J235" i="3" s="1"/>
  <c r="D236" i="3"/>
  <c r="J236" i="3" s="1"/>
  <c r="D237" i="3"/>
  <c r="H237" i="3" s="1"/>
  <c r="D238" i="3"/>
  <c r="J238" i="3" s="1"/>
  <c r="D239" i="3"/>
  <c r="J239" i="3" s="1"/>
  <c r="D240" i="3"/>
  <c r="D241" i="3"/>
  <c r="J241" i="3" s="1"/>
  <c r="D242" i="3"/>
  <c r="D243" i="3"/>
  <c r="D244" i="3"/>
  <c r="I244" i="3" s="1"/>
  <c r="D245" i="3"/>
  <c r="J245" i="3" s="1"/>
  <c r="D246" i="3"/>
  <c r="J246" i="3" s="1"/>
  <c r="D247" i="3"/>
  <c r="J247" i="3" s="1"/>
  <c r="D248" i="3"/>
  <c r="J248" i="3" s="1"/>
  <c r="D249" i="3"/>
  <c r="F249" i="3" s="1"/>
  <c r="D250" i="3"/>
  <c r="J250" i="3" s="1"/>
  <c r="D251" i="3"/>
  <c r="J251" i="3" s="1"/>
  <c r="D252" i="3"/>
  <c r="G252" i="3" s="1"/>
  <c r="D253" i="3"/>
  <c r="J253" i="3" s="1"/>
  <c r="D254" i="3"/>
  <c r="J254" i="3" s="1"/>
  <c r="D255" i="3"/>
  <c r="D256" i="3"/>
  <c r="D257" i="3"/>
  <c r="D258" i="3"/>
  <c r="J258" i="3" s="1"/>
  <c r="D259" i="3"/>
  <c r="J259" i="3" s="1"/>
  <c r="D260" i="3"/>
  <c r="J260" i="3" s="1"/>
  <c r="D261" i="3"/>
  <c r="H261" i="3" s="1"/>
  <c r="D262" i="3"/>
  <c r="J262" i="3" s="1"/>
  <c r="D263" i="3"/>
  <c r="J263" i="3" s="1"/>
  <c r="D264" i="3"/>
  <c r="D265" i="3"/>
  <c r="J265" i="3" s="1"/>
  <c r="D266" i="3"/>
  <c r="J266" i="3" s="1"/>
  <c r="D267" i="3"/>
  <c r="D268" i="3"/>
  <c r="D269" i="3"/>
  <c r="D270" i="3"/>
  <c r="J270" i="3" s="1"/>
  <c r="D271" i="3"/>
  <c r="E271" i="3" s="1"/>
  <c r="D272" i="3"/>
  <c r="J272" i="3" s="1"/>
  <c r="D273" i="3"/>
  <c r="F273" i="3" s="1"/>
  <c r="D274" i="3"/>
  <c r="J274" i="3" s="1"/>
  <c r="D275" i="3"/>
  <c r="J275" i="3" s="1"/>
  <c r="D276" i="3"/>
  <c r="D277" i="3"/>
  <c r="D278" i="3"/>
  <c r="D279" i="3"/>
  <c r="J279" i="3" s="1"/>
  <c r="D280" i="3"/>
  <c r="J280" i="3" s="1"/>
  <c r="D281" i="3"/>
  <c r="J281" i="3" s="1"/>
  <c r="D282" i="3"/>
  <c r="J282" i="3" s="1"/>
  <c r="D283" i="3"/>
  <c r="E283" i="3" s="1"/>
  <c r="D284" i="3"/>
  <c r="J284" i="3" s="1"/>
  <c r="D285" i="3"/>
  <c r="G285" i="3" s="1"/>
  <c r="D286" i="3"/>
  <c r="J286" i="3" s="1"/>
  <c r="D287" i="3"/>
  <c r="J287" i="3" s="1"/>
  <c r="D288" i="3"/>
  <c r="J288" i="3" s="1"/>
  <c r="D289" i="3"/>
  <c r="D290" i="3"/>
  <c r="D291" i="3"/>
  <c r="J291" i="3" s="1"/>
  <c r="D292" i="3"/>
  <c r="D293" i="3"/>
  <c r="J293" i="3" s="1"/>
  <c r="D294" i="3"/>
  <c r="J294" i="3" s="1"/>
  <c r="D295" i="3"/>
  <c r="E295" i="3" s="1"/>
  <c r="D296" i="3"/>
  <c r="J296" i="3" s="1"/>
  <c r="D297" i="3"/>
  <c r="H297" i="3" s="1"/>
  <c r="D298" i="3"/>
  <c r="J298" i="3" s="1"/>
  <c r="D299" i="3"/>
  <c r="J299" i="3" s="1"/>
  <c r="D300" i="3"/>
  <c r="J300" i="3" s="1"/>
  <c r="D301" i="3"/>
  <c r="D302" i="3"/>
  <c r="J302" i="3" s="1"/>
  <c r="D303" i="3"/>
  <c r="J303" i="3" s="1"/>
  <c r="D304" i="3"/>
  <c r="D305" i="3"/>
  <c r="J305" i="3" s="1"/>
  <c r="D306" i="3"/>
  <c r="J306" i="3" s="1"/>
  <c r="D307" i="3"/>
  <c r="E307" i="3" s="1"/>
  <c r="D308" i="3"/>
  <c r="J308" i="3" s="1"/>
  <c r="D309" i="3"/>
  <c r="F309" i="3" s="1"/>
  <c r="D310" i="3"/>
  <c r="J310" i="3" s="1"/>
  <c r="D311" i="3"/>
  <c r="J311" i="3" s="1"/>
  <c r="D312" i="3"/>
  <c r="D313" i="3"/>
  <c r="D314" i="3"/>
  <c r="D315" i="3"/>
  <c r="J315" i="3" s="1"/>
  <c r="D316" i="3"/>
  <c r="D317" i="3"/>
  <c r="J317" i="3" s="1"/>
  <c r="D318" i="3"/>
  <c r="J318" i="3" s="1"/>
  <c r="D319" i="3"/>
  <c r="J319" i="3" s="1"/>
  <c r="D320" i="3"/>
  <c r="J320" i="3" s="1"/>
  <c r="D321" i="3"/>
  <c r="E321" i="3" s="1"/>
  <c r="D322" i="3"/>
  <c r="J322" i="3" s="1"/>
  <c r="D323" i="3"/>
  <c r="J323" i="3" s="1"/>
  <c r="D324" i="3"/>
  <c r="G324" i="3" s="1"/>
  <c r="D325" i="3"/>
  <c r="H325" i="3" s="1"/>
  <c r="D326" i="3"/>
  <c r="E327" i="3"/>
  <c r="D328" i="3"/>
  <c r="D329" i="3"/>
  <c r="I329" i="3" s="1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F5" i="3"/>
  <c r="G5" i="3"/>
  <c r="H5" i="3"/>
  <c r="I5" i="3"/>
  <c r="G21" i="3"/>
  <c r="F24" i="3"/>
  <c r="G24" i="3"/>
  <c r="H24" i="3"/>
  <c r="I24" i="3"/>
  <c r="F25" i="3"/>
  <c r="G25" i="3"/>
  <c r="H25" i="3"/>
  <c r="I25" i="3"/>
  <c r="F53" i="3"/>
  <c r="G53" i="3"/>
  <c r="H53" i="3"/>
  <c r="I53" i="3"/>
  <c r="F93" i="3"/>
  <c r="G93" i="3"/>
  <c r="H93" i="3"/>
  <c r="I93" i="3"/>
  <c r="F96" i="3"/>
  <c r="G96" i="3"/>
  <c r="I96" i="3"/>
  <c r="G101" i="3"/>
  <c r="F109" i="3"/>
  <c r="G109" i="3"/>
  <c r="H109" i="3"/>
  <c r="I109" i="3"/>
  <c r="F121" i="3"/>
  <c r="G121" i="3"/>
  <c r="H121" i="3"/>
  <c r="I121" i="3"/>
  <c r="F165" i="3"/>
  <c r="G165" i="3"/>
  <c r="H165" i="3"/>
  <c r="I165" i="3"/>
  <c r="G176" i="3"/>
  <c r="F195" i="3"/>
  <c r="G195" i="3"/>
  <c r="H195" i="3"/>
  <c r="I195" i="3"/>
  <c r="F206" i="3"/>
  <c r="G206" i="3"/>
  <c r="H206" i="3"/>
  <c r="I206" i="3"/>
  <c r="F211" i="3"/>
  <c r="G211" i="3"/>
  <c r="H211" i="3"/>
  <c r="I211" i="3"/>
  <c r="F225" i="3"/>
  <c r="G225" i="3"/>
  <c r="H225" i="3"/>
  <c r="I225" i="3"/>
  <c r="F234" i="3"/>
  <c r="G234" i="3"/>
  <c r="H234" i="3"/>
  <c r="I234" i="3"/>
  <c r="F257" i="3"/>
  <c r="G257" i="3"/>
  <c r="H257" i="3"/>
  <c r="I257" i="3"/>
  <c r="F265" i="3"/>
  <c r="G265" i="3"/>
  <c r="H265" i="3"/>
  <c r="I265" i="3"/>
  <c r="F266" i="3"/>
  <c r="G266" i="3"/>
  <c r="H266" i="3"/>
  <c r="I266" i="3"/>
  <c r="F267" i="3"/>
  <c r="G267" i="3"/>
  <c r="H267" i="3"/>
  <c r="I267" i="3"/>
  <c r="F268" i="3"/>
  <c r="G268" i="3"/>
  <c r="H268" i="3"/>
  <c r="I268" i="3"/>
  <c r="F269" i="3"/>
  <c r="G269" i="3"/>
  <c r="H269" i="3"/>
  <c r="I269" i="3"/>
  <c r="F330" i="3"/>
  <c r="G330" i="3"/>
  <c r="H330" i="3"/>
  <c r="I330" i="3"/>
  <c r="J330" i="3"/>
  <c r="F331" i="3"/>
  <c r="G331" i="3"/>
  <c r="H331" i="3"/>
  <c r="I331" i="3"/>
  <c r="J331" i="3"/>
  <c r="F332" i="3"/>
  <c r="G332" i="3"/>
  <c r="H332" i="3"/>
  <c r="I332" i="3"/>
  <c r="J332" i="3"/>
  <c r="F333" i="3"/>
  <c r="G333" i="3"/>
  <c r="H333" i="3"/>
  <c r="I333" i="3"/>
  <c r="J333" i="3"/>
  <c r="F334" i="3"/>
  <c r="G334" i="3"/>
  <c r="H334" i="3"/>
  <c r="I334" i="3"/>
  <c r="J334" i="3"/>
  <c r="F335" i="3"/>
  <c r="G335" i="3"/>
  <c r="H335" i="3"/>
  <c r="I335" i="3"/>
  <c r="J335" i="3"/>
  <c r="F336" i="3"/>
  <c r="G336" i="3"/>
  <c r="H336" i="3"/>
  <c r="I336" i="3"/>
  <c r="J336" i="3"/>
  <c r="F337" i="3"/>
  <c r="G337" i="3"/>
  <c r="H337" i="3"/>
  <c r="I337" i="3"/>
  <c r="J337" i="3"/>
  <c r="F338" i="3"/>
  <c r="G338" i="3"/>
  <c r="H338" i="3"/>
  <c r="I338" i="3"/>
  <c r="J338" i="3"/>
  <c r="F339" i="3"/>
  <c r="G339" i="3"/>
  <c r="H339" i="3"/>
  <c r="I339" i="3"/>
  <c r="J339" i="3"/>
  <c r="F340" i="3"/>
  <c r="G340" i="3"/>
  <c r="H340" i="3"/>
  <c r="I340" i="3"/>
  <c r="J340" i="3"/>
  <c r="F341" i="3"/>
  <c r="G341" i="3"/>
  <c r="H341" i="3"/>
  <c r="I341" i="3"/>
  <c r="J341" i="3"/>
  <c r="F342" i="3"/>
  <c r="G342" i="3"/>
  <c r="H342" i="3"/>
  <c r="I342" i="3"/>
  <c r="J342" i="3"/>
  <c r="F343" i="3"/>
  <c r="G343" i="3"/>
  <c r="H343" i="3"/>
  <c r="I343" i="3"/>
  <c r="J343" i="3"/>
  <c r="F344" i="3"/>
  <c r="G344" i="3"/>
  <c r="H344" i="3"/>
  <c r="I344" i="3"/>
  <c r="J344" i="3"/>
  <c r="F345" i="3"/>
  <c r="G345" i="3"/>
  <c r="H345" i="3"/>
  <c r="I345" i="3"/>
  <c r="J345" i="3"/>
  <c r="F346" i="3"/>
  <c r="G346" i="3"/>
  <c r="H346" i="3"/>
  <c r="I346" i="3"/>
  <c r="J346" i="3"/>
  <c r="F347" i="3"/>
  <c r="G347" i="3"/>
  <c r="H347" i="3"/>
  <c r="I347" i="3"/>
  <c r="J347" i="3"/>
  <c r="F348" i="3"/>
  <c r="G348" i="3"/>
  <c r="H348" i="3"/>
  <c r="I348" i="3"/>
  <c r="J348" i="3"/>
  <c r="F349" i="3"/>
  <c r="G349" i="3"/>
  <c r="H349" i="3"/>
  <c r="I349" i="3"/>
  <c r="J349" i="3"/>
  <c r="F350" i="3"/>
  <c r="G350" i="3"/>
  <c r="H350" i="3"/>
  <c r="I350" i="3"/>
  <c r="J350" i="3"/>
  <c r="F351" i="3"/>
  <c r="G351" i="3"/>
  <c r="H351" i="3"/>
  <c r="I351" i="3"/>
  <c r="J351" i="3"/>
  <c r="F352" i="3"/>
  <c r="G352" i="3"/>
  <c r="H352" i="3"/>
  <c r="I352" i="3"/>
  <c r="J352" i="3"/>
  <c r="F353" i="3"/>
  <c r="G353" i="3"/>
  <c r="H353" i="3"/>
  <c r="I353" i="3"/>
  <c r="J353" i="3"/>
  <c r="F354" i="3"/>
  <c r="G354" i="3"/>
  <c r="H354" i="3"/>
  <c r="I354" i="3"/>
  <c r="J354" i="3"/>
  <c r="F355" i="3"/>
  <c r="G355" i="3"/>
  <c r="H355" i="3"/>
  <c r="I355" i="3"/>
  <c r="J355" i="3"/>
  <c r="F356" i="3"/>
  <c r="G356" i="3"/>
  <c r="H356" i="3"/>
  <c r="I356" i="3"/>
  <c r="J356" i="3"/>
  <c r="F357" i="3"/>
  <c r="G357" i="3"/>
  <c r="H357" i="3"/>
  <c r="I357" i="3"/>
  <c r="J357" i="3"/>
  <c r="F358" i="3"/>
  <c r="G358" i="3"/>
  <c r="H358" i="3"/>
  <c r="I358" i="3"/>
  <c r="J358" i="3"/>
  <c r="F359" i="3"/>
  <c r="G359" i="3"/>
  <c r="H359" i="3"/>
  <c r="I359" i="3"/>
  <c r="J359" i="3"/>
  <c r="F360" i="3"/>
  <c r="G360" i="3"/>
  <c r="H360" i="3"/>
  <c r="I360" i="3"/>
  <c r="J360" i="3"/>
  <c r="F361" i="3"/>
  <c r="G361" i="3"/>
  <c r="H361" i="3"/>
  <c r="I361" i="3"/>
  <c r="J361" i="3"/>
  <c r="F362" i="3"/>
  <c r="G362" i="3"/>
  <c r="H362" i="3"/>
  <c r="I362" i="3"/>
  <c r="J362" i="3"/>
  <c r="F363" i="3"/>
  <c r="G363" i="3"/>
  <c r="H363" i="3"/>
  <c r="I363" i="3"/>
  <c r="J363" i="3"/>
  <c r="F364" i="3"/>
  <c r="G364" i="3"/>
  <c r="H364" i="3"/>
  <c r="I364" i="3"/>
  <c r="J364" i="3"/>
  <c r="F365" i="3"/>
  <c r="G365" i="3"/>
  <c r="H365" i="3"/>
  <c r="I365" i="3"/>
  <c r="J365" i="3"/>
  <c r="F366" i="3"/>
  <c r="G366" i="3"/>
  <c r="H366" i="3"/>
  <c r="I366" i="3"/>
  <c r="J366" i="3"/>
  <c r="F367" i="3"/>
  <c r="G367" i="3"/>
  <c r="H367" i="3"/>
  <c r="I367" i="3"/>
  <c r="J367" i="3"/>
  <c r="F368" i="3"/>
  <c r="G368" i="3"/>
  <c r="H368" i="3"/>
  <c r="I368" i="3"/>
  <c r="J368" i="3"/>
  <c r="F369" i="3"/>
  <c r="G369" i="3"/>
  <c r="H369" i="3"/>
  <c r="I369" i="3"/>
  <c r="J369" i="3"/>
  <c r="F370" i="3"/>
  <c r="G370" i="3"/>
  <c r="H370" i="3"/>
  <c r="I370" i="3"/>
  <c r="J370" i="3"/>
  <c r="F371" i="3"/>
  <c r="G371" i="3"/>
  <c r="H371" i="3"/>
  <c r="I371" i="3"/>
  <c r="J371" i="3"/>
  <c r="F372" i="3"/>
  <c r="G372" i="3"/>
  <c r="H372" i="3"/>
  <c r="I372" i="3"/>
  <c r="J372" i="3"/>
  <c r="F373" i="3"/>
  <c r="G373" i="3"/>
  <c r="H373" i="3"/>
  <c r="I373" i="3"/>
  <c r="J373" i="3"/>
  <c r="F374" i="3"/>
  <c r="G374" i="3"/>
  <c r="H374" i="3"/>
  <c r="I374" i="3"/>
  <c r="J374" i="3"/>
  <c r="F375" i="3"/>
  <c r="G375" i="3"/>
  <c r="H375" i="3"/>
  <c r="I375" i="3"/>
  <c r="J375" i="3"/>
  <c r="F376" i="3"/>
  <c r="G376" i="3"/>
  <c r="H376" i="3"/>
  <c r="I376" i="3"/>
  <c r="J376" i="3"/>
  <c r="F377" i="3"/>
  <c r="G377" i="3"/>
  <c r="H377" i="3"/>
  <c r="I377" i="3"/>
  <c r="J377" i="3"/>
  <c r="F378" i="3"/>
  <c r="G378" i="3"/>
  <c r="H378" i="3"/>
  <c r="I378" i="3"/>
  <c r="J378" i="3"/>
  <c r="F379" i="3"/>
  <c r="G379" i="3"/>
  <c r="H379" i="3"/>
  <c r="I379" i="3"/>
  <c r="J379" i="3"/>
  <c r="F380" i="3"/>
  <c r="G380" i="3"/>
  <c r="H380" i="3"/>
  <c r="I380" i="3"/>
  <c r="J380" i="3"/>
  <c r="F381" i="3"/>
  <c r="G381" i="3"/>
  <c r="H381" i="3"/>
  <c r="I381" i="3"/>
  <c r="J381" i="3"/>
  <c r="F382" i="3"/>
  <c r="G382" i="3"/>
  <c r="H382" i="3"/>
  <c r="I382" i="3"/>
  <c r="J382" i="3"/>
  <c r="F383" i="3"/>
  <c r="G383" i="3"/>
  <c r="H383" i="3"/>
  <c r="I383" i="3"/>
  <c r="J383" i="3"/>
  <c r="F384" i="3"/>
  <c r="G384" i="3"/>
  <c r="H384" i="3"/>
  <c r="I384" i="3"/>
  <c r="J384" i="3"/>
  <c r="F385" i="3"/>
  <c r="G385" i="3"/>
  <c r="H385" i="3"/>
  <c r="I385" i="3"/>
  <c r="J385" i="3"/>
  <c r="F386" i="3"/>
  <c r="G386" i="3"/>
  <c r="H386" i="3"/>
  <c r="I386" i="3"/>
  <c r="J386" i="3"/>
  <c r="F387" i="3"/>
  <c r="G387" i="3"/>
  <c r="H387" i="3"/>
  <c r="I387" i="3"/>
  <c r="J387" i="3"/>
  <c r="F388" i="3"/>
  <c r="G388" i="3"/>
  <c r="H388" i="3"/>
  <c r="I388" i="3"/>
  <c r="J388" i="3"/>
  <c r="F389" i="3"/>
  <c r="G389" i="3"/>
  <c r="H389" i="3"/>
  <c r="I389" i="3"/>
  <c r="J389" i="3"/>
  <c r="F390" i="3"/>
  <c r="G390" i="3"/>
  <c r="H390" i="3"/>
  <c r="I390" i="3"/>
  <c r="J390" i="3"/>
  <c r="F391" i="3"/>
  <c r="G391" i="3"/>
  <c r="H391" i="3"/>
  <c r="I391" i="3"/>
  <c r="J391" i="3"/>
  <c r="F392" i="3"/>
  <c r="G392" i="3"/>
  <c r="H392" i="3"/>
  <c r="I392" i="3"/>
  <c r="J392" i="3"/>
  <c r="F393" i="3"/>
  <c r="G393" i="3"/>
  <c r="H393" i="3"/>
  <c r="I393" i="3"/>
  <c r="J393" i="3"/>
  <c r="F394" i="3"/>
  <c r="G394" i="3"/>
  <c r="H394" i="3"/>
  <c r="I394" i="3"/>
  <c r="J394" i="3"/>
  <c r="F395" i="3"/>
  <c r="G395" i="3"/>
  <c r="H395" i="3"/>
  <c r="I395" i="3"/>
  <c r="J395" i="3"/>
  <c r="F396" i="3"/>
  <c r="G396" i="3"/>
  <c r="H396" i="3"/>
  <c r="I396" i="3"/>
  <c r="J396" i="3"/>
  <c r="F397" i="3"/>
  <c r="G397" i="3"/>
  <c r="H397" i="3"/>
  <c r="I397" i="3"/>
  <c r="J397" i="3"/>
  <c r="F398" i="3"/>
  <c r="G398" i="3"/>
  <c r="H398" i="3"/>
  <c r="I398" i="3"/>
  <c r="J398" i="3"/>
  <c r="F399" i="3"/>
  <c r="G399" i="3"/>
  <c r="H399" i="3"/>
  <c r="I399" i="3"/>
  <c r="J399" i="3"/>
  <c r="F400" i="3"/>
  <c r="G400" i="3"/>
  <c r="H400" i="3"/>
  <c r="I400" i="3"/>
  <c r="J400" i="3"/>
  <c r="F401" i="3"/>
  <c r="G401" i="3"/>
  <c r="H401" i="3"/>
  <c r="I401" i="3"/>
  <c r="J401" i="3"/>
  <c r="F402" i="3"/>
  <c r="G402" i="3"/>
  <c r="H402" i="3"/>
  <c r="I402" i="3"/>
  <c r="J402" i="3"/>
  <c r="F403" i="3"/>
  <c r="G403" i="3"/>
  <c r="H403" i="3"/>
  <c r="I403" i="3"/>
  <c r="J403" i="3"/>
  <c r="F404" i="3"/>
  <c r="G404" i="3"/>
  <c r="H404" i="3"/>
  <c r="I404" i="3"/>
  <c r="J404" i="3"/>
  <c r="F405" i="3"/>
  <c r="G405" i="3"/>
  <c r="H405" i="3"/>
  <c r="I405" i="3"/>
  <c r="J405" i="3"/>
  <c r="F406" i="3"/>
  <c r="G406" i="3"/>
  <c r="H406" i="3"/>
  <c r="I406" i="3"/>
  <c r="J406" i="3"/>
  <c r="F407" i="3"/>
  <c r="G407" i="3"/>
  <c r="H407" i="3"/>
  <c r="I407" i="3"/>
  <c r="J407" i="3"/>
  <c r="F408" i="3"/>
  <c r="G408" i="3"/>
  <c r="H408" i="3"/>
  <c r="I408" i="3"/>
  <c r="J408" i="3"/>
  <c r="F409" i="3"/>
  <c r="G409" i="3"/>
  <c r="H409" i="3"/>
  <c r="I409" i="3"/>
  <c r="J409" i="3"/>
  <c r="F410" i="3"/>
  <c r="G410" i="3"/>
  <c r="H410" i="3"/>
  <c r="I410" i="3"/>
  <c r="J410" i="3"/>
  <c r="F411" i="3"/>
  <c r="G411" i="3"/>
  <c r="H411" i="3"/>
  <c r="I411" i="3"/>
  <c r="J411" i="3"/>
  <c r="F412" i="3"/>
  <c r="G412" i="3"/>
  <c r="H412" i="3"/>
  <c r="I412" i="3"/>
  <c r="J412" i="3"/>
  <c r="F413" i="3"/>
  <c r="G413" i="3"/>
  <c r="H413" i="3"/>
  <c r="I413" i="3"/>
  <c r="J413" i="3"/>
  <c r="F414" i="3"/>
  <c r="G414" i="3"/>
  <c r="H414" i="3"/>
  <c r="I414" i="3"/>
  <c r="J414" i="3"/>
  <c r="F415" i="3"/>
  <c r="G415" i="3"/>
  <c r="H415" i="3"/>
  <c r="I415" i="3"/>
  <c r="J415" i="3"/>
  <c r="F416" i="3"/>
  <c r="G416" i="3"/>
  <c r="H416" i="3"/>
  <c r="I416" i="3"/>
  <c r="J416" i="3"/>
  <c r="F417" i="3"/>
  <c r="G417" i="3"/>
  <c r="H417" i="3"/>
  <c r="I417" i="3"/>
  <c r="J417" i="3"/>
  <c r="F418" i="3"/>
  <c r="G418" i="3"/>
  <c r="H418" i="3"/>
  <c r="I418" i="3"/>
  <c r="J418" i="3"/>
  <c r="F419" i="3"/>
  <c r="G419" i="3"/>
  <c r="H419" i="3"/>
  <c r="I419" i="3"/>
  <c r="J419" i="3"/>
  <c r="F420" i="3"/>
  <c r="G420" i="3"/>
  <c r="H420" i="3"/>
  <c r="I420" i="3"/>
  <c r="J420" i="3"/>
  <c r="F421" i="3"/>
  <c r="G421" i="3"/>
  <c r="H421" i="3"/>
  <c r="I421" i="3"/>
  <c r="J421" i="3"/>
  <c r="F422" i="3"/>
  <c r="G422" i="3"/>
  <c r="H422" i="3"/>
  <c r="I422" i="3"/>
  <c r="J422" i="3"/>
  <c r="F423" i="3"/>
  <c r="G423" i="3"/>
  <c r="H423" i="3"/>
  <c r="I423" i="3"/>
  <c r="J423" i="3"/>
  <c r="F424" i="3"/>
  <c r="G424" i="3"/>
  <c r="H424" i="3"/>
  <c r="I424" i="3"/>
  <c r="J424" i="3"/>
  <c r="F425" i="3"/>
  <c r="G425" i="3"/>
  <c r="H425" i="3"/>
  <c r="I425" i="3"/>
  <c r="J425" i="3"/>
  <c r="F426" i="3"/>
  <c r="G426" i="3"/>
  <c r="H426" i="3"/>
  <c r="I426" i="3"/>
  <c r="J426" i="3"/>
  <c r="F427" i="3"/>
  <c r="G427" i="3"/>
  <c r="H427" i="3"/>
  <c r="I427" i="3"/>
  <c r="J427" i="3"/>
  <c r="F428" i="3"/>
  <c r="G428" i="3"/>
  <c r="H428" i="3"/>
  <c r="I428" i="3"/>
  <c r="J428" i="3"/>
  <c r="F429" i="3"/>
  <c r="G429" i="3"/>
  <c r="H429" i="3"/>
  <c r="I429" i="3"/>
  <c r="J429" i="3"/>
  <c r="F430" i="3"/>
  <c r="G430" i="3"/>
  <c r="H430" i="3"/>
  <c r="I430" i="3"/>
  <c r="J430" i="3"/>
  <c r="F431" i="3"/>
  <c r="G431" i="3"/>
  <c r="H431" i="3"/>
  <c r="I431" i="3"/>
  <c r="J431" i="3"/>
  <c r="F432" i="3"/>
  <c r="G432" i="3"/>
  <c r="H432" i="3"/>
  <c r="I432" i="3"/>
  <c r="J432" i="3"/>
  <c r="F433" i="3"/>
  <c r="G433" i="3"/>
  <c r="H433" i="3"/>
  <c r="I433" i="3"/>
  <c r="J433" i="3"/>
  <c r="F434" i="3"/>
  <c r="G434" i="3"/>
  <c r="H434" i="3"/>
  <c r="I434" i="3"/>
  <c r="J434" i="3"/>
  <c r="F435" i="3"/>
  <c r="G435" i="3"/>
  <c r="H435" i="3"/>
  <c r="I435" i="3"/>
  <c r="J435" i="3"/>
  <c r="F436" i="3"/>
  <c r="G436" i="3"/>
  <c r="H436" i="3"/>
  <c r="I436" i="3"/>
  <c r="J436" i="3"/>
  <c r="F437" i="3"/>
  <c r="G437" i="3"/>
  <c r="H437" i="3"/>
  <c r="I437" i="3"/>
  <c r="J437" i="3"/>
  <c r="F438" i="3"/>
  <c r="G438" i="3"/>
  <c r="H438" i="3"/>
  <c r="I438" i="3"/>
  <c r="J438" i="3"/>
  <c r="F439" i="3"/>
  <c r="G439" i="3"/>
  <c r="H439" i="3"/>
  <c r="I439" i="3"/>
  <c r="J439" i="3"/>
  <c r="F440" i="3"/>
  <c r="G440" i="3"/>
  <c r="H440" i="3"/>
  <c r="I440" i="3"/>
  <c r="J440" i="3"/>
  <c r="F441" i="3"/>
  <c r="G441" i="3"/>
  <c r="H441" i="3"/>
  <c r="I441" i="3"/>
  <c r="J441" i="3"/>
  <c r="F442" i="3"/>
  <c r="G442" i="3"/>
  <c r="H442" i="3"/>
  <c r="I442" i="3"/>
  <c r="J442" i="3"/>
  <c r="F443" i="3"/>
  <c r="G443" i="3"/>
  <c r="H443" i="3"/>
  <c r="I443" i="3"/>
  <c r="J443" i="3"/>
  <c r="F444" i="3"/>
  <c r="G444" i="3"/>
  <c r="H444" i="3"/>
  <c r="I444" i="3"/>
  <c r="J444" i="3"/>
  <c r="F445" i="3"/>
  <c r="G445" i="3"/>
  <c r="H445" i="3"/>
  <c r="I445" i="3"/>
  <c r="J445" i="3"/>
  <c r="F446" i="3"/>
  <c r="G446" i="3"/>
  <c r="H446" i="3"/>
  <c r="I446" i="3"/>
  <c r="J446" i="3"/>
  <c r="F447" i="3"/>
  <c r="G447" i="3"/>
  <c r="H447" i="3"/>
  <c r="I447" i="3"/>
  <c r="J447" i="3"/>
  <c r="F448" i="3"/>
  <c r="G448" i="3"/>
  <c r="H448" i="3"/>
  <c r="I448" i="3"/>
  <c r="J448" i="3"/>
  <c r="F449" i="3"/>
  <c r="G449" i="3"/>
  <c r="H449" i="3"/>
  <c r="I449" i="3"/>
  <c r="J449" i="3"/>
  <c r="F450" i="3"/>
  <c r="G450" i="3"/>
  <c r="H450" i="3"/>
  <c r="I450" i="3"/>
  <c r="J450" i="3"/>
  <c r="F451" i="3"/>
  <c r="G451" i="3"/>
  <c r="H451" i="3"/>
  <c r="I451" i="3"/>
  <c r="J451" i="3"/>
  <c r="F452" i="3"/>
  <c r="G452" i="3"/>
  <c r="H452" i="3"/>
  <c r="I452" i="3"/>
  <c r="J452" i="3"/>
  <c r="F453" i="3"/>
  <c r="G453" i="3"/>
  <c r="H453" i="3"/>
  <c r="I453" i="3"/>
  <c r="J453" i="3"/>
  <c r="F454" i="3"/>
  <c r="G454" i="3"/>
  <c r="H454" i="3"/>
  <c r="I454" i="3"/>
  <c r="J454" i="3"/>
  <c r="F455" i="3"/>
  <c r="G455" i="3"/>
  <c r="H455" i="3"/>
  <c r="I455" i="3"/>
  <c r="J455" i="3"/>
  <c r="F456" i="3"/>
  <c r="G456" i="3"/>
  <c r="H456" i="3"/>
  <c r="I456" i="3"/>
  <c r="J456" i="3"/>
  <c r="F457" i="3"/>
  <c r="G457" i="3"/>
  <c r="H457" i="3"/>
  <c r="I457" i="3"/>
  <c r="J457" i="3"/>
  <c r="F458" i="3"/>
  <c r="G458" i="3"/>
  <c r="H458" i="3"/>
  <c r="I458" i="3"/>
  <c r="J458" i="3"/>
  <c r="F459" i="3"/>
  <c r="G459" i="3"/>
  <c r="H459" i="3"/>
  <c r="I459" i="3"/>
  <c r="J459" i="3"/>
  <c r="F460" i="3"/>
  <c r="G460" i="3"/>
  <c r="H460" i="3"/>
  <c r="I460" i="3"/>
  <c r="J460" i="3"/>
  <c r="F461" i="3"/>
  <c r="G461" i="3"/>
  <c r="H461" i="3"/>
  <c r="I461" i="3"/>
  <c r="J461" i="3"/>
  <c r="F462" i="3"/>
  <c r="G462" i="3"/>
  <c r="H462" i="3"/>
  <c r="I462" i="3"/>
  <c r="J462" i="3"/>
  <c r="F463" i="3"/>
  <c r="G463" i="3"/>
  <c r="H463" i="3"/>
  <c r="I463" i="3"/>
  <c r="J463" i="3"/>
  <c r="F464" i="3"/>
  <c r="G464" i="3"/>
  <c r="H464" i="3"/>
  <c r="I464" i="3"/>
  <c r="J464" i="3"/>
  <c r="F465" i="3"/>
  <c r="G465" i="3"/>
  <c r="H465" i="3"/>
  <c r="I465" i="3"/>
  <c r="J465" i="3"/>
  <c r="F466" i="3"/>
  <c r="G466" i="3"/>
  <c r="H466" i="3"/>
  <c r="I466" i="3"/>
  <c r="J466" i="3"/>
  <c r="F467" i="3"/>
  <c r="G467" i="3"/>
  <c r="H467" i="3"/>
  <c r="I467" i="3"/>
  <c r="J467" i="3"/>
  <c r="F468" i="3"/>
  <c r="G468" i="3"/>
  <c r="H468" i="3"/>
  <c r="I468" i="3"/>
  <c r="J468" i="3"/>
  <c r="F469" i="3"/>
  <c r="G469" i="3"/>
  <c r="H469" i="3"/>
  <c r="I469" i="3"/>
  <c r="J469" i="3"/>
  <c r="F470" i="3"/>
  <c r="G470" i="3"/>
  <c r="H470" i="3"/>
  <c r="I470" i="3"/>
  <c r="J470" i="3"/>
  <c r="F471" i="3"/>
  <c r="G471" i="3"/>
  <c r="H471" i="3"/>
  <c r="I471" i="3"/>
  <c r="J471" i="3"/>
  <c r="F472" i="3"/>
  <c r="G472" i="3"/>
  <c r="H472" i="3"/>
  <c r="I472" i="3"/>
  <c r="J472" i="3"/>
  <c r="F473" i="3"/>
  <c r="G473" i="3"/>
  <c r="H473" i="3"/>
  <c r="I473" i="3"/>
  <c r="J473" i="3"/>
  <c r="F474" i="3"/>
  <c r="G474" i="3"/>
  <c r="H474" i="3"/>
  <c r="I474" i="3"/>
  <c r="J474" i="3"/>
  <c r="F475" i="3"/>
  <c r="G475" i="3"/>
  <c r="H475" i="3"/>
  <c r="I475" i="3"/>
  <c r="J475" i="3"/>
  <c r="F476" i="3"/>
  <c r="G476" i="3"/>
  <c r="H476" i="3"/>
  <c r="I476" i="3"/>
  <c r="J476" i="3"/>
  <c r="F477" i="3"/>
  <c r="G477" i="3"/>
  <c r="H477" i="3"/>
  <c r="I477" i="3"/>
  <c r="J477" i="3"/>
  <c r="F478" i="3"/>
  <c r="G478" i="3"/>
  <c r="H478" i="3"/>
  <c r="I478" i="3"/>
  <c r="J478" i="3"/>
  <c r="F479" i="3"/>
  <c r="G479" i="3"/>
  <c r="H479" i="3"/>
  <c r="I479" i="3"/>
  <c r="J479" i="3"/>
  <c r="F480" i="3"/>
  <c r="G480" i="3"/>
  <c r="H480" i="3"/>
  <c r="I480" i="3"/>
  <c r="J480" i="3"/>
  <c r="F481" i="3"/>
  <c r="G481" i="3"/>
  <c r="H481" i="3"/>
  <c r="I481" i="3"/>
  <c r="J481" i="3"/>
  <c r="F482" i="3"/>
  <c r="G482" i="3"/>
  <c r="H482" i="3"/>
  <c r="I482" i="3"/>
  <c r="J482" i="3"/>
  <c r="F483" i="3"/>
  <c r="G483" i="3"/>
  <c r="H483" i="3"/>
  <c r="I483" i="3"/>
  <c r="J483" i="3"/>
  <c r="F484" i="3"/>
  <c r="G484" i="3"/>
  <c r="H484" i="3"/>
  <c r="I484" i="3"/>
  <c r="J484" i="3"/>
  <c r="F485" i="3"/>
  <c r="G485" i="3"/>
  <c r="H485" i="3"/>
  <c r="I485" i="3"/>
  <c r="J485" i="3"/>
  <c r="F486" i="3"/>
  <c r="G486" i="3"/>
  <c r="H486" i="3"/>
  <c r="I486" i="3"/>
  <c r="J486" i="3"/>
  <c r="F487" i="3"/>
  <c r="G487" i="3"/>
  <c r="H487" i="3"/>
  <c r="I487" i="3"/>
  <c r="J487" i="3"/>
  <c r="F488" i="3"/>
  <c r="G488" i="3"/>
  <c r="H488" i="3"/>
  <c r="I488" i="3"/>
  <c r="J488" i="3"/>
  <c r="F489" i="3"/>
  <c r="G489" i="3"/>
  <c r="H489" i="3"/>
  <c r="I489" i="3"/>
  <c r="J489" i="3"/>
  <c r="F490" i="3"/>
  <c r="G490" i="3"/>
  <c r="H490" i="3"/>
  <c r="I490" i="3"/>
  <c r="J490" i="3"/>
  <c r="F491" i="3"/>
  <c r="G491" i="3"/>
  <c r="H491" i="3"/>
  <c r="I491" i="3"/>
  <c r="J491" i="3"/>
  <c r="F492" i="3"/>
  <c r="G492" i="3"/>
  <c r="H492" i="3"/>
  <c r="I492" i="3"/>
  <c r="J492" i="3"/>
  <c r="F493" i="3"/>
  <c r="G493" i="3"/>
  <c r="H493" i="3"/>
  <c r="I493" i="3"/>
  <c r="J493" i="3"/>
  <c r="F494" i="3"/>
  <c r="G494" i="3"/>
  <c r="H494" i="3"/>
  <c r="I494" i="3"/>
  <c r="J494" i="3"/>
  <c r="F495" i="3"/>
  <c r="G495" i="3"/>
  <c r="H495" i="3"/>
  <c r="I495" i="3"/>
  <c r="J495" i="3"/>
  <c r="F496" i="3"/>
  <c r="G496" i="3"/>
  <c r="H496" i="3"/>
  <c r="I496" i="3"/>
  <c r="J496" i="3"/>
  <c r="F497" i="3"/>
  <c r="G497" i="3"/>
  <c r="H497" i="3"/>
  <c r="I497" i="3"/>
  <c r="J497" i="3"/>
  <c r="F498" i="3"/>
  <c r="G498" i="3"/>
  <c r="H498" i="3"/>
  <c r="I498" i="3"/>
  <c r="J498" i="3"/>
  <c r="F499" i="3"/>
  <c r="G499" i="3"/>
  <c r="H499" i="3"/>
  <c r="I499" i="3"/>
  <c r="J499" i="3"/>
  <c r="F500" i="3"/>
  <c r="G500" i="3"/>
  <c r="H500" i="3"/>
  <c r="I500" i="3"/>
  <c r="J500" i="3"/>
  <c r="F501" i="3"/>
  <c r="G501" i="3"/>
  <c r="H501" i="3"/>
  <c r="I501" i="3"/>
  <c r="J501" i="3"/>
  <c r="F502" i="3"/>
  <c r="G502" i="3"/>
  <c r="H502" i="3"/>
  <c r="I502" i="3"/>
  <c r="J502" i="3"/>
  <c r="F503" i="3"/>
  <c r="G503" i="3"/>
  <c r="H503" i="3"/>
  <c r="I503" i="3"/>
  <c r="J503" i="3"/>
  <c r="F504" i="3"/>
  <c r="G504" i="3"/>
  <c r="H504" i="3"/>
  <c r="I504" i="3"/>
  <c r="J504" i="3"/>
  <c r="F505" i="3"/>
  <c r="G505" i="3"/>
  <c r="H505" i="3"/>
  <c r="I505" i="3"/>
  <c r="J505" i="3"/>
  <c r="F506" i="3"/>
  <c r="G506" i="3"/>
  <c r="H506" i="3"/>
  <c r="I506" i="3"/>
  <c r="J506" i="3"/>
  <c r="F507" i="3"/>
  <c r="G507" i="3"/>
  <c r="H507" i="3"/>
  <c r="I507" i="3"/>
  <c r="J507" i="3"/>
  <c r="F508" i="3"/>
  <c r="G508" i="3"/>
  <c r="H508" i="3"/>
  <c r="I508" i="3"/>
  <c r="J508" i="3"/>
  <c r="F509" i="3"/>
  <c r="G509" i="3"/>
  <c r="H509" i="3"/>
  <c r="I509" i="3"/>
  <c r="J509" i="3"/>
  <c r="F510" i="3"/>
  <c r="G510" i="3"/>
  <c r="H510" i="3"/>
  <c r="I510" i="3"/>
  <c r="J510" i="3"/>
  <c r="F511" i="3"/>
  <c r="G511" i="3"/>
  <c r="H511" i="3"/>
  <c r="I511" i="3"/>
  <c r="J511" i="3"/>
  <c r="F512" i="3"/>
  <c r="G512" i="3"/>
  <c r="H512" i="3"/>
  <c r="I512" i="3"/>
  <c r="J512" i="3"/>
  <c r="F513" i="3"/>
  <c r="G513" i="3"/>
  <c r="H513" i="3"/>
  <c r="I513" i="3"/>
  <c r="J513" i="3"/>
  <c r="F514" i="3"/>
  <c r="G514" i="3"/>
  <c r="H514" i="3"/>
  <c r="I514" i="3"/>
  <c r="J514" i="3"/>
  <c r="F515" i="3"/>
  <c r="G515" i="3"/>
  <c r="H515" i="3"/>
  <c r="I515" i="3"/>
  <c r="J515" i="3"/>
  <c r="F516" i="3"/>
  <c r="G516" i="3"/>
  <c r="H516" i="3"/>
  <c r="I516" i="3"/>
  <c r="J516" i="3"/>
  <c r="F517" i="3"/>
  <c r="G517" i="3"/>
  <c r="H517" i="3"/>
  <c r="I517" i="3"/>
  <c r="J517" i="3"/>
  <c r="F518" i="3"/>
  <c r="G518" i="3"/>
  <c r="H518" i="3"/>
  <c r="I518" i="3"/>
  <c r="J518" i="3"/>
  <c r="F519" i="3"/>
  <c r="G519" i="3"/>
  <c r="H519" i="3"/>
  <c r="I519" i="3"/>
  <c r="J519" i="3"/>
  <c r="F520" i="3"/>
  <c r="G520" i="3"/>
  <c r="H520" i="3"/>
  <c r="I520" i="3"/>
  <c r="J520" i="3"/>
  <c r="F521" i="3"/>
  <c r="G521" i="3"/>
  <c r="H521" i="3"/>
  <c r="I521" i="3"/>
  <c r="J521" i="3"/>
  <c r="F522" i="3"/>
  <c r="G522" i="3"/>
  <c r="H522" i="3"/>
  <c r="I522" i="3"/>
  <c r="J522" i="3"/>
  <c r="F523" i="3"/>
  <c r="G523" i="3"/>
  <c r="H523" i="3"/>
  <c r="I523" i="3"/>
  <c r="J523" i="3"/>
  <c r="F524" i="3"/>
  <c r="G524" i="3"/>
  <c r="H524" i="3"/>
  <c r="I524" i="3"/>
  <c r="J524" i="3"/>
  <c r="F525" i="3"/>
  <c r="G525" i="3"/>
  <c r="H525" i="3"/>
  <c r="I525" i="3"/>
  <c r="J525" i="3"/>
  <c r="F526" i="3"/>
  <c r="G526" i="3"/>
  <c r="H526" i="3"/>
  <c r="I526" i="3"/>
  <c r="J526" i="3"/>
  <c r="F527" i="3"/>
  <c r="G527" i="3"/>
  <c r="H527" i="3"/>
  <c r="I527" i="3"/>
  <c r="J527" i="3"/>
  <c r="F528" i="3"/>
  <c r="G528" i="3"/>
  <c r="H528" i="3"/>
  <c r="I528" i="3"/>
  <c r="J528" i="3"/>
  <c r="F529" i="3"/>
  <c r="G529" i="3"/>
  <c r="H529" i="3"/>
  <c r="I529" i="3"/>
  <c r="J529" i="3"/>
  <c r="F530" i="3"/>
  <c r="G530" i="3"/>
  <c r="H530" i="3"/>
  <c r="I530" i="3"/>
  <c r="J530" i="3"/>
  <c r="F531" i="3"/>
  <c r="G531" i="3"/>
  <c r="H531" i="3"/>
  <c r="I531" i="3"/>
  <c r="J531" i="3"/>
  <c r="F532" i="3"/>
  <c r="G532" i="3"/>
  <c r="H532" i="3"/>
  <c r="I532" i="3"/>
  <c r="J532" i="3"/>
  <c r="F533" i="3"/>
  <c r="G533" i="3"/>
  <c r="H533" i="3"/>
  <c r="I533" i="3"/>
  <c r="J533" i="3"/>
  <c r="F534" i="3"/>
  <c r="G534" i="3"/>
  <c r="H534" i="3"/>
  <c r="I534" i="3"/>
  <c r="J534" i="3"/>
  <c r="F535" i="3"/>
  <c r="G535" i="3"/>
  <c r="H535" i="3"/>
  <c r="I535" i="3"/>
  <c r="J535" i="3"/>
  <c r="F536" i="3"/>
  <c r="G536" i="3"/>
  <c r="H536" i="3"/>
  <c r="I536" i="3"/>
  <c r="J536" i="3"/>
  <c r="F537" i="3"/>
  <c r="G537" i="3"/>
  <c r="H537" i="3"/>
  <c r="I537" i="3"/>
  <c r="J537" i="3"/>
  <c r="F538" i="3"/>
  <c r="G538" i="3"/>
  <c r="H538" i="3"/>
  <c r="I538" i="3"/>
  <c r="J538" i="3"/>
  <c r="F539" i="3"/>
  <c r="G539" i="3"/>
  <c r="H539" i="3"/>
  <c r="I539" i="3"/>
  <c r="J539" i="3"/>
  <c r="F540" i="3"/>
  <c r="G540" i="3"/>
  <c r="H540" i="3"/>
  <c r="I540" i="3"/>
  <c r="J540" i="3"/>
  <c r="F541" i="3"/>
  <c r="G541" i="3"/>
  <c r="H541" i="3"/>
  <c r="I541" i="3"/>
  <c r="J541" i="3"/>
  <c r="F542" i="3"/>
  <c r="G542" i="3"/>
  <c r="H542" i="3"/>
  <c r="I542" i="3"/>
  <c r="J542" i="3"/>
  <c r="F543" i="3"/>
  <c r="G543" i="3"/>
  <c r="H543" i="3"/>
  <c r="I543" i="3"/>
  <c r="J543" i="3"/>
  <c r="F544" i="3"/>
  <c r="G544" i="3"/>
  <c r="H544" i="3"/>
  <c r="I544" i="3"/>
  <c r="J544" i="3"/>
  <c r="F545" i="3"/>
  <c r="G545" i="3"/>
  <c r="H545" i="3"/>
  <c r="I545" i="3"/>
  <c r="J545" i="3"/>
  <c r="F546" i="3"/>
  <c r="G546" i="3"/>
  <c r="H546" i="3"/>
  <c r="I546" i="3"/>
  <c r="J546" i="3"/>
  <c r="F547" i="3"/>
  <c r="G547" i="3"/>
  <c r="H547" i="3"/>
  <c r="I547" i="3"/>
  <c r="J547" i="3"/>
  <c r="F548" i="3"/>
  <c r="G548" i="3"/>
  <c r="H548" i="3"/>
  <c r="I548" i="3"/>
  <c r="J548" i="3"/>
  <c r="F549" i="3"/>
  <c r="G549" i="3"/>
  <c r="H549" i="3"/>
  <c r="I549" i="3"/>
  <c r="J549" i="3"/>
  <c r="F550" i="3"/>
  <c r="G550" i="3"/>
  <c r="H550" i="3"/>
  <c r="I550" i="3"/>
  <c r="J550" i="3"/>
  <c r="F551" i="3"/>
  <c r="G551" i="3"/>
  <c r="H551" i="3"/>
  <c r="I551" i="3"/>
  <c r="J551" i="3"/>
  <c r="F552" i="3"/>
  <c r="G552" i="3"/>
  <c r="H552" i="3"/>
  <c r="I552" i="3"/>
  <c r="J552" i="3"/>
  <c r="F553" i="3"/>
  <c r="G553" i="3"/>
  <c r="H553" i="3"/>
  <c r="I553" i="3"/>
  <c r="J553" i="3"/>
  <c r="F554" i="3"/>
  <c r="G554" i="3"/>
  <c r="H554" i="3"/>
  <c r="I554" i="3"/>
  <c r="J554" i="3"/>
  <c r="F555" i="3"/>
  <c r="G555" i="3"/>
  <c r="H555" i="3"/>
  <c r="I555" i="3"/>
  <c r="J555" i="3"/>
  <c r="F556" i="3"/>
  <c r="G556" i="3"/>
  <c r="H556" i="3"/>
  <c r="I556" i="3"/>
  <c r="J556" i="3"/>
  <c r="F557" i="3"/>
  <c r="G557" i="3"/>
  <c r="H557" i="3"/>
  <c r="I557" i="3"/>
  <c r="J557" i="3"/>
  <c r="F558" i="3"/>
  <c r="G558" i="3"/>
  <c r="H558" i="3"/>
  <c r="I558" i="3"/>
  <c r="J558" i="3"/>
  <c r="F559" i="3"/>
  <c r="G559" i="3"/>
  <c r="H559" i="3"/>
  <c r="I559" i="3"/>
  <c r="J559" i="3"/>
  <c r="F560" i="3"/>
  <c r="G560" i="3"/>
  <c r="H560" i="3"/>
  <c r="I560" i="3"/>
  <c r="J560" i="3"/>
  <c r="F561" i="3"/>
  <c r="G561" i="3"/>
  <c r="H561" i="3"/>
  <c r="I561" i="3"/>
  <c r="J561" i="3"/>
  <c r="F562" i="3"/>
  <c r="G562" i="3"/>
  <c r="H562" i="3"/>
  <c r="I562" i="3"/>
  <c r="J562" i="3"/>
  <c r="F563" i="3"/>
  <c r="G563" i="3"/>
  <c r="H563" i="3"/>
  <c r="I563" i="3"/>
  <c r="J563" i="3"/>
  <c r="F564" i="3"/>
  <c r="G564" i="3"/>
  <c r="H564" i="3"/>
  <c r="I564" i="3"/>
  <c r="J564" i="3"/>
  <c r="F565" i="3"/>
  <c r="G565" i="3"/>
  <c r="H565" i="3"/>
  <c r="I565" i="3"/>
  <c r="J565" i="3"/>
  <c r="F566" i="3"/>
  <c r="G566" i="3"/>
  <c r="H566" i="3"/>
  <c r="I566" i="3"/>
  <c r="J566" i="3"/>
  <c r="F567" i="3"/>
  <c r="G567" i="3"/>
  <c r="H567" i="3"/>
  <c r="I567" i="3"/>
  <c r="J567" i="3"/>
  <c r="F568" i="3"/>
  <c r="G568" i="3"/>
  <c r="H568" i="3"/>
  <c r="I568" i="3"/>
  <c r="J568" i="3"/>
  <c r="F569" i="3"/>
  <c r="G569" i="3"/>
  <c r="H569" i="3"/>
  <c r="I569" i="3"/>
  <c r="J569" i="3"/>
  <c r="F570" i="3"/>
  <c r="G570" i="3"/>
  <c r="H570" i="3"/>
  <c r="I570" i="3"/>
  <c r="J570" i="3"/>
  <c r="F571" i="3"/>
  <c r="G571" i="3"/>
  <c r="H571" i="3"/>
  <c r="I571" i="3"/>
  <c r="J571" i="3"/>
  <c r="F572" i="3"/>
  <c r="G572" i="3"/>
  <c r="H572" i="3"/>
  <c r="I572" i="3"/>
  <c r="J572" i="3"/>
  <c r="F573" i="3"/>
  <c r="G573" i="3"/>
  <c r="H573" i="3"/>
  <c r="I573" i="3"/>
  <c r="J573" i="3"/>
  <c r="F574" i="3"/>
  <c r="G574" i="3"/>
  <c r="H574" i="3"/>
  <c r="I574" i="3"/>
  <c r="J574" i="3"/>
  <c r="F575" i="3"/>
  <c r="G575" i="3"/>
  <c r="H575" i="3"/>
  <c r="I575" i="3"/>
  <c r="J575" i="3"/>
  <c r="F576" i="3"/>
  <c r="G576" i="3"/>
  <c r="H576" i="3"/>
  <c r="I576" i="3"/>
  <c r="J576" i="3"/>
  <c r="F577" i="3"/>
  <c r="G577" i="3"/>
  <c r="H577" i="3"/>
  <c r="I577" i="3"/>
  <c r="J577" i="3"/>
  <c r="F578" i="3"/>
  <c r="G578" i="3"/>
  <c r="H578" i="3"/>
  <c r="I578" i="3"/>
  <c r="J578" i="3"/>
  <c r="F579" i="3"/>
  <c r="G579" i="3"/>
  <c r="H579" i="3"/>
  <c r="I579" i="3"/>
  <c r="J579" i="3"/>
  <c r="F580" i="3"/>
  <c r="G580" i="3"/>
  <c r="H580" i="3"/>
  <c r="I580" i="3"/>
  <c r="J580" i="3"/>
  <c r="F581" i="3"/>
  <c r="G581" i="3"/>
  <c r="H581" i="3"/>
  <c r="I581" i="3"/>
  <c r="J581" i="3"/>
  <c r="F582" i="3"/>
  <c r="G582" i="3"/>
  <c r="H582" i="3"/>
  <c r="I582" i="3"/>
  <c r="J582" i="3"/>
  <c r="F583" i="3"/>
  <c r="G583" i="3"/>
  <c r="H583" i="3"/>
  <c r="I583" i="3"/>
  <c r="J583" i="3"/>
  <c r="F584" i="3"/>
  <c r="G584" i="3"/>
  <c r="H584" i="3"/>
  <c r="I584" i="3"/>
  <c r="J584" i="3"/>
  <c r="F585" i="3"/>
  <c r="G585" i="3"/>
  <c r="H585" i="3"/>
  <c r="I585" i="3"/>
  <c r="J585" i="3"/>
  <c r="F586" i="3"/>
  <c r="G586" i="3"/>
  <c r="H586" i="3"/>
  <c r="I586" i="3"/>
  <c r="J586" i="3"/>
  <c r="F587" i="3"/>
  <c r="G587" i="3"/>
  <c r="H587" i="3"/>
  <c r="I587" i="3"/>
  <c r="J587" i="3"/>
  <c r="F588" i="3"/>
  <c r="G588" i="3"/>
  <c r="H588" i="3"/>
  <c r="I588" i="3"/>
  <c r="J588" i="3"/>
  <c r="F589" i="3"/>
  <c r="G589" i="3"/>
  <c r="H589" i="3"/>
  <c r="I589" i="3"/>
  <c r="J589" i="3"/>
  <c r="F590" i="3"/>
  <c r="G590" i="3"/>
  <c r="H590" i="3"/>
  <c r="I590" i="3"/>
  <c r="J590" i="3"/>
  <c r="F591" i="3"/>
  <c r="G591" i="3"/>
  <c r="H591" i="3"/>
  <c r="I591" i="3"/>
  <c r="J591" i="3"/>
  <c r="F592" i="3"/>
  <c r="G592" i="3"/>
  <c r="H592" i="3"/>
  <c r="I592" i="3"/>
  <c r="J592" i="3"/>
  <c r="F593" i="3"/>
  <c r="G593" i="3"/>
  <c r="H593" i="3"/>
  <c r="I593" i="3"/>
  <c r="J593" i="3"/>
  <c r="F594" i="3"/>
  <c r="G594" i="3"/>
  <c r="H594" i="3"/>
  <c r="I594" i="3"/>
  <c r="J594" i="3"/>
  <c r="F595" i="3"/>
  <c r="G595" i="3"/>
  <c r="H595" i="3"/>
  <c r="I595" i="3"/>
  <c r="J595" i="3"/>
  <c r="F596" i="3"/>
  <c r="G596" i="3"/>
  <c r="H596" i="3"/>
  <c r="I596" i="3"/>
  <c r="J596" i="3"/>
  <c r="F597" i="3"/>
  <c r="G597" i="3"/>
  <c r="H597" i="3"/>
  <c r="I597" i="3"/>
  <c r="J597" i="3"/>
  <c r="F598" i="3"/>
  <c r="G598" i="3"/>
  <c r="H598" i="3"/>
  <c r="I598" i="3"/>
  <c r="J598" i="3"/>
  <c r="F599" i="3"/>
  <c r="G599" i="3"/>
  <c r="H599" i="3"/>
  <c r="I599" i="3"/>
  <c r="J599" i="3"/>
  <c r="F600" i="3"/>
  <c r="G600" i="3"/>
  <c r="H600" i="3"/>
  <c r="I600" i="3"/>
  <c r="J600" i="3"/>
  <c r="F601" i="3"/>
  <c r="G601" i="3"/>
  <c r="H601" i="3"/>
  <c r="I601" i="3"/>
  <c r="J601" i="3"/>
  <c r="F602" i="3"/>
  <c r="G602" i="3"/>
  <c r="H602" i="3"/>
  <c r="I602" i="3"/>
  <c r="J602" i="3"/>
  <c r="F603" i="3"/>
  <c r="G603" i="3"/>
  <c r="H603" i="3"/>
  <c r="I603" i="3"/>
  <c r="J603" i="3"/>
  <c r="F604" i="3"/>
  <c r="G604" i="3"/>
  <c r="H604" i="3"/>
  <c r="I604" i="3"/>
  <c r="J604" i="3"/>
  <c r="F605" i="3"/>
  <c r="G605" i="3"/>
  <c r="H605" i="3"/>
  <c r="I605" i="3"/>
  <c r="J605" i="3"/>
  <c r="F606" i="3"/>
  <c r="G606" i="3"/>
  <c r="H606" i="3"/>
  <c r="I606" i="3"/>
  <c r="J606" i="3"/>
  <c r="F607" i="3"/>
  <c r="G607" i="3"/>
  <c r="H607" i="3"/>
  <c r="I607" i="3"/>
  <c r="J607" i="3"/>
  <c r="F608" i="3"/>
  <c r="G608" i="3"/>
  <c r="H608" i="3"/>
  <c r="I608" i="3"/>
  <c r="J608" i="3"/>
  <c r="F609" i="3"/>
  <c r="G609" i="3"/>
  <c r="H609" i="3"/>
  <c r="I609" i="3"/>
  <c r="J609" i="3"/>
  <c r="F610" i="3"/>
  <c r="G610" i="3"/>
  <c r="H610" i="3"/>
  <c r="I610" i="3"/>
  <c r="J610" i="3"/>
  <c r="F611" i="3"/>
  <c r="G611" i="3"/>
  <c r="H611" i="3"/>
  <c r="I611" i="3"/>
  <c r="J611" i="3"/>
  <c r="F612" i="3"/>
  <c r="G612" i="3"/>
  <c r="H612" i="3"/>
  <c r="I612" i="3"/>
  <c r="J612" i="3"/>
  <c r="F613" i="3"/>
  <c r="G613" i="3"/>
  <c r="H613" i="3"/>
  <c r="I613" i="3"/>
  <c r="J613" i="3"/>
  <c r="F614" i="3"/>
  <c r="G614" i="3"/>
  <c r="H614" i="3"/>
  <c r="I614" i="3"/>
  <c r="J614" i="3"/>
  <c r="F615" i="3"/>
  <c r="G615" i="3"/>
  <c r="H615" i="3"/>
  <c r="I615" i="3"/>
  <c r="J615" i="3"/>
  <c r="F616" i="3"/>
  <c r="G616" i="3"/>
  <c r="H616" i="3"/>
  <c r="I616" i="3"/>
  <c r="J616" i="3"/>
  <c r="F617" i="3"/>
  <c r="G617" i="3"/>
  <c r="H617" i="3"/>
  <c r="I617" i="3"/>
  <c r="J617" i="3"/>
  <c r="F618" i="3"/>
  <c r="G618" i="3"/>
  <c r="H618" i="3"/>
  <c r="I618" i="3"/>
  <c r="J618" i="3"/>
  <c r="F619" i="3"/>
  <c r="G619" i="3"/>
  <c r="H619" i="3"/>
  <c r="I619" i="3"/>
  <c r="J619" i="3"/>
  <c r="F620" i="3"/>
  <c r="G620" i="3"/>
  <c r="H620" i="3"/>
  <c r="I620" i="3"/>
  <c r="J620" i="3"/>
  <c r="F621" i="3"/>
  <c r="G621" i="3"/>
  <c r="H621" i="3"/>
  <c r="I621" i="3"/>
  <c r="J621" i="3"/>
  <c r="F622" i="3"/>
  <c r="G622" i="3"/>
  <c r="H622" i="3"/>
  <c r="I622" i="3"/>
  <c r="J622" i="3"/>
  <c r="F623" i="3"/>
  <c r="G623" i="3"/>
  <c r="H623" i="3"/>
  <c r="I623" i="3"/>
  <c r="J623" i="3"/>
  <c r="F624" i="3"/>
  <c r="G624" i="3"/>
  <c r="H624" i="3"/>
  <c r="I624" i="3"/>
  <c r="J624" i="3"/>
  <c r="F625" i="3"/>
  <c r="G625" i="3"/>
  <c r="H625" i="3"/>
  <c r="I625" i="3"/>
  <c r="J625" i="3"/>
  <c r="F626" i="3"/>
  <c r="G626" i="3"/>
  <c r="H626" i="3"/>
  <c r="I626" i="3"/>
  <c r="J626" i="3"/>
  <c r="F627" i="3"/>
  <c r="G627" i="3"/>
  <c r="H627" i="3"/>
  <c r="I627" i="3"/>
  <c r="J627" i="3"/>
  <c r="F628" i="3"/>
  <c r="G628" i="3"/>
  <c r="H628" i="3"/>
  <c r="I628" i="3"/>
  <c r="J628" i="3"/>
  <c r="F629" i="3"/>
  <c r="G629" i="3"/>
  <c r="H629" i="3"/>
  <c r="I629" i="3"/>
  <c r="J629" i="3"/>
  <c r="F630" i="3"/>
  <c r="G630" i="3"/>
  <c r="H630" i="3"/>
  <c r="I630" i="3"/>
  <c r="J630" i="3"/>
  <c r="F631" i="3"/>
  <c r="G631" i="3"/>
  <c r="H631" i="3"/>
  <c r="I631" i="3"/>
  <c r="J631" i="3"/>
  <c r="F632" i="3"/>
  <c r="G632" i="3"/>
  <c r="H632" i="3"/>
  <c r="I632" i="3"/>
  <c r="J632" i="3"/>
  <c r="F633" i="3"/>
  <c r="G633" i="3"/>
  <c r="H633" i="3"/>
  <c r="I633" i="3"/>
  <c r="J633" i="3"/>
  <c r="F634" i="3"/>
  <c r="G634" i="3"/>
  <c r="H634" i="3"/>
  <c r="I634" i="3"/>
  <c r="J634" i="3"/>
  <c r="F635" i="3"/>
  <c r="G635" i="3"/>
  <c r="H635" i="3"/>
  <c r="I635" i="3"/>
  <c r="J635" i="3"/>
  <c r="F636" i="3"/>
  <c r="G636" i="3"/>
  <c r="H636" i="3"/>
  <c r="I636" i="3"/>
  <c r="J636" i="3"/>
  <c r="F637" i="3"/>
  <c r="G637" i="3"/>
  <c r="H637" i="3"/>
  <c r="I637" i="3"/>
  <c r="J637" i="3"/>
  <c r="F638" i="3"/>
  <c r="G638" i="3"/>
  <c r="H638" i="3"/>
  <c r="I638" i="3"/>
  <c r="J638" i="3"/>
  <c r="F639" i="3"/>
  <c r="G639" i="3"/>
  <c r="H639" i="3"/>
  <c r="I639" i="3"/>
  <c r="J639" i="3"/>
  <c r="F640" i="3"/>
  <c r="G640" i="3"/>
  <c r="H640" i="3"/>
  <c r="I640" i="3"/>
  <c r="J640" i="3"/>
  <c r="F641" i="3"/>
  <c r="G641" i="3"/>
  <c r="H641" i="3"/>
  <c r="I641" i="3"/>
  <c r="J641" i="3"/>
  <c r="F642" i="3"/>
  <c r="G642" i="3"/>
  <c r="H642" i="3"/>
  <c r="I642" i="3"/>
  <c r="J642" i="3"/>
  <c r="F643" i="3"/>
  <c r="G643" i="3"/>
  <c r="H643" i="3"/>
  <c r="I643" i="3"/>
  <c r="J643" i="3"/>
  <c r="F644" i="3"/>
  <c r="G644" i="3"/>
  <c r="H644" i="3"/>
  <c r="I644" i="3"/>
  <c r="J644" i="3"/>
  <c r="F645" i="3"/>
  <c r="G645" i="3"/>
  <c r="H645" i="3"/>
  <c r="I645" i="3"/>
  <c r="J645" i="3"/>
  <c r="F646" i="3"/>
  <c r="G646" i="3"/>
  <c r="H646" i="3"/>
  <c r="I646" i="3"/>
  <c r="J646" i="3"/>
  <c r="F647" i="3"/>
  <c r="G647" i="3"/>
  <c r="H647" i="3"/>
  <c r="I647" i="3"/>
  <c r="J647" i="3"/>
  <c r="F648" i="3"/>
  <c r="G648" i="3"/>
  <c r="H648" i="3"/>
  <c r="I648" i="3"/>
  <c r="J648" i="3"/>
  <c r="F649" i="3"/>
  <c r="G649" i="3"/>
  <c r="H649" i="3"/>
  <c r="I649" i="3"/>
  <c r="J649" i="3"/>
  <c r="F650" i="3"/>
  <c r="G650" i="3"/>
  <c r="H650" i="3"/>
  <c r="I650" i="3"/>
  <c r="J650" i="3"/>
  <c r="F651" i="3"/>
  <c r="G651" i="3"/>
  <c r="H651" i="3"/>
  <c r="I651" i="3"/>
  <c r="J651" i="3"/>
  <c r="F652" i="3"/>
  <c r="G652" i="3"/>
  <c r="H652" i="3"/>
  <c r="I652" i="3"/>
  <c r="J652" i="3"/>
  <c r="F653" i="3"/>
  <c r="G653" i="3"/>
  <c r="H653" i="3"/>
  <c r="I653" i="3"/>
  <c r="J653" i="3"/>
  <c r="F654" i="3"/>
  <c r="G654" i="3"/>
  <c r="H654" i="3"/>
  <c r="I654" i="3"/>
  <c r="J654" i="3"/>
  <c r="F655" i="3"/>
  <c r="G655" i="3"/>
  <c r="H655" i="3"/>
  <c r="I655" i="3"/>
  <c r="J655" i="3"/>
  <c r="F656" i="3"/>
  <c r="G656" i="3"/>
  <c r="H656" i="3"/>
  <c r="I656" i="3"/>
  <c r="J656" i="3"/>
  <c r="F657" i="3"/>
  <c r="G657" i="3"/>
  <c r="H657" i="3"/>
  <c r="I657" i="3"/>
  <c r="J657" i="3"/>
  <c r="F658" i="3"/>
  <c r="G658" i="3"/>
  <c r="H658" i="3"/>
  <c r="I658" i="3"/>
  <c r="J658" i="3"/>
  <c r="F659" i="3"/>
  <c r="G659" i="3"/>
  <c r="H659" i="3"/>
  <c r="I659" i="3"/>
  <c r="J659" i="3"/>
  <c r="F660" i="3"/>
  <c r="G660" i="3"/>
  <c r="H660" i="3"/>
  <c r="I660" i="3"/>
  <c r="J660" i="3"/>
  <c r="F661" i="3"/>
  <c r="G661" i="3"/>
  <c r="H661" i="3"/>
  <c r="I661" i="3"/>
  <c r="J661" i="3"/>
  <c r="F662" i="3"/>
  <c r="G662" i="3"/>
  <c r="H662" i="3"/>
  <c r="I662" i="3"/>
  <c r="J662" i="3"/>
  <c r="F663" i="3"/>
  <c r="G663" i="3"/>
  <c r="H663" i="3"/>
  <c r="I663" i="3"/>
  <c r="J663" i="3"/>
  <c r="F664" i="3"/>
  <c r="G664" i="3"/>
  <c r="H664" i="3"/>
  <c r="I664" i="3"/>
  <c r="J664" i="3"/>
  <c r="F665" i="3"/>
  <c r="G665" i="3"/>
  <c r="H665" i="3"/>
  <c r="I665" i="3"/>
  <c r="J665" i="3"/>
  <c r="F666" i="3"/>
  <c r="G666" i="3"/>
  <c r="H666" i="3"/>
  <c r="I666" i="3"/>
  <c r="J666" i="3"/>
  <c r="F667" i="3"/>
  <c r="G667" i="3"/>
  <c r="H667" i="3"/>
  <c r="I667" i="3"/>
  <c r="J667" i="3"/>
  <c r="F668" i="3"/>
  <c r="G668" i="3"/>
  <c r="H668" i="3"/>
  <c r="I668" i="3"/>
  <c r="J668" i="3"/>
  <c r="F669" i="3"/>
  <c r="G669" i="3"/>
  <c r="H669" i="3"/>
  <c r="I669" i="3"/>
  <c r="J669" i="3"/>
  <c r="F670" i="3"/>
  <c r="G670" i="3"/>
  <c r="H670" i="3"/>
  <c r="I670" i="3"/>
  <c r="J670" i="3"/>
  <c r="F671" i="3"/>
  <c r="G671" i="3"/>
  <c r="H671" i="3"/>
  <c r="I671" i="3"/>
  <c r="J671" i="3"/>
  <c r="F672" i="3"/>
  <c r="G672" i="3"/>
  <c r="H672" i="3"/>
  <c r="I672" i="3"/>
  <c r="J672" i="3"/>
  <c r="F673" i="3"/>
  <c r="G673" i="3"/>
  <c r="H673" i="3"/>
  <c r="I673" i="3"/>
  <c r="J673" i="3"/>
  <c r="F674" i="3"/>
  <c r="G674" i="3"/>
  <c r="H674" i="3"/>
  <c r="I674" i="3"/>
  <c r="J674" i="3"/>
  <c r="F675" i="3"/>
  <c r="G675" i="3"/>
  <c r="H675" i="3"/>
  <c r="I675" i="3"/>
  <c r="J675" i="3"/>
  <c r="F676" i="3"/>
  <c r="G676" i="3"/>
  <c r="H676" i="3"/>
  <c r="I676" i="3"/>
  <c r="J676" i="3"/>
  <c r="F677" i="3"/>
  <c r="G677" i="3"/>
  <c r="H677" i="3"/>
  <c r="I677" i="3"/>
  <c r="J677" i="3"/>
  <c r="F678" i="3"/>
  <c r="G678" i="3"/>
  <c r="H678" i="3"/>
  <c r="I678" i="3"/>
  <c r="J678" i="3"/>
  <c r="F679" i="3"/>
  <c r="G679" i="3"/>
  <c r="H679" i="3"/>
  <c r="I679" i="3"/>
  <c r="J679" i="3"/>
  <c r="F680" i="3"/>
  <c r="G680" i="3"/>
  <c r="H680" i="3"/>
  <c r="I680" i="3"/>
  <c r="J680" i="3"/>
  <c r="F681" i="3"/>
  <c r="G681" i="3"/>
  <c r="H681" i="3"/>
  <c r="I681" i="3"/>
  <c r="J681" i="3"/>
  <c r="F682" i="3"/>
  <c r="G682" i="3"/>
  <c r="H682" i="3"/>
  <c r="I682" i="3"/>
  <c r="J682" i="3"/>
  <c r="F683" i="3"/>
  <c r="G683" i="3"/>
  <c r="H683" i="3"/>
  <c r="I683" i="3"/>
  <c r="J683" i="3"/>
  <c r="F684" i="3"/>
  <c r="G684" i="3"/>
  <c r="H684" i="3"/>
  <c r="I684" i="3"/>
  <c r="J684" i="3"/>
  <c r="F685" i="3"/>
  <c r="G685" i="3"/>
  <c r="H685" i="3"/>
  <c r="I685" i="3"/>
  <c r="J685" i="3"/>
  <c r="F686" i="3"/>
  <c r="G686" i="3"/>
  <c r="H686" i="3"/>
  <c r="I686" i="3"/>
  <c r="J686" i="3"/>
  <c r="F687" i="3"/>
  <c r="G687" i="3"/>
  <c r="H687" i="3"/>
  <c r="I687" i="3"/>
  <c r="J687" i="3"/>
  <c r="F688" i="3"/>
  <c r="G688" i="3"/>
  <c r="H688" i="3"/>
  <c r="I688" i="3"/>
  <c r="J688" i="3"/>
  <c r="F689" i="3"/>
  <c r="G689" i="3"/>
  <c r="H689" i="3"/>
  <c r="I689" i="3"/>
  <c r="J689" i="3"/>
  <c r="F690" i="3"/>
  <c r="G690" i="3"/>
  <c r="H690" i="3"/>
  <c r="I690" i="3"/>
  <c r="J690" i="3"/>
  <c r="F691" i="3"/>
  <c r="G691" i="3"/>
  <c r="H691" i="3"/>
  <c r="I691" i="3"/>
  <c r="J691" i="3"/>
  <c r="F692" i="3"/>
  <c r="G692" i="3"/>
  <c r="H692" i="3"/>
  <c r="I692" i="3"/>
  <c r="J692" i="3"/>
  <c r="F693" i="3"/>
  <c r="G693" i="3"/>
  <c r="H693" i="3"/>
  <c r="I693" i="3"/>
  <c r="J693" i="3"/>
  <c r="F694" i="3"/>
  <c r="G694" i="3"/>
  <c r="H694" i="3"/>
  <c r="I694" i="3"/>
  <c r="J694" i="3"/>
  <c r="F695" i="3"/>
  <c r="G695" i="3"/>
  <c r="H695" i="3"/>
  <c r="I695" i="3"/>
  <c r="J695" i="3"/>
  <c r="F696" i="3"/>
  <c r="G696" i="3"/>
  <c r="H696" i="3"/>
  <c r="I696" i="3"/>
  <c r="J696" i="3"/>
  <c r="F697" i="3"/>
  <c r="G697" i="3"/>
  <c r="H697" i="3"/>
  <c r="I697" i="3"/>
  <c r="J697" i="3"/>
  <c r="F698" i="3"/>
  <c r="G698" i="3"/>
  <c r="H698" i="3"/>
  <c r="I698" i="3"/>
  <c r="J698" i="3"/>
  <c r="F699" i="3"/>
  <c r="G699" i="3"/>
  <c r="H699" i="3"/>
  <c r="I699" i="3"/>
  <c r="J699" i="3"/>
  <c r="F700" i="3"/>
  <c r="G700" i="3"/>
  <c r="H700" i="3"/>
  <c r="I700" i="3"/>
  <c r="J700" i="3"/>
  <c r="F701" i="3"/>
  <c r="G701" i="3"/>
  <c r="H701" i="3"/>
  <c r="I701" i="3"/>
  <c r="J701" i="3"/>
  <c r="F702" i="3"/>
  <c r="G702" i="3"/>
  <c r="H702" i="3"/>
  <c r="I702" i="3"/>
  <c r="J702" i="3"/>
  <c r="F703" i="3"/>
  <c r="G703" i="3"/>
  <c r="H703" i="3"/>
  <c r="I703" i="3"/>
  <c r="J703" i="3"/>
  <c r="F704" i="3"/>
  <c r="G704" i="3"/>
  <c r="H704" i="3"/>
  <c r="I704" i="3"/>
  <c r="J704" i="3"/>
  <c r="F705" i="3"/>
  <c r="G705" i="3"/>
  <c r="H705" i="3"/>
  <c r="I705" i="3"/>
  <c r="J705" i="3"/>
  <c r="F706" i="3"/>
  <c r="G706" i="3"/>
  <c r="H706" i="3"/>
  <c r="I706" i="3"/>
  <c r="J706" i="3"/>
  <c r="F707" i="3"/>
  <c r="G707" i="3"/>
  <c r="H707" i="3"/>
  <c r="I707" i="3"/>
  <c r="J707" i="3"/>
  <c r="F708" i="3"/>
  <c r="G708" i="3"/>
  <c r="H708" i="3"/>
  <c r="I708" i="3"/>
  <c r="J708" i="3"/>
  <c r="F709" i="3"/>
  <c r="G709" i="3"/>
  <c r="H709" i="3"/>
  <c r="I709" i="3"/>
  <c r="J709" i="3"/>
  <c r="F710" i="3"/>
  <c r="G710" i="3"/>
  <c r="H710" i="3"/>
  <c r="I710" i="3"/>
  <c r="J710" i="3"/>
  <c r="F711" i="3"/>
  <c r="G711" i="3"/>
  <c r="H711" i="3"/>
  <c r="I711" i="3"/>
  <c r="J711" i="3"/>
  <c r="F712" i="3"/>
  <c r="G712" i="3"/>
  <c r="H712" i="3"/>
  <c r="I712" i="3"/>
  <c r="J712" i="3"/>
  <c r="F713" i="3"/>
  <c r="G713" i="3"/>
  <c r="H713" i="3"/>
  <c r="I713" i="3"/>
  <c r="J713" i="3"/>
  <c r="F714" i="3"/>
  <c r="G714" i="3"/>
  <c r="H714" i="3"/>
  <c r="I714" i="3"/>
  <c r="J714" i="3"/>
  <c r="F715" i="3"/>
  <c r="G715" i="3"/>
  <c r="H715" i="3"/>
  <c r="I715" i="3"/>
  <c r="J715" i="3"/>
  <c r="F716" i="3"/>
  <c r="G716" i="3"/>
  <c r="H716" i="3"/>
  <c r="I716" i="3"/>
  <c r="J716" i="3"/>
  <c r="F717" i="3"/>
  <c r="G717" i="3"/>
  <c r="H717" i="3"/>
  <c r="I717" i="3"/>
  <c r="J717" i="3"/>
  <c r="F718" i="3"/>
  <c r="G718" i="3"/>
  <c r="H718" i="3"/>
  <c r="I718" i="3"/>
  <c r="J718" i="3"/>
  <c r="F719" i="3"/>
  <c r="G719" i="3"/>
  <c r="H719" i="3"/>
  <c r="I719" i="3"/>
  <c r="J719" i="3"/>
  <c r="F720" i="3"/>
  <c r="G720" i="3"/>
  <c r="H720" i="3"/>
  <c r="I720" i="3"/>
  <c r="J720" i="3"/>
  <c r="F721" i="3"/>
  <c r="G721" i="3"/>
  <c r="H721" i="3"/>
  <c r="I721" i="3"/>
  <c r="J721" i="3"/>
  <c r="F722" i="3"/>
  <c r="G722" i="3"/>
  <c r="H722" i="3"/>
  <c r="I722" i="3"/>
  <c r="J722" i="3"/>
  <c r="F723" i="3"/>
  <c r="G723" i="3"/>
  <c r="H723" i="3"/>
  <c r="I723" i="3"/>
  <c r="J723" i="3"/>
  <c r="F724" i="3"/>
  <c r="G724" i="3"/>
  <c r="H724" i="3"/>
  <c r="I724" i="3"/>
  <c r="J724" i="3"/>
  <c r="F725" i="3"/>
  <c r="G725" i="3"/>
  <c r="H725" i="3"/>
  <c r="I725" i="3"/>
  <c r="J725" i="3"/>
  <c r="F726" i="3"/>
  <c r="G726" i="3"/>
  <c r="H726" i="3"/>
  <c r="I726" i="3"/>
  <c r="J726" i="3"/>
  <c r="F727" i="3"/>
  <c r="G727" i="3"/>
  <c r="H727" i="3"/>
  <c r="I727" i="3"/>
  <c r="J727" i="3"/>
  <c r="F728" i="3"/>
  <c r="G728" i="3"/>
  <c r="H728" i="3"/>
  <c r="I728" i="3"/>
  <c r="J728" i="3"/>
  <c r="F729" i="3"/>
  <c r="G729" i="3"/>
  <c r="H729" i="3"/>
  <c r="I729" i="3"/>
  <c r="J729" i="3"/>
  <c r="F730" i="3"/>
  <c r="G730" i="3"/>
  <c r="H730" i="3"/>
  <c r="I730" i="3"/>
  <c r="J730" i="3"/>
  <c r="F731" i="3"/>
  <c r="G731" i="3"/>
  <c r="H731" i="3"/>
  <c r="I731" i="3"/>
  <c r="J731" i="3"/>
  <c r="F732" i="3"/>
  <c r="G732" i="3"/>
  <c r="H732" i="3"/>
  <c r="I732" i="3"/>
  <c r="J732" i="3"/>
  <c r="F733" i="3"/>
  <c r="G733" i="3"/>
  <c r="H733" i="3"/>
  <c r="I733" i="3"/>
  <c r="J733" i="3"/>
  <c r="F734" i="3"/>
  <c r="G734" i="3"/>
  <c r="H734" i="3"/>
  <c r="I734" i="3"/>
  <c r="J734" i="3"/>
  <c r="F735" i="3"/>
  <c r="G735" i="3"/>
  <c r="H735" i="3"/>
  <c r="I735" i="3"/>
  <c r="J735" i="3"/>
  <c r="F736" i="3"/>
  <c r="G736" i="3"/>
  <c r="H736" i="3"/>
  <c r="I736" i="3"/>
  <c r="J736" i="3"/>
  <c r="F737" i="3"/>
  <c r="G737" i="3"/>
  <c r="H737" i="3"/>
  <c r="I737" i="3"/>
  <c r="J737" i="3"/>
  <c r="F738" i="3"/>
  <c r="G738" i="3"/>
  <c r="H738" i="3"/>
  <c r="I738" i="3"/>
  <c r="J738" i="3"/>
  <c r="F739" i="3"/>
  <c r="G739" i="3"/>
  <c r="H739" i="3"/>
  <c r="I739" i="3"/>
  <c r="J739" i="3"/>
  <c r="F740" i="3"/>
  <c r="G740" i="3"/>
  <c r="H740" i="3"/>
  <c r="I740" i="3"/>
  <c r="J740" i="3"/>
  <c r="F741" i="3"/>
  <c r="G741" i="3"/>
  <c r="H741" i="3"/>
  <c r="I741" i="3"/>
  <c r="J741" i="3"/>
  <c r="F742" i="3"/>
  <c r="G742" i="3"/>
  <c r="H742" i="3"/>
  <c r="I742" i="3"/>
  <c r="J742" i="3"/>
  <c r="F743" i="3"/>
  <c r="G743" i="3"/>
  <c r="H743" i="3"/>
  <c r="I743" i="3"/>
  <c r="J743" i="3"/>
  <c r="F744" i="3"/>
  <c r="G744" i="3"/>
  <c r="H744" i="3"/>
  <c r="I744" i="3"/>
  <c r="J744" i="3"/>
  <c r="F745" i="3"/>
  <c r="G745" i="3"/>
  <c r="H745" i="3"/>
  <c r="I745" i="3"/>
  <c r="J745" i="3"/>
  <c r="F746" i="3"/>
  <c r="G746" i="3"/>
  <c r="H746" i="3"/>
  <c r="I746" i="3"/>
  <c r="J746" i="3"/>
  <c r="F747" i="3"/>
  <c r="G747" i="3"/>
  <c r="H747" i="3"/>
  <c r="I747" i="3"/>
  <c r="J747" i="3"/>
  <c r="F748" i="3"/>
  <c r="G748" i="3"/>
  <c r="H748" i="3"/>
  <c r="I748" i="3"/>
  <c r="J748" i="3"/>
  <c r="F749" i="3"/>
  <c r="G749" i="3"/>
  <c r="H749" i="3"/>
  <c r="I749" i="3"/>
  <c r="J749" i="3"/>
  <c r="F750" i="3"/>
  <c r="G750" i="3"/>
  <c r="H750" i="3"/>
  <c r="I750" i="3"/>
  <c r="J750" i="3"/>
  <c r="F751" i="3"/>
  <c r="G751" i="3"/>
  <c r="H751" i="3"/>
  <c r="I751" i="3"/>
  <c r="J751" i="3"/>
  <c r="F752" i="3"/>
  <c r="G752" i="3"/>
  <c r="H752" i="3"/>
  <c r="I752" i="3"/>
  <c r="J752" i="3"/>
  <c r="F753" i="3"/>
  <c r="G753" i="3"/>
  <c r="H753" i="3"/>
  <c r="I753" i="3"/>
  <c r="J753" i="3"/>
  <c r="F754" i="3"/>
  <c r="G754" i="3"/>
  <c r="H754" i="3"/>
  <c r="I754" i="3"/>
  <c r="J754" i="3"/>
  <c r="F755" i="3"/>
  <c r="G755" i="3"/>
  <c r="H755" i="3"/>
  <c r="I755" i="3"/>
  <c r="J755" i="3"/>
  <c r="F756" i="3"/>
  <c r="G756" i="3"/>
  <c r="H756" i="3"/>
  <c r="I756" i="3"/>
  <c r="J756" i="3"/>
  <c r="F757" i="3"/>
  <c r="G757" i="3"/>
  <c r="H757" i="3"/>
  <c r="I757" i="3"/>
  <c r="J757" i="3"/>
  <c r="F758" i="3"/>
  <c r="G758" i="3"/>
  <c r="H758" i="3"/>
  <c r="I758" i="3"/>
  <c r="J758" i="3"/>
  <c r="F759" i="3"/>
  <c r="G759" i="3"/>
  <c r="H759" i="3"/>
  <c r="I759" i="3"/>
  <c r="J759" i="3"/>
  <c r="F760" i="3"/>
  <c r="G760" i="3"/>
  <c r="H760" i="3"/>
  <c r="I760" i="3"/>
  <c r="J760" i="3"/>
  <c r="F761" i="3"/>
  <c r="G761" i="3"/>
  <c r="H761" i="3"/>
  <c r="I761" i="3"/>
  <c r="J761" i="3"/>
  <c r="F762" i="3"/>
  <c r="G762" i="3"/>
  <c r="H762" i="3"/>
  <c r="I762" i="3"/>
  <c r="J762" i="3"/>
  <c r="F763" i="3"/>
  <c r="G763" i="3"/>
  <c r="H763" i="3"/>
  <c r="I763" i="3"/>
  <c r="J763" i="3"/>
  <c r="F764" i="3"/>
  <c r="G764" i="3"/>
  <c r="H764" i="3"/>
  <c r="I764" i="3"/>
  <c r="J764" i="3"/>
  <c r="F765" i="3"/>
  <c r="G765" i="3"/>
  <c r="H765" i="3"/>
  <c r="I765" i="3"/>
  <c r="J765" i="3"/>
  <c r="F766" i="3"/>
  <c r="G766" i="3"/>
  <c r="H766" i="3"/>
  <c r="I766" i="3"/>
  <c r="J766" i="3"/>
  <c r="F767" i="3"/>
  <c r="G767" i="3"/>
  <c r="H767" i="3"/>
  <c r="I767" i="3"/>
  <c r="J767" i="3"/>
  <c r="F768" i="3"/>
  <c r="G768" i="3"/>
  <c r="H768" i="3"/>
  <c r="I768" i="3"/>
  <c r="J768" i="3"/>
  <c r="F769" i="3"/>
  <c r="G769" i="3"/>
  <c r="H769" i="3"/>
  <c r="I769" i="3"/>
  <c r="J769" i="3"/>
  <c r="F770" i="3"/>
  <c r="G770" i="3"/>
  <c r="H770" i="3"/>
  <c r="I770" i="3"/>
  <c r="J770" i="3"/>
  <c r="F771" i="3"/>
  <c r="G771" i="3"/>
  <c r="H771" i="3"/>
  <c r="I771" i="3"/>
  <c r="J771" i="3"/>
  <c r="F772" i="3"/>
  <c r="G772" i="3"/>
  <c r="H772" i="3"/>
  <c r="I772" i="3"/>
  <c r="J772" i="3"/>
  <c r="F773" i="3"/>
  <c r="G773" i="3"/>
  <c r="H773" i="3"/>
  <c r="I773" i="3"/>
  <c r="J773" i="3"/>
  <c r="F774" i="3"/>
  <c r="G774" i="3"/>
  <c r="H774" i="3"/>
  <c r="I774" i="3"/>
  <c r="J774" i="3"/>
  <c r="F775" i="3"/>
  <c r="G775" i="3"/>
  <c r="H775" i="3"/>
  <c r="I775" i="3"/>
  <c r="J775" i="3"/>
  <c r="F776" i="3"/>
  <c r="G776" i="3"/>
  <c r="H776" i="3"/>
  <c r="I776" i="3"/>
  <c r="J776" i="3"/>
  <c r="F777" i="3"/>
  <c r="G777" i="3"/>
  <c r="H777" i="3"/>
  <c r="I777" i="3"/>
  <c r="J777" i="3"/>
  <c r="F778" i="3"/>
  <c r="G778" i="3"/>
  <c r="H778" i="3"/>
  <c r="I778" i="3"/>
  <c r="J778" i="3"/>
  <c r="F779" i="3"/>
  <c r="G779" i="3"/>
  <c r="H779" i="3"/>
  <c r="I779" i="3"/>
  <c r="J779" i="3"/>
  <c r="F780" i="3"/>
  <c r="G780" i="3"/>
  <c r="H780" i="3"/>
  <c r="I780" i="3"/>
  <c r="J780" i="3"/>
  <c r="F781" i="3"/>
  <c r="G781" i="3"/>
  <c r="H781" i="3"/>
  <c r="I781" i="3"/>
  <c r="J781" i="3"/>
  <c r="F782" i="3"/>
  <c r="G782" i="3"/>
  <c r="H782" i="3"/>
  <c r="I782" i="3"/>
  <c r="J782" i="3"/>
  <c r="F783" i="3"/>
  <c r="G783" i="3"/>
  <c r="H783" i="3"/>
  <c r="I783" i="3"/>
  <c r="J783" i="3"/>
  <c r="F784" i="3"/>
  <c r="G784" i="3"/>
  <c r="H784" i="3"/>
  <c r="I784" i="3"/>
  <c r="J784" i="3"/>
  <c r="F785" i="3"/>
  <c r="G785" i="3"/>
  <c r="H785" i="3"/>
  <c r="I785" i="3"/>
  <c r="J785" i="3"/>
  <c r="F786" i="3"/>
  <c r="G786" i="3"/>
  <c r="H786" i="3"/>
  <c r="I786" i="3"/>
  <c r="J786" i="3"/>
  <c r="F787" i="3"/>
  <c r="G787" i="3"/>
  <c r="H787" i="3"/>
  <c r="I787" i="3"/>
  <c r="J787" i="3"/>
  <c r="F788" i="3"/>
  <c r="G788" i="3"/>
  <c r="H788" i="3"/>
  <c r="I788" i="3"/>
  <c r="J788" i="3"/>
  <c r="F789" i="3"/>
  <c r="G789" i="3"/>
  <c r="H789" i="3"/>
  <c r="I789" i="3"/>
  <c r="J789" i="3"/>
  <c r="F790" i="3"/>
  <c r="G790" i="3"/>
  <c r="H790" i="3"/>
  <c r="I790" i="3"/>
  <c r="J790" i="3"/>
  <c r="F791" i="3"/>
  <c r="G791" i="3"/>
  <c r="H791" i="3"/>
  <c r="I791" i="3"/>
  <c r="J791" i="3"/>
  <c r="F792" i="3"/>
  <c r="G792" i="3"/>
  <c r="H792" i="3"/>
  <c r="I792" i="3"/>
  <c r="J792" i="3"/>
  <c r="F793" i="3"/>
  <c r="G793" i="3"/>
  <c r="H793" i="3"/>
  <c r="I793" i="3"/>
  <c r="J793" i="3"/>
  <c r="F794" i="3"/>
  <c r="G794" i="3"/>
  <c r="H794" i="3"/>
  <c r="I794" i="3"/>
  <c r="J794" i="3"/>
  <c r="F795" i="3"/>
  <c r="G795" i="3"/>
  <c r="H795" i="3"/>
  <c r="I795" i="3"/>
  <c r="J795" i="3"/>
  <c r="F796" i="3"/>
  <c r="G796" i="3"/>
  <c r="H796" i="3"/>
  <c r="I796" i="3"/>
  <c r="J796" i="3"/>
  <c r="F797" i="3"/>
  <c r="G797" i="3"/>
  <c r="H797" i="3"/>
  <c r="I797" i="3"/>
  <c r="J797" i="3"/>
  <c r="F798" i="3"/>
  <c r="G798" i="3"/>
  <c r="H798" i="3"/>
  <c r="I798" i="3"/>
  <c r="J798" i="3"/>
  <c r="F799" i="3"/>
  <c r="G799" i="3"/>
  <c r="H799" i="3"/>
  <c r="I799" i="3"/>
  <c r="J799" i="3"/>
  <c r="F800" i="3"/>
  <c r="G800" i="3"/>
  <c r="H800" i="3"/>
  <c r="I800" i="3"/>
  <c r="J800" i="3"/>
  <c r="F801" i="3"/>
  <c r="G801" i="3"/>
  <c r="H801" i="3"/>
  <c r="I801" i="3"/>
  <c r="J801" i="3"/>
  <c r="F802" i="3"/>
  <c r="G802" i="3"/>
  <c r="H802" i="3"/>
  <c r="I802" i="3"/>
  <c r="J802" i="3"/>
  <c r="F803" i="3"/>
  <c r="G803" i="3"/>
  <c r="H803" i="3"/>
  <c r="I803" i="3"/>
  <c r="J803" i="3"/>
  <c r="F804" i="3"/>
  <c r="G804" i="3"/>
  <c r="H804" i="3"/>
  <c r="I804" i="3"/>
  <c r="J804" i="3"/>
  <c r="F805" i="3"/>
  <c r="G805" i="3"/>
  <c r="H805" i="3"/>
  <c r="I805" i="3"/>
  <c r="J805" i="3"/>
  <c r="F806" i="3"/>
  <c r="G806" i="3"/>
  <c r="H806" i="3"/>
  <c r="I806" i="3"/>
  <c r="J806" i="3"/>
  <c r="F807" i="3"/>
  <c r="G807" i="3"/>
  <c r="H807" i="3"/>
  <c r="I807" i="3"/>
  <c r="J807" i="3"/>
  <c r="F808" i="3"/>
  <c r="G808" i="3"/>
  <c r="H808" i="3"/>
  <c r="I808" i="3"/>
  <c r="J808" i="3"/>
  <c r="F809" i="3"/>
  <c r="G809" i="3"/>
  <c r="H809" i="3"/>
  <c r="I809" i="3"/>
  <c r="J809" i="3"/>
  <c r="F810" i="3"/>
  <c r="G810" i="3"/>
  <c r="H810" i="3"/>
  <c r="I810" i="3"/>
  <c r="J810" i="3"/>
  <c r="F811" i="3"/>
  <c r="G811" i="3"/>
  <c r="H811" i="3"/>
  <c r="I811" i="3"/>
  <c r="J811" i="3"/>
  <c r="F812" i="3"/>
  <c r="G812" i="3"/>
  <c r="H812" i="3"/>
  <c r="I812" i="3"/>
  <c r="J812" i="3"/>
  <c r="F813" i="3"/>
  <c r="G813" i="3"/>
  <c r="H813" i="3"/>
  <c r="I813" i="3"/>
  <c r="J813" i="3"/>
  <c r="F814" i="3"/>
  <c r="G814" i="3"/>
  <c r="H814" i="3"/>
  <c r="I814" i="3"/>
  <c r="J814" i="3"/>
  <c r="F815" i="3"/>
  <c r="G815" i="3"/>
  <c r="H815" i="3"/>
  <c r="I815" i="3"/>
  <c r="J815" i="3"/>
  <c r="F816" i="3"/>
  <c r="G816" i="3"/>
  <c r="H816" i="3"/>
  <c r="I816" i="3"/>
  <c r="J816" i="3"/>
  <c r="F817" i="3"/>
  <c r="G817" i="3"/>
  <c r="H817" i="3"/>
  <c r="I817" i="3"/>
  <c r="J817" i="3"/>
  <c r="F818" i="3"/>
  <c r="G818" i="3"/>
  <c r="H818" i="3"/>
  <c r="I818" i="3"/>
  <c r="J818" i="3"/>
  <c r="F819" i="3"/>
  <c r="G819" i="3"/>
  <c r="H819" i="3"/>
  <c r="I819" i="3"/>
  <c r="J819" i="3"/>
  <c r="F820" i="3"/>
  <c r="G820" i="3"/>
  <c r="H820" i="3"/>
  <c r="I820" i="3"/>
  <c r="J820" i="3"/>
  <c r="F821" i="3"/>
  <c r="G821" i="3"/>
  <c r="H821" i="3"/>
  <c r="I821" i="3"/>
  <c r="J821" i="3"/>
  <c r="F822" i="3"/>
  <c r="G822" i="3"/>
  <c r="H822" i="3"/>
  <c r="I822" i="3"/>
  <c r="J822" i="3"/>
  <c r="F823" i="3"/>
  <c r="G823" i="3"/>
  <c r="H823" i="3"/>
  <c r="I823" i="3"/>
  <c r="J823" i="3"/>
  <c r="F824" i="3"/>
  <c r="G824" i="3"/>
  <c r="H824" i="3"/>
  <c r="I824" i="3"/>
  <c r="J824" i="3"/>
  <c r="F825" i="3"/>
  <c r="G825" i="3"/>
  <c r="H825" i="3"/>
  <c r="I825" i="3"/>
  <c r="J825" i="3"/>
  <c r="F826" i="3"/>
  <c r="G826" i="3"/>
  <c r="H826" i="3"/>
  <c r="I826" i="3"/>
  <c r="J826" i="3"/>
  <c r="F827" i="3"/>
  <c r="G827" i="3"/>
  <c r="H827" i="3"/>
  <c r="I827" i="3"/>
  <c r="J827" i="3"/>
  <c r="F828" i="3"/>
  <c r="G828" i="3"/>
  <c r="H828" i="3"/>
  <c r="I828" i="3"/>
  <c r="J828" i="3"/>
  <c r="F829" i="3"/>
  <c r="G829" i="3"/>
  <c r="H829" i="3"/>
  <c r="I829" i="3"/>
  <c r="J829" i="3"/>
  <c r="F830" i="3"/>
  <c r="G830" i="3"/>
  <c r="H830" i="3"/>
  <c r="I830" i="3"/>
  <c r="J830" i="3"/>
  <c r="F831" i="3"/>
  <c r="G831" i="3"/>
  <c r="H831" i="3"/>
  <c r="I831" i="3"/>
  <c r="J831" i="3"/>
  <c r="F832" i="3"/>
  <c r="G832" i="3"/>
  <c r="H832" i="3"/>
  <c r="I832" i="3"/>
  <c r="J832" i="3"/>
  <c r="F833" i="3"/>
  <c r="G833" i="3"/>
  <c r="H833" i="3"/>
  <c r="I833" i="3"/>
  <c r="J833" i="3"/>
  <c r="F834" i="3"/>
  <c r="G834" i="3"/>
  <c r="H834" i="3"/>
  <c r="I834" i="3"/>
  <c r="J834" i="3"/>
  <c r="F835" i="3"/>
  <c r="G835" i="3"/>
  <c r="H835" i="3"/>
  <c r="I835" i="3"/>
  <c r="J835" i="3"/>
  <c r="F836" i="3"/>
  <c r="G836" i="3"/>
  <c r="H836" i="3"/>
  <c r="I836" i="3"/>
  <c r="J836" i="3"/>
  <c r="F837" i="3"/>
  <c r="G837" i="3"/>
  <c r="H837" i="3"/>
  <c r="I837" i="3"/>
  <c r="J837" i="3"/>
  <c r="F838" i="3"/>
  <c r="G838" i="3"/>
  <c r="H838" i="3"/>
  <c r="I838" i="3"/>
  <c r="J838" i="3"/>
  <c r="F839" i="3"/>
  <c r="G839" i="3"/>
  <c r="H839" i="3"/>
  <c r="I839" i="3"/>
  <c r="J839" i="3"/>
  <c r="F840" i="3"/>
  <c r="G840" i="3"/>
  <c r="H840" i="3"/>
  <c r="I840" i="3"/>
  <c r="J840" i="3"/>
  <c r="F841" i="3"/>
  <c r="G841" i="3"/>
  <c r="H841" i="3"/>
  <c r="I841" i="3"/>
  <c r="J841" i="3"/>
  <c r="F842" i="3"/>
  <c r="G842" i="3"/>
  <c r="H842" i="3"/>
  <c r="I842" i="3"/>
  <c r="J842" i="3"/>
  <c r="F843" i="3"/>
  <c r="G843" i="3"/>
  <c r="H843" i="3"/>
  <c r="I843" i="3"/>
  <c r="J843" i="3"/>
  <c r="F844" i="3"/>
  <c r="G844" i="3"/>
  <c r="H844" i="3"/>
  <c r="I844" i="3"/>
  <c r="J844" i="3"/>
  <c r="F845" i="3"/>
  <c r="G845" i="3"/>
  <c r="H845" i="3"/>
  <c r="I845" i="3"/>
  <c r="J845" i="3"/>
  <c r="F846" i="3"/>
  <c r="G846" i="3"/>
  <c r="H846" i="3"/>
  <c r="I846" i="3"/>
  <c r="J846" i="3"/>
  <c r="F847" i="3"/>
  <c r="G847" i="3"/>
  <c r="H847" i="3"/>
  <c r="I847" i="3"/>
  <c r="J847" i="3"/>
  <c r="F848" i="3"/>
  <c r="G848" i="3"/>
  <c r="H848" i="3"/>
  <c r="I848" i="3"/>
  <c r="J848" i="3"/>
  <c r="F849" i="3"/>
  <c r="G849" i="3"/>
  <c r="H849" i="3"/>
  <c r="I849" i="3"/>
  <c r="J849" i="3"/>
  <c r="F850" i="3"/>
  <c r="G850" i="3"/>
  <c r="H850" i="3"/>
  <c r="I850" i="3"/>
  <c r="J850" i="3"/>
  <c r="F851" i="3"/>
  <c r="G851" i="3"/>
  <c r="H851" i="3"/>
  <c r="I851" i="3"/>
  <c r="J851" i="3"/>
  <c r="F852" i="3"/>
  <c r="G852" i="3"/>
  <c r="H852" i="3"/>
  <c r="I852" i="3"/>
  <c r="J852" i="3"/>
  <c r="F853" i="3"/>
  <c r="G853" i="3"/>
  <c r="H853" i="3"/>
  <c r="I853" i="3"/>
  <c r="J853" i="3"/>
  <c r="F854" i="3"/>
  <c r="G854" i="3"/>
  <c r="H854" i="3"/>
  <c r="I854" i="3"/>
  <c r="J854" i="3"/>
  <c r="F855" i="3"/>
  <c r="G855" i="3"/>
  <c r="H855" i="3"/>
  <c r="I855" i="3"/>
  <c r="J855" i="3"/>
  <c r="F856" i="3"/>
  <c r="G856" i="3"/>
  <c r="H856" i="3"/>
  <c r="I856" i="3"/>
  <c r="J856" i="3"/>
  <c r="F857" i="3"/>
  <c r="G857" i="3"/>
  <c r="H857" i="3"/>
  <c r="I857" i="3"/>
  <c r="J857" i="3"/>
  <c r="F858" i="3"/>
  <c r="G858" i="3"/>
  <c r="H858" i="3"/>
  <c r="I858" i="3"/>
  <c r="J858" i="3"/>
  <c r="F859" i="3"/>
  <c r="G859" i="3"/>
  <c r="H859" i="3"/>
  <c r="I859" i="3"/>
  <c r="J859" i="3"/>
  <c r="F860" i="3"/>
  <c r="G860" i="3"/>
  <c r="H860" i="3"/>
  <c r="I860" i="3"/>
  <c r="J860" i="3"/>
  <c r="F861" i="3"/>
  <c r="G861" i="3"/>
  <c r="H861" i="3"/>
  <c r="I861" i="3"/>
  <c r="J861" i="3"/>
  <c r="F862" i="3"/>
  <c r="G862" i="3"/>
  <c r="H862" i="3"/>
  <c r="I862" i="3"/>
  <c r="J862" i="3"/>
  <c r="F863" i="3"/>
  <c r="G863" i="3"/>
  <c r="H863" i="3"/>
  <c r="I863" i="3"/>
  <c r="J863" i="3"/>
  <c r="F864" i="3"/>
  <c r="G864" i="3"/>
  <c r="H864" i="3"/>
  <c r="I864" i="3"/>
  <c r="J864" i="3"/>
  <c r="F865" i="3"/>
  <c r="G865" i="3"/>
  <c r="H865" i="3"/>
  <c r="I865" i="3"/>
  <c r="J865" i="3"/>
  <c r="F866" i="3"/>
  <c r="G866" i="3"/>
  <c r="H866" i="3"/>
  <c r="I866" i="3"/>
  <c r="J866" i="3"/>
  <c r="F867" i="3"/>
  <c r="G867" i="3"/>
  <c r="H867" i="3"/>
  <c r="I867" i="3"/>
  <c r="J867" i="3"/>
  <c r="F868" i="3"/>
  <c r="G868" i="3"/>
  <c r="H868" i="3"/>
  <c r="I868" i="3"/>
  <c r="J868" i="3"/>
  <c r="F869" i="3"/>
  <c r="G869" i="3"/>
  <c r="H869" i="3"/>
  <c r="I869" i="3"/>
  <c r="J869" i="3"/>
  <c r="F870" i="3"/>
  <c r="G870" i="3"/>
  <c r="H870" i="3"/>
  <c r="I870" i="3"/>
  <c r="J870" i="3"/>
  <c r="F871" i="3"/>
  <c r="G871" i="3"/>
  <c r="H871" i="3"/>
  <c r="I871" i="3"/>
  <c r="J871" i="3"/>
  <c r="F872" i="3"/>
  <c r="G872" i="3"/>
  <c r="H872" i="3"/>
  <c r="I872" i="3"/>
  <c r="J872" i="3"/>
  <c r="F873" i="3"/>
  <c r="G873" i="3"/>
  <c r="H873" i="3"/>
  <c r="I873" i="3"/>
  <c r="J873" i="3"/>
  <c r="F874" i="3"/>
  <c r="G874" i="3"/>
  <c r="H874" i="3"/>
  <c r="I874" i="3"/>
  <c r="J874" i="3"/>
  <c r="F875" i="3"/>
  <c r="G875" i="3"/>
  <c r="H875" i="3"/>
  <c r="I875" i="3"/>
  <c r="J875" i="3"/>
  <c r="F876" i="3"/>
  <c r="G876" i="3"/>
  <c r="H876" i="3"/>
  <c r="I876" i="3"/>
  <c r="J876" i="3"/>
  <c r="F877" i="3"/>
  <c r="G877" i="3"/>
  <c r="H877" i="3"/>
  <c r="I877" i="3"/>
  <c r="J877" i="3"/>
  <c r="F878" i="3"/>
  <c r="G878" i="3"/>
  <c r="H878" i="3"/>
  <c r="I878" i="3"/>
  <c r="J878" i="3"/>
  <c r="F879" i="3"/>
  <c r="G879" i="3"/>
  <c r="H879" i="3"/>
  <c r="I879" i="3"/>
  <c r="J879" i="3"/>
  <c r="F880" i="3"/>
  <c r="G880" i="3"/>
  <c r="H880" i="3"/>
  <c r="I880" i="3"/>
  <c r="J880" i="3"/>
  <c r="F881" i="3"/>
  <c r="G881" i="3"/>
  <c r="H881" i="3"/>
  <c r="I881" i="3"/>
  <c r="J881" i="3"/>
  <c r="F882" i="3"/>
  <c r="G882" i="3"/>
  <c r="H882" i="3"/>
  <c r="I882" i="3"/>
  <c r="J882" i="3"/>
  <c r="F883" i="3"/>
  <c r="G883" i="3"/>
  <c r="H883" i="3"/>
  <c r="I883" i="3"/>
  <c r="J883" i="3"/>
  <c r="F884" i="3"/>
  <c r="G884" i="3"/>
  <c r="H884" i="3"/>
  <c r="I884" i="3"/>
  <c r="J884" i="3"/>
  <c r="F885" i="3"/>
  <c r="G885" i="3"/>
  <c r="H885" i="3"/>
  <c r="I885" i="3"/>
  <c r="J885" i="3"/>
  <c r="F886" i="3"/>
  <c r="G886" i="3"/>
  <c r="H886" i="3"/>
  <c r="I886" i="3"/>
  <c r="J886" i="3"/>
  <c r="F887" i="3"/>
  <c r="G887" i="3"/>
  <c r="H887" i="3"/>
  <c r="I887" i="3"/>
  <c r="J887" i="3"/>
  <c r="F888" i="3"/>
  <c r="G888" i="3"/>
  <c r="H888" i="3"/>
  <c r="I888" i="3"/>
  <c r="J888" i="3"/>
  <c r="F889" i="3"/>
  <c r="G889" i="3"/>
  <c r="H889" i="3"/>
  <c r="I889" i="3"/>
  <c r="J889" i="3"/>
  <c r="F890" i="3"/>
  <c r="G890" i="3"/>
  <c r="H890" i="3"/>
  <c r="I890" i="3"/>
  <c r="J890" i="3"/>
  <c r="F891" i="3"/>
  <c r="G891" i="3"/>
  <c r="H891" i="3"/>
  <c r="I891" i="3"/>
  <c r="J891" i="3"/>
  <c r="F892" i="3"/>
  <c r="G892" i="3"/>
  <c r="H892" i="3"/>
  <c r="I892" i="3"/>
  <c r="J892" i="3"/>
  <c r="F893" i="3"/>
  <c r="G893" i="3"/>
  <c r="H893" i="3"/>
  <c r="I893" i="3"/>
  <c r="J893" i="3"/>
  <c r="F894" i="3"/>
  <c r="G894" i="3"/>
  <c r="H894" i="3"/>
  <c r="I894" i="3"/>
  <c r="J894" i="3"/>
  <c r="F895" i="3"/>
  <c r="G895" i="3"/>
  <c r="H895" i="3"/>
  <c r="I895" i="3"/>
  <c r="J895" i="3"/>
  <c r="F896" i="3"/>
  <c r="G896" i="3"/>
  <c r="H896" i="3"/>
  <c r="I896" i="3"/>
  <c r="J896" i="3"/>
  <c r="F897" i="3"/>
  <c r="G897" i="3"/>
  <c r="H897" i="3"/>
  <c r="I897" i="3"/>
  <c r="J897" i="3"/>
  <c r="F898" i="3"/>
  <c r="G898" i="3"/>
  <c r="H898" i="3"/>
  <c r="I898" i="3"/>
  <c r="J898" i="3"/>
  <c r="F899" i="3"/>
  <c r="G899" i="3"/>
  <c r="H899" i="3"/>
  <c r="I899" i="3"/>
  <c r="J899" i="3"/>
  <c r="F900" i="3"/>
  <c r="G900" i="3"/>
  <c r="H900" i="3"/>
  <c r="I900" i="3"/>
  <c r="J900" i="3"/>
  <c r="F901" i="3"/>
  <c r="G901" i="3"/>
  <c r="H901" i="3"/>
  <c r="I901" i="3"/>
  <c r="J901" i="3"/>
  <c r="F902" i="3"/>
  <c r="G902" i="3"/>
  <c r="H902" i="3"/>
  <c r="I902" i="3"/>
  <c r="J902" i="3"/>
  <c r="F903" i="3"/>
  <c r="G903" i="3"/>
  <c r="H903" i="3"/>
  <c r="I903" i="3"/>
  <c r="J903" i="3"/>
  <c r="F904" i="3"/>
  <c r="G904" i="3"/>
  <c r="H904" i="3"/>
  <c r="I904" i="3"/>
  <c r="J904" i="3"/>
  <c r="F905" i="3"/>
  <c r="G905" i="3"/>
  <c r="H905" i="3"/>
  <c r="I905" i="3"/>
  <c r="J905" i="3"/>
  <c r="F906" i="3"/>
  <c r="G906" i="3"/>
  <c r="H906" i="3"/>
  <c r="I906" i="3"/>
  <c r="J906" i="3"/>
  <c r="F907" i="3"/>
  <c r="G907" i="3"/>
  <c r="H907" i="3"/>
  <c r="I907" i="3"/>
  <c r="J907" i="3"/>
  <c r="F908" i="3"/>
  <c r="G908" i="3"/>
  <c r="H908" i="3"/>
  <c r="I908" i="3"/>
  <c r="J908" i="3"/>
  <c r="F909" i="3"/>
  <c r="G909" i="3"/>
  <c r="H909" i="3"/>
  <c r="I909" i="3"/>
  <c r="J909" i="3"/>
  <c r="F910" i="3"/>
  <c r="G910" i="3"/>
  <c r="H910" i="3"/>
  <c r="I910" i="3"/>
  <c r="J910" i="3"/>
  <c r="F911" i="3"/>
  <c r="G911" i="3"/>
  <c r="H911" i="3"/>
  <c r="I911" i="3"/>
  <c r="J911" i="3"/>
  <c r="F912" i="3"/>
  <c r="G912" i="3"/>
  <c r="H912" i="3"/>
  <c r="I912" i="3"/>
  <c r="J912" i="3"/>
  <c r="F913" i="3"/>
  <c r="G913" i="3"/>
  <c r="H913" i="3"/>
  <c r="I913" i="3"/>
  <c r="J913" i="3"/>
  <c r="F914" i="3"/>
  <c r="G914" i="3"/>
  <c r="H914" i="3"/>
  <c r="I914" i="3"/>
  <c r="J914" i="3"/>
  <c r="F915" i="3"/>
  <c r="G915" i="3"/>
  <c r="H915" i="3"/>
  <c r="I915" i="3"/>
  <c r="J915" i="3"/>
  <c r="F916" i="3"/>
  <c r="G916" i="3"/>
  <c r="H916" i="3"/>
  <c r="I916" i="3"/>
  <c r="J916" i="3"/>
  <c r="F917" i="3"/>
  <c r="G917" i="3"/>
  <c r="H917" i="3"/>
  <c r="I917" i="3"/>
  <c r="J917" i="3"/>
  <c r="F918" i="3"/>
  <c r="G918" i="3"/>
  <c r="H918" i="3"/>
  <c r="I918" i="3"/>
  <c r="J918" i="3"/>
  <c r="F919" i="3"/>
  <c r="G919" i="3"/>
  <c r="H919" i="3"/>
  <c r="I919" i="3"/>
  <c r="J919" i="3"/>
  <c r="F920" i="3"/>
  <c r="G920" i="3"/>
  <c r="H920" i="3"/>
  <c r="I920" i="3"/>
  <c r="J920" i="3"/>
  <c r="F921" i="3"/>
  <c r="G921" i="3"/>
  <c r="H921" i="3"/>
  <c r="I921" i="3"/>
  <c r="J921" i="3"/>
  <c r="F922" i="3"/>
  <c r="G922" i="3"/>
  <c r="H922" i="3"/>
  <c r="I922" i="3"/>
  <c r="J922" i="3"/>
  <c r="F923" i="3"/>
  <c r="G923" i="3"/>
  <c r="H923" i="3"/>
  <c r="I923" i="3"/>
  <c r="J923" i="3"/>
  <c r="F924" i="3"/>
  <c r="G924" i="3"/>
  <c r="H924" i="3"/>
  <c r="I924" i="3"/>
  <c r="J924" i="3"/>
  <c r="F925" i="3"/>
  <c r="G925" i="3"/>
  <c r="H925" i="3"/>
  <c r="I925" i="3"/>
  <c r="J925" i="3"/>
  <c r="F926" i="3"/>
  <c r="G926" i="3"/>
  <c r="H926" i="3"/>
  <c r="I926" i="3"/>
  <c r="J926" i="3"/>
  <c r="F927" i="3"/>
  <c r="G927" i="3"/>
  <c r="H927" i="3"/>
  <c r="I927" i="3"/>
  <c r="J927" i="3"/>
  <c r="F928" i="3"/>
  <c r="G928" i="3"/>
  <c r="H928" i="3"/>
  <c r="I928" i="3"/>
  <c r="J928" i="3"/>
  <c r="F929" i="3"/>
  <c r="G929" i="3"/>
  <c r="H929" i="3"/>
  <c r="I929" i="3"/>
  <c r="J929" i="3"/>
  <c r="F930" i="3"/>
  <c r="G930" i="3"/>
  <c r="H930" i="3"/>
  <c r="I930" i="3"/>
  <c r="J930" i="3"/>
  <c r="F931" i="3"/>
  <c r="G931" i="3"/>
  <c r="H931" i="3"/>
  <c r="I931" i="3"/>
  <c r="J931" i="3"/>
  <c r="F932" i="3"/>
  <c r="G932" i="3"/>
  <c r="H932" i="3"/>
  <c r="I932" i="3"/>
  <c r="J932" i="3"/>
  <c r="F933" i="3"/>
  <c r="G933" i="3"/>
  <c r="H933" i="3"/>
  <c r="I933" i="3"/>
  <c r="J933" i="3"/>
  <c r="F934" i="3"/>
  <c r="G934" i="3"/>
  <c r="H934" i="3"/>
  <c r="I934" i="3"/>
  <c r="J934" i="3"/>
  <c r="F935" i="3"/>
  <c r="G935" i="3"/>
  <c r="H935" i="3"/>
  <c r="I935" i="3"/>
  <c r="J935" i="3"/>
  <c r="F936" i="3"/>
  <c r="G936" i="3"/>
  <c r="H936" i="3"/>
  <c r="I936" i="3"/>
  <c r="J936" i="3"/>
  <c r="F937" i="3"/>
  <c r="G937" i="3"/>
  <c r="H937" i="3"/>
  <c r="I937" i="3"/>
  <c r="J937" i="3"/>
  <c r="F938" i="3"/>
  <c r="G938" i="3"/>
  <c r="H938" i="3"/>
  <c r="I938" i="3"/>
  <c r="J938" i="3"/>
  <c r="F939" i="3"/>
  <c r="G939" i="3"/>
  <c r="H939" i="3"/>
  <c r="I939" i="3"/>
  <c r="J939" i="3"/>
  <c r="F940" i="3"/>
  <c r="G940" i="3"/>
  <c r="H940" i="3"/>
  <c r="I940" i="3"/>
  <c r="J940" i="3"/>
  <c r="F941" i="3"/>
  <c r="G941" i="3"/>
  <c r="H941" i="3"/>
  <c r="I941" i="3"/>
  <c r="J941" i="3"/>
  <c r="F942" i="3"/>
  <c r="G942" i="3"/>
  <c r="H942" i="3"/>
  <c r="I942" i="3"/>
  <c r="J942" i="3"/>
  <c r="F943" i="3"/>
  <c r="G943" i="3"/>
  <c r="H943" i="3"/>
  <c r="I943" i="3"/>
  <c r="J943" i="3"/>
  <c r="F944" i="3"/>
  <c r="G944" i="3"/>
  <c r="H944" i="3"/>
  <c r="I944" i="3"/>
  <c r="J944" i="3"/>
  <c r="F945" i="3"/>
  <c r="G945" i="3"/>
  <c r="H945" i="3"/>
  <c r="I945" i="3"/>
  <c r="J945" i="3"/>
  <c r="F946" i="3"/>
  <c r="G946" i="3"/>
  <c r="H946" i="3"/>
  <c r="I946" i="3"/>
  <c r="J946" i="3"/>
  <c r="F947" i="3"/>
  <c r="G947" i="3"/>
  <c r="H947" i="3"/>
  <c r="I947" i="3"/>
  <c r="J947" i="3"/>
  <c r="F948" i="3"/>
  <c r="G948" i="3"/>
  <c r="H948" i="3"/>
  <c r="I948" i="3"/>
  <c r="J948" i="3"/>
  <c r="F949" i="3"/>
  <c r="G949" i="3"/>
  <c r="H949" i="3"/>
  <c r="I949" i="3"/>
  <c r="J949" i="3"/>
  <c r="F950" i="3"/>
  <c r="G950" i="3"/>
  <c r="H950" i="3"/>
  <c r="I950" i="3"/>
  <c r="J950" i="3"/>
  <c r="F951" i="3"/>
  <c r="G951" i="3"/>
  <c r="H951" i="3"/>
  <c r="I951" i="3"/>
  <c r="J951" i="3"/>
  <c r="F952" i="3"/>
  <c r="G952" i="3"/>
  <c r="H952" i="3"/>
  <c r="I952" i="3"/>
  <c r="J952" i="3"/>
  <c r="F953" i="3"/>
  <c r="G953" i="3"/>
  <c r="H953" i="3"/>
  <c r="I953" i="3"/>
  <c r="J953" i="3"/>
  <c r="F954" i="3"/>
  <c r="G954" i="3"/>
  <c r="H954" i="3"/>
  <c r="I954" i="3"/>
  <c r="J954" i="3"/>
  <c r="F955" i="3"/>
  <c r="G955" i="3"/>
  <c r="H955" i="3"/>
  <c r="I955" i="3"/>
  <c r="J955" i="3"/>
  <c r="F956" i="3"/>
  <c r="G956" i="3"/>
  <c r="H956" i="3"/>
  <c r="I956" i="3"/>
  <c r="J956" i="3"/>
  <c r="F957" i="3"/>
  <c r="G957" i="3"/>
  <c r="H957" i="3"/>
  <c r="I957" i="3"/>
  <c r="J957" i="3"/>
  <c r="F958" i="3"/>
  <c r="G958" i="3"/>
  <c r="H958" i="3"/>
  <c r="I958" i="3"/>
  <c r="J958" i="3"/>
  <c r="F959" i="3"/>
  <c r="G959" i="3"/>
  <c r="H959" i="3"/>
  <c r="I959" i="3"/>
  <c r="J959" i="3"/>
  <c r="F960" i="3"/>
  <c r="G960" i="3"/>
  <c r="H960" i="3"/>
  <c r="I960" i="3"/>
  <c r="J960" i="3"/>
  <c r="F961" i="3"/>
  <c r="G961" i="3"/>
  <c r="H961" i="3"/>
  <c r="I961" i="3"/>
  <c r="J961" i="3"/>
  <c r="F962" i="3"/>
  <c r="G962" i="3"/>
  <c r="H962" i="3"/>
  <c r="I962" i="3"/>
  <c r="J962" i="3"/>
  <c r="F963" i="3"/>
  <c r="G963" i="3"/>
  <c r="H963" i="3"/>
  <c r="I963" i="3"/>
  <c r="J963" i="3"/>
  <c r="F964" i="3"/>
  <c r="G964" i="3"/>
  <c r="H964" i="3"/>
  <c r="I964" i="3"/>
  <c r="J964" i="3"/>
  <c r="F965" i="3"/>
  <c r="G965" i="3"/>
  <c r="H965" i="3"/>
  <c r="I965" i="3"/>
  <c r="J965" i="3"/>
  <c r="F966" i="3"/>
  <c r="G966" i="3"/>
  <c r="H966" i="3"/>
  <c r="I966" i="3"/>
  <c r="J966" i="3"/>
  <c r="F967" i="3"/>
  <c r="G967" i="3"/>
  <c r="H967" i="3"/>
  <c r="I967" i="3"/>
  <c r="J967" i="3"/>
  <c r="F968" i="3"/>
  <c r="G968" i="3"/>
  <c r="H968" i="3"/>
  <c r="I968" i="3"/>
  <c r="J968" i="3"/>
  <c r="F969" i="3"/>
  <c r="G969" i="3"/>
  <c r="H969" i="3"/>
  <c r="I969" i="3"/>
  <c r="J969" i="3"/>
  <c r="F970" i="3"/>
  <c r="G970" i="3"/>
  <c r="H970" i="3"/>
  <c r="I970" i="3"/>
  <c r="J970" i="3"/>
  <c r="F971" i="3"/>
  <c r="G971" i="3"/>
  <c r="H971" i="3"/>
  <c r="I971" i="3"/>
  <c r="J971" i="3"/>
  <c r="F972" i="3"/>
  <c r="G972" i="3"/>
  <c r="H972" i="3"/>
  <c r="I972" i="3"/>
  <c r="J972" i="3"/>
  <c r="F973" i="3"/>
  <c r="G973" i="3"/>
  <c r="H973" i="3"/>
  <c r="I973" i="3"/>
  <c r="J973" i="3"/>
  <c r="F974" i="3"/>
  <c r="G974" i="3"/>
  <c r="H974" i="3"/>
  <c r="I974" i="3"/>
  <c r="J974" i="3"/>
  <c r="F975" i="3"/>
  <c r="G975" i="3"/>
  <c r="H975" i="3"/>
  <c r="I975" i="3"/>
  <c r="J975" i="3"/>
  <c r="F976" i="3"/>
  <c r="G976" i="3"/>
  <c r="H976" i="3"/>
  <c r="I976" i="3"/>
  <c r="J976" i="3"/>
  <c r="F977" i="3"/>
  <c r="G977" i="3"/>
  <c r="H977" i="3"/>
  <c r="I977" i="3"/>
  <c r="J977" i="3"/>
  <c r="F978" i="3"/>
  <c r="G978" i="3"/>
  <c r="H978" i="3"/>
  <c r="I978" i="3"/>
  <c r="J978" i="3"/>
  <c r="F979" i="3"/>
  <c r="G979" i="3"/>
  <c r="H979" i="3"/>
  <c r="I979" i="3"/>
  <c r="J979" i="3"/>
  <c r="F980" i="3"/>
  <c r="G980" i="3"/>
  <c r="H980" i="3"/>
  <c r="I980" i="3"/>
  <c r="J980" i="3"/>
  <c r="F981" i="3"/>
  <c r="G981" i="3"/>
  <c r="H981" i="3"/>
  <c r="I981" i="3"/>
  <c r="J981" i="3"/>
  <c r="F982" i="3"/>
  <c r="G982" i="3"/>
  <c r="H982" i="3"/>
  <c r="I982" i="3"/>
  <c r="J982" i="3"/>
  <c r="F983" i="3"/>
  <c r="G983" i="3"/>
  <c r="H983" i="3"/>
  <c r="I983" i="3"/>
  <c r="J983" i="3"/>
  <c r="F984" i="3"/>
  <c r="G984" i="3"/>
  <c r="H984" i="3"/>
  <c r="I984" i="3"/>
  <c r="J984" i="3"/>
  <c r="F985" i="3"/>
  <c r="G985" i="3"/>
  <c r="H985" i="3"/>
  <c r="I985" i="3"/>
  <c r="J985" i="3"/>
  <c r="F986" i="3"/>
  <c r="G986" i="3"/>
  <c r="H986" i="3"/>
  <c r="I986" i="3"/>
  <c r="J986" i="3"/>
  <c r="F987" i="3"/>
  <c r="G987" i="3"/>
  <c r="H987" i="3"/>
  <c r="I987" i="3"/>
  <c r="J987" i="3"/>
  <c r="F988" i="3"/>
  <c r="G988" i="3"/>
  <c r="H988" i="3"/>
  <c r="I988" i="3"/>
  <c r="J988" i="3"/>
  <c r="F989" i="3"/>
  <c r="G989" i="3"/>
  <c r="H989" i="3"/>
  <c r="I989" i="3"/>
  <c r="J989" i="3"/>
  <c r="F990" i="3"/>
  <c r="G990" i="3"/>
  <c r="H990" i="3"/>
  <c r="I990" i="3"/>
  <c r="J990" i="3"/>
  <c r="F991" i="3"/>
  <c r="G991" i="3"/>
  <c r="H991" i="3"/>
  <c r="I991" i="3"/>
  <c r="J991" i="3"/>
  <c r="F992" i="3"/>
  <c r="G992" i="3"/>
  <c r="H992" i="3"/>
  <c r="I992" i="3"/>
  <c r="J992" i="3"/>
  <c r="F993" i="3"/>
  <c r="G993" i="3"/>
  <c r="H993" i="3"/>
  <c r="I993" i="3"/>
  <c r="J993" i="3"/>
  <c r="F994" i="3"/>
  <c r="G994" i="3"/>
  <c r="H994" i="3"/>
  <c r="I994" i="3"/>
  <c r="J994" i="3"/>
  <c r="F995" i="3"/>
  <c r="G995" i="3"/>
  <c r="H995" i="3"/>
  <c r="I995" i="3"/>
  <c r="J995" i="3"/>
  <c r="F996" i="3"/>
  <c r="G996" i="3"/>
  <c r="H996" i="3"/>
  <c r="I996" i="3"/>
  <c r="J996" i="3"/>
  <c r="F997" i="3"/>
  <c r="G997" i="3"/>
  <c r="H997" i="3"/>
  <c r="I997" i="3"/>
  <c r="J997" i="3"/>
  <c r="F998" i="3"/>
  <c r="G998" i="3"/>
  <c r="H998" i="3"/>
  <c r="I998" i="3"/>
  <c r="J998" i="3"/>
  <c r="F999" i="3"/>
  <c r="G999" i="3"/>
  <c r="H999" i="3"/>
  <c r="I999" i="3"/>
  <c r="J999" i="3"/>
  <c r="F1000" i="3"/>
  <c r="G1000" i="3"/>
  <c r="H1000" i="3"/>
  <c r="I1000" i="3"/>
  <c r="J1000" i="3"/>
  <c r="F1001" i="3"/>
  <c r="G1001" i="3"/>
  <c r="H1001" i="3"/>
  <c r="I1001" i="3"/>
  <c r="J1001" i="3"/>
  <c r="F1002" i="3"/>
  <c r="G1002" i="3"/>
  <c r="H1002" i="3"/>
  <c r="I1002" i="3"/>
  <c r="J1002" i="3"/>
  <c r="F1003" i="3"/>
  <c r="G1003" i="3"/>
  <c r="H1003" i="3"/>
  <c r="I1003" i="3"/>
  <c r="J1003" i="3"/>
  <c r="F1004" i="3"/>
  <c r="G1004" i="3"/>
  <c r="H1004" i="3"/>
  <c r="I1004" i="3"/>
  <c r="J1004" i="3"/>
  <c r="F1005" i="3"/>
  <c r="G1005" i="3"/>
  <c r="H1005" i="3"/>
  <c r="I1005" i="3"/>
  <c r="J1005" i="3"/>
  <c r="F1006" i="3"/>
  <c r="G1006" i="3"/>
  <c r="H1006" i="3"/>
  <c r="I1006" i="3"/>
  <c r="J1006" i="3"/>
  <c r="F1007" i="3"/>
  <c r="G1007" i="3"/>
  <c r="H1007" i="3"/>
  <c r="I1007" i="3"/>
  <c r="J1007" i="3"/>
  <c r="F1008" i="3"/>
  <c r="G1008" i="3"/>
  <c r="H1008" i="3"/>
  <c r="I1008" i="3"/>
  <c r="J1008" i="3"/>
  <c r="F1009" i="3"/>
  <c r="G1009" i="3"/>
  <c r="H1009" i="3"/>
  <c r="I1009" i="3"/>
  <c r="J1009" i="3"/>
  <c r="F1010" i="3"/>
  <c r="G1010" i="3"/>
  <c r="H1010" i="3"/>
  <c r="I1010" i="3"/>
  <c r="J1010" i="3"/>
  <c r="F1011" i="3"/>
  <c r="G1011" i="3"/>
  <c r="H1011" i="3"/>
  <c r="I1011" i="3"/>
  <c r="J1011" i="3"/>
  <c r="F1012" i="3"/>
  <c r="G1012" i="3"/>
  <c r="H1012" i="3"/>
  <c r="I1012" i="3"/>
  <c r="J1012" i="3"/>
  <c r="F1013" i="3"/>
  <c r="G1013" i="3"/>
  <c r="H1013" i="3"/>
  <c r="I1013" i="3"/>
  <c r="J1013" i="3"/>
  <c r="F1014" i="3"/>
  <c r="G1014" i="3"/>
  <c r="H1014" i="3"/>
  <c r="I1014" i="3"/>
  <c r="J1014" i="3"/>
  <c r="F1015" i="3"/>
  <c r="G1015" i="3"/>
  <c r="H1015" i="3"/>
  <c r="I1015" i="3"/>
  <c r="J1015" i="3"/>
  <c r="F1016" i="3"/>
  <c r="G1016" i="3"/>
  <c r="H1016" i="3"/>
  <c r="I1016" i="3"/>
  <c r="J1016" i="3"/>
  <c r="F1017" i="3"/>
  <c r="G1017" i="3"/>
  <c r="H1017" i="3"/>
  <c r="I1017" i="3"/>
  <c r="J1017" i="3"/>
  <c r="F1018" i="3"/>
  <c r="G1018" i="3"/>
  <c r="H1018" i="3"/>
  <c r="I1018" i="3"/>
  <c r="J1018" i="3"/>
  <c r="F1019" i="3"/>
  <c r="G1019" i="3"/>
  <c r="H1019" i="3"/>
  <c r="I1019" i="3"/>
  <c r="J1019" i="3"/>
  <c r="F1020" i="3"/>
  <c r="G1020" i="3"/>
  <c r="H1020" i="3"/>
  <c r="I1020" i="3"/>
  <c r="J1020" i="3"/>
  <c r="F1021" i="3"/>
  <c r="G1021" i="3"/>
  <c r="H1021" i="3"/>
  <c r="I1021" i="3"/>
  <c r="J1021" i="3"/>
  <c r="F1022" i="3"/>
  <c r="G1022" i="3"/>
  <c r="H1022" i="3"/>
  <c r="I1022" i="3"/>
  <c r="J1022" i="3"/>
  <c r="F1023" i="3"/>
  <c r="G1023" i="3"/>
  <c r="H1023" i="3"/>
  <c r="I1023" i="3"/>
  <c r="J1023" i="3"/>
  <c r="F1024" i="3"/>
  <c r="G1024" i="3"/>
  <c r="H1024" i="3"/>
  <c r="I1024" i="3"/>
  <c r="J1024" i="3"/>
  <c r="F1025" i="3"/>
  <c r="G1025" i="3"/>
  <c r="H1025" i="3"/>
  <c r="I1025" i="3"/>
  <c r="J1025" i="3"/>
  <c r="F1026" i="3"/>
  <c r="G1026" i="3"/>
  <c r="H1026" i="3"/>
  <c r="I1026" i="3"/>
  <c r="J1026" i="3"/>
  <c r="F1027" i="3"/>
  <c r="G1027" i="3"/>
  <c r="H1027" i="3"/>
  <c r="I1027" i="3"/>
  <c r="J1027" i="3"/>
  <c r="F1028" i="3"/>
  <c r="G1028" i="3"/>
  <c r="H1028" i="3"/>
  <c r="I1028" i="3"/>
  <c r="J1028" i="3"/>
  <c r="F1029" i="3"/>
  <c r="G1029" i="3"/>
  <c r="H1029" i="3"/>
  <c r="I1029" i="3"/>
  <c r="J1029" i="3"/>
  <c r="F1030" i="3"/>
  <c r="G1030" i="3"/>
  <c r="H1030" i="3"/>
  <c r="I1030" i="3"/>
  <c r="J1030" i="3"/>
  <c r="F1031" i="3"/>
  <c r="G1031" i="3"/>
  <c r="H1031" i="3"/>
  <c r="I1031" i="3"/>
  <c r="J1031" i="3"/>
  <c r="F1032" i="3"/>
  <c r="G1032" i="3"/>
  <c r="H1032" i="3"/>
  <c r="I1032" i="3"/>
  <c r="J1032" i="3"/>
  <c r="F1033" i="3"/>
  <c r="G1033" i="3"/>
  <c r="H1033" i="3"/>
  <c r="I1033" i="3"/>
  <c r="J1033" i="3"/>
  <c r="F1034" i="3"/>
  <c r="G1034" i="3"/>
  <c r="H1034" i="3"/>
  <c r="I1034" i="3"/>
  <c r="J1034" i="3"/>
  <c r="F1035" i="3"/>
  <c r="G1035" i="3"/>
  <c r="H1035" i="3"/>
  <c r="I1035" i="3"/>
  <c r="J1035" i="3"/>
  <c r="F1036" i="3"/>
  <c r="G1036" i="3"/>
  <c r="H1036" i="3"/>
  <c r="I1036" i="3"/>
  <c r="J1036" i="3"/>
  <c r="F1037" i="3"/>
  <c r="G1037" i="3"/>
  <c r="H1037" i="3"/>
  <c r="I1037" i="3"/>
  <c r="J1037" i="3"/>
  <c r="F1038" i="3"/>
  <c r="G1038" i="3"/>
  <c r="H1038" i="3"/>
  <c r="I1038" i="3"/>
  <c r="J1038" i="3"/>
  <c r="F1039" i="3"/>
  <c r="G1039" i="3"/>
  <c r="H1039" i="3"/>
  <c r="I1039" i="3"/>
  <c r="J1039" i="3"/>
  <c r="F1040" i="3"/>
  <c r="G1040" i="3"/>
  <c r="H1040" i="3"/>
  <c r="I1040" i="3"/>
  <c r="J1040" i="3"/>
  <c r="F1041" i="3"/>
  <c r="G1041" i="3"/>
  <c r="H1041" i="3"/>
  <c r="I1041" i="3"/>
  <c r="J1041" i="3"/>
  <c r="F1042" i="3"/>
  <c r="G1042" i="3"/>
  <c r="H1042" i="3"/>
  <c r="I1042" i="3"/>
  <c r="J1042" i="3"/>
  <c r="F1043" i="3"/>
  <c r="G1043" i="3"/>
  <c r="H1043" i="3"/>
  <c r="I1043" i="3"/>
  <c r="J1043" i="3"/>
  <c r="F1044" i="3"/>
  <c r="G1044" i="3"/>
  <c r="H1044" i="3"/>
  <c r="I1044" i="3"/>
  <c r="J1044" i="3"/>
  <c r="F1045" i="3"/>
  <c r="G1045" i="3"/>
  <c r="H1045" i="3"/>
  <c r="I1045" i="3"/>
  <c r="J1045" i="3"/>
  <c r="F1046" i="3"/>
  <c r="G1046" i="3"/>
  <c r="H1046" i="3"/>
  <c r="I1046" i="3"/>
  <c r="J1046" i="3"/>
  <c r="F1047" i="3"/>
  <c r="G1047" i="3"/>
  <c r="H1047" i="3"/>
  <c r="I1047" i="3"/>
  <c r="J1047" i="3"/>
  <c r="F1048" i="3"/>
  <c r="G1048" i="3"/>
  <c r="H1048" i="3"/>
  <c r="I1048" i="3"/>
  <c r="J1048" i="3"/>
  <c r="F1049" i="3"/>
  <c r="G1049" i="3"/>
  <c r="H1049" i="3"/>
  <c r="I1049" i="3"/>
  <c r="J1049" i="3"/>
  <c r="F1050" i="3"/>
  <c r="G1050" i="3"/>
  <c r="H1050" i="3"/>
  <c r="I1050" i="3"/>
  <c r="J1050" i="3"/>
  <c r="F1051" i="3"/>
  <c r="G1051" i="3"/>
  <c r="H1051" i="3"/>
  <c r="I1051" i="3"/>
  <c r="J1051" i="3"/>
  <c r="F1052" i="3"/>
  <c r="G1052" i="3"/>
  <c r="H1052" i="3"/>
  <c r="I1052" i="3"/>
  <c r="J1052" i="3"/>
  <c r="F1053" i="3"/>
  <c r="G1053" i="3"/>
  <c r="H1053" i="3"/>
  <c r="I1053" i="3"/>
  <c r="J1053" i="3"/>
  <c r="F1054" i="3"/>
  <c r="G1054" i="3"/>
  <c r="H1054" i="3"/>
  <c r="I1054" i="3"/>
  <c r="J1054" i="3"/>
  <c r="F1055" i="3"/>
  <c r="G1055" i="3"/>
  <c r="H1055" i="3"/>
  <c r="I1055" i="3"/>
  <c r="J1055" i="3"/>
  <c r="F1056" i="3"/>
  <c r="G1056" i="3"/>
  <c r="H1056" i="3"/>
  <c r="I1056" i="3"/>
  <c r="J1056" i="3"/>
  <c r="F1057" i="3"/>
  <c r="G1057" i="3"/>
  <c r="H1057" i="3"/>
  <c r="I1057" i="3"/>
  <c r="J1057" i="3"/>
  <c r="F1058" i="3"/>
  <c r="G1058" i="3"/>
  <c r="H1058" i="3"/>
  <c r="I1058" i="3"/>
  <c r="J1058" i="3"/>
  <c r="F1059" i="3"/>
  <c r="G1059" i="3"/>
  <c r="H1059" i="3"/>
  <c r="I1059" i="3"/>
  <c r="J1059" i="3"/>
  <c r="F1060" i="3"/>
  <c r="G1060" i="3"/>
  <c r="H1060" i="3"/>
  <c r="I1060" i="3"/>
  <c r="J1060" i="3"/>
  <c r="F1061" i="3"/>
  <c r="G1061" i="3"/>
  <c r="H1061" i="3"/>
  <c r="I1061" i="3"/>
  <c r="J1061" i="3"/>
  <c r="F1062" i="3"/>
  <c r="G1062" i="3"/>
  <c r="H1062" i="3"/>
  <c r="I1062" i="3"/>
  <c r="J1062" i="3"/>
  <c r="F1063" i="3"/>
  <c r="G1063" i="3"/>
  <c r="H1063" i="3"/>
  <c r="I1063" i="3"/>
  <c r="J1063" i="3"/>
  <c r="F1064" i="3"/>
  <c r="G1064" i="3"/>
  <c r="H1064" i="3"/>
  <c r="I1064" i="3"/>
  <c r="J1064" i="3"/>
  <c r="F1065" i="3"/>
  <c r="G1065" i="3"/>
  <c r="H1065" i="3"/>
  <c r="I1065" i="3"/>
  <c r="J1065" i="3"/>
  <c r="F1066" i="3"/>
  <c r="G1066" i="3"/>
  <c r="H1066" i="3"/>
  <c r="I1066" i="3"/>
  <c r="J1066" i="3"/>
  <c r="F1067" i="3"/>
  <c r="G1067" i="3"/>
  <c r="H1067" i="3"/>
  <c r="I1067" i="3"/>
  <c r="J1067" i="3"/>
  <c r="F1068" i="3"/>
  <c r="G1068" i="3"/>
  <c r="H1068" i="3"/>
  <c r="I1068" i="3"/>
  <c r="J1068" i="3"/>
  <c r="F1069" i="3"/>
  <c r="G1069" i="3"/>
  <c r="H1069" i="3"/>
  <c r="I1069" i="3"/>
  <c r="J1069" i="3"/>
  <c r="F1070" i="3"/>
  <c r="G1070" i="3"/>
  <c r="H1070" i="3"/>
  <c r="I1070" i="3"/>
  <c r="J1070" i="3"/>
  <c r="F1071" i="3"/>
  <c r="G1071" i="3"/>
  <c r="H1071" i="3"/>
  <c r="I1071" i="3"/>
  <c r="J1071" i="3"/>
  <c r="F1072" i="3"/>
  <c r="G1072" i="3"/>
  <c r="H1072" i="3"/>
  <c r="I1072" i="3"/>
  <c r="J1072" i="3"/>
  <c r="F1073" i="3"/>
  <c r="G1073" i="3"/>
  <c r="H1073" i="3"/>
  <c r="I1073" i="3"/>
  <c r="J1073" i="3"/>
  <c r="F1074" i="3"/>
  <c r="G1074" i="3"/>
  <c r="H1074" i="3"/>
  <c r="I1074" i="3"/>
  <c r="J1074" i="3"/>
  <c r="F1075" i="3"/>
  <c r="G1075" i="3"/>
  <c r="H1075" i="3"/>
  <c r="I1075" i="3"/>
  <c r="J1075" i="3"/>
  <c r="F1076" i="3"/>
  <c r="G1076" i="3"/>
  <c r="H1076" i="3"/>
  <c r="I1076" i="3"/>
  <c r="J1076" i="3"/>
  <c r="F1077" i="3"/>
  <c r="G1077" i="3"/>
  <c r="H1077" i="3"/>
  <c r="I1077" i="3"/>
  <c r="J1077" i="3"/>
  <c r="F1078" i="3"/>
  <c r="G1078" i="3"/>
  <c r="H1078" i="3"/>
  <c r="I1078" i="3"/>
  <c r="J1078" i="3"/>
  <c r="F1079" i="3"/>
  <c r="G1079" i="3"/>
  <c r="H1079" i="3"/>
  <c r="I1079" i="3"/>
  <c r="J1079" i="3"/>
  <c r="F1080" i="3"/>
  <c r="G1080" i="3"/>
  <c r="H1080" i="3"/>
  <c r="I1080" i="3"/>
  <c r="J1080" i="3"/>
  <c r="F1081" i="3"/>
  <c r="G1081" i="3"/>
  <c r="H1081" i="3"/>
  <c r="I1081" i="3"/>
  <c r="J1081" i="3"/>
  <c r="F1082" i="3"/>
  <c r="G1082" i="3"/>
  <c r="H1082" i="3"/>
  <c r="I1082" i="3"/>
  <c r="J1082" i="3"/>
  <c r="F1083" i="3"/>
  <c r="G1083" i="3"/>
  <c r="H1083" i="3"/>
  <c r="I1083" i="3"/>
  <c r="J1083" i="3"/>
  <c r="F1084" i="3"/>
  <c r="G1084" i="3"/>
  <c r="H1084" i="3"/>
  <c r="I1084" i="3"/>
  <c r="J1084" i="3"/>
  <c r="F1085" i="3"/>
  <c r="G1085" i="3"/>
  <c r="H1085" i="3"/>
  <c r="I1085" i="3"/>
  <c r="J1085" i="3"/>
  <c r="F1086" i="3"/>
  <c r="G1086" i="3"/>
  <c r="H1086" i="3"/>
  <c r="I1086" i="3"/>
  <c r="J1086" i="3"/>
  <c r="F1087" i="3"/>
  <c r="G1087" i="3"/>
  <c r="H1087" i="3"/>
  <c r="I1087" i="3"/>
  <c r="J1087" i="3"/>
  <c r="F1088" i="3"/>
  <c r="G1088" i="3"/>
  <c r="H1088" i="3"/>
  <c r="I1088" i="3"/>
  <c r="J1088" i="3"/>
  <c r="F1089" i="3"/>
  <c r="G1089" i="3"/>
  <c r="H1089" i="3"/>
  <c r="I1089" i="3"/>
  <c r="J1089" i="3"/>
  <c r="F1090" i="3"/>
  <c r="G1090" i="3"/>
  <c r="H1090" i="3"/>
  <c r="I1090" i="3"/>
  <c r="J1090" i="3"/>
  <c r="F1091" i="3"/>
  <c r="G1091" i="3"/>
  <c r="H1091" i="3"/>
  <c r="I1091" i="3"/>
  <c r="J1091" i="3"/>
  <c r="F1092" i="3"/>
  <c r="G1092" i="3"/>
  <c r="H1092" i="3"/>
  <c r="I1092" i="3"/>
  <c r="J1092" i="3"/>
  <c r="F1093" i="3"/>
  <c r="G1093" i="3"/>
  <c r="H1093" i="3"/>
  <c r="I1093" i="3"/>
  <c r="J1093" i="3"/>
  <c r="F1094" i="3"/>
  <c r="G1094" i="3"/>
  <c r="H1094" i="3"/>
  <c r="I1094" i="3"/>
  <c r="J1094" i="3"/>
  <c r="F1095" i="3"/>
  <c r="G1095" i="3"/>
  <c r="H1095" i="3"/>
  <c r="I1095" i="3"/>
  <c r="J1095" i="3"/>
  <c r="F1096" i="3"/>
  <c r="G1096" i="3"/>
  <c r="H1096" i="3"/>
  <c r="I1096" i="3"/>
  <c r="J1096" i="3"/>
  <c r="F1097" i="3"/>
  <c r="G1097" i="3"/>
  <c r="H1097" i="3"/>
  <c r="I1097" i="3"/>
  <c r="J1097" i="3"/>
  <c r="F1098" i="3"/>
  <c r="G1098" i="3"/>
  <c r="H1098" i="3"/>
  <c r="I1098" i="3"/>
  <c r="J1098" i="3"/>
  <c r="F1099" i="3"/>
  <c r="G1099" i="3"/>
  <c r="H1099" i="3"/>
  <c r="I1099" i="3"/>
  <c r="J1099" i="3"/>
  <c r="F1100" i="3"/>
  <c r="G1100" i="3"/>
  <c r="H1100" i="3"/>
  <c r="I1100" i="3"/>
  <c r="J1100" i="3"/>
  <c r="F1101" i="3"/>
  <c r="G1101" i="3"/>
  <c r="H1101" i="3"/>
  <c r="I1101" i="3"/>
  <c r="J1101" i="3"/>
  <c r="F1102" i="3"/>
  <c r="G1102" i="3"/>
  <c r="H1102" i="3"/>
  <c r="I1102" i="3"/>
  <c r="J1102" i="3"/>
  <c r="F1103" i="3"/>
  <c r="G1103" i="3"/>
  <c r="H1103" i="3"/>
  <c r="I1103" i="3"/>
  <c r="J1103" i="3"/>
  <c r="F1104" i="3"/>
  <c r="G1104" i="3"/>
  <c r="H1104" i="3"/>
  <c r="I1104" i="3"/>
  <c r="J1104" i="3"/>
  <c r="F1105" i="3"/>
  <c r="G1105" i="3"/>
  <c r="H1105" i="3"/>
  <c r="I1105" i="3"/>
  <c r="J1105" i="3"/>
  <c r="F1106" i="3"/>
  <c r="G1106" i="3"/>
  <c r="H1106" i="3"/>
  <c r="I1106" i="3"/>
  <c r="J1106" i="3"/>
  <c r="F1107" i="3"/>
  <c r="G1107" i="3"/>
  <c r="H1107" i="3"/>
  <c r="I1107" i="3"/>
  <c r="J1107" i="3"/>
  <c r="F1108" i="3"/>
  <c r="G1108" i="3"/>
  <c r="H1108" i="3"/>
  <c r="I1108" i="3"/>
  <c r="J1108" i="3"/>
  <c r="F1109" i="3"/>
  <c r="G1109" i="3"/>
  <c r="H1109" i="3"/>
  <c r="I1109" i="3"/>
  <c r="J1109" i="3"/>
  <c r="F1110" i="3"/>
  <c r="G1110" i="3"/>
  <c r="H1110" i="3"/>
  <c r="I1110" i="3"/>
  <c r="J1110" i="3"/>
  <c r="F1111" i="3"/>
  <c r="G1111" i="3"/>
  <c r="H1111" i="3"/>
  <c r="I1111" i="3"/>
  <c r="J1111" i="3"/>
  <c r="F1112" i="3"/>
  <c r="G1112" i="3"/>
  <c r="H1112" i="3"/>
  <c r="I1112" i="3"/>
  <c r="J1112" i="3"/>
  <c r="F1113" i="3"/>
  <c r="G1113" i="3"/>
  <c r="H1113" i="3"/>
  <c r="I1113" i="3"/>
  <c r="J1113" i="3"/>
  <c r="F1114" i="3"/>
  <c r="G1114" i="3"/>
  <c r="H1114" i="3"/>
  <c r="I1114" i="3"/>
  <c r="J1114" i="3"/>
  <c r="F1115" i="3"/>
  <c r="G1115" i="3"/>
  <c r="H1115" i="3"/>
  <c r="I1115" i="3"/>
  <c r="J1115" i="3"/>
  <c r="F1116" i="3"/>
  <c r="G1116" i="3"/>
  <c r="H1116" i="3"/>
  <c r="I1116" i="3"/>
  <c r="J1116" i="3"/>
  <c r="F1117" i="3"/>
  <c r="G1117" i="3"/>
  <c r="H1117" i="3"/>
  <c r="I1117" i="3"/>
  <c r="J1117" i="3"/>
  <c r="F1118" i="3"/>
  <c r="G1118" i="3"/>
  <c r="H1118" i="3"/>
  <c r="I1118" i="3"/>
  <c r="J1118" i="3"/>
  <c r="F1119" i="3"/>
  <c r="G1119" i="3"/>
  <c r="H1119" i="3"/>
  <c r="I1119" i="3"/>
  <c r="J1119" i="3"/>
  <c r="F1120" i="3"/>
  <c r="G1120" i="3"/>
  <c r="H1120" i="3"/>
  <c r="I1120" i="3"/>
  <c r="J1120" i="3"/>
  <c r="F1121" i="3"/>
  <c r="G1121" i="3"/>
  <c r="H1121" i="3"/>
  <c r="I1121" i="3"/>
  <c r="J1121" i="3"/>
  <c r="F1122" i="3"/>
  <c r="G1122" i="3"/>
  <c r="H1122" i="3"/>
  <c r="I1122" i="3"/>
  <c r="J1122" i="3"/>
  <c r="F1123" i="3"/>
  <c r="G1123" i="3"/>
  <c r="H1123" i="3"/>
  <c r="I1123" i="3"/>
  <c r="J1123" i="3"/>
  <c r="F1124" i="3"/>
  <c r="G1124" i="3"/>
  <c r="H1124" i="3"/>
  <c r="I1124" i="3"/>
  <c r="J1124" i="3"/>
  <c r="F1125" i="3"/>
  <c r="G1125" i="3"/>
  <c r="H1125" i="3"/>
  <c r="I1125" i="3"/>
  <c r="J1125" i="3"/>
  <c r="F1126" i="3"/>
  <c r="G1126" i="3"/>
  <c r="H1126" i="3"/>
  <c r="I1126" i="3"/>
  <c r="J1126" i="3"/>
  <c r="F1127" i="3"/>
  <c r="G1127" i="3"/>
  <c r="H1127" i="3"/>
  <c r="I1127" i="3"/>
  <c r="J1127" i="3"/>
  <c r="F1128" i="3"/>
  <c r="G1128" i="3"/>
  <c r="H1128" i="3"/>
  <c r="I1128" i="3"/>
  <c r="J1128" i="3"/>
  <c r="F1129" i="3"/>
  <c r="G1129" i="3"/>
  <c r="H1129" i="3"/>
  <c r="I1129" i="3"/>
  <c r="J1129" i="3"/>
  <c r="F1130" i="3"/>
  <c r="G1130" i="3"/>
  <c r="H1130" i="3"/>
  <c r="I1130" i="3"/>
  <c r="J1130" i="3"/>
  <c r="F1131" i="3"/>
  <c r="G1131" i="3"/>
  <c r="H1131" i="3"/>
  <c r="I1131" i="3"/>
  <c r="J1131" i="3"/>
  <c r="F1132" i="3"/>
  <c r="G1132" i="3"/>
  <c r="H1132" i="3"/>
  <c r="I1132" i="3"/>
  <c r="J1132" i="3"/>
  <c r="F1133" i="3"/>
  <c r="G1133" i="3"/>
  <c r="H1133" i="3"/>
  <c r="I1133" i="3"/>
  <c r="J1133" i="3"/>
  <c r="F1134" i="3"/>
  <c r="G1134" i="3"/>
  <c r="H1134" i="3"/>
  <c r="I1134" i="3"/>
  <c r="J1134" i="3"/>
  <c r="F1135" i="3"/>
  <c r="G1135" i="3"/>
  <c r="H1135" i="3"/>
  <c r="I1135" i="3"/>
  <c r="J1135" i="3"/>
  <c r="F1136" i="3"/>
  <c r="G1136" i="3"/>
  <c r="H1136" i="3"/>
  <c r="I1136" i="3"/>
  <c r="J1136" i="3"/>
  <c r="F1137" i="3"/>
  <c r="G1137" i="3"/>
  <c r="H1137" i="3"/>
  <c r="I1137" i="3"/>
  <c r="J1137" i="3"/>
  <c r="F1138" i="3"/>
  <c r="G1138" i="3"/>
  <c r="H1138" i="3"/>
  <c r="I1138" i="3"/>
  <c r="J1138" i="3"/>
  <c r="F1139" i="3"/>
  <c r="G1139" i="3"/>
  <c r="H1139" i="3"/>
  <c r="I1139" i="3"/>
  <c r="J1139" i="3"/>
  <c r="F1140" i="3"/>
  <c r="G1140" i="3"/>
  <c r="H1140" i="3"/>
  <c r="I1140" i="3"/>
  <c r="J1140" i="3"/>
  <c r="F1141" i="3"/>
  <c r="G1141" i="3"/>
  <c r="H1141" i="3"/>
  <c r="I1141" i="3"/>
  <c r="J1141" i="3"/>
  <c r="F1142" i="3"/>
  <c r="G1142" i="3"/>
  <c r="H1142" i="3"/>
  <c r="I1142" i="3"/>
  <c r="J1142" i="3"/>
  <c r="F1143" i="3"/>
  <c r="G1143" i="3"/>
  <c r="H1143" i="3"/>
  <c r="I1143" i="3"/>
  <c r="J1143" i="3"/>
  <c r="F1144" i="3"/>
  <c r="G1144" i="3"/>
  <c r="H1144" i="3"/>
  <c r="I1144" i="3"/>
  <c r="J1144" i="3"/>
  <c r="F1145" i="3"/>
  <c r="G1145" i="3"/>
  <c r="H1145" i="3"/>
  <c r="I1145" i="3"/>
  <c r="J1145" i="3"/>
  <c r="F1146" i="3"/>
  <c r="G1146" i="3"/>
  <c r="H1146" i="3"/>
  <c r="I1146" i="3"/>
  <c r="J1146" i="3"/>
  <c r="F1147" i="3"/>
  <c r="G1147" i="3"/>
  <c r="H1147" i="3"/>
  <c r="I1147" i="3"/>
  <c r="J1147" i="3"/>
  <c r="F1148" i="3"/>
  <c r="G1148" i="3"/>
  <c r="H1148" i="3"/>
  <c r="I1148" i="3"/>
  <c r="J1148" i="3"/>
  <c r="F1149" i="3"/>
  <c r="G1149" i="3"/>
  <c r="H1149" i="3"/>
  <c r="I1149" i="3"/>
  <c r="J1149" i="3"/>
  <c r="F1150" i="3"/>
  <c r="G1150" i="3"/>
  <c r="H1150" i="3"/>
  <c r="I1150" i="3"/>
  <c r="J1150" i="3"/>
  <c r="F1151" i="3"/>
  <c r="G1151" i="3"/>
  <c r="H1151" i="3"/>
  <c r="I1151" i="3"/>
  <c r="J1151" i="3"/>
  <c r="F1152" i="3"/>
  <c r="G1152" i="3"/>
  <c r="H1152" i="3"/>
  <c r="I1152" i="3"/>
  <c r="J1152" i="3"/>
  <c r="F1153" i="3"/>
  <c r="G1153" i="3"/>
  <c r="H1153" i="3"/>
  <c r="I1153" i="3"/>
  <c r="J1153" i="3"/>
  <c r="F1154" i="3"/>
  <c r="G1154" i="3"/>
  <c r="H1154" i="3"/>
  <c r="I1154" i="3"/>
  <c r="J1154" i="3"/>
  <c r="F1155" i="3"/>
  <c r="G1155" i="3"/>
  <c r="H1155" i="3"/>
  <c r="I1155" i="3"/>
  <c r="J1155" i="3"/>
  <c r="F1156" i="3"/>
  <c r="G1156" i="3"/>
  <c r="H1156" i="3"/>
  <c r="I1156" i="3"/>
  <c r="J1156" i="3"/>
  <c r="F1157" i="3"/>
  <c r="G1157" i="3"/>
  <c r="H1157" i="3"/>
  <c r="I1157" i="3"/>
  <c r="J1157" i="3"/>
  <c r="F1158" i="3"/>
  <c r="G1158" i="3"/>
  <c r="H1158" i="3"/>
  <c r="I1158" i="3"/>
  <c r="J1158" i="3"/>
  <c r="F1159" i="3"/>
  <c r="G1159" i="3"/>
  <c r="H1159" i="3"/>
  <c r="I1159" i="3"/>
  <c r="J1159" i="3"/>
  <c r="F1160" i="3"/>
  <c r="G1160" i="3"/>
  <c r="H1160" i="3"/>
  <c r="I1160" i="3"/>
  <c r="J1160" i="3"/>
  <c r="F1161" i="3"/>
  <c r="G1161" i="3"/>
  <c r="H1161" i="3"/>
  <c r="I1161" i="3"/>
  <c r="J1161" i="3"/>
  <c r="F1162" i="3"/>
  <c r="G1162" i="3"/>
  <c r="H1162" i="3"/>
  <c r="I1162" i="3"/>
  <c r="J1162" i="3"/>
  <c r="F1163" i="3"/>
  <c r="G1163" i="3"/>
  <c r="H1163" i="3"/>
  <c r="I1163" i="3"/>
  <c r="J1163" i="3"/>
  <c r="F1164" i="3"/>
  <c r="G1164" i="3"/>
  <c r="H1164" i="3"/>
  <c r="I1164" i="3"/>
  <c r="J1164" i="3"/>
  <c r="F1165" i="3"/>
  <c r="G1165" i="3"/>
  <c r="H1165" i="3"/>
  <c r="I1165" i="3"/>
  <c r="J1165" i="3"/>
  <c r="F1166" i="3"/>
  <c r="G1166" i="3"/>
  <c r="H1166" i="3"/>
  <c r="I1166" i="3"/>
  <c r="J1166" i="3"/>
  <c r="F1167" i="3"/>
  <c r="G1167" i="3"/>
  <c r="H1167" i="3"/>
  <c r="I1167" i="3"/>
  <c r="J1167" i="3"/>
  <c r="F1168" i="3"/>
  <c r="G1168" i="3"/>
  <c r="H1168" i="3"/>
  <c r="I1168" i="3"/>
  <c r="J1168" i="3"/>
  <c r="F1169" i="3"/>
  <c r="G1169" i="3"/>
  <c r="H1169" i="3"/>
  <c r="I1169" i="3"/>
  <c r="J1169" i="3"/>
  <c r="F1170" i="3"/>
  <c r="G1170" i="3"/>
  <c r="H1170" i="3"/>
  <c r="I1170" i="3"/>
  <c r="J1170" i="3"/>
  <c r="F1171" i="3"/>
  <c r="G1171" i="3"/>
  <c r="H1171" i="3"/>
  <c r="I1171" i="3"/>
  <c r="J1171" i="3"/>
  <c r="F1172" i="3"/>
  <c r="G1172" i="3"/>
  <c r="H1172" i="3"/>
  <c r="I1172" i="3"/>
  <c r="J1172" i="3"/>
  <c r="F1173" i="3"/>
  <c r="G1173" i="3"/>
  <c r="H1173" i="3"/>
  <c r="I1173" i="3"/>
  <c r="J1173" i="3"/>
  <c r="F1174" i="3"/>
  <c r="G1174" i="3"/>
  <c r="H1174" i="3"/>
  <c r="I1174" i="3"/>
  <c r="J1174" i="3"/>
  <c r="F1175" i="3"/>
  <c r="G1175" i="3"/>
  <c r="H1175" i="3"/>
  <c r="I1175" i="3"/>
  <c r="J1175" i="3"/>
  <c r="F1176" i="3"/>
  <c r="G1176" i="3"/>
  <c r="H1176" i="3"/>
  <c r="I1176" i="3"/>
  <c r="J1176" i="3"/>
  <c r="F1177" i="3"/>
  <c r="G1177" i="3"/>
  <c r="H1177" i="3"/>
  <c r="I1177" i="3"/>
  <c r="J1177" i="3"/>
  <c r="F1178" i="3"/>
  <c r="G1178" i="3"/>
  <c r="H1178" i="3"/>
  <c r="I1178" i="3"/>
  <c r="J1178" i="3"/>
  <c r="F1179" i="3"/>
  <c r="G1179" i="3"/>
  <c r="H1179" i="3"/>
  <c r="I1179" i="3"/>
  <c r="J1179" i="3"/>
  <c r="F1180" i="3"/>
  <c r="G1180" i="3"/>
  <c r="H1180" i="3"/>
  <c r="I1180" i="3"/>
  <c r="J1180" i="3"/>
  <c r="F1181" i="3"/>
  <c r="G1181" i="3"/>
  <c r="H1181" i="3"/>
  <c r="I1181" i="3"/>
  <c r="J1181" i="3"/>
  <c r="F1182" i="3"/>
  <c r="G1182" i="3"/>
  <c r="H1182" i="3"/>
  <c r="I1182" i="3"/>
  <c r="J1182" i="3"/>
  <c r="F1183" i="3"/>
  <c r="G1183" i="3"/>
  <c r="H1183" i="3"/>
  <c r="I1183" i="3"/>
  <c r="J1183" i="3"/>
  <c r="F1184" i="3"/>
  <c r="G1184" i="3"/>
  <c r="H1184" i="3"/>
  <c r="I1184" i="3"/>
  <c r="J1184" i="3"/>
  <c r="F1185" i="3"/>
  <c r="G1185" i="3"/>
  <c r="H1185" i="3"/>
  <c r="I1185" i="3"/>
  <c r="J1185" i="3"/>
  <c r="F1186" i="3"/>
  <c r="G1186" i="3"/>
  <c r="H1186" i="3"/>
  <c r="I1186" i="3"/>
  <c r="J1186" i="3"/>
  <c r="F1187" i="3"/>
  <c r="G1187" i="3"/>
  <c r="H1187" i="3"/>
  <c r="I1187" i="3"/>
  <c r="J1187" i="3"/>
  <c r="F1188" i="3"/>
  <c r="G1188" i="3"/>
  <c r="H1188" i="3"/>
  <c r="I1188" i="3"/>
  <c r="J1188" i="3"/>
  <c r="F1189" i="3"/>
  <c r="G1189" i="3"/>
  <c r="H1189" i="3"/>
  <c r="I1189" i="3"/>
  <c r="J1189" i="3"/>
  <c r="F1190" i="3"/>
  <c r="G1190" i="3"/>
  <c r="H1190" i="3"/>
  <c r="I1190" i="3"/>
  <c r="J1190" i="3"/>
  <c r="F1191" i="3"/>
  <c r="G1191" i="3"/>
  <c r="H1191" i="3"/>
  <c r="I1191" i="3"/>
  <c r="J1191" i="3"/>
  <c r="F1192" i="3"/>
  <c r="G1192" i="3"/>
  <c r="H1192" i="3"/>
  <c r="I1192" i="3"/>
  <c r="J1192" i="3"/>
  <c r="F1193" i="3"/>
  <c r="G1193" i="3"/>
  <c r="H1193" i="3"/>
  <c r="I1193" i="3"/>
  <c r="J1193" i="3"/>
  <c r="F1194" i="3"/>
  <c r="G1194" i="3"/>
  <c r="H1194" i="3"/>
  <c r="I1194" i="3"/>
  <c r="J1194" i="3"/>
  <c r="F1195" i="3"/>
  <c r="G1195" i="3"/>
  <c r="H1195" i="3"/>
  <c r="I1195" i="3"/>
  <c r="J1195" i="3"/>
  <c r="F1196" i="3"/>
  <c r="G1196" i="3"/>
  <c r="H1196" i="3"/>
  <c r="I1196" i="3"/>
  <c r="J1196" i="3"/>
  <c r="F1197" i="3"/>
  <c r="G1197" i="3"/>
  <c r="H1197" i="3"/>
  <c r="I1197" i="3"/>
  <c r="J1197" i="3"/>
  <c r="F1198" i="3"/>
  <c r="G1198" i="3"/>
  <c r="H1198" i="3"/>
  <c r="I1198" i="3"/>
  <c r="J1198" i="3"/>
  <c r="F1199" i="3"/>
  <c r="G1199" i="3"/>
  <c r="H1199" i="3"/>
  <c r="I1199" i="3"/>
  <c r="J1199" i="3"/>
  <c r="F1200" i="3"/>
  <c r="G1200" i="3"/>
  <c r="H1200" i="3"/>
  <c r="I1200" i="3"/>
  <c r="J1200" i="3"/>
  <c r="F1201" i="3"/>
  <c r="G1201" i="3"/>
  <c r="H1201" i="3"/>
  <c r="I1201" i="3"/>
  <c r="J1201" i="3"/>
  <c r="F1202" i="3"/>
  <c r="G1202" i="3"/>
  <c r="H1202" i="3"/>
  <c r="I1202" i="3"/>
  <c r="J1202" i="3"/>
  <c r="F1203" i="3"/>
  <c r="G1203" i="3"/>
  <c r="H1203" i="3"/>
  <c r="I1203" i="3"/>
  <c r="J1203" i="3"/>
  <c r="F1204" i="3"/>
  <c r="G1204" i="3"/>
  <c r="H1204" i="3"/>
  <c r="I1204" i="3"/>
  <c r="J1204" i="3"/>
  <c r="F1205" i="3"/>
  <c r="G1205" i="3"/>
  <c r="H1205" i="3"/>
  <c r="I1205" i="3"/>
  <c r="J1205" i="3"/>
  <c r="F1206" i="3"/>
  <c r="G1206" i="3"/>
  <c r="H1206" i="3"/>
  <c r="I1206" i="3"/>
  <c r="J1206" i="3"/>
  <c r="F1207" i="3"/>
  <c r="G1207" i="3"/>
  <c r="H1207" i="3"/>
  <c r="I1207" i="3"/>
  <c r="J1207" i="3"/>
  <c r="F1208" i="3"/>
  <c r="G1208" i="3"/>
  <c r="H1208" i="3"/>
  <c r="I1208" i="3"/>
  <c r="J1208" i="3"/>
  <c r="F1209" i="3"/>
  <c r="G1209" i="3"/>
  <c r="H1209" i="3"/>
  <c r="I1209" i="3"/>
  <c r="J1209" i="3"/>
  <c r="F1210" i="3"/>
  <c r="G1210" i="3"/>
  <c r="H1210" i="3"/>
  <c r="I1210" i="3"/>
  <c r="J1210" i="3"/>
  <c r="F1211" i="3"/>
  <c r="G1211" i="3"/>
  <c r="H1211" i="3"/>
  <c r="I1211" i="3"/>
  <c r="J1211" i="3"/>
  <c r="F1212" i="3"/>
  <c r="G1212" i="3"/>
  <c r="H1212" i="3"/>
  <c r="I1212" i="3"/>
  <c r="J1212" i="3"/>
  <c r="F1213" i="3"/>
  <c r="G1213" i="3"/>
  <c r="H1213" i="3"/>
  <c r="I1213" i="3"/>
  <c r="J1213" i="3"/>
  <c r="F1214" i="3"/>
  <c r="G1214" i="3"/>
  <c r="H1214" i="3"/>
  <c r="I1214" i="3"/>
  <c r="J1214" i="3"/>
  <c r="F1215" i="3"/>
  <c r="G1215" i="3"/>
  <c r="H1215" i="3"/>
  <c r="I1215" i="3"/>
  <c r="J1215" i="3"/>
  <c r="F1216" i="3"/>
  <c r="G1216" i="3"/>
  <c r="H1216" i="3"/>
  <c r="I1216" i="3"/>
  <c r="J1216" i="3"/>
  <c r="F1217" i="3"/>
  <c r="G1217" i="3"/>
  <c r="H1217" i="3"/>
  <c r="I1217" i="3"/>
  <c r="J1217" i="3"/>
  <c r="F1218" i="3"/>
  <c r="G1218" i="3"/>
  <c r="H1218" i="3"/>
  <c r="I1218" i="3"/>
  <c r="J1218" i="3"/>
  <c r="F1219" i="3"/>
  <c r="G1219" i="3"/>
  <c r="H1219" i="3"/>
  <c r="I1219" i="3"/>
  <c r="J1219" i="3"/>
  <c r="F1220" i="3"/>
  <c r="G1220" i="3"/>
  <c r="H1220" i="3"/>
  <c r="I1220" i="3"/>
  <c r="J1220" i="3"/>
  <c r="F1221" i="3"/>
  <c r="G1221" i="3"/>
  <c r="H1221" i="3"/>
  <c r="I1221" i="3"/>
  <c r="J1221" i="3"/>
  <c r="F1222" i="3"/>
  <c r="G1222" i="3"/>
  <c r="H1222" i="3"/>
  <c r="I1222" i="3"/>
  <c r="J1222" i="3"/>
  <c r="F1223" i="3"/>
  <c r="G1223" i="3"/>
  <c r="H1223" i="3"/>
  <c r="I1223" i="3"/>
  <c r="J1223" i="3"/>
  <c r="F1224" i="3"/>
  <c r="G1224" i="3"/>
  <c r="H1224" i="3"/>
  <c r="I1224" i="3"/>
  <c r="J1224" i="3"/>
  <c r="F1225" i="3"/>
  <c r="G1225" i="3"/>
  <c r="H1225" i="3"/>
  <c r="I1225" i="3"/>
  <c r="J1225" i="3"/>
  <c r="F1226" i="3"/>
  <c r="G1226" i="3"/>
  <c r="H1226" i="3"/>
  <c r="I1226" i="3"/>
  <c r="J1226" i="3"/>
  <c r="F1227" i="3"/>
  <c r="G1227" i="3"/>
  <c r="H1227" i="3"/>
  <c r="I1227" i="3"/>
  <c r="J1227" i="3"/>
  <c r="F1228" i="3"/>
  <c r="G1228" i="3"/>
  <c r="H1228" i="3"/>
  <c r="I1228" i="3"/>
  <c r="J1228" i="3"/>
  <c r="F1229" i="3"/>
  <c r="G1229" i="3"/>
  <c r="H1229" i="3"/>
  <c r="I1229" i="3"/>
  <c r="J1229" i="3"/>
  <c r="F1230" i="3"/>
  <c r="G1230" i="3"/>
  <c r="H1230" i="3"/>
  <c r="I1230" i="3"/>
  <c r="J1230" i="3"/>
  <c r="F1231" i="3"/>
  <c r="G1231" i="3"/>
  <c r="H1231" i="3"/>
  <c r="I1231" i="3"/>
  <c r="J1231" i="3"/>
  <c r="F1232" i="3"/>
  <c r="G1232" i="3"/>
  <c r="H1232" i="3"/>
  <c r="I1232" i="3"/>
  <c r="J1232" i="3"/>
  <c r="F1233" i="3"/>
  <c r="G1233" i="3"/>
  <c r="H1233" i="3"/>
  <c r="I1233" i="3"/>
  <c r="J1233" i="3"/>
  <c r="F1234" i="3"/>
  <c r="G1234" i="3"/>
  <c r="H1234" i="3"/>
  <c r="I1234" i="3"/>
  <c r="J1234" i="3"/>
  <c r="F1235" i="3"/>
  <c r="G1235" i="3"/>
  <c r="H1235" i="3"/>
  <c r="I1235" i="3"/>
  <c r="J1235" i="3"/>
  <c r="F1236" i="3"/>
  <c r="G1236" i="3"/>
  <c r="H1236" i="3"/>
  <c r="I1236" i="3"/>
  <c r="J1236" i="3"/>
  <c r="F1237" i="3"/>
  <c r="G1237" i="3"/>
  <c r="H1237" i="3"/>
  <c r="I1237" i="3"/>
  <c r="J1237" i="3"/>
  <c r="F1238" i="3"/>
  <c r="G1238" i="3"/>
  <c r="H1238" i="3"/>
  <c r="I1238" i="3"/>
  <c r="J1238" i="3"/>
  <c r="F1239" i="3"/>
  <c r="G1239" i="3"/>
  <c r="H1239" i="3"/>
  <c r="I1239" i="3"/>
  <c r="J1239" i="3"/>
  <c r="F1240" i="3"/>
  <c r="G1240" i="3"/>
  <c r="H1240" i="3"/>
  <c r="I1240" i="3"/>
  <c r="J1240" i="3"/>
  <c r="F1241" i="3"/>
  <c r="G1241" i="3"/>
  <c r="H1241" i="3"/>
  <c r="I1241" i="3"/>
  <c r="J1241" i="3"/>
  <c r="F1242" i="3"/>
  <c r="G1242" i="3"/>
  <c r="H1242" i="3"/>
  <c r="I1242" i="3"/>
  <c r="J1242" i="3"/>
  <c r="F1243" i="3"/>
  <c r="G1243" i="3"/>
  <c r="H1243" i="3"/>
  <c r="I1243" i="3"/>
  <c r="J1243" i="3"/>
  <c r="F1244" i="3"/>
  <c r="G1244" i="3"/>
  <c r="H1244" i="3"/>
  <c r="I1244" i="3"/>
  <c r="J1244" i="3"/>
  <c r="F1245" i="3"/>
  <c r="G1245" i="3"/>
  <c r="H1245" i="3"/>
  <c r="I1245" i="3"/>
  <c r="J1245" i="3"/>
  <c r="E5" i="3"/>
  <c r="E24" i="3"/>
  <c r="E25" i="3"/>
  <c r="E53" i="3"/>
  <c r="E93" i="3"/>
  <c r="E96" i="3"/>
  <c r="E101" i="3"/>
  <c r="E109" i="3"/>
  <c r="E121" i="3"/>
  <c r="E165" i="3"/>
  <c r="E195" i="3"/>
  <c r="E206" i="3"/>
  <c r="E211" i="3"/>
  <c r="E225" i="3"/>
  <c r="E234" i="3"/>
  <c r="E257" i="3"/>
  <c r="E265" i="3"/>
  <c r="E266" i="3"/>
  <c r="E267" i="3"/>
  <c r="E268" i="3"/>
  <c r="E26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AM10" i="10"/>
  <c r="AM12" i="10"/>
  <c r="AN13" i="10"/>
  <c r="AI14" i="10"/>
  <c r="AN15" i="10"/>
  <c r="AK16" i="10"/>
  <c r="AI18" i="10"/>
  <c r="AI19" i="10"/>
  <c r="AI20" i="10"/>
  <c r="AM22" i="10"/>
  <c r="AK25" i="10"/>
  <c r="AN27" i="10"/>
  <c r="AK28" i="10"/>
  <c r="AJ29" i="10"/>
  <c r="AI30" i="10"/>
  <c r="AI31" i="10"/>
  <c r="AI32" i="10"/>
  <c r="AL33" i="10"/>
  <c r="AM35" i="10"/>
  <c r="AM36" i="10"/>
  <c r="AJ38" i="10"/>
  <c r="AN40" i="10"/>
  <c r="AI43" i="10"/>
  <c r="AN45" i="10"/>
  <c r="AM47" i="10"/>
  <c r="AM48" i="10"/>
  <c r="AI50" i="10"/>
  <c r="AN51" i="10"/>
  <c r="AI52" i="10"/>
  <c r="AI55" i="10"/>
  <c r="AI58" i="10"/>
  <c r="AN61" i="10"/>
  <c r="AK62" i="10"/>
  <c r="AN63" i="10"/>
  <c r="AM65" i="10"/>
  <c r="AL67" i="10"/>
  <c r="AM71" i="10"/>
  <c r="AN76" i="10"/>
  <c r="AI78" i="10"/>
  <c r="AI80" i="10"/>
  <c r="AL81" i="10"/>
  <c r="AN85" i="10"/>
  <c r="AI86" i="10"/>
  <c r="AI89" i="10"/>
  <c r="AI90" i="10"/>
  <c r="AI91" i="10"/>
  <c r="AL93" i="10"/>
  <c r="AI94" i="10"/>
  <c r="AM95" i="10"/>
  <c r="AI98" i="10"/>
  <c r="AI102" i="10"/>
  <c r="AL103" i="10"/>
  <c r="AI104" i="10"/>
  <c r="AI108" i="10"/>
  <c r="AM109" i="10"/>
  <c r="AI113" i="10"/>
  <c r="AI114" i="10"/>
  <c r="AI115" i="10"/>
  <c r="AI116" i="10"/>
  <c r="AN117" i="10"/>
  <c r="AI120" i="10"/>
  <c r="AN121" i="10"/>
  <c r="AJ122" i="10"/>
  <c r="AL127" i="10"/>
  <c r="AI132" i="10"/>
  <c r="AM133" i="10"/>
  <c r="AI135" i="10"/>
  <c r="AI137" i="10"/>
  <c r="AI138" i="10"/>
  <c r="AI139" i="10"/>
  <c r="AI140" i="10"/>
  <c r="AI141" i="10"/>
  <c r="AI142" i="10"/>
  <c r="AJ143" i="10"/>
  <c r="AI144" i="10"/>
  <c r="AI149" i="10"/>
  <c r="AI150" i="10"/>
  <c r="AI156" i="10"/>
  <c r="AN157" i="10"/>
  <c r="AK158" i="10"/>
  <c r="AN159" i="10"/>
  <c r="AN160" i="10"/>
  <c r="AI162" i="10"/>
  <c r="AJ167" i="10"/>
  <c r="AM168" i="10"/>
  <c r="AI171" i="10"/>
  <c r="AI173" i="10"/>
  <c r="AI174" i="10"/>
  <c r="I101" i="3" l="1"/>
  <c r="H101" i="3"/>
  <c r="F101" i="3"/>
  <c r="E126" i="3"/>
  <c r="E22" i="3"/>
  <c r="E30" i="3"/>
  <c r="I30" i="3"/>
  <c r="I46" i="3"/>
  <c r="H46" i="3"/>
  <c r="G46" i="3"/>
  <c r="E142" i="3"/>
  <c r="F46" i="3"/>
  <c r="G30" i="3"/>
  <c r="F94" i="3"/>
  <c r="F30" i="3"/>
  <c r="E94" i="3"/>
  <c r="H30" i="3"/>
  <c r="E78" i="3"/>
  <c r="E46" i="3"/>
  <c r="H94" i="3"/>
  <c r="G329" i="3"/>
  <c r="E329" i="3"/>
  <c r="E190" i="3"/>
  <c r="H329" i="3"/>
  <c r="F329" i="3"/>
  <c r="J329" i="3"/>
  <c r="E197" i="3"/>
  <c r="E293" i="3"/>
  <c r="I149" i="3"/>
  <c r="E149" i="3"/>
  <c r="H149" i="3"/>
  <c r="G149" i="3"/>
  <c r="I245" i="3"/>
  <c r="F149" i="3"/>
  <c r="I197" i="3"/>
  <c r="G197" i="3"/>
  <c r="F197" i="3"/>
  <c r="E245" i="3"/>
  <c r="I117" i="3"/>
  <c r="E213" i="3"/>
  <c r="E118" i="3"/>
  <c r="I198" i="3"/>
  <c r="H70" i="3"/>
  <c r="F264" i="3"/>
  <c r="J264" i="3"/>
  <c r="I188" i="3"/>
  <c r="E224" i="3"/>
  <c r="F224" i="3"/>
  <c r="E80" i="3"/>
  <c r="G32" i="3"/>
  <c r="E320" i="3"/>
  <c r="E272" i="3"/>
  <c r="I224" i="3"/>
  <c r="I272" i="3"/>
  <c r="E103" i="3"/>
  <c r="G261" i="3"/>
  <c r="F272" i="3"/>
  <c r="H197" i="3"/>
  <c r="H229" i="3"/>
  <c r="H181" i="3"/>
  <c r="E181" i="3"/>
  <c r="G181" i="3"/>
  <c r="I325" i="3"/>
  <c r="E229" i="3"/>
  <c r="E241" i="3"/>
  <c r="E129" i="3"/>
  <c r="AL92" i="10"/>
  <c r="E317" i="3"/>
  <c r="G221" i="3"/>
  <c r="F221" i="3"/>
  <c r="G29" i="3"/>
  <c r="E45" i="3"/>
  <c r="I173" i="3"/>
  <c r="F157" i="3"/>
  <c r="G320" i="3"/>
  <c r="H317" i="3"/>
  <c r="H293" i="3"/>
  <c r="F214" i="3"/>
  <c r="I293" i="3"/>
  <c r="E65" i="3"/>
  <c r="E113" i="3"/>
  <c r="I209" i="3"/>
  <c r="E209" i="3"/>
  <c r="E17" i="3"/>
  <c r="G175" i="3"/>
  <c r="E319" i="3"/>
  <c r="E47" i="3"/>
  <c r="F175" i="3"/>
  <c r="I319" i="3"/>
  <c r="H319" i="3"/>
  <c r="E95" i="3"/>
  <c r="G319" i="3"/>
  <c r="F319" i="3"/>
  <c r="E175" i="3"/>
  <c r="I95" i="3"/>
  <c r="I47" i="3"/>
  <c r="H95" i="3"/>
  <c r="H47" i="3"/>
  <c r="I175" i="3"/>
  <c r="G95" i="3"/>
  <c r="G47" i="3"/>
  <c r="H175" i="3"/>
  <c r="F95" i="3"/>
  <c r="F47" i="3"/>
  <c r="E68" i="3"/>
  <c r="H260" i="3"/>
  <c r="E164" i="3"/>
  <c r="F212" i="3"/>
  <c r="I164" i="3"/>
  <c r="F164" i="3"/>
  <c r="G308" i="3"/>
  <c r="H199" i="3"/>
  <c r="E23" i="3"/>
  <c r="E151" i="3"/>
  <c r="E71" i="3"/>
  <c r="E247" i="3"/>
  <c r="G199" i="3"/>
  <c r="H23" i="3"/>
  <c r="I151" i="3"/>
  <c r="G151" i="3"/>
  <c r="F262" i="3"/>
  <c r="F199" i="3"/>
  <c r="H247" i="3"/>
  <c r="G125" i="3"/>
  <c r="F77" i="3"/>
  <c r="E141" i="3"/>
  <c r="F125" i="3"/>
  <c r="E77" i="3"/>
  <c r="E205" i="3"/>
  <c r="E125" i="3"/>
  <c r="I29" i="3"/>
  <c r="E253" i="3"/>
  <c r="I317" i="3"/>
  <c r="G157" i="3"/>
  <c r="H29" i="3"/>
  <c r="G317" i="3"/>
  <c r="F29" i="3"/>
  <c r="F317" i="3"/>
  <c r="I221" i="3"/>
  <c r="E173" i="3"/>
  <c r="F253" i="3"/>
  <c r="H221" i="3"/>
  <c r="E157" i="3"/>
  <c r="G237" i="3"/>
  <c r="H173" i="3"/>
  <c r="I77" i="3"/>
  <c r="G173" i="3"/>
  <c r="I125" i="3"/>
  <c r="H77" i="3"/>
  <c r="H45" i="3"/>
  <c r="E221" i="3"/>
  <c r="E29" i="3"/>
  <c r="F173" i="3"/>
  <c r="H125" i="3"/>
  <c r="G77" i="3"/>
  <c r="F306" i="3"/>
  <c r="G238" i="3"/>
  <c r="I115" i="3"/>
  <c r="I322" i="3"/>
  <c r="G142" i="3"/>
  <c r="E66" i="3"/>
  <c r="E18" i="3"/>
  <c r="H130" i="3"/>
  <c r="E174" i="3"/>
  <c r="G130" i="3"/>
  <c r="E318" i="3"/>
  <c r="F210" i="3"/>
  <c r="F130" i="3"/>
  <c r="I190" i="3"/>
  <c r="E322" i="3"/>
  <c r="E162" i="3"/>
  <c r="E188" i="3"/>
  <c r="F188" i="3"/>
  <c r="G236" i="3"/>
  <c r="E284" i="3"/>
  <c r="I140" i="3"/>
  <c r="E44" i="3"/>
  <c r="I92" i="3"/>
  <c r="H284" i="3"/>
  <c r="G44" i="3"/>
  <c r="F44" i="3"/>
  <c r="E152" i="3"/>
  <c r="I22" i="3"/>
  <c r="G166" i="3"/>
  <c r="G22" i="3"/>
  <c r="I246" i="3"/>
  <c r="G41" i="3"/>
  <c r="E54" i="3"/>
  <c r="I118" i="3"/>
  <c r="F41" i="3"/>
  <c r="G293" i="3"/>
  <c r="H245" i="3"/>
  <c r="F293" i="3"/>
  <c r="G245" i="3"/>
  <c r="F245" i="3"/>
  <c r="I191" i="3"/>
  <c r="E308" i="3"/>
  <c r="E212" i="3"/>
  <c r="G325" i="3"/>
  <c r="I286" i="3"/>
  <c r="I236" i="3"/>
  <c r="H212" i="3"/>
  <c r="I176" i="3"/>
  <c r="E128" i="3"/>
  <c r="F325" i="3"/>
  <c r="I284" i="3"/>
  <c r="H236" i="3"/>
  <c r="G212" i="3"/>
  <c r="I205" i="3"/>
  <c r="H176" i="3"/>
  <c r="I320" i="3"/>
  <c r="I308" i="3"/>
  <c r="G284" i="3"/>
  <c r="F236" i="3"/>
  <c r="H224" i="3"/>
  <c r="F176" i="3"/>
  <c r="H128" i="3"/>
  <c r="I116" i="3"/>
  <c r="E236" i="3"/>
  <c r="E92" i="3"/>
  <c r="H320" i="3"/>
  <c r="H308" i="3"/>
  <c r="F284" i="3"/>
  <c r="G224" i="3"/>
  <c r="G190" i="3"/>
  <c r="F320" i="3"/>
  <c r="H272" i="3"/>
  <c r="H188" i="3"/>
  <c r="H164" i="3"/>
  <c r="G143" i="3"/>
  <c r="F308" i="3"/>
  <c r="G272" i="3"/>
  <c r="I260" i="3"/>
  <c r="G188" i="3"/>
  <c r="G164" i="3"/>
  <c r="G260" i="3"/>
  <c r="G229" i="3"/>
  <c r="I181" i="3"/>
  <c r="H157" i="3"/>
  <c r="H140" i="3"/>
  <c r="G104" i="3"/>
  <c r="E260" i="3"/>
  <c r="E176" i="3"/>
  <c r="F260" i="3"/>
  <c r="G140" i="3"/>
  <c r="E140" i="3"/>
  <c r="I212" i="3"/>
  <c r="F140" i="3"/>
  <c r="E191" i="3"/>
  <c r="I215" i="3"/>
  <c r="E119" i="3"/>
  <c r="E215" i="3"/>
  <c r="I143" i="3"/>
  <c r="E143" i="3"/>
  <c r="H143" i="3"/>
  <c r="H191" i="3"/>
  <c r="H167" i="3"/>
  <c r="F143" i="3"/>
  <c r="E239" i="3"/>
  <c r="G191" i="3"/>
  <c r="G167" i="3"/>
  <c r="E167" i="3"/>
  <c r="I239" i="3"/>
  <c r="F191" i="3"/>
  <c r="F167" i="3"/>
  <c r="H239" i="3"/>
  <c r="G239" i="3"/>
  <c r="G323" i="3"/>
  <c r="F239" i="3"/>
  <c r="H270" i="3"/>
  <c r="G246" i="3"/>
  <c r="I318" i="3"/>
  <c r="F270" i="3"/>
  <c r="H78" i="3"/>
  <c r="I150" i="3"/>
  <c r="F78" i="3"/>
  <c r="E258" i="3"/>
  <c r="H174" i="3"/>
  <c r="I102" i="3"/>
  <c r="E222" i="3"/>
  <c r="F258" i="3"/>
  <c r="F174" i="3"/>
  <c r="G102" i="3"/>
  <c r="I222" i="3"/>
  <c r="E150" i="3"/>
  <c r="G222" i="3"/>
  <c r="G210" i="3"/>
  <c r="G198" i="3"/>
  <c r="G126" i="3"/>
  <c r="I66" i="3"/>
  <c r="F177" i="3"/>
  <c r="G309" i="3"/>
  <c r="I141" i="3"/>
  <c r="H141" i="3"/>
  <c r="H84" i="3"/>
  <c r="E252" i="3"/>
  <c r="E156" i="3"/>
  <c r="F144" i="3"/>
  <c r="I108" i="3"/>
  <c r="E180" i="3"/>
  <c r="E84" i="3"/>
  <c r="E311" i="3"/>
  <c r="F311" i="3"/>
  <c r="I287" i="3"/>
  <c r="G204" i="3"/>
  <c r="E263" i="3"/>
  <c r="H287" i="3"/>
  <c r="F252" i="3"/>
  <c r="E300" i="3"/>
  <c r="G287" i="3"/>
  <c r="H228" i="3"/>
  <c r="F287" i="3"/>
  <c r="E287" i="3"/>
  <c r="I228" i="3"/>
  <c r="I182" i="3"/>
  <c r="I180" i="3"/>
  <c r="H288" i="3"/>
  <c r="E148" i="3"/>
  <c r="I229" i="3"/>
  <c r="F181" i="3"/>
  <c r="F229" i="3"/>
  <c r="H205" i="3"/>
  <c r="I254" i="3"/>
  <c r="G205" i="3"/>
  <c r="G230" i="3"/>
  <c r="E182" i="3"/>
  <c r="E158" i="3"/>
  <c r="I253" i="3"/>
  <c r="F205" i="3"/>
  <c r="H253" i="3"/>
  <c r="G158" i="3"/>
  <c r="G253" i="3"/>
  <c r="I241" i="3"/>
  <c r="I157" i="3"/>
  <c r="F215" i="3"/>
  <c r="I119" i="3"/>
  <c r="I103" i="3"/>
  <c r="I311" i="3"/>
  <c r="H119" i="3"/>
  <c r="H103" i="3"/>
  <c r="I71" i="3"/>
  <c r="H311" i="3"/>
  <c r="G119" i="3"/>
  <c r="G103" i="3"/>
  <c r="H71" i="3"/>
  <c r="E199" i="3"/>
  <c r="E137" i="3"/>
  <c r="G311" i="3"/>
  <c r="F119" i="3"/>
  <c r="F103" i="3"/>
  <c r="G71" i="3"/>
  <c r="F71" i="3"/>
  <c r="I263" i="3"/>
  <c r="H263" i="3"/>
  <c r="G263" i="3"/>
  <c r="F263" i="3"/>
  <c r="I199" i="3"/>
  <c r="I167" i="3"/>
  <c r="I247" i="3"/>
  <c r="H151" i="3"/>
  <c r="I23" i="3"/>
  <c r="G247" i="3"/>
  <c r="H215" i="3"/>
  <c r="F151" i="3"/>
  <c r="G23" i="3"/>
  <c r="F247" i="3"/>
  <c r="G215" i="3"/>
  <c r="F23" i="3"/>
  <c r="F233" i="3"/>
  <c r="H296" i="3"/>
  <c r="I249" i="3"/>
  <c r="H153" i="3"/>
  <c r="G90" i="3"/>
  <c r="I152" i="3"/>
  <c r="I58" i="3"/>
  <c r="G56" i="3"/>
  <c r="E41" i="3"/>
  <c r="E296" i="3"/>
  <c r="E262" i="3"/>
  <c r="E200" i="3"/>
  <c r="E104" i="3"/>
  <c r="F296" i="3"/>
  <c r="G286" i="3"/>
  <c r="G152" i="3"/>
  <c r="G120" i="3"/>
  <c r="H54" i="3"/>
  <c r="H6" i="3"/>
  <c r="E6" i="3"/>
  <c r="E230" i="3"/>
  <c r="I294" i="3"/>
  <c r="F286" i="3"/>
  <c r="I202" i="3"/>
  <c r="F170" i="3"/>
  <c r="F152" i="3"/>
  <c r="G54" i="3"/>
  <c r="G6" i="3"/>
  <c r="E294" i="3"/>
  <c r="E198" i="3"/>
  <c r="E166" i="3"/>
  <c r="E102" i="3"/>
  <c r="I310" i="3"/>
  <c r="H294" i="3"/>
  <c r="I248" i="3"/>
  <c r="I200" i="3"/>
  <c r="H168" i="3"/>
  <c r="F54" i="3"/>
  <c r="F6" i="3"/>
  <c r="H310" i="3"/>
  <c r="G294" i="3"/>
  <c r="H248" i="3"/>
  <c r="H200" i="3"/>
  <c r="H186" i="3"/>
  <c r="E254" i="3"/>
  <c r="G310" i="3"/>
  <c r="F294" i="3"/>
  <c r="G248" i="3"/>
  <c r="G200" i="3"/>
  <c r="G186" i="3"/>
  <c r="I158" i="3"/>
  <c r="I142" i="3"/>
  <c r="I126" i="3"/>
  <c r="I104" i="3"/>
  <c r="E286" i="3"/>
  <c r="F310" i="3"/>
  <c r="F248" i="3"/>
  <c r="F200" i="3"/>
  <c r="H158" i="3"/>
  <c r="H142" i="3"/>
  <c r="H126" i="3"/>
  <c r="H104" i="3"/>
  <c r="H90" i="3"/>
  <c r="I70" i="3"/>
  <c r="E248" i="3"/>
  <c r="H318" i="3"/>
  <c r="I262" i="3"/>
  <c r="H254" i="3"/>
  <c r="I214" i="3"/>
  <c r="H182" i="3"/>
  <c r="F158" i="3"/>
  <c r="H150" i="3"/>
  <c r="F142" i="3"/>
  <c r="F126" i="3"/>
  <c r="H118" i="3"/>
  <c r="F104" i="3"/>
  <c r="G70" i="3"/>
  <c r="G318" i="3"/>
  <c r="H262" i="3"/>
  <c r="G254" i="3"/>
  <c r="I238" i="3"/>
  <c r="I230" i="3"/>
  <c r="H214" i="3"/>
  <c r="G182" i="3"/>
  <c r="I166" i="3"/>
  <c r="G150" i="3"/>
  <c r="G118" i="3"/>
  <c r="F70" i="3"/>
  <c r="E270" i="3"/>
  <c r="E246" i="3"/>
  <c r="E214" i="3"/>
  <c r="F318" i="3"/>
  <c r="G262" i="3"/>
  <c r="F254" i="3"/>
  <c r="H238" i="3"/>
  <c r="H230" i="3"/>
  <c r="G214" i="3"/>
  <c r="F182" i="3"/>
  <c r="I174" i="3"/>
  <c r="H166" i="3"/>
  <c r="F150" i="3"/>
  <c r="F118" i="3"/>
  <c r="I78" i="3"/>
  <c r="I270" i="3"/>
  <c r="H246" i="3"/>
  <c r="F238" i="3"/>
  <c r="F230" i="3"/>
  <c r="H222" i="3"/>
  <c r="H198" i="3"/>
  <c r="H190" i="3"/>
  <c r="G174" i="3"/>
  <c r="F166" i="3"/>
  <c r="I94" i="3"/>
  <c r="G78" i="3"/>
  <c r="H22" i="3"/>
  <c r="E310" i="3"/>
  <c r="E238" i="3"/>
  <c r="E42" i="3"/>
  <c r="I296" i="3"/>
  <c r="G270" i="3"/>
  <c r="F246" i="3"/>
  <c r="F222" i="3"/>
  <c r="F198" i="3"/>
  <c r="F190" i="3"/>
  <c r="H102" i="3"/>
  <c r="G94" i="3"/>
  <c r="H58" i="3"/>
  <c r="F22" i="3"/>
  <c r="E70" i="3"/>
  <c r="G296" i="3"/>
  <c r="H286" i="3"/>
  <c r="H152" i="3"/>
  <c r="F102" i="3"/>
  <c r="I54" i="3"/>
  <c r="I6" i="3"/>
  <c r="E323" i="3"/>
  <c r="E210" i="3"/>
  <c r="E130" i="3"/>
  <c r="E34" i="3"/>
  <c r="H323" i="3"/>
  <c r="G258" i="3"/>
  <c r="H210" i="3"/>
  <c r="F161" i="3"/>
  <c r="I130" i="3"/>
  <c r="E259" i="3"/>
  <c r="H115" i="3"/>
  <c r="F323" i="3"/>
  <c r="G115" i="3"/>
  <c r="E227" i="3"/>
  <c r="E178" i="3"/>
  <c r="H322" i="3"/>
  <c r="H241" i="3"/>
  <c r="H209" i="3"/>
  <c r="I129" i="3"/>
  <c r="F115" i="3"/>
  <c r="H66" i="3"/>
  <c r="I35" i="3"/>
  <c r="E275" i="3"/>
  <c r="E226" i="3"/>
  <c r="G322" i="3"/>
  <c r="I306" i="3"/>
  <c r="G241" i="3"/>
  <c r="I227" i="3"/>
  <c r="G209" i="3"/>
  <c r="I163" i="3"/>
  <c r="H129" i="3"/>
  <c r="I114" i="3"/>
  <c r="G66" i="3"/>
  <c r="H35" i="3"/>
  <c r="E274" i="3"/>
  <c r="F322" i="3"/>
  <c r="H306" i="3"/>
  <c r="F241" i="3"/>
  <c r="H227" i="3"/>
  <c r="F209" i="3"/>
  <c r="I194" i="3"/>
  <c r="H163" i="3"/>
  <c r="H114" i="3"/>
  <c r="F66" i="3"/>
  <c r="G35" i="3"/>
  <c r="G306" i="3"/>
  <c r="I275" i="3"/>
  <c r="G227" i="3"/>
  <c r="H194" i="3"/>
  <c r="G163" i="3"/>
  <c r="G114" i="3"/>
  <c r="I83" i="3"/>
  <c r="I65" i="3"/>
  <c r="F35" i="3"/>
  <c r="I18" i="3"/>
  <c r="H275" i="3"/>
  <c r="F227" i="3"/>
  <c r="G194" i="3"/>
  <c r="I179" i="3"/>
  <c r="F163" i="3"/>
  <c r="F114" i="3"/>
  <c r="H83" i="3"/>
  <c r="H65" i="3"/>
  <c r="I34" i="3"/>
  <c r="H18" i="3"/>
  <c r="E179" i="3"/>
  <c r="E82" i="3"/>
  <c r="I305" i="3"/>
  <c r="G275" i="3"/>
  <c r="I226" i="3"/>
  <c r="F194" i="3"/>
  <c r="H179" i="3"/>
  <c r="I162" i="3"/>
  <c r="I113" i="3"/>
  <c r="G83" i="3"/>
  <c r="G65" i="3"/>
  <c r="H34" i="3"/>
  <c r="G18" i="3"/>
  <c r="E194" i="3"/>
  <c r="E115" i="3"/>
  <c r="E19" i="3"/>
  <c r="H305" i="3"/>
  <c r="F275" i="3"/>
  <c r="I259" i="3"/>
  <c r="H226" i="3"/>
  <c r="I193" i="3"/>
  <c r="G179" i="3"/>
  <c r="H162" i="3"/>
  <c r="H113" i="3"/>
  <c r="F83" i="3"/>
  <c r="F65" i="3"/>
  <c r="G34" i="3"/>
  <c r="F18" i="3"/>
  <c r="E83" i="3"/>
  <c r="E306" i="3"/>
  <c r="E193" i="3"/>
  <c r="E114" i="3"/>
  <c r="G305" i="3"/>
  <c r="I274" i="3"/>
  <c r="H259" i="3"/>
  <c r="G226" i="3"/>
  <c r="H193" i="3"/>
  <c r="F179" i="3"/>
  <c r="G162" i="3"/>
  <c r="G113" i="3"/>
  <c r="I82" i="3"/>
  <c r="F34" i="3"/>
  <c r="I17" i="3"/>
  <c r="E305" i="3"/>
  <c r="F305" i="3"/>
  <c r="H274" i="3"/>
  <c r="G259" i="3"/>
  <c r="F226" i="3"/>
  <c r="G193" i="3"/>
  <c r="I178" i="3"/>
  <c r="F162" i="3"/>
  <c r="I131" i="3"/>
  <c r="F113" i="3"/>
  <c r="H82" i="3"/>
  <c r="H17" i="3"/>
  <c r="E163" i="3"/>
  <c r="G274" i="3"/>
  <c r="F259" i="3"/>
  <c r="F193" i="3"/>
  <c r="H178" i="3"/>
  <c r="I161" i="3"/>
  <c r="H131" i="3"/>
  <c r="G82" i="3"/>
  <c r="G17" i="3"/>
  <c r="F274" i="3"/>
  <c r="I258" i="3"/>
  <c r="G178" i="3"/>
  <c r="H161" i="3"/>
  <c r="G131" i="3"/>
  <c r="F82" i="3"/>
  <c r="F17" i="3"/>
  <c r="E161" i="3"/>
  <c r="E131" i="3"/>
  <c r="E35" i="3"/>
  <c r="I323" i="3"/>
  <c r="H258" i="3"/>
  <c r="I210" i="3"/>
  <c r="F178" i="3"/>
  <c r="G161" i="3"/>
  <c r="F131" i="3"/>
  <c r="F187" i="3"/>
  <c r="J187" i="3"/>
  <c r="E251" i="3"/>
  <c r="G249" i="3"/>
  <c r="J249" i="3"/>
  <c r="E89" i="3"/>
  <c r="E57" i="3"/>
  <c r="F299" i="3"/>
  <c r="I282" i="3"/>
  <c r="G235" i="3"/>
  <c r="F218" i="3"/>
  <c r="G138" i="3"/>
  <c r="G107" i="3"/>
  <c r="E324" i="3"/>
  <c r="J324" i="3"/>
  <c r="F292" i="3"/>
  <c r="J292" i="3"/>
  <c r="I276" i="3"/>
  <c r="J276" i="3"/>
  <c r="F244" i="3"/>
  <c r="J244" i="3"/>
  <c r="F196" i="3"/>
  <c r="J196" i="3"/>
  <c r="G180" i="3"/>
  <c r="J180" i="3"/>
  <c r="F148" i="3"/>
  <c r="J148" i="3"/>
  <c r="H132" i="3"/>
  <c r="J132" i="3"/>
  <c r="F116" i="3"/>
  <c r="J116" i="3"/>
  <c r="F100" i="3"/>
  <c r="J100" i="3"/>
  <c r="I68" i="3"/>
  <c r="J68" i="3"/>
  <c r="E52" i="3"/>
  <c r="J52" i="3"/>
  <c r="F36" i="3"/>
  <c r="J36" i="3"/>
  <c r="H20" i="3"/>
  <c r="J20" i="3"/>
  <c r="F91" i="3"/>
  <c r="J91" i="3"/>
  <c r="I139" i="3"/>
  <c r="E11" i="3"/>
  <c r="E201" i="3"/>
  <c r="J201" i="3"/>
  <c r="E139" i="3"/>
  <c r="I298" i="3"/>
  <c r="H282" i="3"/>
  <c r="I251" i="3"/>
  <c r="F235" i="3"/>
  <c r="I155" i="3"/>
  <c r="F138" i="3"/>
  <c r="F107" i="3"/>
  <c r="F307" i="3"/>
  <c r="J307" i="3"/>
  <c r="I243" i="3"/>
  <c r="J243" i="3"/>
  <c r="E147" i="3"/>
  <c r="J147" i="3"/>
  <c r="I99" i="3"/>
  <c r="J99" i="3"/>
  <c r="F67" i="3"/>
  <c r="J67" i="3"/>
  <c r="I51" i="3"/>
  <c r="J51" i="3"/>
  <c r="F217" i="3"/>
  <c r="J217" i="3"/>
  <c r="E138" i="3"/>
  <c r="H298" i="3"/>
  <c r="G282" i="3"/>
  <c r="H251" i="3"/>
  <c r="H155" i="3"/>
  <c r="I137" i="3"/>
  <c r="I106" i="3"/>
  <c r="F290" i="3"/>
  <c r="J290" i="3"/>
  <c r="F242" i="3"/>
  <c r="J242" i="3"/>
  <c r="G146" i="3"/>
  <c r="J146" i="3"/>
  <c r="I171" i="3"/>
  <c r="J171" i="3"/>
  <c r="E219" i="3"/>
  <c r="F282" i="3"/>
  <c r="G251" i="3"/>
  <c r="G155" i="3"/>
  <c r="H137" i="3"/>
  <c r="H106" i="3"/>
  <c r="I42" i="3"/>
  <c r="F321" i="3"/>
  <c r="J321" i="3"/>
  <c r="F289" i="3"/>
  <c r="J289" i="3"/>
  <c r="G273" i="3"/>
  <c r="J273" i="3"/>
  <c r="E177" i="3"/>
  <c r="J177" i="3"/>
  <c r="F145" i="3"/>
  <c r="J145" i="3"/>
  <c r="F97" i="3"/>
  <c r="J97" i="3"/>
  <c r="E81" i="3"/>
  <c r="J81" i="3"/>
  <c r="F49" i="3"/>
  <c r="J49" i="3"/>
  <c r="F33" i="3"/>
  <c r="J33" i="3"/>
  <c r="F11" i="3"/>
  <c r="F43" i="3"/>
  <c r="J43" i="3"/>
  <c r="E187" i="3"/>
  <c r="E107" i="3"/>
  <c r="G298" i="3"/>
  <c r="E218" i="3"/>
  <c r="E155" i="3"/>
  <c r="E106" i="3"/>
  <c r="F298" i="3"/>
  <c r="I281" i="3"/>
  <c r="F251" i="3"/>
  <c r="F155" i="3"/>
  <c r="G137" i="3"/>
  <c r="G106" i="3"/>
  <c r="H42" i="3"/>
  <c r="H304" i="3"/>
  <c r="J304" i="3"/>
  <c r="F256" i="3"/>
  <c r="J256" i="3"/>
  <c r="F240" i="3"/>
  <c r="J240" i="3"/>
  <c r="F208" i="3"/>
  <c r="J208" i="3"/>
  <c r="F192" i="3"/>
  <c r="J192" i="3"/>
  <c r="F160" i="3"/>
  <c r="J160" i="3"/>
  <c r="G144" i="3"/>
  <c r="J144" i="3"/>
  <c r="F128" i="3"/>
  <c r="J128" i="3"/>
  <c r="E112" i="3"/>
  <c r="J112" i="3"/>
  <c r="F80" i="3"/>
  <c r="J80" i="3"/>
  <c r="G64" i="3"/>
  <c r="J64" i="3"/>
  <c r="G48" i="3"/>
  <c r="J48" i="3"/>
  <c r="F32" i="3"/>
  <c r="J32" i="3"/>
  <c r="F16" i="3"/>
  <c r="J16" i="3"/>
  <c r="E154" i="3"/>
  <c r="H281" i="3"/>
  <c r="I250" i="3"/>
  <c r="I203" i="3"/>
  <c r="G171" i="3"/>
  <c r="I154" i="3"/>
  <c r="F137" i="3"/>
  <c r="F106" i="3"/>
  <c r="I59" i="3"/>
  <c r="G42" i="3"/>
  <c r="F271" i="3"/>
  <c r="J271" i="3"/>
  <c r="F255" i="3"/>
  <c r="J255" i="3"/>
  <c r="F223" i="3"/>
  <c r="J223" i="3"/>
  <c r="E207" i="3"/>
  <c r="J207" i="3"/>
  <c r="E159" i="3"/>
  <c r="J159" i="3"/>
  <c r="F127" i="3"/>
  <c r="J127" i="3"/>
  <c r="I111" i="3"/>
  <c r="J111" i="3"/>
  <c r="F79" i="3"/>
  <c r="J79" i="3"/>
  <c r="I63" i="3"/>
  <c r="J63" i="3"/>
  <c r="F31" i="3"/>
  <c r="J31" i="3"/>
  <c r="I15" i="3"/>
  <c r="J15" i="3"/>
  <c r="I10" i="3"/>
  <c r="G314" i="3"/>
  <c r="J314" i="3"/>
  <c r="F122" i="3"/>
  <c r="J122" i="3"/>
  <c r="G202" i="3"/>
  <c r="E282" i="3"/>
  <c r="E235" i="3"/>
  <c r="G281" i="3"/>
  <c r="H250" i="3"/>
  <c r="I233" i="3"/>
  <c r="H203" i="3"/>
  <c r="I170" i="3"/>
  <c r="H154" i="3"/>
  <c r="H59" i="3"/>
  <c r="F42" i="3"/>
  <c r="I11" i="3"/>
  <c r="G62" i="3"/>
  <c r="J62" i="3"/>
  <c r="G14" i="3"/>
  <c r="J14" i="3"/>
  <c r="E281" i="3"/>
  <c r="F281" i="3"/>
  <c r="G250" i="3"/>
  <c r="H233" i="3"/>
  <c r="G203" i="3"/>
  <c r="H170" i="3"/>
  <c r="G154" i="3"/>
  <c r="G59" i="3"/>
  <c r="I41" i="3"/>
  <c r="H11" i="3"/>
  <c r="F301" i="3"/>
  <c r="J301" i="3"/>
  <c r="E285" i="3"/>
  <c r="J285" i="3"/>
  <c r="I237" i="3"/>
  <c r="J237" i="3"/>
  <c r="E189" i="3"/>
  <c r="J189" i="3"/>
  <c r="F61" i="3"/>
  <c r="J61" i="3"/>
  <c r="I45" i="3"/>
  <c r="J45" i="3"/>
  <c r="F13" i="3"/>
  <c r="J13" i="3"/>
  <c r="E299" i="3"/>
  <c r="E233" i="3"/>
  <c r="E170" i="3"/>
  <c r="F250" i="3"/>
  <c r="G233" i="3"/>
  <c r="F203" i="3"/>
  <c r="I186" i="3"/>
  <c r="G170" i="3"/>
  <c r="F154" i="3"/>
  <c r="I90" i="3"/>
  <c r="F59" i="3"/>
  <c r="H41" i="3"/>
  <c r="G11" i="3"/>
  <c r="I316" i="3"/>
  <c r="J316" i="3"/>
  <c r="H252" i="3"/>
  <c r="J252" i="3"/>
  <c r="H220" i="3"/>
  <c r="J220" i="3"/>
  <c r="H204" i="3"/>
  <c r="J204" i="3"/>
  <c r="F172" i="3"/>
  <c r="J172" i="3"/>
  <c r="F156" i="3"/>
  <c r="J156" i="3"/>
  <c r="F124" i="3"/>
  <c r="J124" i="3"/>
  <c r="G108" i="3"/>
  <c r="J108" i="3"/>
  <c r="F92" i="3"/>
  <c r="J92" i="3"/>
  <c r="F76" i="3"/>
  <c r="J76" i="3"/>
  <c r="H60" i="3"/>
  <c r="J60" i="3"/>
  <c r="G28" i="3"/>
  <c r="J28" i="3"/>
  <c r="F12" i="3"/>
  <c r="J12" i="3"/>
  <c r="F9" i="3"/>
  <c r="J9" i="3"/>
  <c r="I27" i="3"/>
  <c r="J27" i="3"/>
  <c r="F26" i="3"/>
  <c r="J26" i="3"/>
  <c r="F186" i="3"/>
  <c r="G58" i="3"/>
  <c r="H10" i="3"/>
  <c r="F313" i="3"/>
  <c r="J313" i="3"/>
  <c r="F297" i="3"/>
  <c r="J297" i="3"/>
  <c r="F169" i="3"/>
  <c r="J169" i="3"/>
  <c r="F153" i="3"/>
  <c r="J153" i="3"/>
  <c r="I73" i="3"/>
  <c r="J73" i="3"/>
  <c r="E298" i="3"/>
  <c r="E250" i="3"/>
  <c r="E186" i="3"/>
  <c r="E10" i="3"/>
  <c r="F202" i="3"/>
  <c r="I185" i="3"/>
  <c r="G139" i="3"/>
  <c r="I89" i="3"/>
  <c r="F58" i="3"/>
  <c r="G10" i="3"/>
  <c r="H328" i="3"/>
  <c r="J328" i="3"/>
  <c r="I328" i="3"/>
  <c r="G328" i="3"/>
  <c r="E312" i="3"/>
  <c r="J312" i="3"/>
  <c r="F232" i="3"/>
  <c r="J232" i="3"/>
  <c r="F216" i="3"/>
  <c r="J216" i="3"/>
  <c r="F184" i="3"/>
  <c r="J184" i="3"/>
  <c r="I168" i="3"/>
  <c r="J168" i="3"/>
  <c r="F136" i="3"/>
  <c r="J136" i="3"/>
  <c r="H120" i="3"/>
  <c r="J120" i="3"/>
  <c r="F88" i="3"/>
  <c r="J88" i="3"/>
  <c r="I72" i="3"/>
  <c r="J72" i="3"/>
  <c r="F56" i="3"/>
  <c r="J56" i="3"/>
  <c r="F40" i="3"/>
  <c r="J40" i="3"/>
  <c r="F8" i="3"/>
  <c r="J8" i="3"/>
  <c r="F283" i="3"/>
  <c r="J283" i="3"/>
  <c r="F123" i="3"/>
  <c r="J123" i="3"/>
  <c r="F74" i="3"/>
  <c r="J74" i="3"/>
  <c r="E297" i="3"/>
  <c r="E249" i="3"/>
  <c r="E185" i="3"/>
  <c r="E9" i="3"/>
  <c r="I299" i="3"/>
  <c r="I218" i="3"/>
  <c r="I201" i="3"/>
  <c r="H185" i="3"/>
  <c r="F139" i="3"/>
  <c r="H89" i="3"/>
  <c r="F10" i="3"/>
  <c r="F295" i="3"/>
  <c r="J295" i="3"/>
  <c r="H231" i="3"/>
  <c r="J231" i="3"/>
  <c r="I183" i="3"/>
  <c r="J183" i="3"/>
  <c r="F135" i="3"/>
  <c r="J135" i="3"/>
  <c r="I87" i="3"/>
  <c r="J87" i="3"/>
  <c r="F55" i="3"/>
  <c r="J55" i="3"/>
  <c r="I39" i="3"/>
  <c r="J39" i="3"/>
  <c r="F7" i="3"/>
  <c r="J7" i="3"/>
  <c r="H202" i="3"/>
  <c r="H139" i="3"/>
  <c r="F90" i="3"/>
  <c r="G57" i="3"/>
  <c r="J57" i="3"/>
  <c r="E203" i="3"/>
  <c r="E91" i="3"/>
  <c r="E59" i="3"/>
  <c r="H299" i="3"/>
  <c r="I235" i="3"/>
  <c r="H218" i="3"/>
  <c r="F201" i="3"/>
  <c r="G185" i="3"/>
  <c r="I138" i="3"/>
  <c r="I107" i="3"/>
  <c r="G89" i="3"/>
  <c r="H9" i="3"/>
  <c r="F326" i="3"/>
  <c r="J326" i="3"/>
  <c r="F278" i="3"/>
  <c r="J278" i="3"/>
  <c r="G134" i="3"/>
  <c r="J134" i="3"/>
  <c r="F86" i="3"/>
  <c r="J86" i="3"/>
  <c r="F38" i="3"/>
  <c r="J38" i="3"/>
  <c r="I75" i="3"/>
  <c r="J75" i="3"/>
  <c r="F105" i="3"/>
  <c r="J105" i="3"/>
  <c r="E202" i="3"/>
  <c r="E90" i="3"/>
  <c r="E58" i="3"/>
  <c r="G299" i="3"/>
  <c r="H235" i="3"/>
  <c r="G218" i="3"/>
  <c r="F185" i="3"/>
  <c r="H138" i="3"/>
  <c r="H107" i="3"/>
  <c r="F89" i="3"/>
  <c r="J325" i="3"/>
  <c r="E325" i="3"/>
  <c r="H309" i="3"/>
  <c r="J309" i="3"/>
  <c r="I277" i="3"/>
  <c r="J277" i="3"/>
  <c r="I261" i="3"/>
  <c r="J261" i="3"/>
  <c r="G213" i="3"/>
  <c r="J213" i="3"/>
  <c r="F133" i="3"/>
  <c r="J133" i="3"/>
  <c r="E117" i="3"/>
  <c r="J117" i="3"/>
  <c r="F85" i="3"/>
  <c r="J85" i="3"/>
  <c r="F69" i="3"/>
  <c r="J69" i="3"/>
  <c r="F37" i="3"/>
  <c r="J37" i="3"/>
  <c r="E21" i="3"/>
  <c r="J21" i="3"/>
  <c r="E237" i="3"/>
  <c r="E33" i="3"/>
  <c r="F288" i="3"/>
  <c r="I285" i="3"/>
  <c r="F261" i="3"/>
  <c r="H249" i="3"/>
  <c r="F237" i="3"/>
  <c r="G228" i="3"/>
  <c r="H201" i="3"/>
  <c r="H180" i="3"/>
  <c r="F168" i="3"/>
  <c r="G141" i="3"/>
  <c r="G129" i="3"/>
  <c r="H117" i="3"/>
  <c r="F84" i="3"/>
  <c r="I81" i="3"/>
  <c r="F45" i="3"/>
  <c r="I33" i="3"/>
  <c r="I21" i="3"/>
  <c r="E172" i="3"/>
  <c r="E108" i="3"/>
  <c r="H285" i="3"/>
  <c r="F228" i="3"/>
  <c r="G201" i="3"/>
  <c r="I160" i="3"/>
  <c r="I156" i="3"/>
  <c r="F141" i="3"/>
  <c r="F129" i="3"/>
  <c r="G117" i="3"/>
  <c r="H81" i="3"/>
  <c r="H33" i="3"/>
  <c r="H21" i="3"/>
  <c r="I9" i="3"/>
  <c r="E261" i="3"/>
  <c r="E208" i="3"/>
  <c r="E168" i="3"/>
  <c r="E69" i="3"/>
  <c r="I324" i="3"/>
  <c r="H300" i="3"/>
  <c r="F285" i="3"/>
  <c r="I192" i="3"/>
  <c r="H177" i="3"/>
  <c r="G156" i="3"/>
  <c r="H108" i="3"/>
  <c r="F81" i="3"/>
  <c r="F21" i="3"/>
  <c r="G9" i="3"/>
  <c r="E273" i="3"/>
  <c r="E120" i="3"/>
  <c r="E105" i="3"/>
  <c r="H324" i="3"/>
  <c r="F300" i="3"/>
  <c r="I297" i="3"/>
  <c r="I216" i="3"/>
  <c r="H192" i="3"/>
  <c r="I189" i="3"/>
  <c r="G177" i="3"/>
  <c r="I153" i="3"/>
  <c r="G72" i="3"/>
  <c r="I69" i="3"/>
  <c r="E309" i="3"/>
  <c r="E231" i="3"/>
  <c r="E204" i="3"/>
  <c r="E192" i="3"/>
  <c r="F324" i="3"/>
  <c r="I321" i="3"/>
  <c r="I312" i="3"/>
  <c r="G297" i="3"/>
  <c r="I240" i="3"/>
  <c r="G216" i="3"/>
  <c r="G189" i="3"/>
  <c r="G153" i="3"/>
  <c r="H105" i="3"/>
  <c r="G69" i="3"/>
  <c r="E244" i="3"/>
  <c r="E216" i="3"/>
  <c r="E136" i="3"/>
  <c r="H321" i="3"/>
  <c r="G312" i="3"/>
  <c r="G276" i="3"/>
  <c r="I273" i="3"/>
  <c r="H240" i="3"/>
  <c r="I213" i="3"/>
  <c r="F189" i="3"/>
  <c r="I144" i="3"/>
  <c r="G105" i="3"/>
  <c r="F60" i="3"/>
  <c r="I57" i="3"/>
  <c r="E256" i="3"/>
  <c r="G321" i="3"/>
  <c r="F312" i="3"/>
  <c r="I309" i="3"/>
  <c r="H273" i="3"/>
  <c r="I256" i="3"/>
  <c r="I252" i="3"/>
  <c r="G240" i="3"/>
  <c r="I219" i="3"/>
  <c r="H213" i="3"/>
  <c r="H208" i="3"/>
  <c r="I204" i="3"/>
  <c r="H144" i="3"/>
  <c r="I120" i="3"/>
  <c r="H57" i="3"/>
  <c r="E240" i="3"/>
  <c r="E228" i="3"/>
  <c r="G231" i="3"/>
  <c r="H219" i="3"/>
  <c r="E326" i="3"/>
  <c r="I326" i="3"/>
  <c r="H326" i="3"/>
  <c r="G326" i="3"/>
  <c r="I327" i="3"/>
  <c r="H327" i="3"/>
  <c r="G327" i="3"/>
  <c r="F327" i="3"/>
  <c r="F328" i="3"/>
  <c r="E328" i="3"/>
  <c r="H183" i="3"/>
  <c r="H171" i="3"/>
  <c r="G219" i="3"/>
  <c r="I208" i="3"/>
  <c r="I196" i="3"/>
  <c r="F183" i="3"/>
  <c r="F171" i="3"/>
  <c r="H160" i="3"/>
  <c r="H148" i="3"/>
  <c r="F219" i="3"/>
  <c r="H196" i="3"/>
  <c r="G160" i="3"/>
  <c r="G148" i="3"/>
  <c r="I136" i="3"/>
  <c r="H256" i="3"/>
  <c r="H244" i="3"/>
  <c r="G208" i="3"/>
  <c r="G196" i="3"/>
  <c r="H136" i="3"/>
  <c r="G256" i="3"/>
  <c r="G244" i="3"/>
  <c r="I232" i="3"/>
  <c r="G136" i="3"/>
  <c r="H232" i="3"/>
  <c r="I184" i="3"/>
  <c r="I172" i="3"/>
  <c r="I159" i="3"/>
  <c r="I147" i="3"/>
  <c r="G232" i="3"/>
  <c r="I207" i="3"/>
  <c r="H184" i="3"/>
  <c r="H172" i="3"/>
  <c r="H159" i="3"/>
  <c r="H147" i="3"/>
  <c r="E135" i="3"/>
  <c r="I255" i="3"/>
  <c r="H207" i="3"/>
  <c r="G184" i="3"/>
  <c r="G172" i="3"/>
  <c r="G159" i="3"/>
  <c r="G147" i="3"/>
  <c r="I135" i="3"/>
  <c r="H255" i="3"/>
  <c r="G207" i="3"/>
  <c r="F159" i="3"/>
  <c r="F147" i="3"/>
  <c r="H135" i="3"/>
  <c r="E99" i="3"/>
  <c r="G255" i="3"/>
  <c r="I231" i="3"/>
  <c r="F207" i="3"/>
  <c r="G135" i="3"/>
  <c r="E255" i="3"/>
  <c r="E183" i="3"/>
  <c r="E171" i="3"/>
  <c r="H99" i="3"/>
  <c r="E123" i="3"/>
  <c r="G99" i="3"/>
  <c r="F99" i="3"/>
  <c r="I123" i="3"/>
  <c r="H123" i="3"/>
  <c r="G123" i="3"/>
  <c r="H68" i="3"/>
  <c r="I44" i="3"/>
  <c r="G20" i="3"/>
  <c r="G68" i="3"/>
  <c r="H44" i="3"/>
  <c r="F20" i="3"/>
  <c r="I8" i="3"/>
  <c r="H116" i="3"/>
  <c r="H80" i="3"/>
  <c r="H8" i="3"/>
  <c r="G116" i="3"/>
  <c r="G80" i="3"/>
  <c r="I56" i="3"/>
  <c r="I32" i="3"/>
  <c r="G8" i="3"/>
  <c r="I128" i="3"/>
  <c r="H56" i="3"/>
  <c r="H32" i="3"/>
  <c r="G92" i="3"/>
  <c r="I20" i="3"/>
  <c r="E49" i="3"/>
  <c r="E88" i="3"/>
  <c r="E288" i="3"/>
  <c r="E132" i="3"/>
  <c r="I300" i="3"/>
  <c r="I288" i="3"/>
  <c r="H276" i="3"/>
  <c r="G132" i="3"/>
  <c r="I84" i="3"/>
  <c r="H72" i="3"/>
  <c r="G60" i="3"/>
  <c r="F48" i="3"/>
  <c r="E48" i="3"/>
  <c r="H312" i="3"/>
  <c r="G300" i="3"/>
  <c r="G288" i="3"/>
  <c r="F276" i="3"/>
  <c r="G84" i="3"/>
  <c r="F72" i="3"/>
  <c r="E60" i="3"/>
  <c r="I264" i="3"/>
  <c r="G192" i="3"/>
  <c r="H264" i="3"/>
  <c r="E313" i="3"/>
  <c r="G264" i="3"/>
  <c r="E276" i="3"/>
  <c r="E264" i="3"/>
  <c r="I36" i="3"/>
  <c r="E72" i="3"/>
  <c r="I48" i="3"/>
  <c r="H36" i="3"/>
  <c r="E37" i="3"/>
  <c r="I132" i="3"/>
  <c r="I60" i="3"/>
  <c r="H48" i="3"/>
  <c r="G36" i="3"/>
  <c r="G12" i="3"/>
  <c r="E133" i="3"/>
  <c r="E36" i="3"/>
  <c r="I280" i="3"/>
  <c r="H316" i="3"/>
  <c r="E304" i="3"/>
  <c r="G316" i="3"/>
  <c r="H280" i="3"/>
  <c r="F28" i="3"/>
  <c r="E16" i="3"/>
  <c r="F64" i="3"/>
  <c r="E76" i="3"/>
  <c r="G220" i="3"/>
  <c r="F316" i="3"/>
  <c r="G280" i="3"/>
  <c r="F220" i="3"/>
  <c r="I88" i="3"/>
  <c r="I52" i="3"/>
  <c r="E220" i="3"/>
  <c r="E316" i="3"/>
  <c r="E28" i="3"/>
  <c r="I304" i="3"/>
  <c r="F280" i="3"/>
  <c r="I112" i="3"/>
  <c r="H88" i="3"/>
  <c r="H52" i="3"/>
  <c r="G52" i="3"/>
  <c r="G88" i="3"/>
  <c r="E40" i="3"/>
  <c r="G304" i="3"/>
  <c r="G112" i="3"/>
  <c r="I100" i="3"/>
  <c r="F52" i="3"/>
  <c r="E100" i="3"/>
  <c r="F304" i="3"/>
  <c r="F112" i="3"/>
  <c r="H100" i="3"/>
  <c r="I76" i="3"/>
  <c r="I40" i="3"/>
  <c r="H112" i="3"/>
  <c r="E280" i="3"/>
  <c r="I292" i="3"/>
  <c r="G100" i="3"/>
  <c r="H76" i="3"/>
  <c r="H40" i="3"/>
  <c r="I16" i="3"/>
  <c r="H292" i="3"/>
  <c r="I124" i="3"/>
  <c r="G76" i="3"/>
  <c r="G40" i="3"/>
  <c r="H16" i="3"/>
  <c r="E124" i="3"/>
  <c r="G292" i="3"/>
  <c r="H124" i="3"/>
  <c r="G16" i="3"/>
  <c r="E292" i="3"/>
  <c r="E64" i="3"/>
  <c r="G124" i="3"/>
  <c r="I64" i="3"/>
  <c r="I28" i="3"/>
  <c r="I220" i="3"/>
  <c r="H64" i="3"/>
  <c r="H28" i="3"/>
  <c r="H313" i="3"/>
  <c r="I61" i="3"/>
  <c r="E145" i="3"/>
  <c r="I313" i="3"/>
  <c r="H145" i="3"/>
  <c r="G277" i="3"/>
  <c r="I133" i="3"/>
  <c r="H61" i="3"/>
  <c r="I13" i="3"/>
  <c r="E217" i="3"/>
  <c r="E169" i="3"/>
  <c r="E61" i="3"/>
  <c r="F277" i="3"/>
  <c r="H133" i="3"/>
  <c r="H13" i="3"/>
  <c r="I169" i="3"/>
  <c r="E277" i="3"/>
  <c r="E73" i="3"/>
  <c r="H169" i="3"/>
  <c r="I12" i="3"/>
  <c r="G73" i="3"/>
  <c r="H12" i="3"/>
  <c r="E85" i="3"/>
  <c r="E13" i="3"/>
  <c r="F73" i="3"/>
  <c r="E289" i="3"/>
  <c r="H291" i="3"/>
  <c r="E301" i="3"/>
  <c r="E97" i="3"/>
  <c r="I145" i="3"/>
  <c r="G39" i="3"/>
  <c r="H98" i="3"/>
  <c r="G98" i="3"/>
  <c r="H50" i="3"/>
  <c r="H302" i="3"/>
  <c r="G50" i="3"/>
  <c r="G302" i="3"/>
  <c r="H110" i="3"/>
  <c r="G110" i="3"/>
  <c r="G87" i="3"/>
  <c r="F110" i="3"/>
  <c r="E315" i="3"/>
  <c r="E303" i="3"/>
  <c r="E291" i="3"/>
  <c r="E279" i="3"/>
  <c r="E243" i="3"/>
  <c r="E314" i="3"/>
  <c r="E302" i="3"/>
  <c r="E290" i="3"/>
  <c r="E278" i="3"/>
  <c r="E242" i="3"/>
  <c r="E146" i="3"/>
  <c r="E134" i="3"/>
  <c r="E122" i="3"/>
  <c r="E110" i="3"/>
  <c r="E98" i="3"/>
  <c r="E86" i="3"/>
  <c r="E74" i="3"/>
  <c r="E62" i="3"/>
  <c r="E50" i="3"/>
  <c r="E38" i="3"/>
  <c r="E26" i="3"/>
  <c r="E14" i="3"/>
  <c r="F314" i="3"/>
  <c r="I302" i="3"/>
  <c r="H277" i="3"/>
  <c r="F146" i="3"/>
  <c r="F134" i="3"/>
  <c r="I110" i="3"/>
  <c r="I98" i="3"/>
  <c r="H73" i="3"/>
  <c r="F62" i="3"/>
  <c r="I50" i="3"/>
  <c r="F14" i="3"/>
  <c r="I86" i="3"/>
  <c r="I38" i="3"/>
  <c r="G313" i="3"/>
  <c r="H290" i="3"/>
  <c r="H279" i="3"/>
  <c r="G169" i="3"/>
  <c r="G145" i="3"/>
  <c r="G133" i="3"/>
  <c r="I122" i="3"/>
  <c r="H86" i="3"/>
  <c r="G75" i="3"/>
  <c r="G61" i="3"/>
  <c r="H38" i="3"/>
  <c r="G27" i="3"/>
  <c r="G13" i="3"/>
  <c r="F50" i="3"/>
  <c r="I301" i="3"/>
  <c r="G290" i="3"/>
  <c r="G243" i="3"/>
  <c r="H122" i="3"/>
  <c r="I97" i="3"/>
  <c r="G86" i="3"/>
  <c r="I49" i="3"/>
  <c r="G38" i="3"/>
  <c r="F302" i="3"/>
  <c r="I290" i="3"/>
  <c r="F98" i="3"/>
  <c r="H301" i="3"/>
  <c r="I278" i="3"/>
  <c r="G122" i="3"/>
  <c r="H97" i="3"/>
  <c r="I74" i="3"/>
  <c r="H49" i="3"/>
  <c r="I26" i="3"/>
  <c r="H315" i="3"/>
  <c r="G301" i="3"/>
  <c r="H278" i="3"/>
  <c r="I242" i="3"/>
  <c r="I217" i="3"/>
  <c r="G97" i="3"/>
  <c r="H74" i="3"/>
  <c r="G63" i="3"/>
  <c r="G49" i="3"/>
  <c r="H26" i="3"/>
  <c r="G15" i="3"/>
  <c r="I289" i="3"/>
  <c r="G278" i="3"/>
  <c r="H242" i="3"/>
  <c r="H217" i="3"/>
  <c r="I85" i="3"/>
  <c r="G74" i="3"/>
  <c r="I37" i="3"/>
  <c r="G26" i="3"/>
  <c r="I314" i="3"/>
  <c r="H289" i="3"/>
  <c r="G242" i="3"/>
  <c r="G217" i="3"/>
  <c r="I146" i="3"/>
  <c r="I134" i="3"/>
  <c r="H85" i="3"/>
  <c r="I62" i="3"/>
  <c r="H37" i="3"/>
  <c r="I14" i="3"/>
  <c r="F19" i="3"/>
  <c r="H314" i="3"/>
  <c r="H303" i="3"/>
  <c r="G289" i="3"/>
  <c r="H146" i="3"/>
  <c r="H134" i="3"/>
  <c r="G111" i="3"/>
  <c r="G85" i="3"/>
  <c r="H62" i="3"/>
  <c r="G51" i="3"/>
  <c r="G37" i="3"/>
  <c r="H14" i="3"/>
  <c r="E111" i="3"/>
  <c r="E87" i="3"/>
  <c r="E75" i="3"/>
  <c r="E63" i="3"/>
  <c r="E51" i="3"/>
  <c r="E39" i="3"/>
  <c r="E27" i="3"/>
  <c r="E15" i="3"/>
  <c r="E7" i="3"/>
  <c r="I315" i="3"/>
  <c r="I303" i="3"/>
  <c r="I291" i="3"/>
  <c r="I279" i="3"/>
  <c r="H243" i="3"/>
  <c r="H111" i="3"/>
  <c r="H87" i="3"/>
  <c r="H75" i="3"/>
  <c r="H63" i="3"/>
  <c r="H51" i="3"/>
  <c r="H39" i="3"/>
  <c r="H27" i="3"/>
  <c r="H15" i="3"/>
  <c r="G315" i="3"/>
  <c r="G303" i="3"/>
  <c r="G291" i="3"/>
  <c r="G279" i="3"/>
  <c r="F243" i="3"/>
  <c r="F111" i="3"/>
  <c r="F87" i="3"/>
  <c r="F75" i="3"/>
  <c r="F63" i="3"/>
  <c r="F51" i="3"/>
  <c r="F39" i="3"/>
  <c r="F27" i="3"/>
  <c r="F15" i="3"/>
  <c r="F315" i="3"/>
  <c r="F303" i="3"/>
  <c r="F291" i="3"/>
  <c r="F279" i="3"/>
  <c r="I223" i="3"/>
  <c r="I187" i="3"/>
  <c r="I127" i="3"/>
  <c r="I91" i="3"/>
  <c r="I79" i="3"/>
  <c r="I67" i="3"/>
  <c r="I55" i="3"/>
  <c r="I43" i="3"/>
  <c r="I31" i="3"/>
  <c r="I19" i="3"/>
  <c r="I7" i="3"/>
  <c r="I307" i="3"/>
  <c r="I295" i="3"/>
  <c r="I283" i="3"/>
  <c r="I271" i="3"/>
  <c r="H223" i="3"/>
  <c r="H187" i="3"/>
  <c r="H127" i="3"/>
  <c r="H91" i="3"/>
  <c r="H79" i="3"/>
  <c r="H67" i="3"/>
  <c r="H55" i="3"/>
  <c r="H43" i="3"/>
  <c r="H31" i="3"/>
  <c r="H19" i="3"/>
  <c r="H7" i="3"/>
  <c r="H307" i="3"/>
  <c r="H295" i="3"/>
  <c r="H283" i="3"/>
  <c r="H271" i="3"/>
  <c r="G223" i="3"/>
  <c r="G187" i="3"/>
  <c r="G127" i="3"/>
  <c r="G91" i="3"/>
  <c r="G79" i="3"/>
  <c r="G67" i="3"/>
  <c r="G55" i="3"/>
  <c r="G43" i="3"/>
  <c r="G31" i="3"/>
  <c r="G19" i="3"/>
  <c r="G7" i="3"/>
  <c r="G307" i="3"/>
  <c r="G295" i="3"/>
  <c r="G283" i="3"/>
  <c r="G271" i="3"/>
  <c r="AL21" i="10"/>
  <c r="AL9" i="10"/>
  <c r="AN87" i="10"/>
  <c r="AN49" i="10"/>
  <c r="AM130" i="10"/>
  <c r="AM96" i="10"/>
  <c r="AM70" i="10"/>
  <c r="AM155" i="10"/>
  <c r="AM131" i="10"/>
  <c r="AM129" i="10"/>
  <c r="AM11" i="10"/>
  <c r="AM69" i="10"/>
  <c r="AM17" i="10"/>
  <c r="AL152" i="10"/>
  <c r="AL128" i="10"/>
  <c r="AL126" i="10"/>
  <c r="AL42" i="10"/>
  <c r="AL176" i="10"/>
  <c r="AL56" i="10"/>
  <c r="AL68" i="10"/>
  <c r="AL153" i="10"/>
  <c r="AL151" i="10"/>
  <c r="AL41" i="10"/>
  <c r="AL165" i="10"/>
  <c r="AL163" i="10"/>
  <c r="AL79" i="10"/>
  <c r="AL177" i="10"/>
  <c r="AL125" i="10"/>
  <c r="AL57" i="10"/>
  <c r="AL37" i="10"/>
  <c r="AK75" i="10"/>
  <c r="AK148" i="10"/>
  <c r="AK134" i="10"/>
  <c r="AK64" i="10"/>
  <c r="AK110" i="10"/>
  <c r="AK88" i="10"/>
  <c r="AK124" i="10"/>
  <c r="AK100" i="10"/>
  <c r="AK123" i="10"/>
  <c r="AK39" i="10"/>
  <c r="AK97" i="10"/>
  <c r="AK99" i="10"/>
  <c r="AK73" i="10"/>
  <c r="AJ166" i="10"/>
  <c r="AJ146" i="10"/>
  <c r="AJ82" i="10"/>
  <c r="AJ46" i="10"/>
  <c r="AJ24" i="10"/>
  <c r="AJ84" i="10"/>
  <c r="AJ170" i="10"/>
  <c r="AJ106" i="10"/>
  <c r="AJ60" i="10"/>
  <c r="AJ178" i="10"/>
  <c r="AJ72" i="10"/>
  <c r="AJ169" i="10"/>
  <c r="AJ107" i="10"/>
  <c r="AJ83" i="10"/>
  <c r="AJ53" i="10"/>
  <c r="AJ175" i="10"/>
  <c r="AJ161" i="10"/>
  <c r="AJ101" i="10"/>
  <c r="AJ77" i="10"/>
  <c r="AJ145" i="10"/>
  <c r="AJ105" i="10"/>
  <c r="AJ59" i="10"/>
  <c r="AI129" i="10"/>
  <c r="AI81" i="10"/>
  <c r="AI33" i="10"/>
  <c r="AJ125" i="10"/>
  <c r="AL43" i="10"/>
  <c r="AI127" i="10"/>
  <c r="AL19" i="10"/>
  <c r="AI77" i="10"/>
  <c r="AI117" i="10"/>
  <c r="AI69" i="10"/>
  <c r="AI21" i="10"/>
  <c r="AK109" i="10"/>
  <c r="AM77" i="10"/>
  <c r="AI79" i="10"/>
  <c r="AI29" i="10"/>
  <c r="AI177" i="10"/>
  <c r="AI67" i="10"/>
  <c r="AK45" i="10"/>
  <c r="AK133" i="10"/>
  <c r="AI175" i="10"/>
  <c r="AI65" i="10"/>
  <c r="AI17" i="10"/>
  <c r="AK21" i="10"/>
  <c r="AK135" i="10"/>
  <c r="AI125" i="10"/>
  <c r="AL17" i="10"/>
  <c r="AJ8" i="10"/>
  <c r="AI165" i="10"/>
  <c r="AI105" i="10"/>
  <c r="AI57" i="10"/>
  <c r="AI9" i="10"/>
  <c r="AK15" i="10"/>
  <c r="AM45" i="10"/>
  <c r="AI163" i="10"/>
  <c r="AI103" i="10"/>
  <c r="AM21" i="10"/>
  <c r="AI153" i="10"/>
  <c r="AI101" i="10"/>
  <c r="AI53" i="10"/>
  <c r="AL161" i="10"/>
  <c r="AN133" i="10"/>
  <c r="AM101" i="10"/>
  <c r="AI151" i="10"/>
  <c r="AI93" i="10"/>
  <c r="AI45" i="10"/>
  <c r="AL137" i="10"/>
  <c r="AN97" i="10"/>
  <c r="AJ149" i="10"/>
  <c r="AL73" i="10"/>
  <c r="AI41" i="10"/>
  <c r="AL49" i="10"/>
  <c r="AN25" i="10"/>
  <c r="AM172" i="10"/>
  <c r="AL172" i="10"/>
  <c r="AN164" i="10"/>
  <c r="AK164" i="10"/>
  <c r="AM164" i="10"/>
  <c r="AJ164" i="10"/>
  <c r="AL154" i="10"/>
  <c r="AN154" i="10"/>
  <c r="AK154" i="10"/>
  <c r="AM136" i="10"/>
  <c r="AJ136" i="10"/>
  <c r="AL136" i="10"/>
  <c r="AL118" i="10"/>
  <c r="AN118" i="10"/>
  <c r="AK118" i="10"/>
  <c r="AL34" i="10"/>
  <c r="AN34" i="10"/>
  <c r="AK34" i="10"/>
  <c r="AI178" i="10"/>
  <c r="AI166" i="10"/>
  <c r="AI154" i="10"/>
  <c r="AI130" i="10"/>
  <c r="AI118" i="10"/>
  <c r="AI106" i="10"/>
  <c r="AI82" i="10"/>
  <c r="AI70" i="10"/>
  <c r="AI46" i="10"/>
  <c r="AI34" i="10"/>
  <c r="AI22" i="10"/>
  <c r="AI10" i="10"/>
  <c r="AJ153" i="10"/>
  <c r="AJ131" i="10"/>
  <c r="AJ109" i="10"/>
  <c r="AJ86" i="10"/>
  <c r="AJ62" i="10"/>
  <c r="AJ14" i="10"/>
  <c r="AK162" i="10"/>
  <c r="AK136" i="10"/>
  <c r="AK81" i="10"/>
  <c r="AK51" i="10"/>
  <c r="AL164" i="10"/>
  <c r="AL138" i="10"/>
  <c r="AL109" i="10"/>
  <c r="AL53" i="10"/>
  <c r="AL20" i="10"/>
  <c r="AM166" i="10"/>
  <c r="AM137" i="10"/>
  <c r="AM107" i="10"/>
  <c r="AM81" i="10"/>
  <c r="AN165" i="10"/>
  <c r="AN135" i="10"/>
  <c r="AN99" i="10"/>
  <c r="AM74" i="10"/>
  <c r="AL74" i="10"/>
  <c r="AN74" i="10"/>
  <c r="AN66" i="10"/>
  <c r="AK66" i="10"/>
  <c r="AM66" i="10"/>
  <c r="AJ66" i="10"/>
  <c r="AL58" i="10"/>
  <c r="AN58" i="10"/>
  <c r="AK58" i="10"/>
  <c r="AN54" i="10"/>
  <c r="AK54" i="10"/>
  <c r="AM54" i="10"/>
  <c r="AJ54" i="10"/>
  <c r="AN44" i="10"/>
  <c r="AK44" i="10"/>
  <c r="AM44" i="10"/>
  <c r="AJ44" i="10"/>
  <c r="AJ130" i="10"/>
  <c r="AJ108" i="10"/>
  <c r="AJ36" i="10"/>
  <c r="AJ12" i="10"/>
  <c r="AK160" i="10"/>
  <c r="AK76" i="10"/>
  <c r="AK50" i="10"/>
  <c r="AL104" i="10"/>
  <c r="AL78" i="10"/>
  <c r="AM165" i="10"/>
  <c r="AM132" i="10"/>
  <c r="AM106" i="10"/>
  <c r="AI176" i="10"/>
  <c r="AI164" i="10"/>
  <c r="AI152" i="10"/>
  <c r="AI128" i="10"/>
  <c r="AI92" i="10"/>
  <c r="AI68" i="10"/>
  <c r="AI56" i="10"/>
  <c r="AI44" i="10"/>
  <c r="AJ168" i="10"/>
  <c r="AJ129" i="10"/>
  <c r="AJ35" i="10"/>
  <c r="AJ11" i="10"/>
  <c r="AK159" i="10"/>
  <c r="AK105" i="10"/>
  <c r="AK49" i="10"/>
  <c r="AL162" i="10"/>
  <c r="AL133" i="10"/>
  <c r="AL77" i="10"/>
  <c r="AL44" i="10"/>
  <c r="AL18" i="10"/>
  <c r="AM161" i="10"/>
  <c r="AM105" i="10"/>
  <c r="AM72" i="10"/>
  <c r="AM46" i="10"/>
  <c r="AN129" i="10"/>
  <c r="AN93" i="10"/>
  <c r="AN57" i="10"/>
  <c r="AN21" i="10"/>
  <c r="AL48" i="10"/>
  <c r="AN48" i="10"/>
  <c r="AK48" i="10"/>
  <c r="AN32" i="10"/>
  <c r="AK32" i="10"/>
  <c r="AM32" i="10"/>
  <c r="AJ32" i="10"/>
  <c r="AM26" i="10"/>
  <c r="AL26" i="10"/>
  <c r="AN26" i="10"/>
  <c r="AL22" i="10"/>
  <c r="AN22" i="10"/>
  <c r="AK22" i="10"/>
  <c r="AM16" i="10"/>
  <c r="AJ16" i="10"/>
  <c r="AL16" i="10"/>
  <c r="AJ58" i="10"/>
  <c r="AJ34" i="10"/>
  <c r="AJ10" i="10"/>
  <c r="AK74" i="10"/>
  <c r="AM156" i="10"/>
  <c r="AN158" i="10"/>
  <c r="AN124" i="10"/>
  <c r="AN88" i="10"/>
  <c r="AN52" i="10"/>
  <c r="AN16" i="10"/>
  <c r="AI126" i="10"/>
  <c r="AI66" i="10"/>
  <c r="AI54" i="10"/>
  <c r="AI42" i="10"/>
  <c r="AJ144" i="10"/>
  <c r="AJ81" i="10"/>
  <c r="AJ57" i="10"/>
  <c r="AJ33" i="10"/>
  <c r="AJ9" i="10"/>
  <c r="AK157" i="10"/>
  <c r="AK129" i="10"/>
  <c r="AK40" i="10"/>
  <c r="AK14" i="10"/>
  <c r="AL157" i="10"/>
  <c r="AL101" i="10"/>
  <c r="AL13" i="10"/>
  <c r="AM41" i="10"/>
  <c r="AN123" i="10"/>
  <c r="AL178" i="10"/>
  <c r="AN178" i="10"/>
  <c r="AK178" i="10"/>
  <c r="AM170" i="10"/>
  <c r="AL170" i="10"/>
  <c r="AN150" i="10"/>
  <c r="AM150" i="10"/>
  <c r="AJ150" i="10"/>
  <c r="AM146" i="10"/>
  <c r="AL146" i="10"/>
  <c r="AN140" i="10"/>
  <c r="AK140" i="10"/>
  <c r="AM140" i="10"/>
  <c r="AJ140" i="10"/>
  <c r="AM122" i="10"/>
  <c r="AL122" i="10"/>
  <c r="AN122" i="10"/>
  <c r="AN116" i="10"/>
  <c r="AK116" i="10"/>
  <c r="AM116" i="10"/>
  <c r="AJ116" i="10"/>
  <c r="AM112" i="10"/>
  <c r="AJ112" i="10"/>
  <c r="AL112" i="10"/>
  <c r="AM110" i="10"/>
  <c r="AL110" i="10"/>
  <c r="AN110" i="10"/>
  <c r="AN102" i="10"/>
  <c r="AK102" i="10"/>
  <c r="AM102" i="10"/>
  <c r="AJ102" i="10"/>
  <c r="AI161" i="10"/>
  <c r="AJ177" i="10"/>
  <c r="AJ165" i="10"/>
  <c r="AJ121" i="10"/>
  <c r="AK177" i="10"/>
  <c r="AK153" i="10"/>
  <c r="AK98" i="10"/>
  <c r="AK69" i="10"/>
  <c r="AK13" i="10"/>
  <c r="AL97" i="10"/>
  <c r="AM154" i="10"/>
  <c r="AM125" i="10"/>
  <c r="AN153" i="10"/>
  <c r="AN174" i="10"/>
  <c r="AM174" i="10"/>
  <c r="AL166" i="10"/>
  <c r="AN166" i="10"/>
  <c r="AK166" i="10"/>
  <c r="AM160" i="10"/>
  <c r="AJ160" i="10"/>
  <c r="AL160" i="10"/>
  <c r="AL142" i="10"/>
  <c r="AN142" i="10"/>
  <c r="AK142" i="10"/>
  <c r="AM134" i="10"/>
  <c r="AL134" i="10"/>
  <c r="AN134" i="10"/>
  <c r="AL130" i="10"/>
  <c r="AN130" i="10"/>
  <c r="AK130" i="10"/>
  <c r="AM124" i="10"/>
  <c r="AJ124" i="10"/>
  <c r="AL124" i="10"/>
  <c r="AN114" i="10"/>
  <c r="AK114" i="10"/>
  <c r="AM114" i="10"/>
  <c r="AJ114" i="10"/>
  <c r="AL96" i="10"/>
  <c r="AN96" i="10"/>
  <c r="AK96" i="10"/>
  <c r="AL94" i="10"/>
  <c r="AN94" i="10"/>
  <c r="AK94" i="10"/>
  <c r="AN90" i="10"/>
  <c r="AK90" i="10"/>
  <c r="AM90" i="10"/>
  <c r="AJ90" i="10"/>
  <c r="AL84" i="10"/>
  <c r="AN84" i="10"/>
  <c r="AK84" i="10"/>
  <c r="AN78" i="10"/>
  <c r="AK78" i="10"/>
  <c r="AM78" i="10"/>
  <c r="AJ78" i="10"/>
  <c r="AL70" i="10"/>
  <c r="AN70" i="10"/>
  <c r="AK70" i="10"/>
  <c r="AL60" i="10"/>
  <c r="AN60" i="10"/>
  <c r="AK60" i="10"/>
  <c r="AM38" i="10"/>
  <c r="AL38" i="10"/>
  <c r="AN38" i="10"/>
  <c r="AI172" i="10"/>
  <c r="AI160" i="10"/>
  <c r="AI148" i="10"/>
  <c r="AI136" i="10"/>
  <c r="AI124" i="10"/>
  <c r="AI112" i="10"/>
  <c r="AI100" i="10"/>
  <c r="AI88" i="10"/>
  <c r="AI76" i="10"/>
  <c r="AI64" i="10"/>
  <c r="AI40" i="10"/>
  <c r="AI28" i="10"/>
  <c r="AI16" i="10"/>
  <c r="AJ176" i="10"/>
  <c r="AJ142" i="10"/>
  <c r="AJ120" i="10"/>
  <c r="AJ98" i="10"/>
  <c r="AJ74" i="10"/>
  <c r="AJ50" i="10"/>
  <c r="AJ26" i="10"/>
  <c r="AK174" i="10"/>
  <c r="AK150" i="10"/>
  <c r="AK38" i="10"/>
  <c r="AK9" i="10"/>
  <c r="AL66" i="10"/>
  <c r="AM153" i="10"/>
  <c r="AM120" i="10"/>
  <c r="AM94" i="10"/>
  <c r="AM9" i="10"/>
  <c r="AN148" i="10"/>
  <c r="AN81" i="10"/>
  <c r="AN9" i="10"/>
  <c r="AM158" i="10"/>
  <c r="AL158" i="10"/>
  <c r="AM169" i="10"/>
  <c r="AL167" i="10"/>
  <c r="AN167" i="10"/>
  <c r="AK167" i="10"/>
  <c r="AM159" i="10"/>
  <c r="AJ159" i="10"/>
  <c r="AL159" i="10"/>
  <c r="AN151" i="10"/>
  <c r="AK151" i="10"/>
  <c r="AM151" i="10"/>
  <c r="AJ151" i="10"/>
  <c r="AN149" i="10"/>
  <c r="AK149" i="10"/>
  <c r="AM147" i="10"/>
  <c r="AJ147" i="10"/>
  <c r="AL147" i="10"/>
  <c r="AL141" i="10"/>
  <c r="AN137" i="10"/>
  <c r="AK137" i="10"/>
  <c r="AL129" i="10"/>
  <c r="AN127" i="10"/>
  <c r="AK127" i="10"/>
  <c r="AM127" i="10"/>
  <c r="AJ127" i="10"/>
  <c r="AN125" i="10"/>
  <c r="AK125" i="10"/>
  <c r="AM123" i="10"/>
  <c r="AJ123" i="10"/>
  <c r="AL123" i="10"/>
  <c r="AM121" i="10"/>
  <c r="AL119" i="10"/>
  <c r="AN119" i="10"/>
  <c r="AK119" i="10"/>
  <c r="AL117" i="10"/>
  <c r="AN115" i="10"/>
  <c r="AK115" i="10"/>
  <c r="AM115" i="10"/>
  <c r="AJ115" i="10"/>
  <c r="AN113" i="10"/>
  <c r="AK113" i="10"/>
  <c r="AM111" i="10"/>
  <c r="AJ111" i="10"/>
  <c r="AL111" i="10"/>
  <c r="AL107" i="10"/>
  <c r="AN107" i="10"/>
  <c r="AK107" i="10"/>
  <c r="AL105" i="10"/>
  <c r="AN103" i="10"/>
  <c r="AK103" i="10"/>
  <c r="AM103" i="10"/>
  <c r="AJ103" i="10"/>
  <c r="AN101" i="10"/>
  <c r="AK101" i="10"/>
  <c r="AM99" i="10"/>
  <c r="AJ99" i="10"/>
  <c r="AL99" i="10"/>
  <c r="AM97" i="10"/>
  <c r="AJ97" i="10"/>
  <c r="AL95" i="10"/>
  <c r="AN95" i="10"/>
  <c r="AK95" i="10"/>
  <c r="AN91" i="10"/>
  <c r="AK91" i="10"/>
  <c r="AM91" i="10"/>
  <c r="AJ91" i="10"/>
  <c r="AN89" i="10"/>
  <c r="AK89" i="10"/>
  <c r="AM87" i="10"/>
  <c r="AJ87" i="10"/>
  <c r="AL87" i="10"/>
  <c r="AM85" i="10"/>
  <c r="AJ85" i="10"/>
  <c r="AL83" i="10"/>
  <c r="AN83" i="10"/>
  <c r="AK83" i="10"/>
  <c r="AN79" i="10"/>
  <c r="AK79" i="10"/>
  <c r="AM79" i="10"/>
  <c r="AJ79" i="10"/>
  <c r="AN77" i="10"/>
  <c r="AK77" i="10"/>
  <c r="AM75" i="10"/>
  <c r="AJ75" i="10"/>
  <c r="AL75" i="10"/>
  <c r="AM73" i="10"/>
  <c r="AJ73" i="10"/>
  <c r="AL71" i="10"/>
  <c r="AN71" i="10"/>
  <c r="AK71" i="10"/>
  <c r="AL69" i="10"/>
  <c r="AN67" i="10"/>
  <c r="AK67" i="10"/>
  <c r="AM67" i="10"/>
  <c r="AJ67" i="10"/>
  <c r="AN65" i="10"/>
  <c r="AK65" i="10"/>
  <c r="AM63" i="10"/>
  <c r="AJ63" i="10"/>
  <c r="AL63" i="10"/>
  <c r="AM61" i="10"/>
  <c r="AJ61" i="10"/>
  <c r="AL59" i="10"/>
  <c r="AN59" i="10"/>
  <c r="AK59" i="10"/>
  <c r="AN55" i="10"/>
  <c r="AK55" i="10"/>
  <c r="AM55" i="10"/>
  <c r="AJ55" i="10"/>
  <c r="AN53" i="10"/>
  <c r="AK53" i="10"/>
  <c r="AM51" i="10"/>
  <c r="AJ51" i="10"/>
  <c r="AL51" i="10"/>
  <c r="AM49" i="10"/>
  <c r="AJ49" i="10"/>
  <c r="AL47" i="10"/>
  <c r="AN47" i="10"/>
  <c r="AK47" i="10"/>
  <c r="AL45" i="10"/>
  <c r="AN43" i="10"/>
  <c r="AK43" i="10"/>
  <c r="AM43" i="10"/>
  <c r="AJ43" i="10"/>
  <c r="AN41" i="10"/>
  <c r="AK41" i="10"/>
  <c r="AM39" i="10"/>
  <c r="AJ39" i="10"/>
  <c r="AL39" i="10"/>
  <c r="AM37" i="10"/>
  <c r="AJ37" i="10"/>
  <c r="AL35" i="10"/>
  <c r="AN35" i="10"/>
  <c r="AK35" i="10"/>
  <c r="AN31" i="10"/>
  <c r="AK31" i="10"/>
  <c r="AM31" i="10"/>
  <c r="AJ31" i="10"/>
  <c r="AN29" i="10"/>
  <c r="AK29" i="10"/>
  <c r="AM27" i="10"/>
  <c r="AJ27" i="10"/>
  <c r="AL27" i="10"/>
  <c r="AM25" i="10"/>
  <c r="AJ25" i="10"/>
  <c r="AL23" i="10"/>
  <c r="AN23" i="10"/>
  <c r="AK23" i="10"/>
  <c r="AN19" i="10"/>
  <c r="AK19" i="10"/>
  <c r="AM19" i="10"/>
  <c r="AJ19" i="10"/>
  <c r="AN17" i="10"/>
  <c r="AK17" i="10"/>
  <c r="AM15" i="10"/>
  <c r="AJ15" i="10"/>
  <c r="AL15" i="10"/>
  <c r="AM13" i="10"/>
  <c r="AJ13" i="10"/>
  <c r="AL11" i="10"/>
  <c r="AN11" i="10"/>
  <c r="AK11" i="10"/>
  <c r="AI159" i="10"/>
  <c r="AI147" i="10"/>
  <c r="AI123" i="10"/>
  <c r="AI111" i="10"/>
  <c r="AI99" i="10"/>
  <c r="AI87" i="10"/>
  <c r="AI75" i="10"/>
  <c r="AI63" i="10"/>
  <c r="AI51" i="10"/>
  <c r="AI39" i="10"/>
  <c r="AI27" i="10"/>
  <c r="AI15" i="10"/>
  <c r="AJ158" i="10"/>
  <c r="AJ141" i="10"/>
  <c r="AJ119" i="10"/>
  <c r="AJ96" i="10"/>
  <c r="AJ48" i="10"/>
  <c r="AK172" i="10"/>
  <c r="AK122" i="10"/>
  <c r="AK93" i="10"/>
  <c r="AK63" i="10"/>
  <c r="AK37" i="10"/>
  <c r="AL150" i="10"/>
  <c r="AL121" i="10"/>
  <c r="AL91" i="10"/>
  <c r="AL65" i="10"/>
  <c r="AL32" i="10"/>
  <c r="AM178" i="10"/>
  <c r="AM149" i="10"/>
  <c r="AM119" i="10"/>
  <c r="AM93" i="10"/>
  <c r="AM60" i="10"/>
  <c r="AM34" i="10"/>
  <c r="AN177" i="10"/>
  <c r="AN147" i="10"/>
  <c r="AN112" i="10"/>
  <c r="AN80" i="10"/>
  <c r="AK80" i="10"/>
  <c r="AM80" i="10"/>
  <c r="AJ80" i="10"/>
  <c r="AN68" i="10"/>
  <c r="AK68" i="10"/>
  <c r="AM68" i="10"/>
  <c r="AJ68" i="10"/>
  <c r="AL10" i="10"/>
  <c r="AN10" i="10"/>
  <c r="AK10" i="10"/>
  <c r="AN175" i="10"/>
  <c r="AK175" i="10"/>
  <c r="AM175" i="10"/>
  <c r="AN173" i="10"/>
  <c r="AK173" i="10"/>
  <c r="AM171" i="10"/>
  <c r="AL171" i="10"/>
  <c r="AN163" i="10"/>
  <c r="AK163" i="10"/>
  <c r="AM163" i="10"/>
  <c r="AJ163" i="10"/>
  <c r="AN161" i="10"/>
  <c r="AK161" i="10"/>
  <c r="AM157" i="10"/>
  <c r="AL155" i="10"/>
  <c r="AN155" i="10"/>
  <c r="AK155" i="10"/>
  <c r="AM145" i="10"/>
  <c r="AL143" i="10"/>
  <c r="AN143" i="10"/>
  <c r="AK143" i="10"/>
  <c r="AN139" i="10"/>
  <c r="AK139" i="10"/>
  <c r="AM139" i="10"/>
  <c r="AJ139" i="10"/>
  <c r="AM135" i="10"/>
  <c r="AJ135" i="10"/>
  <c r="AL135" i="10"/>
  <c r="AL131" i="10"/>
  <c r="AN131" i="10"/>
  <c r="AK131" i="10"/>
  <c r="AL8" i="10"/>
  <c r="AN8" i="10"/>
  <c r="AK8" i="10"/>
  <c r="AI170" i="10"/>
  <c r="AI158" i="10"/>
  <c r="AI146" i="10"/>
  <c r="AI134" i="10"/>
  <c r="AI122" i="10"/>
  <c r="AI110" i="10"/>
  <c r="AI74" i="10"/>
  <c r="AI62" i="10"/>
  <c r="AI38" i="10"/>
  <c r="AI26" i="10"/>
  <c r="AJ174" i="10"/>
  <c r="AJ157" i="10"/>
  <c r="AJ137" i="10"/>
  <c r="AJ118" i="10"/>
  <c r="AJ95" i="10"/>
  <c r="AJ71" i="10"/>
  <c r="AJ47" i="10"/>
  <c r="AJ23" i="10"/>
  <c r="AK171" i="10"/>
  <c r="AK147" i="10"/>
  <c r="AK121" i="10"/>
  <c r="AK33" i="10"/>
  <c r="AL175" i="10"/>
  <c r="AL149" i="10"/>
  <c r="AL116" i="10"/>
  <c r="AL90" i="10"/>
  <c r="AL61" i="10"/>
  <c r="AL31" i="10"/>
  <c r="AM177" i="10"/>
  <c r="AM144" i="10"/>
  <c r="AM118" i="10"/>
  <c r="AM89" i="10"/>
  <c r="AM59" i="10"/>
  <c r="AM33" i="10"/>
  <c r="AN172" i="10"/>
  <c r="AN146" i="10"/>
  <c r="AN111" i="10"/>
  <c r="AN75" i="10"/>
  <c r="AN39" i="10"/>
  <c r="AN92" i="10"/>
  <c r="AK92" i="10"/>
  <c r="AM92" i="10"/>
  <c r="AJ92" i="10"/>
  <c r="AM88" i="10"/>
  <c r="AJ88" i="10"/>
  <c r="AL88" i="10"/>
  <c r="AL82" i="10"/>
  <c r="AN82" i="10"/>
  <c r="AK82" i="10"/>
  <c r="AM76" i="10"/>
  <c r="AJ76" i="10"/>
  <c r="AL76" i="10"/>
  <c r="AL72" i="10"/>
  <c r="AN72" i="10"/>
  <c r="AK72" i="10"/>
  <c r="AM64" i="10"/>
  <c r="AJ64" i="10"/>
  <c r="AL64" i="10"/>
  <c r="AM50" i="10"/>
  <c r="AL50" i="10"/>
  <c r="AN50" i="10"/>
  <c r="AM40" i="10"/>
  <c r="AJ40" i="10"/>
  <c r="AL40" i="10"/>
  <c r="AN30" i="10"/>
  <c r="AK30" i="10"/>
  <c r="AM30" i="10"/>
  <c r="AJ30" i="10"/>
  <c r="AN18" i="10"/>
  <c r="AK18" i="10"/>
  <c r="AM18" i="10"/>
  <c r="AJ18" i="10"/>
  <c r="AL102" i="10"/>
  <c r="AI169" i="10"/>
  <c r="AI157" i="10"/>
  <c r="AI145" i="10"/>
  <c r="AI133" i="10"/>
  <c r="AI121" i="10"/>
  <c r="AI109" i="10"/>
  <c r="AI97" i="10"/>
  <c r="AI85" i="10"/>
  <c r="AI73" i="10"/>
  <c r="AI61" i="10"/>
  <c r="AI49" i="10"/>
  <c r="AI37" i="10"/>
  <c r="AI25" i="10"/>
  <c r="AI13" i="10"/>
  <c r="AJ173" i="10"/>
  <c r="AJ156" i="10"/>
  <c r="AJ134" i="10"/>
  <c r="AJ117" i="10"/>
  <c r="AJ94" i="10"/>
  <c r="AJ70" i="10"/>
  <c r="AJ22" i="10"/>
  <c r="AK170" i="10"/>
  <c r="AK146" i="10"/>
  <c r="AK117" i="10"/>
  <c r="AK87" i="10"/>
  <c r="AK61" i="10"/>
  <c r="AL174" i="10"/>
  <c r="AL145" i="10"/>
  <c r="AL115" i="10"/>
  <c r="AL89" i="10"/>
  <c r="AL30" i="10"/>
  <c r="AM173" i="10"/>
  <c r="AM143" i="10"/>
  <c r="AM117" i="10"/>
  <c r="AM84" i="10"/>
  <c r="AM58" i="10"/>
  <c r="AM29" i="10"/>
  <c r="AN171" i="10"/>
  <c r="AN145" i="10"/>
  <c r="AN109" i="10"/>
  <c r="AN73" i="10"/>
  <c r="AN37" i="10"/>
  <c r="AM86" i="10"/>
  <c r="AL86" i="10"/>
  <c r="AN86" i="10"/>
  <c r="AM62" i="10"/>
  <c r="AL62" i="10"/>
  <c r="AN62" i="10"/>
  <c r="AN56" i="10"/>
  <c r="AK56" i="10"/>
  <c r="AM56" i="10"/>
  <c r="AJ56" i="10"/>
  <c r="AM52" i="10"/>
  <c r="AJ52" i="10"/>
  <c r="AL52" i="10"/>
  <c r="AL46" i="10"/>
  <c r="AN46" i="10"/>
  <c r="AK46" i="10"/>
  <c r="AN42" i="10"/>
  <c r="AK42" i="10"/>
  <c r="AM42" i="10"/>
  <c r="AJ42" i="10"/>
  <c r="AL36" i="10"/>
  <c r="AN36" i="10"/>
  <c r="AK36" i="10"/>
  <c r="AM28" i="10"/>
  <c r="AJ28" i="10"/>
  <c r="AL28" i="10"/>
  <c r="AL24" i="10"/>
  <c r="AN24" i="10"/>
  <c r="AK24" i="10"/>
  <c r="AN20" i="10"/>
  <c r="AK20" i="10"/>
  <c r="AM20" i="10"/>
  <c r="AJ20" i="10"/>
  <c r="AM14" i="10"/>
  <c r="AL14" i="10"/>
  <c r="AN14" i="10"/>
  <c r="AL12" i="10"/>
  <c r="AN12" i="10"/>
  <c r="AK12" i="10"/>
  <c r="AI8" i="10"/>
  <c r="AI168" i="10"/>
  <c r="AI96" i="10"/>
  <c r="AI84" i="10"/>
  <c r="AI72" i="10"/>
  <c r="AI60" i="10"/>
  <c r="AI48" i="10"/>
  <c r="AI36" i="10"/>
  <c r="AI24" i="10"/>
  <c r="AI12" i="10"/>
  <c r="AJ172" i="10"/>
  <c r="AJ155" i="10"/>
  <c r="AJ133" i="10"/>
  <c r="AJ113" i="10"/>
  <c r="AJ93" i="10"/>
  <c r="AJ69" i="10"/>
  <c r="AJ45" i="10"/>
  <c r="AJ21" i="10"/>
  <c r="AK169" i="10"/>
  <c r="AK145" i="10"/>
  <c r="AK112" i="10"/>
  <c r="AK86" i="10"/>
  <c r="AK57" i="10"/>
  <c r="AK27" i="10"/>
  <c r="AL173" i="10"/>
  <c r="AL140" i="10"/>
  <c r="AL114" i="10"/>
  <c r="AL85" i="10"/>
  <c r="AL55" i="10"/>
  <c r="AL29" i="10"/>
  <c r="AM142" i="10"/>
  <c r="AM113" i="10"/>
  <c r="AM83" i="10"/>
  <c r="AM57" i="10"/>
  <c r="AM24" i="10"/>
  <c r="AN170" i="10"/>
  <c r="AN141" i="10"/>
  <c r="AN105" i="10"/>
  <c r="AN69" i="10"/>
  <c r="AN33" i="10"/>
  <c r="AN176" i="10"/>
  <c r="AK176" i="10"/>
  <c r="AM176" i="10"/>
  <c r="AL168" i="10"/>
  <c r="AN168" i="10"/>
  <c r="AK168" i="10"/>
  <c r="AN162" i="10"/>
  <c r="AM162" i="10"/>
  <c r="AJ162" i="10"/>
  <c r="AL156" i="10"/>
  <c r="AN156" i="10"/>
  <c r="AK156" i="10"/>
  <c r="AN152" i="10"/>
  <c r="AK152" i="10"/>
  <c r="AM152" i="10"/>
  <c r="AJ152" i="10"/>
  <c r="AM148" i="10"/>
  <c r="AJ148" i="10"/>
  <c r="AL148" i="10"/>
  <c r="AL144" i="10"/>
  <c r="AN144" i="10"/>
  <c r="AK144" i="10"/>
  <c r="AN138" i="10"/>
  <c r="AK138" i="10"/>
  <c r="AM138" i="10"/>
  <c r="AJ138" i="10"/>
  <c r="AL132" i="10"/>
  <c r="AN132" i="10"/>
  <c r="AK132" i="10"/>
  <c r="AN128" i="10"/>
  <c r="AK128" i="10"/>
  <c r="AM128" i="10"/>
  <c r="AJ128" i="10"/>
  <c r="AN126" i="10"/>
  <c r="AK126" i="10"/>
  <c r="AM126" i="10"/>
  <c r="AJ126" i="10"/>
  <c r="AL120" i="10"/>
  <c r="AN120" i="10"/>
  <c r="AK120" i="10"/>
  <c r="AL108" i="10"/>
  <c r="AN108" i="10"/>
  <c r="AK108" i="10"/>
  <c r="AL106" i="10"/>
  <c r="AN106" i="10"/>
  <c r="AK106" i="10"/>
  <c r="AN104" i="10"/>
  <c r="AK104" i="10"/>
  <c r="AM104" i="10"/>
  <c r="AJ104" i="10"/>
  <c r="AM100" i="10"/>
  <c r="AJ100" i="10"/>
  <c r="AL100" i="10"/>
  <c r="AM98" i="10"/>
  <c r="AL98" i="10"/>
  <c r="AN98" i="10"/>
  <c r="AI167" i="10"/>
  <c r="AI155" i="10"/>
  <c r="AI143" i="10"/>
  <c r="AI131" i="10"/>
  <c r="AI119" i="10"/>
  <c r="AI107" i="10"/>
  <c r="AI95" i="10"/>
  <c r="AI83" i="10"/>
  <c r="AI71" i="10"/>
  <c r="AI59" i="10"/>
  <c r="AI47" i="10"/>
  <c r="AI35" i="10"/>
  <c r="AI23" i="10"/>
  <c r="AI11" i="10"/>
  <c r="AJ171" i="10"/>
  <c r="AJ154" i="10"/>
  <c r="AJ132" i="10"/>
  <c r="AJ110" i="10"/>
  <c r="AJ89" i="10"/>
  <c r="AJ65" i="10"/>
  <c r="AJ41" i="10"/>
  <c r="AJ17" i="10"/>
  <c r="AK165" i="10"/>
  <c r="AK141" i="10"/>
  <c r="AK111" i="10"/>
  <c r="AK85" i="10"/>
  <c r="AK52" i="10"/>
  <c r="AK26" i="10"/>
  <c r="AL169" i="10"/>
  <c r="AL139" i="10"/>
  <c r="AL113" i="10"/>
  <c r="AL80" i="10"/>
  <c r="AL54" i="10"/>
  <c r="AL25" i="10"/>
  <c r="AM167" i="10"/>
  <c r="AM141" i="10"/>
  <c r="AM108" i="10"/>
  <c r="AM82" i="10"/>
  <c r="AM53" i="10"/>
  <c r="AM23" i="10"/>
  <c r="AN169" i="10"/>
  <c r="AN136" i="10"/>
  <c r="AN100" i="10"/>
  <c r="AN64" i="10"/>
  <c r="AN28" i="10"/>
  <c r="CW14" i="3"/>
  <c r="AO8" i="10" l="1"/>
  <c r="AP8" i="10" s="1"/>
  <c r="AR8" i="10" s="1"/>
  <c r="AS8" i="10" s="1"/>
  <c r="AO83" i="10"/>
  <c r="AP83" i="10" s="1"/>
  <c r="AR83" i="10" s="1"/>
  <c r="AS83" i="10" s="1"/>
  <c r="AO69" i="10"/>
  <c r="AP69" i="10" s="1"/>
  <c r="AR69" i="10" s="1"/>
  <c r="AS69" i="10" s="1"/>
  <c r="AO94" i="10"/>
  <c r="AP94" i="10" s="1"/>
  <c r="AR94" i="10" s="1"/>
  <c r="AS94" i="10" s="1"/>
  <c r="AO41" i="10"/>
  <c r="AP41" i="10" s="1"/>
  <c r="AR41" i="10" s="1"/>
  <c r="AS41" i="10" s="1"/>
  <c r="AO60" i="10"/>
  <c r="AP60" i="10" s="1"/>
  <c r="AR60" i="10" s="1"/>
  <c r="AS60" i="10" s="1"/>
  <c r="AO123" i="10"/>
  <c r="AP123" i="10" s="1"/>
  <c r="AR123" i="10" s="1"/>
  <c r="AS123" i="10" s="1"/>
  <c r="AO165" i="10"/>
  <c r="AP165" i="10" s="1"/>
  <c r="AR165" i="10" s="1"/>
  <c r="AS165" i="10" s="1"/>
  <c r="AO143" i="10"/>
  <c r="AP143" i="10" s="1"/>
  <c r="AR143" i="10" s="1"/>
  <c r="AS143" i="10" s="1"/>
  <c r="AO11" i="10"/>
  <c r="AP11" i="10" s="1"/>
  <c r="AR11" i="10" s="1"/>
  <c r="AS11" i="10" s="1"/>
  <c r="AO78" i="10"/>
  <c r="AP78" i="10" s="1"/>
  <c r="AR78" i="10" s="1"/>
  <c r="AS78" i="10" s="1"/>
  <c r="AO73" i="10"/>
  <c r="AP73" i="10" s="1"/>
  <c r="AR73" i="10" s="1"/>
  <c r="AS73" i="10" s="1"/>
  <c r="AO131" i="10"/>
  <c r="AP131" i="10" s="1"/>
  <c r="AR131" i="10" s="1"/>
  <c r="AS131" i="10" s="1"/>
  <c r="AO139" i="10"/>
  <c r="AP139" i="10" s="1"/>
  <c r="AR139" i="10" s="1"/>
  <c r="AS139" i="10" s="1"/>
  <c r="AO81" i="10"/>
  <c r="AP81" i="10" s="1"/>
  <c r="AR81" i="10" s="1"/>
  <c r="AS81" i="10" s="1"/>
  <c r="AO171" i="10"/>
  <c r="AP171" i="10" s="1"/>
  <c r="AR171" i="10" s="1"/>
  <c r="AS171" i="10" s="1"/>
  <c r="AO84" i="10"/>
  <c r="AP84" i="10" s="1"/>
  <c r="AR84" i="10" s="1"/>
  <c r="AS84" i="10" s="1"/>
  <c r="AO25" i="10"/>
  <c r="AP25" i="10" s="1"/>
  <c r="AR25" i="10" s="1"/>
  <c r="AS25" i="10" s="1"/>
  <c r="AO169" i="10"/>
  <c r="AP169" i="10" s="1"/>
  <c r="AR169" i="10" s="1"/>
  <c r="AS169" i="10" s="1"/>
  <c r="AO19" i="10"/>
  <c r="AP19" i="10" s="1"/>
  <c r="AR19" i="10" s="1"/>
  <c r="AS19" i="10" s="1"/>
  <c r="AO79" i="10"/>
  <c r="AP79" i="10" s="1"/>
  <c r="AR79" i="10" s="1"/>
  <c r="AS79" i="10" s="1"/>
  <c r="AO98" i="10"/>
  <c r="AP98" i="10" s="1"/>
  <c r="AR98" i="10" s="1"/>
  <c r="AS98" i="10" s="1"/>
  <c r="AO156" i="10"/>
  <c r="AP156" i="10" s="1"/>
  <c r="AR156" i="10" s="1"/>
  <c r="AS156" i="10" s="1"/>
  <c r="AO93" i="10"/>
  <c r="AP93" i="10" s="1"/>
  <c r="AR93" i="10" s="1"/>
  <c r="AS93" i="10" s="1"/>
  <c r="AO18" i="10"/>
  <c r="AP18" i="10" s="1"/>
  <c r="AR18" i="10" s="1"/>
  <c r="AS18" i="10" s="1"/>
  <c r="AO91" i="10"/>
  <c r="AP91" i="10" s="1"/>
  <c r="AR91" i="10" s="1"/>
  <c r="AS91" i="10" s="1"/>
  <c r="AO101" i="10"/>
  <c r="AP101" i="10" s="1"/>
  <c r="AR101" i="10" s="1"/>
  <c r="AS101" i="10" s="1"/>
  <c r="AO35" i="10"/>
  <c r="AP35" i="10" s="1"/>
  <c r="AR35" i="10" s="1"/>
  <c r="AS35" i="10" s="1"/>
  <c r="AO174" i="10"/>
  <c r="AP174" i="10" s="1"/>
  <c r="AR174" i="10" s="1"/>
  <c r="AS174" i="10" s="1"/>
  <c r="AO43" i="10"/>
  <c r="AP43" i="10" s="1"/>
  <c r="AR43" i="10" s="1"/>
  <c r="AS43" i="10" s="1"/>
  <c r="AO103" i="10"/>
  <c r="AP103" i="10" s="1"/>
  <c r="AR103" i="10" s="1"/>
  <c r="AS103" i="10" s="1"/>
  <c r="AO132" i="10"/>
  <c r="AP132" i="10" s="1"/>
  <c r="AR132" i="10" s="1"/>
  <c r="AS132" i="10" s="1"/>
  <c r="AO125" i="10"/>
  <c r="AP125" i="10" s="1"/>
  <c r="AR125" i="10" s="1"/>
  <c r="AS125" i="10" s="1"/>
  <c r="AO153" i="10"/>
  <c r="AP153" i="10" s="1"/>
  <c r="AR153" i="10" s="1"/>
  <c r="AS153" i="10" s="1"/>
  <c r="AO45" i="10"/>
  <c r="AP45" i="10" s="1"/>
  <c r="AR45" i="10" s="1"/>
  <c r="AS45" i="10" s="1"/>
  <c r="AO13" i="10"/>
  <c r="AP13" i="10" s="1"/>
  <c r="AR13" i="10" s="1"/>
  <c r="AS13" i="10" s="1"/>
  <c r="AO157" i="10"/>
  <c r="AP157" i="10" s="1"/>
  <c r="AR157" i="10" s="1"/>
  <c r="AS157" i="10" s="1"/>
  <c r="AO80" i="10"/>
  <c r="AP80" i="10" s="1"/>
  <c r="AR80" i="10" s="1"/>
  <c r="AS80" i="10" s="1"/>
  <c r="AO17" i="10"/>
  <c r="AP17" i="10" s="1"/>
  <c r="AR17" i="10" s="1"/>
  <c r="AS17" i="10" s="1"/>
  <c r="AO77" i="10"/>
  <c r="AP77" i="10" s="1"/>
  <c r="AR77" i="10" s="1"/>
  <c r="AS77" i="10" s="1"/>
  <c r="AO129" i="10"/>
  <c r="AP129" i="10" s="1"/>
  <c r="AR129" i="10" s="1"/>
  <c r="AS129" i="10" s="1"/>
  <c r="AO29" i="10"/>
  <c r="AP29" i="10" s="1"/>
  <c r="AR29" i="10" s="1"/>
  <c r="AS29" i="10" s="1"/>
  <c r="AO9" i="10"/>
  <c r="AP9" i="10" s="1"/>
  <c r="AR9" i="10" s="1"/>
  <c r="AS9" i="10" s="1"/>
  <c r="AO23" i="10"/>
  <c r="AP23" i="10" s="1"/>
  <c r="AR23" i="10" s="1"/>
  <c r="AS23" i="10" s="1"/>
  <c r="AO167" i="10"/>
  <c r="AP167" i="10" s="1"/>
  <c r="AR167" i="10" s="1"/>
  <c r="AS167" i="10" s="1"/>
  <c r="AO113" i="10"/>
  <c r="AP113" i="10" s="1"/>
  <c r="AR113" i="10" s="1"/>
  <c r="AS113" i="10" s="1"/>
  <c r="AO49" i="10"/>
  <c r="AP49" i="10" s="1"/>
  <c r="AR49" i="10" s="1"/>
  <c r="AS49" i="10" s="1"/>
  <c r="AO137" i="10"/>
  <c r="AP137" i="10" s="1"/>
  <c r="AR137" i="10" s="1"/>
  <c r="AS137" i="10" s="1"/>
  <c r="AO163" i="10"/>
  <c r="AP163" i="10" s="1"/>
  <c r="AR163" i="10" s="1"/>
  <c r="AS163" i="10" s="1"/>
  <c r="AO159" i="10"/>
  <c r="AP159" i="10" s="1"/>
  <c r="AR159" i="10" s="1"/>
  <c r="AS159" i="10" s="1"/>
  <c r="AO120" i="10"/>
  <c r="AP120" i="10" s="1"/>
  <c r="AR120" i="10" s="1"/>
  <c r="AS120" i="10" s="1"/>
  <c r="AO140" i="10"/>
  <c r="AP140" i="10" s="1"/>
  <c r="AR140" i="10" s="1"/>
  <c r="AS140" i="10" s="1"/>
  <c r="AO33" i="10"/>
  <c r="AP33" i="10" s="1"/>
  <c r="AR33" i="10" s="1"/>
  <c r="AS33" i="10" s="1"/>
  <c r="AO164" i="10"/>
  <c r="AP164" i="10" s="1"/>
  <c r="AR164" i="10" s="1"/>
  <c r="AS164" i="10" s="1"/>
  <c r="AO108" i="10"/>
  <c r="AP108" i="10" s="1"/>
  <c r="AR108" i="10" s="1"/>
  <c r="AS108" i="10" s="1"/>
  <c r="AO31" i="10"/>
  <c r="AP31" i="10" s="1"/>
  <c r="AR31" i="10" s="1"/>
  <c r="AS31" i="10" s="1"/>
  <c r="AO142" i="10"/>
  <c r="AP142" i="10" s="1"/>
  <c r="AR142" i="10" s="1"/>
  <c r="AS142" i="10" s="1"/>
  <c r="AO14" i="10"/>
  <c r="AP14" i="10" s="1"/>
  <c r="AR14" i="10" s="1"/>
  <c r="AS14" i="10" s="1"/>
  <c r="AO160" i="10"/>
  <c r="AP160" i="10" s="1"/>
  <c r="AR160" i="10" s="1"/>
  <c r="AS160" i="10" s="1"/>
  <c r="AO118" i="10"/>
  <c r="AP118" i="10" s="1"/>
  <c r="AR118" i="10" s="1"/>
  <c r="AS118" i="10" s="1"/>
  <c r="AO141" i="10"/>
  <c r="AP141" i="10" s="1"/>
  <c r="AR141" i="10" s="1"/>
  <c r="AS141" i="10" s="1"/>
  <c r="AO162" i="10"/>
  <c r="AP162" i="10" s="1"/>
  <c r="AR162" i="10" s="1"/>
  <c r="AS162" i="10" s="1"/>
  <c r="AO59" i="10"/>
  <c r="AP59" i="10" s="1"/>
  <c r="AR59" i="10" s="1"/>
  <c r="AS59" i="10" s="1"/>
  <c r="AO57" i="10"/>
  <c r="AP57" i="10" s="1"/>
  <c r="AR57" i="10" s="1"/>
  <c r="AS57" i="10" s="1"/>
  <c r="AO144" i="10"/>
  <c r="AP144" i="10" s="1"/>
  <c r="AR144" i="10" s="1"/>
  <c r="AS144" i="10" s="1"/>
  <c r="AO32" i="10"/>
  <c r="AP32" i="10" s="1"/>
  <c r="AR32" i="10" s="1"/>
  <c r="AS32" i="10" s="1"/>
  <c r="AO86" i="10"/>
  <c r="AP86" i="10" s="1"/>
  <c r="AR86" i="10" s="1"/>
  <c r="AS86" i="10" s="1"/>
  <c r="AO130" i="10"/>
  <c r="AP130" i="10" s="1"/>
  <c r="AR130" i="10" s="1"/>
  <c r="AS130" i="10" s="1"/>
  <c r="AO53" i="10"/>
  <c r="AP53" i="10" s="1"/>
  <c r="AR53" i="10" s="1"/>
  <c r="AS53" i="10" s="1"/>
  <c r="AO115" i="10"/>
  <c r="AP115" i="10" s="1"/>
  <c r="AR115" i="10" s="1"/>
  <c r="AS115" i="10" s="1"/>
  <c r="AO52" i="10"/>
  <c r="AP52" i="10" s="1"/>
  <c r="AR52" i="10" s="1"/>
  <c r="AS52" i="10" s="1"/>
  <c r="AO117" i="10"/>
  <c r="AP117" i="10" s="1"/>
  <c r="AR117" i="10" s="1"/>
  <c r="AS117" i="10" s="1"/>
  <c r="AO30" i="10"/>
  <c r="AP30" i="10" s="1"/>
  <c r="AR30" i="10" s="1"/>
  <c r="AS30" i="10" s="1"/>
  <c r="AO63" i="10"/>
  <c r="AP63" i="10" s="1"/>
  <c r="AR63" i="10" s="1"/>
  <c r="AS63" i="10" s="1"/>
  <c r="AO149" i="10"/>
  <c r="AP149" i="10" s="1"/>
  <c r="AR149" i="10" s="1"/>
  <c r="AS149" i="10" s="1"/>
  <c r="AO177" i="10"/>
  <c r="AP177" i="10" s="1"/>
  <c r="AR177" i="10" s="1"/>
  <c r="AS177" i="10" s="1"/>
  <c r="AO116" i="10"/>
  <c r="AP116" i="10" s="1"/>
  <c r="AR116" i="10" s="1"/>
  <c r="AS116" i="10" s="1"/>
  <c r="AO58" i="10"/>
  <c r="AP58" i="10" s="1"/>
  <c r="AR58" i="10" s="1"/>
  <c r="AS58" i="10" s="1"/>
  <c r="AO65" i="10"/>
  <c r="AP65" i="10" s="1"/>
  <c r="AR65" i="10" s="1"/>
  <c r="AS65" i="10" s="1"/>
  <c r="AO89" i="10"/>
  <c r="AP89" i="10" s="1"/>
  <c r="AR89" i="10" s="1"/>
  <c r="AS89" i="10" s="1"/>
  <c r="AO74" i="10"/>
  <c r="AP74" i="10" s="1"/>
  <c r="AR74" i="10" s="1"/>
  <c r="AS74" i="10" s="1"/>
  <c r="AO114" i="10"/>
  <c r="AP114" i="10" s="1"/>
  <c r="AR114" i="10" s="1"/>
  <c r="AS114" i="10" s="1"/>
  <c r="AO150" i="10"/>
  <c r="AP150" i="10" s="1"/>
  <c r="AR150" i="10" s="1"/>
  <c r="AS150" i="10" s="1"/>
  <c r="AO133" i="10"/>
  <c r="AP133" i="10" s="1"/>
  <c r="AR133" i="10" s="1"/>
  <c r="AS133" i="10" s="1"/>
  <c r="AO105" i="10"/>
  <c r="AP105" i="10" s="1"/>
  <c r="AR105" i="10" s="1"/>
  <c r="AS105" i="10" s="1"/>
  <c r="AO151" i="10"/>
  <c r="AP151" i="10" s="1"/>
  <c r="AR151" i="10" s="1"/>
  <c r="AS151" i="10" s="1"/>
  <c r="AO76" i="10"/>
  <c r="AP76" i="10" s="1"/>
  <c r="AR76" i="10" s="1"/>
  <c r="AS76" i="10" s="1"/>
  <c r="AO102" i="10"/>
  <c r="AP102" i="10" s="1"/>
  <c r="AR102" i="10" s="1"/>
  <c r="AS102" i="10" s="1"/>
  <c r="AO50" i="10"/>
  <c r="AP50" i="10" s="1"/>
  <c r="AR50" i="10" s="1"/>
  <c r="AS50" i="10" s="1"/>
  <c r="AO104" i="10"/>
  <c r="AP104" i="10" s="1"/>
  <c r="AR104" i="10" s="1"/>
  <c r="AS104" i="10" s="1"/>
  <c r="AO138" i="10"/>
  <c r="AP138" i="10" s="1"/>
  <c r="AR138" i="10" s="1"/>
  <c r="AS138" i="10" s="1"/>
  <c r="AO21" i="10"/>
  <c r="AP21" i="10" s="1"/>
  <c r="AR21" i="10" s="1"/>
  <c r="AS21" i="10" s="1"/>
  <c r="AO20" i="10"/>
  <c r="AP20" i="10" s="1"/>
  <c r="AR20" i="10" s="1"/>
  <c r="AS20" i="10" s="1"/>
  <c r="AO173" i="10"/>
  <c r="AP173" i="10" s="1"/>
  <c r="AR173" i="10" s="1"/>
  <c r="AS173" i="10" s="1"/>
  <c r="AO122" i="10"/>
  <c r="AP122" i="10" s="1"/>
  <c r="AR122" i="10" s="1"/>
  <c r="AS122" i="10" s="1"/>
  <c r="AO135" i="10"/>
  <c r="AP135" i="10" s="1"/>
  <c r="AR135" i="10" s="1"/>
  <c r="AS135" i="10" s="1"/>
  <c r="AO175" i="10"/>
  <c r="AP175" i="10" s="1"/>
  <c r="AR175" i="10" s="1"/>
  <c r="AS175" i="10" s="1"/>
  <c r="AO99" i="10"/>
  <c r="AP99" i="10" s="1"/>
  <c r="AR99" i="10" s="1"/>
  <c r="AS99" i="10" s="1"/>
  <c r="AO55" i="10"/>
  <c r="AP55" i="10" s="1"/>
  <c r="AR55" i="10" s="1"/>
  <c r="AS55" i="10" s="1"/>
  <c r="AO67" i="10"/>
  <c r="AP67" i="10" s="1"/>
  <c r="AR67" i="10" s="1"/>
  <c r="AS67" i="10" s="1"/>
  <c r="AO127" i="10"/>
  <c r="AP127" i="10" s="1"/>
  <c r="AR127" i="10" s="1"/>
  <c r="AS127" i="10" s="1"/>
  <c r="AO88" i="10"/>
  <c r="AP88" i="10" s="1"/>
  <c r="AR88" i="10" s="1"/>
  <c r="AS88" i="10" s="1"/>
  <c r="AO90" i="10"/>
  <c r="AP90" i="10" s="1"/>
  <c r="AR90" i="10" s="1"/>
  <c r="AS90" i="10" s="1"/>
  <c r="AO56" i="10"/>
  <c r="AP56" i="10" s="1"/>
  <c r="AR56" i="10" s="1"/>
  <c r="AS56" i="10" s="1"/>
  <c r="AO47" i="10"/>
  <c r="AP47" i="10" s="1"/>
  <c r="AR47" i="10" s="1"/>
  <c r="AS47" i="10" s="1"/>
  <c r="AO146" i="10"/>
  <c r="AP146" i="10" s="1"/>
  <c r="AR146" i="10" s="1"/>
  <c r="AS146" i="10" s="1"/>
  <c r="AO100" i="10"/>
  <c r="AP100" i="10" s="1"/>
  <c r="AR100" i="10" s="1"/>
  <c r="AS100" i="10" s="1"/>
  <c r="AO92" i="10"/>
  <c r="AP92" i="10" s="1"/>
  <c r="AR92" i="10" s="1"/>
  <c r="AS92" i="10" s="1"/>
  <c r="AO154" i="10"/>
  <c r="AP154" i="10" s="1"/>
  <c r="AR154" i="10" s="1"/>
  <c r="AS154" i="10" s="1"/>
  <c r="AO134" i="10"/>
  <c r="AP134" i="10" s="1"/>
  <c r="AR134" i="10" s="1"/>
  <c r="AS134" i="10" s="1"/>
  <c r="AO168" i="10"/>
  <c r="AP168" i="10" s="1"/>
  <c r="AR168" i="10" s="1"/>
  <c r="AS168" i="10" s="1"/>
  <c r="AO37" i="10"/>
  <c r="AP37" i="10" s="1"/>
  <c r="AR37" i="10" s="1"/>
  <c r="AS37" i="10" s="1"/>
  <c r="AO158" i="10"/>
  <c r="AP158" i="10" s="1"/>
  <c r="AR158" i="10" s="1"/>
  <c r="AS158" i="10" s="1"/>
  <c r="AO147" i="10"/>
  <c r="AP147" i="10" s="1"/>
  <c r="AR147" i="10" s="1"/>
  <c r="AS147" i="10" s="1"/>
  <c r="AO112" i="10"/>
  <c r="AP112" i="10" s="1"/>
  <c r="AR112" i="10" s="1"/>
  <c r="AS112" i="10" s="1"/>
  <c r="AO128" i="10"/>
  <c r="AP128" i="10" s="1"/>
  <c r="AR128" i="10" s="1"/>
  <c r="AS128" i="10" s="1"/>
  <c r="AO166" i="10"/>
  <c r="AP166" i="10" s="1"/>
  <c r="AR166" i="10" s="1"/>
  <c r="AS166" i="10" s="1"/>
  <c r="AO111" i="10"/>
  <c r="AP111" i="10" s="1"/>
  <c r="AR111" i="10" s="1"/>
  <c r="AS111" i="10" s="1"/>
  <c r="AO68" i="10"/>
  <c r="AP68" i="10" s="1"/>
  <c r="AR68" i="10" s="1"/>
  <c r="AS68" i="10" s="1"/>
  <c r="AO71" i="10"/>
  <c r="AP71" i="10" s="1"/>
  <c r="AR71" i="10" s="1"/>
  <c r="AS71" i="10" s="1"/>
  <c r="AO61" i="10"/>
  <c r="AP61" i="10" s="1"/>
  <c r="AR61" i="10" s="1"/>
  <c r="AS61" i="10" s="1"/>
  <c r="AO170" i="10"/>
  <c r="AP170" i="10" s="1"/>
  <c r="AR170" i="10" s="1"/>
  <c r="AS170" i="10" s="1"/>
  <c r="AO124" i="10"/>
  <c r="AP124" i="10" s="1"/>
  <c r="AR124" i="10" s="1"/>
  <c r="AS124" i="10" s="1"/>
  <c r="AO152" i="10"/>
  <c r="AP152" i="10" s="1"/>
  <c r="AR152" i="10" s="1"/>
  <c r="AS152" i="10" s="1"/>
  <c r="AO178" i="10"/>
  <c r="AP178" i="10" s="1"/>
  <c r="AR178" i="10" s="1"/>
  <c r="AS178" i="10" s="1"/>
  <c r="AO96" i="10"/>
  <c r="AP96" i="10" s="1"/>
  <c r="AR96" i="10" s="1"/>
  <c r="AS96" i="10" s="1"/>
  <c r="AO15" i="10"/>
  <c r="AP15" i="10" s="1"/>
  <c r="AR15" i="10" s="1"/>
  <c r="AS15" i="10" s="1"/>
  <c r="AO136" i="10"/>
  <c r="AP136" i="10" s="1"/>
  <c r="AR136" i="10" s="1"/>
  <c r="AS136" i="10" s="1"/>
  <c r="AO10" i="10"/>
  <c r="AP10" i="10" s="1"/>
  <c r="AR10" i="10" s="1"/>
  <c r="AS10" i="10" s="1"/>
  <c r="AO95" i="10"/>
  <c r="AP95" i="10" s="1"/>
  <c r="AR95" i="10" s="1"/>
  <c r="AS95" i="10" s="1"/>
  <c r="AO12" i="10"/>
  <c r="AP12" i="10" s="1"/>
  <c r="AR12" i="10" s="1"/>
  <c r="AS12" i="10" s="1"/>
  <c r="AO85" i="10"/>
  <c r="AP85" i="10" s="1"/>
  <c r="AR85" i="10" s="1"/>
  <c r="AS85" i="10" s="1"/>
  <c r="AO27" i="10"/>
  <c r="AP27" i="10" s="1"/>
  <c r="AR27" i="10" s="1"/>
  <c r="AS27" i="10" s="1"/>
  <c r="AO148" i="10"/>
  <c r="AP148" i="10" s="1"/>
  <c r="AR148" i="10" s="1"/>
  <c r="AS148" i="10" s="1"/>
  <c r="AO176" i="10"/>
  <c r="AP176" i="10" s="1"/>
  <c r="AR176" i="10" s="1"/>
  <c r="AS176" i="10" s="1"/>
  <c r="AO22" i="10"/>
  <c r="AP22" i="10" s="1"/>
  <c r="AR22" i="10" s="1"/>
  <c r="AS22" i="10" s="1"/>
  <c r="AO107" i="10"/>
  <c r="AP107" i="10" s="1"/>
  <c r="AR107" i="10" s="1"/>
  <c r="AS107" i="10" s="1"/>
  <c r="AO24" i="10"/>
  <c r="AP24" i="10" s="1"/>
  <c r="AR24" i="10" s="1"/>
  <c r="AS24" i="10" s="1"/>
  <c r="AO97" i="10"/>
  <c r="AP97" i="10" s="1"/>
  <c r="AR97" i="10" s="1"/>
  <c r="AS97" i="10" s="1"/>
  <c r="AO26" i="10"/>
  <c r="AP26" i="10" s="1"/>
  <c r="AR26" i="10" s="1"/>
  <c r="AS26" i="10" s="1"/>
  <c r="AO39" i="10"/>
  <c r="AP39" i="10" s="1"/>
  <c r="AR39" i="10" s="1"/>
  <c r="AS39" i="10" s="1"/>
  <c r="AO34" i="10"/>
  <c r="AP34" i="10" s="1"/>
  <c r="AR34" i="10" s="1"/>
  <c r="AS34" i="10" s="1"/>
  <c r="AO36" i="10"/>
  <c r="AP36" i="10" s="1"/>
  <c r="AR36" i="10" s="1"/>
  <c r="AS36" i="10" s="1"/>
  <c r="AO109" i="10"/>
  <c r="AP109" i="10" s="1"/>
  <c r="AR109" i="10" s="1"/>
  <c r="AS109" i="10" s="1"/>
  <c r="AO38" i="10"/>
  <c r="AP38" i="10" s="1"/>
  <c r="AR38" i="10" s="1"/>
  <c r="AS38" i="10" s="1"/>
  <c r="AO51" i="10"/>
  <c r="AP51" i="10" s="1"/>
  <c r="AR51" i="10" s="1"/>
  <c r="AS51" i="10" s="1"/>
  <c r="AO16" i="10"/>
  <c r="AP16" i="10" s="1"/>
  <c r="AR16" i="10" s="1"/>
  <c r="AS16" i="10" s="1"/>
  <c r="AO172" i="10"/>
  <c r="AP172" i="10" s="1"/>
  <c r="AR172" i="10" s="1"/>
  <c r="AS172" i="10" s="1"/>
  <c r="AO42" i="10"/>
  <c r="AP42" i="10" s="1"/>
  <c r="AR42" i="10" s="1"/>
  <c r="AS42" i="10" s="1"/>
  <c r="AO46" i="10"/>
  <c r="AP46" i="10" s="1"/>
  <c r="AR46" i="10" s="1"/>
  <c r="AS46" i="10" s="1"/>
  <c r="AO119" i="10"/>
  <c r="AP119" i="10" s="1"/>
  <c r="AR119" i="10" s="1"/>
  <c r="AS119" i="10" s="1"/>
  <c r="AO48" i="10"/>
  <c r="AP48" i="10" s="1"/>
  <c r="AR48" i="10" s="1"/>
  <c r="AS48" i="10" s="1"/>
  <c r="AO121" i="10"/>
  <c r="AP121" i="10" s="1"/>
  <c r="AR121" i="10" s="1"/>
  <c r="AS121" i="10" s="1"/>
  <c r="AO62" i="10"/>
  <c r="AP62" i="10" s="1"/>
  <c r="AR62" i="10" s="1"/>
  <c r="AS62" i="10" s="1"/>
  <c r="AO28" i="10"/>
  <c r="AP28" i="10" s="1"/>
  <c r="AR28" i="10" s="1"/>
  <c r="AS28" i="10" s="1"/>
  <c r="AO161" i="10"/>
  <c r="AP161" i="10" s="1"/>
  <c r="AR161" i="10" s="1"/>
  <c r="AS161" i="10" s="1"/>
  <c r="AO54" i="10"/>
  <c r="AP54" i="10" s="1"/>
  <c r="AR54" i="10" s="1"/>
  <c r="AS54" i="10" s="1"/>
  <c r="AO70" i="10"/>
  <c r="AP70" i="10" s="1"/>
  <c r="AR70" i="10" s="1"/>
  <c r="AS70" i="10" s="1"/>
  <c r="AO75" i="10"/>
  <c r="AP75" i="10" s="1"/>
  <c r="AR75" i="10" s="1"/>
  <c r="AS75" i="10" s="1"/>
  <c r="AO40" i="10"/>
  <c r="AP40" i="10" s="1"/>
  <c r="AR40" i="10" s="1"/>
  <c r="AS40" i="10" s="1"/>
  <c r="AO66" i="10"/>
  <c r="AP66" i="10" s="1"/>
  <c r="AR66" i="10" s="1"/>
  <c r="AS66" i="10" s="1"/>
  <c r="AO82" i="10"/>
  <c r="AP82" i="10" s="1"/>
  <c r="AR82" i="10" s="1"/>
  <c r="AS82" i="10" s="1"/>
  <c r="AO155" i="10"/>
  <c r="AP155" i="10" s="1"/>
  <c r="AR155" i="10" s="1"/>
  <c r="AS155" i="10" s="1"/>
  <c r="AO72" i="10"/>
  <c r="AP72" i="10" s="1"/>
  <c r="AR72" i="10" s="1"/>
  <c r="AS72" i="10" s="1"/>
  <c r="AO145" i="10"/>
  <c r="AP145" i="10" s="1"/>
  <c r="AR145" i="10" s="1"/>
  <c r="AS145" i="10" s="1"/>
  <c r="AO110" i="10"/>
  <c r="AP110" i="10" s="1"/>
  <c r="AR110" i="10" s="1"/>
  <c r="AS110" i="10" s="1"/>
  <c r="AO87" i="10"/>
  <c r="AP87" i="10" s="1"/>
  <c r="AR87" i="10" s="1"/>
  <c r="AS87" i="10" s="1"/>
  <c r="AO64" i="10"/>
  <c r="AP64" i="10" s="1"/>
  <c r="AR64" i="10" s="1"/>
  <c r="AS64" i="10" s="1"/>
  <c r="AO126" i="10"/>
  <c r="AP126" i="10" s="1"/>
  <c r="AR126" i="10" s="1"/>
  <c r="AS126" i="10" s="1"/>
  <c r="AO44" i="10"/>
  <c r="AP44" i="10" s="1"/>
  <c r="AR44" i="10" s="1"/>
  <c r="AS44" i="10" s="1"/>
  <c r="AO106" i="10"/>
  <c r="AP106" i="10" s="1"/>
  <c r="AR106" i="10" s="1"/>
  <c r="AS106" i="10" s="1"/>
  <c r="F4" i="6" l="1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3" i="6"/>
  <c r="N4" i="6"/>
  <c r="P4" i="6" s="1"/>
  <c r="Q4" i="6" s="1"/>
  <c r="R4" i="6" s="1"/>
  <c r="S4" i="6" s="1"/>
  <c r="N5" i="6"/>
  <c r="P5" i="6" s="1"/>
  <c r="Q5" i="6" s="1"/>
  <c r="R5" i="6" s="1"/>
  <c r="S5" i="6" s="1"/>
  <c r="N6" i="6"/>
  <c r="P6" i="6" s="1"/>
  <c r="Q6" i="6" s="1"/>
  <c r="R6" i="6" s="1"/>
  <c r="S6" i="6" s="1"/>
  <c r="N7" i="6"/>
  <c r="P7" i="6" s="1"/>
  <c r="Q7" i="6" s="1"/>
  <c r="R7" i="6" s="1"/>
  <c r="S7" i="6" s="1"/>
  <c r="N8" i="6"/>
  <c r="P8" i="6" s="1"/>
  <c r="Q8" i="6" s="1"/>
  <c r="R8" i="6" s="1"/>
  <c r="S8" i="6" s="1"/>
  <c r="N9" i="6"/>
  <c r="P9" i="6" s="1"/>
  <c r="Q9" i="6" s="1"/>
  <c r="R9" i="6" s="1"/>
  <c r="S9" i="6" s="1"/>
  <c r="N10" i="6"/>
  <c r="P10" i="6" s="1"/>
  <c r="Q10" i="6" s="1"/>
  <c r="R10" i="6" s="1"/>
  <c r="S10" i="6" s="1"/>
  <c r="N11" i="6"/>
  <c r="P11" i="6" s="1"/>
  <c r="Q11" i="6" s="1"/>
  <c r="R11" i="6" s="1"/>
  <c r="S11" i="6" s="1"/>
  <c r="N12" i="6"/>
  <c r="P12" i="6" s="1"/>
  <c r="Q12" i="6" s="1"/>
  <c r="R12" i="6" s="1"/>
  <c r="S12" i="6" s="1"/>
  <c r="N3" i="6"/>
  <c r="P3" i="6" s="1"/>
  <c r="Q3" i="6" s="1"/>
  <c r="R3" i="6" s="1"/>
  <c r="S3" i="6" s="1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302" i="5"/>
  <c r="AA303" i="5"/>
  <c r="AA304" i="5"/>
  <c r="AA305" i="5"/>
  <c r="AA306" i="5"/>
  <c r="AA307" i="5"/>
  <c r="AA308" i="5"/>
  <c r="AA309" i="5"/>
  <c r="AA310" i="5"/>
  <c r="AA311" i="5"/>
  <c r="AA312" i="5"/>
  <c r="AA313" i="5"/>
  <c r="AA314" i="5"/>
  <c r="AA315" i="5"/>
  <c r="AA316" i="5"/>
  <c r="AA317" i="5"/>
  <c r="AA318" i="5"/>
  <c r="AA319" i="5"/>
  <c r="AA320" i="5"/>
  <c r="AA321" i="5"/>
  <c r="AA322" i="5"/>
  <c r="AA323" i="5"/>
  <c r="AA324" i="5"/>
  <c r="AA325" i="5"/>
  <c r="AA326" i="5"/>
  <c r="AA327" i="5"/>
  <c r="AA328" i="5"/>
  <c r="AA329" i="5"/>
  <c r="AA330" i="5"/>
  <c r="AA331" i="5"/>
  <c r="AA332" i="5"/>
  <c r="AA333" i="5"/>
  <c r="AA334" i="5"/>
  <c r="AA335" i="5"/>
  <c r="AA336" i="5"/>
  <c r="AA337" i="5"/>
  <c r="AA338" i="5"/>
  <c r="AA339" i="5"/>
  <c r="AA340" i="5"/>
  <c r="AA341" i="5"/>
  <c r="AA342" i="5"/>
  <c r="AA343" i="5"/>
  <c r="AA344" i="5"/>
  <c r="AA345" i="5"/>
  <c r="AA346" i="5"/>
  <c r="AA347" i="5"/>
  <c r="AA348" i="5"/>
  <c r="AA349" i="5"/>
  <c r="AA350" i="5"/>
  <c r="AA351" i="5"/>
  <c r="AA352" i="5"/>
  <c r="AA353" i="5"/>
  <c r="AA354" i="5"/>
  <c r="AA355" i="5"/>
  <c r="AA356" i="5"/>
  <c r="AA357" i="5"/>
  <c r="AA358" i="5"/>
  <c r="AA359" i="5"/>
  <c r="AA360" i="5"/>
  <c r="AA361" i="5"/>
  <c r="AA362" i="5"/>
  <c r="AA363" i="5"/>
  <c r="AA364" i="5"/>
  <c r="AA365" i="5"/>
  <c r="AA366" i="5"/>
  <c r="AA367" i="5"/>
  <c r="AA368" i="5"/>
  <c r="AA369" i="5"/>
  <c r="AA370" i="5"/>
  <c r="AA371" i="5"/>
  <c r="AA372" i="5"/>
  <c r="AA373" i="5"/>
  <c r="AA374" i="5"/>
  <c r="AA375" i="5"/>
  <c r="AA376" i="5"/>
  <c r="AA377" i="5"/>
  <c r="AA378" i="5"/>
  <c r="AA379" i="5"/>
  <c r="AA380" i="5"/>
  <c r="AA381" i="5"/>
  <c r="AA382" i="5"/>
  <c r="AA383" i="5"/>
  <c r="AA384" i="5"/>
  <c r="AA385" i="5"/>
  <c r="AA386" i="5"/>
  <c r="AA387" i="5"/>
  <c r="AA388" i="5"/>
  <c r="AA389" i="5"/>
  <c r="AA390" i="5"/>
  <c r="AA391" i="5"/>
  <c r="AA392" i="5"/>
  <c r="AA393" i="5"/>
  <c r="AA394" i="5"/>
  <c r="AA395" i="5"/>
  <c r="AA396" i="5"/>
  <c r="AA397" i="5"/>
  <c r="AA398" i="5"/>
  <c r="AA399" i="5"/>
  <c r="AA400" i="5"/>
  <c r="AA401" i="5"/>
  <c r="AA402" i="5"/>
  <c r="AA403" i="5"/>
  <c r="AA404" i="5"/>
  <c r="AA405" i="5"/>
  <c r="AA406" i="5"/>
  <c r="AA407" i="5"/>
  <c r="AA408" i="5"/>
  <c r="AA409" i="5"/>
  <c r="AA410" i="5"/>
  <c r="AA411" i="5"/>
  <c r="AA412" i="5"/>
  <c r="AA413" i="5"/>
  <c r="AA414" i="5"/>
  <c r="AA415" i="5"/>
  <c r="AA416" i="5"/>
  <c r="AA417" i="5"/>
  <c r="AA418" i="5"/>
  <c r="AA419" i="5"/>
  <c r="AA420" i="5"/>
  <c r="AA421" i="5"/>
  <c r="AA422" i="5"/>
  <c r="AA423" i="5"/>
  <c r="AA424" i="5"/>
  <c r="AA425" i="5"/>
  <c r="AA426" i="5"/>
  <c r="AA427" i="5"/>
  <c r="AA428" i="5"/>
  <c r="AA429" i="5"/>
  <c r="AA430" i="5"/>
  <c r="AA431" i="5"/>
  <c r="AA432" i="5"/>
  <c r="AA433" i="5"/>
  <c r="AA434" i="5"/>
  <c r="AA435" i="5"/>
  <c r="AA436" i="5"/>
  <c r="AA437" i="5"/>
  <c r="AA438" i="5"/>
  <c r="AA439" i="5"/>
  <c r="AA440" i="5"/>
  <c r="AA441" i="5"/>
  <c r="AA442" i="5"/>
  <c r="AA443" i="5"/>
  <c r="AA444" i="5"/>
  <c r="AA445" i="5"/>
  <c r="AA446" i="5"/>
  <c r="AA447" i="5"/>
  <c r="AA448" i="5"/>
  <c r="AA449" i="5"/>
  <c r="AA450" i="5"/>
  <c r="AA451" i="5"/>
  <c r="AA452" i="5"/>
  <c r="AA453" i="5"/>
  <c r="AA454" i="5"/>
  <c r="AA455" i="5"/>
  <c r="AA456" i="5"/>
  <c r="AA457" i="5"/>
  <c r="AA458" i="5"/>
  <c r="AA459" i="5"/>
  <c r="AA460" i="5"/>
  <c r="AA461" i="5"/>
  <c r="AA462" i="5"/>
  <c r="AA463" i="5"/>
  <c r="AA464" i="5"/>
  <c r="AA465" i="5"/>
  <c r="AA466" i="5"/>
  <c r="AA467" i="5"/>
  <c r="AA468" i="5"/>
  <c r="AA469" i="5"/>
  <c r="AA470" i="5"/>
  <c r="AA471" i="5"/>
  <c r="AA472" i="5"/>
  <c r="AA473" i="5"/>
  <c r="AA474" i="5"/>
  <c r="AA475" i="5"/>
  <c r="AA476" i="5"/>
  <c r="AA477" i="5"/>
  <c r="AA478" i="5"/>
  <c r="AA479" i="5"/>
  <c r="AA480" i="5"/>
  <c r="AA481" i="5"/>
  <c r="AA482" i="5"/>
  <c r="AA483" i="5"/>
  <c r="AA484" i="5"/>
  <c r="AA485" i="5"/>
  <c r="AA486" i="5"/>
  <c r="AA487" i="5"/>
  <c r="AA488" i="5"/>
  <c r="AA489" i="5"/>
  <c r="AA490" i="5"/>
  <c r="AA491" i="5"/>
  <c r="AA492" i="5"/>
  <c r="AA493" i="5"/>
  <c r="AA494" i="5"/>
  <c r="AA495" i="5"/>
  <c r="AA496" i="5"/>
  <c r="AA497" i="5"/>
  <c r="AA498" i="5"/>
  <c r="AA499" i="5"/>
  <c r="AA500" i="5"/>
  <c r="AA501" i="5"/>
  <c r="AA502" i="5"/>
  <c r="AA503" i="5"/>
  <c r="AA504" i="5"/>
  <c r="AA505" i="5"/>
  <c r="AA506" i="5"/>
  <c r="AA507" i="5"/>
  <c r="AA508" i="5"/>
  <c r="AA509" i="5"/>
  <c r="AA510" i="5"/>
  <c r="AA511" i="5"/>
  <c r="AA512" i="5"/>
  <c r="AA513" i="5"/>
  <c r="AA514" i="5"/>
  <c r="AA515" i="5"/>
  <c r="AA516" i="5"/>
  <c r="AA517" i="5"/>
  <c r="AA518" i="5"/>
  <c r="AA519" i="5"/>
  <c r="AA520" i="5"/>
  <c r="AA521" i="5"/>
  <c r="AA522" i="5"/>
  <c r="AA523" i="5"/>
  <c r="AA524" i="5"/>
  <c r="AA525" i="5"/>
  <c r="AA526" i="5"/>
  <c r="AA527" i="5"/>
  <c r="AA528" i="5"/>
  <c r="AA529" i="5"/>
  <c r="AA530" i="5"/>
  <c r="AA531" i="5"/>
  <c r="AA532" i="5"/>
  <c r="AA533" i="5"/>
  <c r="AA534" i="5"/>
  <c r="AA535" i="5"/>
  <c r="AA536" i="5"/>
  <c r="AA537" i="5"/>
  <c r="AA538" i="5"/>
  <c r="AA539" i="5"/>
  <c r="AA540" i="5"/>
  <c r="AA541" i="5"/>
  <c r="AA542" i="5"/>
  <c r="AA543" i="5"/>
  <c r="AA544" i="5"/>
  <c r="AA545" i="5"/>
  <c r="AA546" i="5"/>
  <c r="AA547" i="5"/>
  <c r="AA548" i="5"/>
  <c r="AA549" i="5"/>
  <c r="AA550" i="5"/>
  <c r="AA551" i="5"/>
  <c r="AA552" i="5"/>
  <c r="AA553" i="5"/>
  <c r="AA554" i="5"/>
  <c r="AA555" i="5"/>
  <c r="AA556" i="5"/>
  <c r="AA557" i="5"/>
  <c r="AA558" i="5"/>
  <c r="AA559" i="5"/>
  <c r="AA560" i="5"/>
  <c r="AA561" i="5"/>
  <c r="AA562" i="5"/>
  <c r="AA563" i="5"/>
  <c r="AA564" i="5"/>
  <c r="AA565" i="5"/>
  <c r="AA566" i="5"/>
  <c r="AA567" i="5"/>
  <c r="AA568" i="5"/>
  <c r="AA569" i="5"/>
  <c r="AA570" i="5"/>
  <c r="AA571" i="5"/>
  <c r="AA572" i="5"/>
  <c r="AA573" i="5"/>
  <c r="AA574" i="5"/>
  <c r="AA575" i="5"/>
  <c r="AA576" i="5"/>
  <c r="AA577" i="5"/>
  <c r="AA578" i="5"/>
  <c r="AA579" i="5"/>
  <c r="AA580" i="5"/>
  <c r="AA581" i="5"/>
  <c r="AA582" i="5"/>
  <c r="AA583" i="5"/>
  <c r="AA584" i="5"/>
  <c r="AA585" i="5"/>
  <c r="AA586" i="5"/>
  <c r="AA587" i="5"/>
  <c r="AA588" i="5"/>
  <c r="AA589" i="5"/>
  <c r="AA590" i="5"/>
  <c r="AA591" i="5"/>
  <c r="AA592" i="5"/>
  <c r="AA593" i="5"/>
  <c r="AA594" i="5"/>
  <c r="AA595" i="5"/>
  <c r="AA596" i="5"/>
  <c r="AA597" i="5"/>
  <c r="AA598" i="5"/>
  <c r="AA599" i="5"/>
  <c r="AA600" i="5"/>
  <c r="AA601" i="5"/>
  <c r="AA602" i="5"/>
  <c r="AA603" i="5"/>
  <c r="AA604" i="5"/>
  <c r="AA605" i="5"/>
  <c r="AA606" i="5"/>
  <c r="AA607" i="5"/>
  <c r="AA608" i="5"/>
  <c r="AA609" i="5"/>
  <c r="AA610" i="5"/>
  <c r="AA611" i="5"/>
  <c r="AA612" i="5"/>
  <c r="AA613" i="5"/>
  <c r="AA614" i="5"/>
  <c r="AA615" i="5"/>
  <c r="AA616" i="5"/>
  <c r="AA617" i="5"/>
  <c r="AA618" i="5"/>
  <c r="AA619" i="5"/>
  <c r="AA620" i="5"/>
  <c r="AA621" i="5"/>
  <c r="AA622" i="5"/>
  <c r="AA623" i="5"/>
  <c r="AA624" i="5"/>
  <c r="AA625" i="5"/>
  <c r="AA626" i="5"/>
  <c r="AA627" i="5"/>
  <c r="AA628" i="5"/>
  <c r="AA629" i="5"/>
  <c r="AA630" i="5"/>
  <c r="AA631" i="5"/>
  <c r="AA632" i="5"/>
  <c r="AA633" i="5"/>
  <c r="AA634" i="5"/>
  <c r="AA635" i="5"/>
  <c r="AA636" i="5"/>
  <c r="AA637" i="5"/>
  <c r="AA638" i="5"/>
  <c r="AA639" i="5"/>
  <c r="AA640" i="5"/>
  <c r="AA641" i="5"/>
  <c r="AA642" i="5"/>
  <c r="AA643" i="5"/>
  <c r="AA644" i="5"/>
  <c r="AA645" i="5"/>
  <c r="AA646" i="5"/>
  <c r="AA647" i="5"/>
  <c r="AA648" i="5"/>
  <c r="AA649" i="5"/>
  <c r="AA650" i="5"/>
  <c r="AA651" i="5"/>
  <c r="AA652" i="5"/>
  <c r="AA653" i="5"/>
  <c r="AA654" i="5"/>
  <c r="AA655" i="5"/>
  <c r="AA656" i="5"/>
  <c r="AA657" i="5"/>
  <c r="AA658" i="5"/>
  <c r="AA659" i="5"/>
  <c r="AA660" i="5"/>
  <c r="AA661" i="5"/>
  <c r="AA662" i="5"/>
  <c r="AA663" i="5"/>
  <c r="AA664" i="5"/>
  <c r="AA665" i="5"/>
  <c r="AA666" i="5"/>
  <c r="AA667" i="5"/>
  <c r="AA668" i="5"/>
  <c r="AA669" i="5"/>
  <c r="AA670" i="5"/>
  <c r="AA671" i="5"/>
  <c r="AA672" i="5"/>
  <c r="AA673" i="5"/>
  <c r="AA674" i="5"/>
  <c r="AA675" i="5"/>
  <c r="AA676" i="5"/>
  <c r="AA677" i="5"/>
  <c r="AA678" i="5"/>
  <c r="AA679" i="5"/>
  <c r="AA680" i="5"/>
  <c r="AA681" i="5"/>
  <c r="AA682" i="5"/>
  <c r="AA683" i="5"/>
  <c r="AA684" i="5"/>
  <c r="AA685" i="5"/>
  <c r="AA686" i="5"/>
  <c r="AA687" i="5"/>
  <c r="AA688" i="5"/>
  <c r="AA689" i="5"/>
  <c r="AA690" i="5"/>
  <c r="AA691" i="5"/>
  <c r="AA692" i="5"/>
  <c r="AA693" i="5"/>
  <c r="AA694" i="5"/>
  <c r="AA695" i="5"/>
  <c r="AA696" i="5"/>
  <c r="AA697" i="5"/>
  <c r="AA698" i="5"/>
  <c r="AA699" i="5"/>
  <c r="AA700" i="5"/>
  <c r="AA701" i="5"/>
  <c r="AA702" i="5"/>
  <c r="AA703" i="5"/>
  <c r="AA704" i="5"/>
  <c r="AA705" i="5"/>
  <c r="AA706" i="5"/>
  <c r="AA707" i="5"/>
  <c r="AA708" i="5"/>
  <c r="AA709" i="5"/>
  <c r="AA710" i="5"/>
  <c r="AA711" i="5"/>
  <c r="AA712" i="5"/>
  <c r="AA713" i="5"/>
  <c r="AA714" i="5"/>
  <c r="AA715" i="5"/>
  <c r="AA716" i="5"/>
  <c r="AA717" i="5"/>
  <c r="AA718" i="5"/>
  <c r="AA719" i="5"/>
  <c r="AA720" i="5"/>
  <c r="AA721" i="5"/>
  <c r="AA722" i="5"/>
  <c r="AA723" i="5"/>
  <c r="AA724" i="5"/>
  <c r="AA725" i="5"/>
  <c r="AA726" i="5"/>
  <c r="AA727" i="5"/>
  <c r="AA728" i="5"/>
  <c r="AA729" i="5"/>
  <c r="AA730" i="5"/>
  <c r="AA731" i="5"/>
  <c r="AA732" i="5"/>
  <c r="AA733" i="5"/>
  <c r="AA734" i="5"/>
  <c r="AA735" i="5"/>
  <c r="AA736" i="5"/>
  <c r="AA737" i="5"/>
  <c r="AA738" i="5"/>
  <c r="AA739" i="5"/>
  <c r="AA740" i="5"/>
  <c r="AA741" i="5"/>
  <c r="AA742" i="5"/>
  <c r="AA743" i="5"/>
  <c r="AA744" i="5"/>
  <c r="AA745" i="5"/>
  <c r="AA746" i="5"/>
  <c r="AA747" i="5"/>
  <c r="AA748" i="5"/>
  <c r="AA749" i="5"/>
  <c r="AA750" i="5"/>
  <c r="AA751" i="5"/>
  <c r="AA752" i="5"/>
  <c r="AA753" i="5"/>
  <c r="AA754" i="5"/>
  <c r="AA755" i="5"/>
  <c r="AA756" i="5"/>
  <c r="AA757" i="5"/>
  <c r="AA758" i="5"/>
  <c r="AA759" i="5"/>
  <c r="AA760" i="5"/>
  <c r="AA761" i="5"/>
  <c r="AA762" i="5"/>
  <c r="AA763" i="5"/>
  <c r="AA764" i="5"/>
  <c r="AA765" i="5"/>
  <c r="AA766" i="5"/>
  <c r="AA767" i="5"/>
  <c r="AA768" i="5"/>
  <c r="AA769" i="5"/>
  <c r="AA770" i="5"/>
  <c r="AA771" i="5"/>
  <c r="AA772" i="5"/>
  <c r="AA773" i="5"/>
  <c r="AA774" i="5"/>
  <c r="AA775" i="5"/>
  <c r="AA776" i="5"/>
  <c r="AA777" i="5"/>
  <c r="AA778" i="5"/>
  <c r="AA779" i="5"/>
  <c r="AA780" i="5"/>
  <c r="AA781" i="5"/>
  <c r="AA782" i="5"/>
  <c r="AA783" i="5"/>
  <c r="AA784" i="5"/>
  <c r="AA785" i="5"/>
  <c r="AA786" i="5"/>
  <c r="AA787" i="5"/>
  <c r="AA788" i="5"/>
  <c r="AA789" i="5"/>
  <c r="AA790" i="5"/>
  <c r="AA791" i="5"/>
  <c r="AA792" i="5"/>
  <c r="AA793" i="5"/>
  <c r="AA794" i="5"/>
  <c r="AA795" i="5"/>
  <c r="AA796" i="5"/>
  <c r="AA797" i="5"/>
  <c r="AA798" i="5"/>
  <c r="AA799" i="5"/>
  <c r="AA800" i="5"/>
  <c r="AA801" i="5"/>
  <c r="AA802" i="5"/>
  <c r="AA803" i="5"/>
  <c r="AA804" i="5"/>
  <c r="AA805" i="5"/>
  <c r="AA806" i="5"/>
  <c r="AA807" i="5"/>
  <c r="AA808" i="5"/>
  <c r="AA809" i="5"/>
  <c r="AA810" i="5"/>
  <c r="AA811" i="5"/>
  <c r="AA812" i="5"/>
  <c r="AA813" i="5"/>
  <c r="AA814" i="5"/>
  <c r="AA815" i="5"/>
  <c r="AA816" i="5"/>
  <c r="AA817" i="5"/>
  <c r="AA818" i="5"/>
  <c r="AA819" i="5"/>
  <c r="AA820" i="5"/>
  <c r="AA821" i="5"/>
  <c r="AA822" i="5"/>
  <c r="AA823" i="5"/>
  <c r="AA824" i="5"/>
  <c r="AA825" i="5"/>
  <c r="AA826" i="5"/>
  <c r="AA827" i="5"/>
  <c r="AA828" i="5"/>
  <c r="AA829" i="5"/>
  <c r="AA830" i="5"/>
  <c r="AA831" i="5"/>
  <c r="AA832" i="5"/>
  <c r="AA833" i="5"/>
  <c r="AA834" i="5"/>
  <c r="AA835" i="5"/>
  <c r="AA836" i="5"/>
  <c r="AA837" i="5"/>
  <c r="AA838" i="5"/>
  <c r="AA839" i="5"/>
  <c r="AA840" i="5"/>
  <c r="AA841" i="5"/>
  <c r="AA842" i="5"/>
  <c r="AA843" i="5"/>
  <c r="AA844" i="5"/>
  <c r="AA845" i="5"/>
  <c r="AA846" i="5"/>
  <c r="AA847" i="5"/>
  <c r="AA848" i="5"/>
  <c r="AA849" i="5"/>
  <c r="AA850" i="5"/>
  <c r="AA851" i="5"/>
  <c r="AA852" i="5"/>
  <c r="AA853" i="5"/>
  <c r="AA854" i="5"/>
  <c r="AA855" i="5"/>
  <c r="AA856" i="5"/>
  <c r="AA857" i="5"/>
  <c r="AA858" i="5"/>
  <c r="AA859" i="5"/>
  <c r="AA860" i="5"/>
  <c r="AA861" i="5"/>
  <c r="AA862" i="5"/>
  <c r="AA863" i="5"/>
  <c r="AA864" i="5"/>
  <c r="AA865" i="5"/>
  <c r="AA866" i="5"/>
  <c r="AA867" i="5"/>
  <c r="AA868" i="5"/>
  <c r="AA869" i="5"/>
  <c r="AA870" i="5"/>
  <c r="AA871" i="5"/>
  <c r="AA872" i="5"/>
  <c r="AA873" i="5"/>
  <c r="AA874" i="5"/>
  <c r="AA875" i="5"/>
  <c r="AA876" i="5"/>
  <c r="AA877" i="5"/>
  <c r="AA878" i="5"/>
  <c r="AA879" i="5"/>
  <c r="AA880" i="5"/>
  <c r="AA881" i="5"/>
  <c r="AA882" i="5"/>
  <c r="AA883" i="5"/>
  <c r="AA884" i="5"/>
  <c r="AA885" i="5"/>
  <c r="AA886" i="5"/>
  <c r="AA887" i="5"/>
  <c r="AA888" i="5"/>
  <c r="AA889" i="5"/>
  <c r="AA890" i="5"/>
  <c r="AA891" i="5"/>
  <c r="AA892" i="5"/>
  <c r="AA893" i="5"/>
  <c r="AA894" i="5"/>
  <c r="AA895" i="5"/>
  <c r="AA896" i="5"/>
  <c r="AA897" i="5"/>
  <c r="AA898" i="5"/>
  <c r="AA899" i="5"/>
  <c r="AA900" i="5"/>
  <c r="AA901" i="5"/>
  <c r="AA902" i="5"/>
  <c r="AA903" i="5"/>
  <c r="AA904" i="5"/>
  <c r="AA905" i="5"/>
  <c r="AA906" i="5"/>
  <c r="AA907" i="5"/>
  <c r="AA908" i="5"/>
  <c r="AA909" i="5"/>
  <c r="AA910" i="5"/>
  <c r="AA911" i="5"/>
  <c r="AA912" i="5"/>
  <c r="AA913" i="5"/>
  <c r="AA914" i="5"/>
  <c r="AA915" i="5"/>
  <c r="AA916" i="5"/>
  <c r="AA917" i="5"/>
  <c r="AA918" i="5"/>
  <c r="AA919" i="5"/>
  <c r="AA920" i="5"/>
  <c r="AA921" i="5"/>
  <c r="AA922" i="5"/>
  <c r="AA923" i="5"/>
  <c r="AA924" i="5"/>
  <c r="AA925" i="5"/>
  <c r="AA926" i="5"/>
  <c r="AA927" i="5"/>
  <c r="AA928" i="5"/>
  <c r="AA929" i="5"/>
  <c r="AA930" i="5"/>
  <c r="AA931" i="5"/>
  <c r="AA932" i="5"/>
  <c r="AA933" i="5"/>
  <c r="AA934" i="5"/>
  <c r="AA935" i="5"/>
  <c r="AA936" i="5"/>
  <c r="AA937" i="5"/>
  <c r="AA938" i="5"/>
  <c r="AA939" i="5"/>
  <c r="AA940" i="5"/>
  <c r="AA941" i="5"/>
  <c r="AA942" i="5"/>
  <c r="AA943" i="5"/>
  <c r="AA944" i="5"/>
  <c r="AA945" i="5"/>
  <c r="AA946" i="5"/>
  <c r="AA947" i="5"/>
  <c r="AA948" i="5"/>
  <c r="AA949" i="5"/>
  <c r="AA950" i="5"/>
  <c r="AA951" i="5"/>
  <c r="AA952" i="5"/>
  <c r="AA953" i="5"/>
  <c r="AA954" i="5"/>
  <c r="AA955" i="5"/>
  <c r="AA956" i="5"/>
  <c r="AA957" i="5"/>
  <c r="AA958" i="5"/>
  <c r="AA959" i="5"/>
  <c r="AA960" i="5"/>
  <c r="AA961" i="5"/>
  <c r="AA962" i="5"/>
  <c r="AA963" i="5"/>
  <c r="AA964" i="5"/>
  <c r="AA965" i="5"/>
  <c r="AA966" i="5"/>
  <c r="AA967" i="5"/>
  <c r="AA968" i="5"/>
  <c r="AA969" i="5"/>
  <c r="AA970" i="5"/>
  <c r="AA971" i="5"/>
  <c r="AA972" i="5"/>
  <c r="AA973" i="5"/>
  <c r="AA974" i="5"/>
  <c r="AA975" i="5"/>
  <c r="AA976" i="5"/>
  <c r="AA977" i="5"/>
  <c r="AA978" i="5"/>
  <c r="AA979" i="5"/>
  <c r="AA980" i="5"/>
  <c r="AA981" i="5"/>
  <c r="AA982" i="5"/>
  <c r="AA983" i="5"/>
  <c r="AA984" i="5"/>
  <c r="AA985" i="5"/>
  <c r="AA986" i="5"/>
  <c r="AA987" i="5"/>
  <c r="AA988" i="5"/>
  <c r="AA989" i="5"/>
  <c r="AA990" i="5"/>
  <c r="AA991" i="5"/>
  <c r="AA992" i="5"/>
  <c r="AA993" i="5"/>
  <c r="AA994" i="5"/>
  <c r="AA995" i="5"/>
  <c r="AA996" i="5"/>
  <c r="AA997" i="5"/>
  <c r="AA998" i="5"/>
  <c r="AA999" i="5"/>
  <c r="AA1000" i="5"/>
  <c r="AA1001" i="5"/>
  <c r="AA1002" i="5"/>
  <c r="AA1003" i="5"/>
  <c r="AA1004" i="5"/>
  <c r="AA1005" i="5"/>
  <c r="AA1006" i="5"/>
  <c r="AA1007" i="5"/>
  <c r="AA1008" i="5"/>
  <c r="AA1009" i="5"/>
  <c r="AA1010" i="5"/>
  <c r="AA1011" i="5"/>
  <c r="AA1012" i="5"/>
  <c r="AA1013" i="5"/>
  <c r="AA1014" i="5"/>
  <c r="AA1015" i="5"/>
  <c r="AA1016" i="5"/>
  <c r="AA1017" i="5"/>
  <c r="AA1018" i="5"/>
  <c r="AA1019" i="5"/>
  <c r="AA1020" i="5"/>
  <c r="AA1021" i="5"/>
  <c r="AA1022" i="5"/>
  <c r="AA1023" i="5"/>
  <c r="AA1024" i="5"/>
  <c r="AA1025" i="5"/>
  <c r="AA1026" i="5"/>
  <c r="AA1027" i="5"/>
  <c r="AA1028" i="5"/>
  <c r="AA1029" i="5"/>
  <c r="AA1030" i="5"/>
  <c r="AA1031" i="5"/>
  <c r="AA1032" i="5"/>
  <c r="AA1033" i="5"/>
  <c r="AA1034" i="5"/>
  <c r="AA1035" i="5"/>
  <c r="AA1036" i="5"/>
  <c r="AA1037" i="5"/>
  <c r="AA1038" i="5"/>
  <c r="AA1039" i="5"/>
  <c r="AA1040" i="5"/>
  <c r="AA1041" i="5"/>
  <c r="AA1042" i="5"/>
  <c r="AA1043" i="5"/>
  <c r="AA1044" i="5"/>
  <c r="AA1045" i="5"/>
  <c r="AA1046" i="5"/>
  <c r="AA1047" i="5"/>
  <c r="AA1048" i="5"/>
  <c r="AA1049" i="5"/>
  <c r="AA1050" i="5"/>
  <c r="AA1051" i="5"/>
  <c r="AA1052" i="5"/>
  <c r="AA1053" i="5"/>
  <c r="AA1054" i="5"/>
  <c r="AA1055" i="5"/>
  <c r="AA1056" i="5"/>
  <c r="AA1057" i="5"/>
  <c r="AA1058" i="5"/>
  <c r="AA1059" i="5"/>
  <c r="AA1060" i="5"/>
  <c r="AA1061" i="5"/>
  <c r="AA1062" i="5"/>
  <c r="AA1063" i="5"/>
  <c r="AA1064" i="5"/>
  <c r="AA1065" i="5"/>
  <c r="AA1066" i="5"/>
  <c r="AA1067" i="5"/>
  <c r="AA1068" i="5"/>
  <c r="AA1069" i="5"/>
  <c r="AA1070" i="5"/>
  <c r="AA1071" i="5"/>
  <c r="AA1072" i="5"/>
  <c r="AA1073" i="5"/>
  <c r="AA1074" i="5"/>
  <c r="AA1075" i="5"/>
  <c r="AA1076" i="5"/>
  <c r="AA1077" i="5"/>
  <c r="AA1078" i="5"/>
  <c r="AA1079" i="5"/>
  <c r="AA1080" i="5"/>
  <c r="AA1081" i="5"/>
  <c r="AA1082" i="5"/>
  <c r="AA1083" i="5"/>
  <c r="AA1084" i="5"/>
  <c r="AA1085" i="5"/>
  <c r="AA1086" i="5"/>
  <c r="AA1087" i="5"/>
  <c r="AA1088" i="5"/>
  <c r="AA1089" i="5"/>
  <c r="AA1090" i="5"/>
  <c r="AA1091" i="5"/>
  <c r="AA1092" i="5"/>
  <c r="AA1093" i="5"/>
  <c r="AA1094" i="5"/>
  <c r="AA1095" i="5"/>
  <c r="AA1096" i="5"/>
  <c r="AA1097" i="5"/>
  <c r="AA1098" i="5"/>
  <c r="AA1099" i="5"/>
  <c r="AA1100" i="5"/>
  <c r="AA1101" i="5"/>
  <c r="AA1102" i="5"/>
  <c r="AA1103" i="5"/>
  <c r="AA1104" i="5"/>
  <c r="AA1105" i="5"/>
  <c r="AA1106" i="5"/>
  <c r="AA1107" i="5"/>
  <c r="AA1108" i="5"/>
  <c r="AA1109" i="5"/>
  <c r="AA1110" i="5"/>
  <c r="AA1111" i="5"/>
  <c r="AA1112" i="5"/>
  <c r="AA1113" i="5"/>
  <c r="AA1114" i="5"/>
  <c r="AA1115" i="5"/>
  <c r="AA1116" i="5"/>
  <c r="AA1117" i="5"/>
  <c r="AA1118" i="5"/>
  <c r="AA1119" i="5"/>
  <c r="AA1120" i="5"/>
  <c r="AA1121" i="5"/>
  <c r="AA1122" i="5"/>
  <c r="AA1123" i="5"/>
  <c r="AA1124" i="5"/>
  <c r="AA1125" i="5"/>
  <c r="AA1126" i="5"/>
  <c r="AA1127" i="5"/>
  <c r="AA1128" i="5"/>
  <c r="AA1129" i="5"/>
  <c r="AA1130" i="5"/>
  <c r="AA1131" i="5"/>
  <c r="AA1132" i="5"/>
  <c r="AA1133" i="5"/>
  <c r="AA1134" i="5"/>
  <c r="AA1135" i="5"/>
  <c r="AA1136" i="5"/>
  <c r="AA1137" i="5"/>
  <c r="AA1138" i="5"/>
  <c r="AA1139" i="5"/>
  <c r="AA1140" i="5"/>
  <c r="AA1141" i="5"/>
  <c r="AA1142" i="5"/>
  <c r="AA1143" i="5"/>
  <c r="AA1144" i="5"/>
  <c r="AA1145" i="5"/>
  <c r="AA1146" i="5"/>
  <c r="AA1147" i="5"/>
  <c r="AA1148" i="5"/>
  <c r="AA1149" i="5"/>
  <c r="AA1150" i="5"/>
  <c r="AA1151" i="5"/>
  <c r="AA1152" i="5"/>
  <c r="AA1153" i="5"/>
  <c r="AA1154" i="5"/>
  <c r="AA1155" i="5"/>
  <c r="AA1156" i="5"/>
  <c r="AA1157" i="5"/>
  <c r="AA1158" i="5"/>
  <c r="AA1159" i="5"/>
  <c r="AA1160" i="5"/>
  <c r="AA1161" i="5"/>
  <c r="AA1162" i="5"/>
  <c r="AA1163" i="5"/>
  <c r="AA1164" i="5"/>
  <c r="AA1165" i="5"/>
  <c r="AA1166" i="5"/>
  <c r="AA1167" i="5"/>
  <c r="AA1168" i="5"/>
  <c r="AA1169" i="5"/>
  <c r="AA1170" i="5"/>
  <c r="AA1171" i="5"/>
  <c r="AA1172" i="5"/>
  <c r="AA1173" i="5"/>
  <c r="AA1174" i="5"/>
  <c r="AA1175" i="5"/>
  <c r="AA1176" i="5"/>
  <c r="AA1177" i="5"/>
  <c r="AA1178" i="5"/>
  <c r="AA1179" i="5"/>
  <c r="AA1180" i="5"/>
  <c r="AA1181" i="5"/>
  <c r="AA1182" i="5"/>
  <c r="AA1183" i="5"/>
  <c r="AA1184" i="5"/>
  <c r="AA1185" i="5"/>
  <c r="AA1186" i="5"/>
  <c r="AA1187" i="5"/>
  <c r="AA1188" i="5"/>
  <c r="AA1189" i="5"/>
  <c r="AA1190" i="5"/>
  <c r="AA1191" i="5"/>
  <c r="AA1192" i="5"/>
  <c r="AA1193" i="5"/>
  <c r="AA1194" i="5"/>
  <c r="AA1195" i="5"/>
  <c r="AA1196" i="5"/>
  <c r="AA1197" i="5"/>
  <c r="AA1198" i="5"/>
  <c r="AA1199" i="5"/>
  <c r="AA1200" i="5"/>
  <c r="AA1201" i="5"/>
  <c r="AA1202" i="5"/>
  <c r="AA1203" i="5"/>
  <c r="AA1204" i="5"/>
  <c r="AA1205" i="5"/>
  <c r="AA1206" i="5"/>
  <c r="AA1207" i="5"/>
  <c r="AA1208" i="5"/>
  <c r="AA1209" i="5"/>
  <c r="AA1210" i="5"/>
  <c r="AA1211" i="5"/>
  <c r="AA1212" i="5"/>
  <c r="AA1213" i="5"/>
  <c r="AA1214" i="5"/>
  <c r="AA1215" i="5"/>
  <c r="AA1216" i="5"/>
  <c r="AA1217" i="5"/>
  <c r="AA1218" i="5"/>
  <c r="AA1219" i="5"/>
  <c r="AA1220" i="5"/>
  <c r="AA1221" i="5"/>
  <c r="AA1222" i="5"/>
  <c r="AA1223" i="5"/>
  <c r="AA1224" i="5"/>
  <c r="AA1225" i="5"/>
  <c r="AA1226" i="5"/>
  <c r="AA1227" i="5"/>
  <c r="AA1228" i="5"/>
  <c r="AA1229" i="5"/>
  <c r="AA1230" i="5"/>
  <c r="AA1231" i="5"/>
  <c r="AA1232" i="5"/>
  <c r="AA1233" i="5"/>
  <c r="AA1234" i="5"/>
  <c r="AA1235" i="5"/>
  <c r="AA1236" i="5"/>
  <c r="AA1237" i="5"/>
  <c r="AA1238" i="5"/>
  <c r="AA1239" i="5"/>
  <c r="AA1240" i="5"/>
  <c r="AA1241" i="5"/>
  <c r="AA1242" i="5"/>
  <c r="AA1243" i="5"/>
  <c r="AA1244" i="5"/>
  <c r="AA1245" i="5"/>
  <c r="AA1246" i="5"/>
  <c r="AA1247" i="5"/>
  <c r="AA1248" i="5"/>
  <c r="AA1249" i="5"/>
  <c r="AA1250" i="5"/>
  <c r="AA1251" i="5"/>
  <c r="AA1252" i="5"/>
  <c r="AA1253" i="5"/>
  <c r="AA1254" i="5"/>
  <c r="AA1255" i="5"/>
  <c r="AA1256" i="5"/>
  <c r="AA1257" i="5"/>
  <c r="AA1258" i="5"/>
  <c r="AA1259" i="5"/>
  <c r="AA1260" i="5"/>
  <c r="AA1261" i="5"/>
  <c r="AA1262" i="5"/>
  <c r="AA1263" i="5"/>
  <c r="AA1264" i="5"/>
  <c r="AA1265" i="5"/>
  <c r="AA1266" i="5"/>
  <c r="AA1267" i="5"/>
  <c r="AA1268" i="5"/>
  <c r="AA1269" i="5"/>
  <c r="AA1270" i="5"/>
  <c r="AA1271" i="5"/>
  <c r="AA1272" i="5"/>
  <c r="AA1273" i="5"/>
  <c r="AA1274" i="5"/>
  <c r="AA1275" i="5"/>
  <c r="AA1276" i="5"/>
  <c r="AA1277" i="5"/>
  <c r="AA1278" i="5"/>
  <c r="AA1279" i="5"/>
  <c r="AA1280" i="5"/>
  <c r="AA1281" i="5"/>
  <c r="AA1282" i="5"/>
  <c r="AA1283" i="5"/>
  <c r="AA1284" i="5"/>
  <c r="AA1285" i="5"/>
  <c r="AA1286" i="5"/>
  <c r="AA1287" i="5"/>
  <c r="AA1288" i="5"/>
  <c r="AA1289" i="5"/>
  <c r="AA1290" i="5"/>
  <c r="AA1291" i="5"/>
  <c r="AA1292" i="5"/>
  <c r="AA1293" i="5"/>
  <c r="AA1294" i="5"/>
  <c r="AA1295" i="5"/>
  <c r="AA1296" i="5"/>
  <c r="AA1297" i="5"/>
  <c r="AA1298" i="5"/>
  <c r="AA1299" i="5"/>
  <c r="AA1300" i="5"/>
  <c r="AA1301" i="5"/>
  <c r="AA1302" i="5"/>
  <c r="AA1303" i="5"/>
  <c r="AA1304" i="5"/>
  <c r="AA1305" i="5"/>
  <c r="AA1306" i="5"/>
  <c r="AA1307" i="5"/>
  <c r="AA1308" i="5"/>
  <c r="AA1309" i="5"/>
  <c r="AA1310" i="5"/>
  <c r="AA1311" i="5"/>
  <c r="AA1312" i="5"/>
  <c r="AA1313" i="5"/>
  <c r="AA1314" i="5"/>
  <c r="AA1315" i="5"/>
  <c r="AA1316" i="5"/>
  <c r="AA1317" i="5"/>
  <c r="AA1318" i="5"/>
  <c r="AA1319" i="5"/>
  <c r="AA1320" i="5"/>
  <c r="AA1321" i="5"/>
  <c r="AA1322" i="5"/>
  <c r="AA1323" i="5"/>
  <c r="AA1324" i="5"/>
  <c r="AA1325" i="5"/>
  <c r="AA1326" i="5"/>
  <c r="AA1327" i="5"/>
  <c r="AA1328" i="5"/>
  <c r="AA1329" i="5"/>
  <c r="AA1330" i="5"/>
  <c r="AA1331" i="5"/>
  <c r="AA1332" i="5"/>
  <c r="AA1333" i="5"/>
  <c r="AA1334" i="5"/>
  <c r="AA1335" i="5"/>
  <c r="AA1336" i="5"/>
  <c r="AA1337" i="5"/>
  <c r="AA1338" i="5"/>
  <c r="AA1339" i="5"/>
  <c r="AA1340" i="5"/>
  <c r="AA1341" i="5"/>
  <c r="AA1342" i="5"/>
  <c r="AA1343" i="5"/>
  <c r="AA1344" i="5"/>
  <c r="AA1345" i="5"/>
  <c r="AA1346" i="5"/>
  <c r="AA1347" i="5"/>
  <c r="AA1348" i="5"/>
  <c r="AA1349" i="5"/>
  <c r="AA1350" i="5"/>
  <c r="AA1351" i="5"/>
  <c r="AA1352" i="5"/>
  <c r="AA1353" i="5"/>
  <c r="AA1354" i="5"/>
  <c r="AA1355" i="5"/>
  <c r="AA1356" i="5"/>
  <c r="AA1357" i="5"/>
  <c r="AA1358" i="5"/>
  <c r="AA1359" i="5"/>
  <c r="AA1360" i="5"/>
  <c r="AA1361" i="5"/>
  <c r="AA1362" i="5"/>
  <c r="AA1363" i="5"/>
  <c r="AA1364" i="5"/>
  <c r="AA1365" i="5"/>
  <c r="AA1366" i="5"/>
  <c r="AA1367" i="5"/>
  <c r="AA1368" i="5"/>
  <c r="AA1369" i="5"/>
  <c r="AA1370" i="5"/>
  <c r="AA6" i="5"/>
  <c r="Q22" i="5"/>
  <c r="P22" i="5"/>
  <c r="O22" i="5"/>
  <c r="N22" i="5"/>
  <c r="M22" i="5"/>
  <c r="Q21" i="5"/>
  <c r="P21" i="5"/>
  <c r="O21" i="5"/>
  <c r="N21" i="5"/>
  <c r="M21" i="5"/>
  <c r="Q20" i="5"/>
  <c r="P20" i="5"/>
  <c r="O20" i="5"/>
  <c r="N20" i="5"/>
  <c r="M20" i="5"/>
  <c r="Q19" i="5"/>
  <c r="P19" i="5"/>
  <c r="O19" i="5"/>
  <c r="N19" i="5"/>
  <c r="M19" i="5"/>
  <c r="Q18" i="5"/>
  <c r="P18" i="5"/>
  <c r="O18" i="5"/>
  <c r="N18" i="5"/>
  <c r="M18" i="5"/>
  <c r="Q17" i="5"/>
  <c r="P17" i="5"/>
  <c r="O17" i="5"/>
  <c r="N17" i="5"/>
  <c r="M17" i="5"/>
  <c r="Q16" i="5"/>
  <c r="P16" i="5"/>
  <c r="O16" i="5"/>
  <c r="N16" i="5"/>
  <c r="M16" i="5"/>
  <c r="Q15" i="5"/>
  <c r="P15" i="5"/>
  <c r="O15" i="5"/>
  <c r="N15" i="5"/>
  <c r="M15" i="5"/>
  <c r="Q14" i="5"/>
  <c r="P14" i="5"/>
  <c r="O14" i="5"/>
  <c r="N14" i="5"/>
  <c r="M14" i="5"/>
  <c r="Q13" i="5"/>
  <c r="P13" i="5"/>
  <c r="O13" i="5"/>
  <c r="N13" i="5"/>
  <c r="M13" i="5"/>
  <c r="Q12" i="5"/>
  <c r="P12" i="5"/>
  <c r="O12" i="5"/>
  <c r="N12" i="5"/>
  <c r="M12" i="5"/>
  <c r="Q11" i="5"/>
  <c r="P11" i="5"/>
  <c r="O11" i="5"/>
  <c r="N11" i="5"/>
  <c r="M11" i="5"/>
  <c r="Q10" i="5"/>
  <c r="P10" i="5"/>
  <c r="O10" i="5"/>
  <c r="N10" i="5"/>
  <c r="M10" i="5"/>
  <c r="Q9" i="5"/>
  <c r="P9" i="5"/>
  <c r="O9" i="5"/>
  <c r="N9" i="5"/>
  <c r="M9" i="5"/>
  <c r="Q8" i="5"/>
  <c r="P8" i="5"/>
  <c r="O8" i="5"/>
  <c r="N8" i="5"/>
  <c r="M8" i="5"/>
  <c r="Q7" i="5"/>
  <c r="P7" i="5"/>
  <c r="O7" i="5"/>
  <c r="N7" i="5"/>
  <c r="M7" i="5"/>
  <c r="Q6" i="5"/>
  <c r="P6" i="5"/>
  <c r="O6" i="5"/>
  <c r="N6" i="5"/>
  <c r="M6" i="5"/>
  <c r="Q5" i="5"/>
  <c r="P5" i="5"/>
  <c r="O5" i="5"/>
  <c r="N5" i="5"/>
  <c r="M5" i="5"/>
  <c r="F7" i="5"/>
  <c r="R7" i="5" s="1"/>
  <c r="F8" i="5"/>
  <c r="R8" i="5" s="1"/>
  <c r="F13" i="5"/>
  <c r="R13" i="5" s="1"/>
  <c r="F18" i="5"/>
  <c r="R18" i="5" s="1"/>
  <c r="D4" i="3"/>
  <c r="J4" i="3" s="1"/>
  <c r="L9" i="3" s="1"/>
  <c r="AB1223" i="5" l="1"/>
  <c r="AB6" i="5"/>
  <c r="G4" i="3"/>
  <c r="H4" i="3"/>
  <c r="I4" i="3"/>
  <c r="E4" i="3"/>
  <c r="F4" i="3"/>
  <c r="AB797" i="5"/>
  <c r="AB1199" i="5"/>
  <c r="AB1204" i="5"/>
  <c r="AB1098" i="5"/>
  <c r="AB1096" i="5"/>
  <c r="AB931" i="5"/>
  <c r="AB943" i="5"/>
  <c r="AB932" i="5"/>
  <c r="AB944" i="5"/>
  <c r="AB933" i="5"/>
  <c r="AB945" i="5"/>
  <c r="AB934" i="5"/>
  <c r="AB946" i="5"/>
  <c r="AB935" i="5"/>
  <c r="AB947" i="5"/>
  <c r="AB936" i="5"/>
  <c r="AB948" i="5"/>
  <c r="AB938" i="5"/>
  <c r="AB950" i="5"/>
  <c r="AB927" i="5"/>
  <c r="AB939" i="5"/>
  <c r="AB951" i="5"/>
  <c r="AB928" i="5"/>
  <c r="AB940" i="5"/>
  <c r="AB930" i="5"/>
  <c r="AB942" i="5"/>
  <c r="AB929" i="5"/>
  <c r="AB941" i="5"/>
  <c r="AB937" i="5"/>
  <c r="AB949" i="5"/>
  <c r="AB1182" i="5"/>
  <c r="AB1194" i="5"/>
  <c r="AB1183" i="5"/>
  <c r="AB1195" i="5"/>
  <c r="AB1184" i="5"/>
  <c r="AB1196" i="5"/>
  <c r="AB1185" i="5"/>
  <c r="AB1197" i="5"/>
  <c r="AB1174" i="5"/>
  <c r="AB1186" i="5"/>
  <c r="AB1198" i="5"/>
  <c r="AB1175" i="5"/>
  <c r="AB1187" i="5"/>
  <c r="AB1176" i="5"/>
  <c r="AB1188" i="5"/>
  <c r="AB1177" i="5"/>
  <c r="AB1189" i="5"/>
  <c r="AB1178" i="5"/>
  <c r="AB1190" i="5"/>
  <c r="AB1192" i="5"/>
  <c r="AB1179" i="5"/>
  <c r="AB1191" i="5"/>
  <c r="AB1180" i="5"/>
  <c r="AB1181" i="5"/>
  <c r="AB1193" i="5"/>
  <c r="AB355" i="5"/>
  <c r="AB356" i="5"/>
  <c r="AB357" i="5"/>
  <c r="AB358" i="5"/>
  <c r="AB359" i="5"/>
  <c r="AB360" i="5"/>
  <c r="AB361" i="5"/>
  <c r="AB362" i="5"/>
  <c r="AB351" i="5"/>
  <c r="AB363" i="5"/>
  <c r="AB352" i="5"/>
  <c r="AB364" i="5"/>
  <c r="AB354" i="5"/>
  <c r="AB353" i="5"/>
  <c r="AB365" i="5"/>
  <c r="AB487" i="5"/>
  <c r="AB499" i="5"/>
  <c r="AB476" i="5"/>
  <c r="AB488" i="5"/>
  <c r="AB500" i="5"/>
  <c r="AB477" i="5"/>
  <c r="AB489" i="5"/>
  <c r="AB478" i="5"/>
  <c r="AB490" i="5"/>
  <c r="AB479" i="5"/>
  <c r="AB491" i="5"/>
  <c r="AB480" i="5"/>
  <c r="AB492" i="5"/>
  <c r="AB481" i="5"/>
  <c r="AB493" i="5"/>
  <c r="AB482" i="5"/>
  <c r="AB494" i="5"/>
  <c r="AB483" i="5"/>
  <c r="AB495" i="5"/>
  <c r="AB484" i="5"/>
  <c r="AB496" i="5"/>
  <c r="AB486" i="5"/>
  <c r="AB498" i="5"/>
  <c r="AB485" i="5"/>
  <c r="AB497" i="5"/>
  <c r="AB1220" i="5"/>
  <c r="AB1221" i="5"/>
  <c r="AB1222" i="5"/>
  <c r="AB211" i="5"/>
  <c r="AB223" i="5"/>
  <c r="AB212" i="5"/>
  <c r="AB224" i="5"/>
  <c r="AB213" i="5"/>
  <c r="AB225" i="5"/>
  <c r="AB214" i="5"/>
  <c r="AB226" i="5"/>
  <c r="AB215" i="5"/>
  <c r="AB227" i="5"/>
  <c r="AB216" i="5"/>
  <c r="AB228" i="5"/>
  <c r="AB217" i="5"/>
  <c r="AB229" i="5"/>
  <c r="AB206" i="5"/>
  <c r="AB218" i="5"/>
  <c r="AB230" i="5"/>
  <c r="AB207" i="5"/>
  <c r="AB219" i="5"/>
  <c r="AB208" i="5"/>
  <c r="AB220" i="5"/>
  <c r="AB210" i="5"/>
  <c r="AB222" i="5"/>
  <c r="AB209" i="5"/>
  <c r="AB221" i="5"/>
  <c r="AB1052" i="5"/>
  <c r="AB1053" i="5"/>
  <c r="AB1054" i="5"/>
  <c r="AB1055" i="5"/>
  <c r="AB1056" i="5"/>
  <c r="AB1057" i="5"/>
  <c r="AB1058" i="5"/>
  <c r="AB1060" i="5"/>
  <c r="AB1059" i="5"/>
  <c r="AB1061" i="5"/>
  <c r="AB751" i="5"/>
  <c r="AB752" i="5"/>
  <c r="AB753" i="5"/>
  <c r="AB754" i="5"/>
  <c r="AB755" i="5"/>
  <c r="AB744" i="5"/>
  <c r="AB756" i="5"/>
  <c r="AB746" i="5"/>
  <c r="AB758" i="5"/>
  <c r="AB747" i="5"/>
  <c r="AB759" i="5"/>
  <c r="AB748" i="5"/>
  <c r="AB760" i="5"/>
  <c r="AB750" i="5"/>
  <c r="AB745" i="5"/>
  <c r="AB749" i="5"/>
  <c r="AB757" i="5"/>
  <c r="AB761" i="5"/>
  <c r="AB1338" i="5"/>
  <c r="AB1350" i="5"/>
  <c r="AB1327" i="5"/>
  <c r="AB1339" i="5"/>
  <c r="AB1351" i="5"/>
  <c r="AB1328" i="5"/>
  <c r="AB1340" i="5"/>
  <c r="AB1352" i="5"/>
  <c r="AB1329" i="5"/>
  <c r="AB1341" i="5"/>
  <c r="AB1353" i="5"/>
  <c r="AB1330" i="5"/>
  <c r="AB1342" i="5"/>
  <c r="AB1354" i="5"/>
  <c r="AB1331" i="5"/>
  <c r="AB1343" i="5"/>
  <c r="AB1332" i="5"/>
  <c r="AB1344" i="5"/>
  <c r="AB1333" i="5"/>
  <c r="AB1345" i="5"/>
  <c r="AB1357" i="5"/>
  <c r="AB1334" i="5"/>
  <c r="AB1346" i="5"/>
  <c r="AB1336" i="5"/>
  <c r="AB1335" i="5"/>
  <c r="AB1347" i="5"/>
  <c r="AB1348" i="5"/>
  <c r="AB1337" i="5"/>
  <c r="AB1349" i="5"/>
  <c r="AB811" i="5"/>
  <c r="AB823" i="5"/>
  <c r="AB812" i="5"/>
  <c r="AB824" i="5"/>
  <c r="AB813" i="5"/>
  <c r="AB825" i="5"/>
  <c r="AB802" i="5"/>
  <c r="AB814" i="5"/>
  <c r="AB826" i="5"/>
  <c r="AB803" i="5"/>
  <c r="AB815" i="5"/>
  <c r="AB804" i="5"/>
  <c r="AB816" i="5"/>
  <c r="AB806" i="5"/>
  <c r="AB818" i="5"/>
  <c r="AB807" i="5"/>
  <c r="AB819" i="5"/>
  <c r="AB808" i="5"/>
  <c r="AB820" i="5"/>
  <c r="AB810" i="5"/>
  <c r="AB822" i="5"/>
  <c r="AB809" i="5"/>
  <c r="AB817" i="5"/>
  <c r="AB821" i="5"/>
  <c r="AB805" i="5"/>
  <c r="AB655" i="5"/>
  <c r="AB656" i="5"/>
  <c r="AB657" i="5"/>
  <c r="AB658" i="5"/>
  <c r="AB659" i="5"/>
  <c r="AB660" i="5"/>
  <c r="AB662" i="5"/>
  <c r="AB651" i="5"/>
  <c r="AB663" i="5"/>
  <c r="AB652" i="5"/>
  <c r="AB664" i="5"/>
  <c r="AB654" i="5"/>
  <c r="AB653" i="5"/>
  <c r="AB661" i="5"/>
  <c r="AB31" i="5"/>
  <c r="AB43" i="5"/>
  <c r="AB55" i="5"/>
  <c r="AB32" i="5"/>
  <c r="AB44" i="5"/>
  <c r="AB33" i="5"/>
  <c r="AB45" i="5"/>
  <c r="AB34" i="5"/>
  <c r="AB46" i="5"/>
  <c r="AB35" i="5"/>
  <c r="AB47" i="5"/>
  <c r="AB36" i="5"/>
  <c r="AB48" i="5"/>
  <c r="AB37" i="5"/>
  <c r="AB49" i="5"/>
  <c r="AB38" i="5"/>
  <c r="AB50" i="5"/>
  <c r="AB39" i="5"/>
  <c r="AB51" i="5"/>
  <c r="AB40" i="5"/>
  <c r="AB52" i="5"/>
  <c r="AB42" i="5"/>
  <c r="AB54" i="5"/>
  <c r="AB41" i="5"/>
  <c r="AB53" i="5"/>
  <c r="AB883" i="5"/>
  <c r="AB895" i="5"/>
  <c r="AB884" i="5"/>
  <c r="AB896" i="5"/>
  <c r="AB885" i="5"/>
  <c r="AB897" i="5"/>
  <c r="AB886" i="5"/>
  <c r="AB898" i="5"/>
  <c r="AB887" i="5"/>
  <c r="AB899" i="5"/>
  <c r="AB888" i="5"/>
  <c r="AB900" i="5"/>
  <c r="AB878" i="5"/>
  <c r="AB890" i="5"/>
  <c r="AB879" i="5"/>
  <c r="AB891" i="5"/>
  <c r="AB880" i="5"/>
  <c r="AB892" i="5"/>
  <c r="AB882" i="5"/>
  <c r="AB894" i="5"/>
  <c r="AB881" i="5"/>
  <c r="AB889" i="5"/>
  <c r="AB893" i="5"/>
  <c r="AB901" i="5"/>
  <c r="AB877" i="5"/>
  <c r="AB607" i="5"/>
  <c r="AB619" i="5"/>
  <c r="AB608" i="5"/>
  <c r="AB620" i="5"/>
  <c r="AB609" i="5"/>
  <c r="AB621" i="5"/>
  <c r="AB610" i="5"/>
  <c r="AB622" i="5"/>
  <c r="AB611" i="5"/>
  <c r="AB623" i="5"/>
  <c r="AB612" i="5"/>
  <c r="AB624" i="5"/>
  <c r="AB602" i="5"/>
  <c r="AB614" i="5"/>
  <c r="AB603" i="5"/>
  <c r="AB615" i="5"/>
  <c r="AB604" i="5"/>
  <c r="AB616" i="5"/>
  <c r="AB606" i="5"/>
  <c r="AB618" i="5"/>
  <c r="AB601" i="5"/>
  <c r="AB605" i="5"/>
  <c r="AB613" i="5"/>
  <c r="AB617" i="5"/>
  <c r="AB625" i="5"/>
  <c r="AB1242" i="5"/>
  <c r="AB1243" i="5"/>
  <c r="AB1244" i="5"/>
  <c r="AB1245" i="5"/>
  <c r="AB1246" i="5"/>
  <c r="AB1247" i="5"/>
  <c r="AB1248" i="5"/>
  <c r="AB1249" i="5"/>
  <c r="AB1250" i="5"/>
  <c r="AB1241" i="5"/>
  <c r="AB319" i="5"/>
  <c r="AB331" i="5"/>
  <c r="AB343" i="5"/>
  <c r="AB320" i="5"/>
  <c r="AB332" i="5"/>
  <c r="AB321" i="5"/>
  <c r="AB333" i="5"/>
  <c r="AB322" i="5"/>
  <c r="AB334" i="5"/>
  <c r="AB323" i="5"/>
  <c r="AB335" i="5"/>
  <c r="AB324" i="5"/>
  <c r="AB336" i="5"/>
  <c r="AB325" i="5"/>
  <c r="AB337" i="5"/>
  <c r="AB326" i="5"/>
  <c r="AB338" i="5"/>
  <c r="AB327" i="5"/>
  <c r="AB339" i="5"/>
  <c r="AB328" i="5"/>
  <c r="AB340" i="5"/>
  <c r="AB330" i="5"/>
  <c r="AB342" i="5"/>
  <c r="AB329" i="5"/>
  <c r="AB341" i="5"/>
  <c r="AB1134" i="5"/>
  <c r="AB1146" i="5"/>
  <c r="AB1135" i="5"/>
  <c r="AB1147" i="5"/>
  <c r="AB1136" i="5"/>
  <c r="AB1148" i="5"/>
  <c r="AB1137" i="5"/>
  <c r="AB1138" i="5"/>
  <c r="AB1139" i="5"/>
  <c r="AB1140" i="5"/>
  <c r="AB1141" i="5"/>
  <c r="AB1142" i="5"/>
  <c r="AB1144" i="5"/>
  <c r="AB1143" i="5"/>
  <c r="AB1145" i="5"/>
  <c r="AB1278" i="5"/>
  <c r="AB1279" i="5"/>
  <c r="AB1280" i="5"/>
  <c r="AB1281" i="5"/>
  <c r="AB1270" i="5"/>
  <c r="AB1282" i="5"/>
  <c r="AB1271" i="5"/>
  <c r="AB1283" i="5"/>
  <c r="AB1272" i="5"/>
  <c r="AB1284" i="5"/>
  <c r="AB1273" i="5"/>
  <c r="AB1285" i="5"/>
  <c r="AB1274" i="5"/>
  <c r="AB1286" i="5"/>
  <c r="AB1288" i="5"/>
  <c r="AB1275" i="5"/>
  <c r="AB1287" i="5"/>
  <c r="AB1276" i="5"/>
  <c r="AB1277" i="5"/>
  <c r="AB1289" i="5"/>
  <c r="AB427" i="5"/>
  <c r="AB439" i="5"/>
  <c r="AB428" i="5"/>
  <c r="AB440" i="5"/>
  <c r="AB429" i="5"/>
  <c r="AB441" i="5"/>
  <c r="AB430" i="5"/>
  <c r="AB442" i="5"/>
  <c r="AB431" i="5"/>
  <c r="AB443" i="5"/>
  <c r="AB432" i="5"/>
  <c r="AB444" i="5"/>
  <c r="AB433" i="5"/>
  <c r="AB445" i="5"/>
  <c r="AB434" i="5"/>
  <c r="AB446" i="5"/>
  <c r="AB435" i="5"/>
  <c r="AB447" i="5"/>
  <c r="AB436" i="5"/>
  <c r="AB448" i="5"/>
  <c r="AB426" i="5"/>
  <c r="AB438" i="5"/>
  <c r="AB450" i="5"/>
  <c r="AB449" i="5"/>
  <c r="AB437" i="5"/>
  <c r="AB1211" i="5"/>
  <c r="AB1212" i="5"/>
  <c r="AB1213" i="5"/>
  <c r="AB1214" i="5"/>
  <c r="AB1216" i="5"/>
  <c r="AB1215" i="5"/>
  <c r="AB163" i="5"/>
  <c r="AB175" i="5"/>
  <c r="AB164" i="5"/>
  <c r="AB176" i="5"/>
  <c r="AB165" i="5"/>
  <c r="AB177" i="5"/>
  <c r="AB166" i="5"/>
  <c r="AB178" i="5"/>
  <c r="AB167" i="5"/>
  <c r="AB179" i="5"/>
  <c r="AB156" i="5"/>
  <c r="AB168" i="5"/>
  <c r="AB180" i="5"/>
  <c r="AB157" i="5"/>
  <c r="AB169" i="5"/>
  <c r="AB158" i="5"/>
  <c r="AB170" i="5"/>
  <c r="AB159" i="5"/>
  <c r="AB171" i="5"/>
  <c r="AB160" i="5"/>
  <c r="AB172" i="5"/>
  <c r="AB162" i="5"/>
  <c r="AB174" i="5"/>
  <c r="AB161" i="5"/>
  <c r="AB173" i="5"/>
  <c r="AB1003" i="5"/>
  <c r="AB1015" i="5"/>
  <c r="AB1004" i="5"/>
  <c r="AB1016" i="5"/>
  <c r="AB1005" i="5"/>
  <c r="AB1017" i="5"/>
  <c r="AB1006" i="5"/>
  <c r="AB1018" i="5"/>
  <c r="AB1007" i="5"/>
  <c r="AB1019" i="5"/>
  <c r="AB1008" i="5"/>
  <c r="AB1020" i="5"/>
  <c r="AB1010" i="5"/>
  <c r="AB1022" i="5"/>
  <c r="AB1011" i="5"/>
  <c r="AB1023" i="5"/>
  <c r="AB1012" i="5"/>
  <c r="AB1024" i="5"/>
  <c r="AB1002" i="5"/>
  <c r="AB1014" i="5"/>
  <c r="AB1026" i="5"/>
  <c r="AB1025" i="5"/>
  <c r="AB1009" i="5"/>
  <c r="AB1013" i="5"/>
  <c r="AB1021" i="5"/>
  <c r="AB715" i="5"/>
  <c r="AB727" i="5"/>
  <c r="AB739" i="5"/>
  <c r="AB716" i="5"/>
  <c r="AB728" i="5"/>
  <c r="AB717" i="5"/>
  <c r="AB729" i="5"/>
  <c r="AB718" i="5"/>
  <c r="AB730" i="5"/>
  <c r="AB719" i="5"/>
  <c r="AB731" i="5"/>
  <c r="AB720" i="5"/>
  <c r="AB732" i="5"/>
  <c r="AB722" i="5"/>
  <c r="AB734" i="5"/>
  <c r="AB723" i="5"/>
  <c r="AB735" i="5"/>
  <c r="AB724" i="5"/>
  <c r="AB736" i="5"/>
  <c r="AB726" i="5"/>
  <c r="AB738" i="5"/>
  <c r="AB737" i="5"/>
  <c r="AB721" i="5"/>
  <c r="AB725" i="5"/>
  <c r="AB733" i="5"/>
  <c r="AB1326" i="5"/>
  <c r="AB1322" i="5"/>
  <c r="AB1323" i="5"/>
  <c r="AB1324" i="5"/>
  <c r="AB1325" i="5"/>
  <c r="AB91" i="5"/>
  <c r="AB103" i="5"/>
  <c r="AB92" i="5"/>
  <c r="AB104" i="5"/>
  <c r="AB81" i="5"/>
  <c r="AB93" i="5"/>
  <c r="AB105" i="5"/>
  <c r="AB82" i="5"/>
  <c r="AB94" i="5"/>
  <c r="AB83" i="5"/>
  <c r="AB95" i="5"/>
  <c r="AB84" i="5"/>
  <c r="AB96" i="5"/>
  <c r="AB85" i="5"/>
  <c r="AB97" i="5"/>
  <c r="AB86" i="5"/>
  <c r="AB98" i="5"/>
  <c r="AB87" i="5"/>
  <c r="AB99" i="5"/>
  <c r="AB88" i="5"/>
  <c r="AB100" i="5"/>
  <c r="AB90" i="5"/>
  <c r="AB102" i="5"/>
  <c r="AB89" i="5"/>
  <c r="AB101" i="5"/>
  <c r="AB835" i="5"/>
  <c r="AB847" i="5"/>
  <c r="AB836" i="5"/>
  <c r="AB848" i="5"/>
  <c r="AB837" i="5"/>
  <c r="AB849" i="5"/>
  <c r="AB838" i="5"/>
  <c r="AB850" i="5"/>
  <c r="AB827" i="5"/>
  <c r="AB839" i="5"/>
  <c r="AB851" i="5"/>
  <c r="AB828" i="5"/>
  <c r="AB840" i="5"/>
  <c r="AB830" i="5"/>
  <c r="AB842" i="5"/>
  <c r="AB831" i="5"/>
  <c r="AB843" i="5"/>
  <c r="AB832" i="5"/>
  <c r="AB844" i="5"/>
  <c r="AB834" i="5"/>
  <c r="AB846" i="5"/>
  <c r="AB829" i="5"/>
  <c r="AB833" i="5"/>
  <c r="AB841" i="5"/>
  <c r="AB845" i="5"/>
  <c r="AB559" i="5"/>
  <c r="AB571" i="5"/>
  <c r="AB560" i="5"/>
  <c r="AB572" i="5"/>
  <c r="AB561" i="5"/>
  <c r="AB573" i="5"/>
  <c r="AB562" i="5"/>
  <c r="AB574" i="5"/>
  <c r="AB551" i="5"/>
  <c r="AB563" i="5"/>
  <c r="AB575" i="5"/>
  <c r="AB552" i="5"/>
  <c r="AB564" i="5"/>
  <c r="AB553" i="5"/>
  <c r="AB565" i="5"/>
  <c r="AB554" i="5"/>
  <c r="AB566" i="5"/>
  <c r="AB555" i="5"/>
  <c r="AB567" i="5"/>
  <c r="AB556" i="5"/>
  <c r="AB568" i="5"/>
  <c r="AB558" i="5"/>
  <c r="AB570" i="5"/>
  <c r="AB557" i="5"/>
  <c r="AB569" i="5"/>
  <c r="AB1231" i="5"/>
  <c r="AB1232" i="5"/>
  <c r="AB1233" i="5"/>
  <c r="AB1234" i="5"/>
  <c r="AB1235" i="5"/>
  <c r="AB1236" i="5"/>
  <c r="AB1237" i="5"/>
  <c r="AB1238" i="5"/>
  <c r="AB1240" i="5"/>
  <c r="AB1239" i="5"/>
  <c r="AB271" i="5"/>
  <c r="AB283" i="5"/>
  <c r="AB272" i="5"/>
  <c r="AB284" i="5"/>
  <c r="AB273" i="5"/>
  <c r="AB285" i="5"/>
  <c r="AB274" i="5"/>
  <c r="AB286" i="5"/>
  <c r="AB275" i="5"/>
  <c r="AB287" i="5"/>
  <c r="AB276" i="5"/>
  <c r="AB288" i="5"/>
  <c r="AB277" i="5"/>
  <c r="AB289" i="5"/>
  <c r="AB278" i="5"/>
  <c r="AB290" i="5"/>
  <c r="AB279" i="5"/>
  <c r="AB291" i="5"/>
  <c r="AB280" i="5"/>
  <c r="AB292" i="5"/>
  <c r="AB270" i="5"/>
  <c r="AB282" i="5"/>
  <c r="AB281" i="5"/>
  <c r="AB269" i="5"/>
  <c r="AB293" i="5"/>
  <c r="AB1110" i="5"/>
  <c r="AB1122" i="5"/>
  <c r="AB1111" i="5"/>
  <c r="AB1123" i="5"/>
  <c r="AB1112" i="5"/>
  <c r="AB1124" i="5"/>
  <c r="AB1113" i="5"/>
  <c r="AB1125" i="5"/>
  <c r="AB1114" i="5"/>
  <c r="AB1126" i="5"/>
  <c r="AB1115" i="5"/>
  <c r="AB1127" i="5"/>
  <c r="AB1116" i="5"/>
  <c r="AB1128" i="5"/>
  <c r="AB1105" i="5"/>
  <c r="AB1117" i="5"/>
  <c r="AB1129" i="5"/>
  <c r="AB1106" i="5"/>
  <c r="AB1118" i="5"/>
  <c r="AB1108" i="5"/>
  <c r="AB1107" i="5"/>
  <c r="AB1119" i="5"/>
  <c r="AB1120" i="5"/>
  <c r="AB1109" i="5"/>
  <c r="AB1121" i="5"/>
  <c r="AB1218" i="5"/>
  <c r="AB1219" i="5"/>
  <c r="AB1217" i="5"/>
  <c r="AB115" i="5"/>
  <c r="AB127" i="5"/>
  <c r="AB116" i="5"/>
  <c r="AB128" i="5"/>
  <c r="AB117" i="5"/>
  <c r="AB129" i="5"/>
  <c r="AB106" i="5"/>
  <c r="AB118" i="5"/>
  <c r="AB130" i="5"/>
  <c r="AB107" i="5"/>
  <c r="AB119" i="5"/>
  <c r="AB108" i="5"/>
  <c r="AB120" i="5"/>
  <c r="AB109" i="5"/>
  <c r="AB121" i="5"/>
  <c r="AB110" i="5"/>
  <c r="AB122" i="5"/>
  <c r="AB111" i="5"/>
  <c r="AB123" i="5"/>
  <c r="AB112" i="5"/>
  <c r="AB124" i="5"/>
  <c r="AB114" i="5"/>
  <c r="AB126" i="5"/>
  <c r="AB113" i="5"/>
  <c r="AB125" i="5"/>
  <c r="AB955" i="5"/>
  <c r="AB967" i="5"/>
  <c r="AB956" i="5"/>
  <c r="AB968" i="5"/>
  <c r="AB957" i="5"/>
  <c r="AB969" i="5"/>
  <c r="AB958" i="5"/>
  <c r="AB970" i="5"/>
  <c r="AB959" i="5"/>
  <c r="AB971" i="5"/>
  <c r="AB960" i="5"/>
  <c r="AB972" i="5"/>
  <c r="AB962" i="5"/>
  <c r="AB974" i="5"/>
  <c r="AB963" i="5"/>
  <c r="AB975" i="5"/>
  <c r="AB952" i="5"/>
  <c r="AB964" i="5"/>
  <c r="AB976" i="5"/>
  <c r="AB954" i="5"/>
  <c r="AB966" i="5"/>
  <c r="AB953" i="5"/>
  <c r="AB961" i="5"/>
  <c r="AB965" i="5"/>
  <c r="AB973" i="5"/>
  <c r="AB667" i="5"/>
  <c r="AB679" i="5"/>
  <c r="AB668" i="5"/>
  <c r="AB680" i="5"/>
  <c r="AB669" i="5"/>
  <c r="AB681" i="5"/>
  <c r="AB670" i="5"/>
  <c r="AB682" i="5"/>
  <c r="AB671" i="5"/>
  <c r="AB683" i="5"/>
  <c r="AB672" i="5"/>
  <c r="AB684" i="5"/>
  <c r="AB674" i="5"/>
  <c r="AB686" i="5"/>
  <c r="AB675" i="5"/>
  <c r="AB687" i="5"/>
  <c r="AB676" i="5"/>
  <c r="AB688" i="5"/>
  <c r="AB666" i="5"/>
  <c r="AB678" i="5"/>
  <c r="AB665" i="5"/>
  <c r="AB673" i="5"/>
  <c r="AB677" i="5"/>
  <c r="AB685" i="5"/>
  <c r="AB689" i="5"/>
  <c r="AB1314" i="5"/>
  <c r="AB1315" i="5"/>
  <c r="AB1316" i="5"/>
  <c r="AB1317" i="5"/>
  <c r="AB1318" i="5"/>
  <c r="AB1319" i="5"/>
  <c r="AB1308" i="5"/>
  <c r="AB1320" i="5"/>
  <c r="AB1309" i="5"/>
  <c r="AB1321" i="5"/>
  <c r="AB1310" i="5"/>
  <c r="AB1312" i="5"/>
  <c r="AB1311" i="5"/>
  <c r="AB1313" i="5"/>
  <c r="AB367" i="5"/>
  <c r="AB379" i="5"/>
  <c r="AB368" i="5"/>
  <c r="AB380" i="5"/>
  <c r="AB369" i="5"/>
  <c r="AB381" i="5"/>
  <c r="AB370" i="5"/>
  <c r="AB382" i="5"/>
  <c r="AB371" i="5"/>
  <c r="AB383" i="5"/>
  <c r="AB372" i="5"/>
  <c r="AB384" i="5"/>
  <c r="AB373" i="5"/>
  <c r="AB385" i="5"/>
  <c r="AB374" i="5"/>
  <c r="AB386" i="5"/>
  <c r="AB375" i="5"/>
  <c r="AB387" i="5"/>
  <c r="AB376" i="5"/>
  <c r="AB388" i="5"/>
  <c r="AB366" i="5"/>
  <c r="AB378" i="5"/>
  <c r="AB390" i="5"/>
  <c r="AB377" i="5"/>
  <c r="AB389" i="5"/>
  <c r="AB1206" i="5"/>
  <c r="AB1207" i="5"/>
  <c r="AB1208" i="5"/>
  <c r="AB1209" i="5"/>
  <c r="AB1210" i="5"/>
  <c r="AB511" i="5"/>
  <c r="AB523" i="5"/>
  <c r="AB512" i="5"/>
  <c r="AB524" i="5"/>
  <c r="AB501" i="5"/>
  <c r="AB513" i="5"/>
  <c r="AB525" i="5"/>
  <c r="AB502" i="5"/>
  <c r="AB514" i="5"/>
  <c r="AB503" i="5"/>
  <c r="AB515" i="5"/>
  <c r="AB504" i="5"/>
  <c r="AB516" i="5"/>
  <c r="AB505" i="5"/>
  <c r="AB517" i="5"/>
  <c r="AB506" i="5"/>
  <c r="AB518" i="5"/>
  <c r="AB507" i="5"/>
  <c r="AB519" i="5"/>
  <c r="AB508" i="5"/>
  <c r="AB520" i="5"/>
  <c r="AB510" i="5"/>
  <c r="AB522" i="5"/>
  <c r="AB509" i="5"/>
  <c r="AB521" i="5"/>
  <c r="AB235" i="5"/>
  <c r="AB247" i="5"/>
  <c r="AB236" i="5"/>
  <c r="AB248" i="5"/>
  <c r="AB237" i="5"/>
  <c r="AB249" i="5"/>
  <c r="AB238" i="5"/>
  <c r="AB250" i="5"/>
  <c r="AB239" i="5"/>
  <c r="AB251" i="5"/>
  <c r="AB240" i="5"/>
  <c r="AB252" i="5"/>
  <c r="AB241" i="5"/>
  <c r="AB253" i="5"/>
  <c r="AB242" i="5"/>
  <c r="AB254" i="5"/>
  <c r="AB231" i="5"/>
  <c r="AB243" i="5"/>
  <c r="AB255" i="5"/>
  <c r="AB232" i="5"/>
  <c r="AB244" i="5"/>
  <c r="AB234" i="5"/>
  <c r="AB246" i="5"/>
  <c r="AB233" i="5"/>
  <c r="AB245" i="5"/>
  <c r="AB1062" i="5"/>
  <c r="AB1074" i="5"/>
  <c r="AB1086" i="5"/>
  <c r="AB1063" i="5"/>
  <c r="AB1075" i="5"/>
  <c r="AB1064" i="5"/>
  <c r="AB1076" i="5"/>
  <c r="AB1065" i="5"/>
  <c r="AB1077" i="5"/>
  <c r="AB1066" i="5"/>
  <c r="AB1078" i="5"/>
  <c r="AB1067" i="5"/>
  <c r="AB1079" i="5"/>
  <c r="AB1068" i="5"/>
  <c r="AB1080" i="5"/>
  <c r="AB1069" i="5"/>
  <c r="AB1081" i="5"/>
  <c r="AB1070" i="5"/>
  <c r="AB1082" i="5"/>
  <c r="AB1084" i="5"/>
  <c r="AB1071" i="5"/>
  <c r="AB1083" i="5"/>
  <c r="AB1072" i="5"/>
  <c r="AB1073" i="5"/>
  <c r="AB1085" i="5"/>
  <c r="AB763" i="5"/>
  <c r="AB775" i="5"/>
  <c r="AB764" i="5"/>
  <c r="AB776" i="5"/>
  <c r="AB765" i="5"/>
  <c r="AB777" i="5"/>
  <c r="AB766" i="5"/>
  <c r="AB778" i="5"/>
  <c r="AB767" i="5"/>
  <c r="AB779" i="5"/>
  <c r="AB768" i="5"/>
  <c r="AB780" i="5"/>
  <c r="AB770" i="5"/>
  <c r="AB782" i="5"/>
  <c r="AB771" i="5"/>
  <c r="AB783" i="5"/>
  <c r="AB772" i="5"/>
  <c r="AB784" i="5"/>
  <c r="AB762" i="5"/>
  <c r="AB774" i="5"/>
  <c r="AB786" i="5"/>
  <c r="AB769" i="5"/>
  <c r="AB773" i="5"/>
  <c r="AB781" i="5"/>
  <c r="AB785" i="5"/>
  <c r="AB67" i="5"/>
  <c r="AB79" i="5"/>
  <c r="AB56" i="5"/>
  <c r="AB68" i="5"/>
  <c r="AB80" i="5"/>
  <c r="AB57" i="5"/>
  <c r="AB69" i="5"/>
  <c r="AB58" i="5"/>
  <c r="AB70" i="5"/>
  <c r="AB59" i="5"/>
  <c r="AB71" i="5"/>
  <c r="AB60" i="5"/>
  <c r="AB72" i="5"/>
  <c r="AB61" i="5"/>
  <c r="AB73" i="5"/>
  <c r="AB62" i="5"/>
  <c r="AB74" i="5"/>
  <c r="AB63" i="5"/>
  <c r="AB75" i="5"/>
  <c r="AB64" i="5"/>
  <c r="AB76" i="5"/>
  <c r="AB66" i="5"/>
  <c r="AB78" i="5"/>
  <c r="AB65" i="5"/>
  <c r="AB77" i="5"/>
  <c r="AB907" i="5"/>
  <c r="AB919" i="5"/>
  <c r="AB908" i="5"/>
  <c r="AB920" i="5"/>
  <c r="AB909" i="5"/>
  <c r="AB921" i="5"/>
  <c r="AB910" i="5"/>
  <c r="AB922" i="5"/>
  <c r="AB911" i="5"/>
  <c r="AB923" i="5"/>
  <c r="AB912" i="5"/>
  <c r="AB924" i="5"/>
  <c r="AB902" i="5"/>
  <c r="AB914" i="5"/>
  <c r="AB926" i="5"/>
  <c r="AB903" i="5"/>
  <c r="AB915" i="5"/>
  <c r="AB904" i="5"/>
  <c r="AB916" i="5"/>
  <c r="AB906" i="5"/>
  <c r="AB918" i="5"/>
  <c r="AB905" i="5"/>
  <c r="AB913" i="5"/>
  <c r="AB917" i="5"/>
  <c r="AB925" i="5"/>
  <c r="AB631" i="5"/>
  <c r="AB643" i="5"/>
  <c r="AB632" i="5"/>
  <c r="AB644" i="5"/>
  <c r="AB633" i="5"/>
  <c r="AB645" i="5"/>
  <c r="AB634" i="5"/>
  <c r="AB646" i="5"/>
  <c r="AB635" i="5"/>
  <c r="AB647" i="5"/>
  <c r="AB636" i="5"/>
  <c r="AB648" i="5"/>
  <c r="AB626" i="5"/>
  <c r="AB638" i="5"/>
  <c r="AB650" i="5"/>
  <c r="AB627" i="5"/>
  <c r="AB639" i="5"/>
  <c r="AB628" i="5"/>
  <c r="AB640" i="5"/>
  <c r="AB630" i="5"/>
  <c r="AB642" i="5"/>
  <c r="AB629" i="5"/>
  <c r="AB637" i="5"/>
  <c r="AB641" i="5"/>
  <c r="AB649" i="5"/>
  <c r="AB1254" i="5"/>
  <c r="AB1266" i="5"/>
  <c r="AB1255" i="5"/>
  <c r="AB1267" i="5"/>
  <c r="AB1256" i="5"/>
  <c r="AB1268" i="5"/>
  <c r="AB1257" i="5"/>
  <c r="AB1269" i="5"/>
  <c r="AB1258" i="5"/>
  <c r="AB1259" i="5"/>
  <c r="AB1260" i="5"/>
  <c r="AB1261" i="5"/>
  <c r="AB1262" i="5"/>
  <c r="AB1264" i="5"/>
  <c r="AB1251" i="5"/>
  <c r="AB1263" i="5"/>
  <c r="AB1252" i="5"/>
  <c r="AB1253" i="5"/>
  <c r="AB1265" i="5"/>
  <c r="AB344" i="5"/>
  <c r="AB345" i="5"/>
  <c r="AB346" i="5"/>
  <c r="AB347" i="5"/>
  <c r="AB348" i="5"/>
  <c r="AB349" i="5"/>
  <c r="AB350" i="5"/>
  <c r="AB1158" i="5"/>
  <c r="AB1170" i="5"/>
  <c r="AB1159" i="5"/>
  <c r="AB1171" i="5"/>
  <c r="AB1160" i="5"/>
  <c r="AB1172" i="5"/>
  <c r="AB1149" i="5"/>
  <c r="AB1161" i="5"/>
  <c r="AB1173" i="5"/>
  <c r="AB1150" i="5"/>
  <c r="AB1162" i="5"/>
  <c r="AB1151" i="5"/>
  <c r="AB1163" i="5"/>
  <c r="AB1152" i="5"/>
  <c r="AB1164" i="5"/>
  <c r="AB1153" i="5"/>
  <c r="AB1165" i="5"/>
  <c r="AB1154" i="5"/>
  <c r="AB1166" i="5"/>
  <c r="AB1168" i="5"/>
  <c r="AB1155" i="5"/>
  <c r="AB1167" i="5"/>
  <c r="AB1156" i="5"/>
  <c r="AB1157" i="5"/>
  <c r="AB1169" i="5"/>
  <c r="AB451" i="5"/>
  <c r="AB463" i="5"/>
  <c r="AB475" i="5"/>
  <c r="AB452" i="5"/>
  <c r="AB464" i="5"/>
  <c r="AB453" i="5"/>
  <c r="AB465" i="5"/>
  <c r="AB454" i="5"/>
  <c r="AB466" i="5"/>
  <c r="AB455" i="5"/>
  <c r="AB467" i="5"/>
  <c r="AB456" i="5"/>
  <c r="AB468" i="5"/>
  <c r="AB457" i="5"/>
  <c r="AB469" i="5"/>
  <c r="AB458" i="5"/>
  <c r="AB470" i="5"/>
  <c r="AB459" i="5"/>
  <c r="AB471" i="5"/>
  <c r="AB460" i="5"/>
  <c r="AB472" i="5"/>
  <c r="AB462" i="5"/>
  <c r="AB474" i="5"/>
  <c r="AB461" i="5"/>
  <c r="AB473" i="5"/>
  <c r="AB1224" i="5"/>
  <c r="AB1225" i="5"/>
  <c r="AB1226" i="5"/>
  <c r="AB1227" i="5"/>
  <c r="AB1228" i="5"/>
  <c r="AB187" i="5"/>
  <c r="AB199" i="5"/>
  <c r="AB188" i="5"/>
  <c r="AB200" i="5"/>
  <c r="AB189" i="5"/>
  <c r="AB201" i="5"/>
  <c r="AB190" i="5"/>
  <c r="AB202" i="5"/>
  <c r="AB191" i="5"/>
  <c r="AB203" i="5"/>
  <c r="AB192" i="5"/>
  <c r="AB204" i="5"/>
  <c r="AB181" i="5"/>
  <c r="AB193" i="5"/>
  <c r="AB205" i="5"/>
  <c r="AB182" i="5"/>
  <c r="AB194" i="5"/>
  <c r="AB183" i="5"/>
  <c r="AB195" i="5"/>
  <c r="AB184" i="5"/>
  <c r="AB196" i="5"/>
  <c r="AB186" i="5"/>
  <c r="AB198" i="5"/>
  <c r="AB185" i="5"/>
  <c r="AB197" i="5"/>
  <c r="AB1038" i="5"/>
  <c r="AB1050" i="5"/>
  <c r="AB1027" i="5"/>
  <c r="AB1039" i="5"/>
  <c r="AB1051" i="5"/>
  <c r="AB1028" i="5"/>
  <c r="AB1040" i="5"/>
  <c r="AB1029" i="5"/>
  <c r="AB1041" i="5"/>
  <c r="AB1030" i="5"/>
  <c r="AB1042" i="5"/>
  <c r="AB1031" i="5"/>
  <c r="AB1043" i="5"/>
  <c r="AB1032" i="5"/>
  <c r="AB1044" i="5"/>
  <c r="AB1033" i="5"/>
  <c r="AB1045" i="5"/>
  <c r="AB1034" i="5"/>
  <c r="AB1046" i="5"/>
  <c r="AB1036" i="5"/>
  <c r="AB1035" i="5"/>
  <c r="AB1047" i="5"/>
  <c r="AB1048" i="5"/>
  <c r="AB1037" i="5"/>
  <c r="AB1049" i="5"/>
  <c r="AB740" i="5"/>
  <c r="AB741" i="5"/>
  <c r="AB742" i="5"/>
  <c r="AB743" i="5"/>
  <c r="AB1362" i="5"/>
  <c r="AB1363" i="5"/>
  <c r="AB1364" i="5"/>
  <c r="AB1365" i="5"/>
  <c r="AB1366" i="5"/>
  <c r="AB1355" i="5"/>
  <c r="AB1367" i="5"/>
  <c r="AB1356" i="5"/>
  <c r="AB1368" i="5"/>
  <c r="AB1369" i="5"/>
  <c r="AB1358" i="5"/>
  <c r="AB1370" i="5"/>
  <c r="AB1360" i="5"/>
  <c r="AB1359" i="5"/>
  <c r="AB1361" i="5"/>
  <c r="AB7" i="5"/>
  <c r="AB19" i="5"/>
  <c r="AB8" i="5"/>
  <c r="AB20" i="5"/>
  <c r="AB9" i="5"/>
  <c r="AB21" i="5"/>
  <c r="AB10" i="5"/>
  <c r="AB22" i="5"/>
  <c r="AB11" i="5"/>
  <c r="AB23" i="5"/>
  <c r="AB12" i="5"/>
  <c r="AB24" i="5"/>
  <c r="AB13" i="5"/>
  <c r="AB25" i="5"/>
  <c r="AB14" i="5"/>
  <c r="AB26" i="5"/>
  <c r="AB15" i="5"/>
  <c r="AB27" i="5"/>
  <c r="AB16" i="5"/>
  <c r="AB28" i="5"/>
  <c r="AB18" i="5"/>
  <c r="AB30" i="5"/>
  <c r="AB17" i="5"/>
  <c r="AB29" i="5"/>
  <c r="AB859" i="5"/>
  <c r="AB871" i="5"/>
  <c r="AB860" i="5"/>
  <c r="AB872" i="5"/>
  <c r="AB861" i="5"/>
  <c r="AB873" i="5"/>
  <c r="AB862" i="5"/>
  <c r="AB874" i="5"/>
  <c r="AB863" i="5"/>
  <c r="AB875" i="5"/>
  <c r="AB852" i="5"/>
  <c r="AB864" i="5"/>
  <c r="AB876" i="5"/>
  <c r="AB854" i="5"/>
  <c r="AB866" i="5"/>
  <c r="AB855" i="5"/>
  <c r="AB867" i="5"/>
  <c r="AB856" i="5"/>
  <c r="AB868" i="5"/>
  <c r="AB858" i="5"/>
  <c r="AB870" i="5"/>
  <c r="AB853" i="5"/>
  <c r="AB857" i="5"/>
  <c r="AB865" i="5"/>
  <c r="AB869" i="5"/>
  <c r="AB583" i="5"/>
  <c r="AB595" i="5"/>
  <c r="AB584" i="5"/>
  <c r="AB596" i="5"/>
  <c r="AB585" i="5"/>
  <c r="AB597" i="5"/>
  <c r="AB586" i="5"/>
  <c r="AB598" i="5"/>
  <c r="AB587" i="5"/>
  <c r="AB599" i="5"/>
  <c r="AB576" i="5"/>
  <c r="AB588" i="5"/>
  <c r="AB600" i="5"/>
  <c r="AB577" i="5"/>
  <c r="AB589" i="5"/>
  <c r="AB578" i="5"/>
  <c r="AB590" i="5"/>
  <c r="AB579" i="5"/>
  <c r="AB591" i="5"/>
  <c r="AB580" i="5"/>
  <c r="AB592" i="5"/>
  <c r="AB582" i="5"/>
  <c r="AB594" i="5"/>
  <c r="AB593" i="5"/>
  <c r="AB581" i="5"/>
  <c r="AB1230" i="5"/>
  <c r="AB1229" i="5"/>
  <c r="AB295" i="5"/>
  <c r="AB307" i="5"/>
  <c r="AB296" i="5"/>
  <c r="AB308" i="5"/>
  <c r="AB297" i="5"/>
  <c r="AB309" i="5"/>
  <c r="AB298" i="5"/>
  <c r="AB310" i="5"/>
  <c r="AB299" i="5"/>
  <c r="AB311" i="5"/>
  <c r="AB300" i="5"/>
  <c r="AB312" i="5"/>
  <c r="AB301" i="5"/>
  <c r="AB313" i="5"/>
  <c r="AB302" i="5"/>
  <c r="AB314" i="5"/>
  <c r="AB303" i="5"/>
  <c r="AB315" i="5"/>
  <c r="AB304" i="5"/>
  <c r="AB316" i="5"/>
  <c r="AB294" i="5"/>
  <c r="AB306" i="5"/>
  <c r="AB318" i="5"/>
  <c r="AB305" i="5"/>
  <c r="AB317" i="5"/>
  <c r="AB1130" i="5"/>
  <c r="AB1131" i="5"/>
  <c r="AB1132" i="5"/>
  <c r="AB1133" i="5"/>
  <c r="AB403" i="5"/>
  <c r="AB415" i="5"/>
  <c r="AB404" i="5"/>
  <c r="AB416" i="5"/>
  <c r="AB405" i="5"/>
  <c r="AB417" i="5"/>
  <c r="AB406" i="5"/>
  <c r="AB418" i="5"/>
  <c r="AB407" i="5"/>
  <c r="AB419" i="5"/>
  <c r="AB408" i="5"/>
  <c r="AB420" i="5"/>
  <c r="AB409" i="5"/>
  <c r="AB421" i="5"/>
  <c r="AB410" i="5"/>
  <c r="AB422" i="5"/>
  <c r="AB411" i="5"/>
  <c r="AB423" i="5"/>
  <c r="AB412" i="5"/>
  <c r="AB424" i="5"/>
  <c r="AB402" i="5"/>
  <c r="AB414" i="5"/>
  <c r="AB425" i="5"/>
  <c r="AB401" i="5"/>
  <c r="AB413" i="5"/>
  <c r="AB139" i="5"/>
  <c r="AB151" i="5"/>
  <c r="AB140" i="5"/>
  <c r="AB152" i="5"/>
  <c r="AB141" i="5"/>
  <c r="AB153" i="5"/>
  <c r="AB142" i="5"/>
  <c r="AB154" i="5"/>
  <c r="AB131" i="5"/>
  <c r="AB143" i="5"/>
  <c r="AB155" i="5"/>
  <c r="AB132" i="5"/>
  <c r="AB144" i="5"/>
  <c r="AB133" i="5"/>
  <c r="AB145" i="5"/>
  <c r="AB134" i="5"/>
  <c r="AB146" i="5"/>
  <c r="AB135" i="5"/>
  <c r="AB147" i="5"/>
  <c r="AB136" i="5"/>
  <c r="AB148" i="5"/>
  <c r="AB138" i="5"/>
  <c r="AB150" i="5"/>
  <c r="AB137" i="5"/>
  <c r="AB149" i="5"/>
  <c r="AB979" i="5"/>
  <c r="AB991" i="5"/>
  <c r="AB980" i="5"/>
  <c r="AB992" i="5"/>
  <c r="AB981" i="5"/>
  <c r="AB993" i="5"/>
  <c r="AB982" i="5"/>
  <c r="AB994" i="5"/>
  <c r="AB983" i="5"/>
  <c r="AB995" i="5"/>
  <c r="AB984" i="5"/>
  <c r="AB996" i="5"/>
  <c r="AB986" i="5"/>
  <c r="AB998" i="5"/>
  <c r="AB987" i="5"/>
  <c r="AB999" i="5"/>
  <c r="AB988" i="5"/>
  <c r="AB1000" i="5"/>
  <c r="AB978" i="5"/>
  <c r="AB990" i="5"/>
  <c r="AB977" i="5"/>
  <c r="AB985" i="5"/>
  <c r="AB989" i="5"/>
  <c r="AB997" i="5"/>
  <c r="AB1001" i="5"/>
  <c r="AB691" i="5"/>
  <c r="AB703" i="5"/>
  <c r="AB692" i="5"/>
  <c r="AB704" i="5"/>
  <c r="AB693" i="5"/>
  <c r="AB705" i="5"/>
  <c r="AB694" i="5"/>
  <c r="AB706" i="5"/>
  <c r="AB695" i="5"/>
  <c r="AB707" i="5"/>
  <c r="AB696" i="5"/>
  <c r="AB708" i="5"/>
  <c r="AB698" i="5"/>
  <c r="AB710" i="5"/>
  <c r="AB699" i="5"/>
  <c r="AB711" i="5"/>
  <c r="AB700" i="5"/>
  <c r="AB712" i="5"/>
  <c r="AB690" i="5"/>
  <c r="AB702" i="5"/>
  <c r="AB714" i="5"/>
  <c r="AB697" i="5"/>
  <c r="AB701" i="5"/>
  <c r="AB709" i="5"/>
  <c r="AB713" i="5"/>
  <c r="AB1290" i="5"/>
  <c r="AB1302" i="5"/>
  <c r="AB1291" i="5"/>
  <c r="AB1303" i="5"/>
  <c r="AB1292" i="5"/>
  <c r="AB1304" i="5"/>
  <c r="AB1293" i="5"/>
  <c r="AB1305" i="5"/>
  <c r="AB1294" i="5"/>
  <c r="AB1306" i="5"/>
  <c r="AB1295" i="5"/>
  <c r="AB1307" i="5"/>
  <c r="AB1296" i="5"/>
  <c r="AB1297" i="5"/>
  <c r="AB1298" i="5"/>
  <c r="AB1299" i="5"/>
  <c r="AB1300" i="5"/>
  <c r="AB1301" i="5"/>
  <c r="AB391" i="5"/>
  <c r="AB392" i="5"/>
  <c r="AB393" i="5"/>
  <c r="AB394" i="5"/>
  <c r="AB395" i="5"/>
  <c r="AB396" i="5"/>
  <c r="AB397" i="5"/>
  <c r="AB398" i="5"/>
  <c r="AB399" i="5"/>
  <c r="AB400" i="5"/>
  <c r="AB787" i="5"/>
  <c r="AB799" i="5"/>
  <c r="AB788" i="5"/>
  <c r="AB800" i="5"/>
  <c r="AB789" i="5"/>
  <c r="AB801" i="5"/>
  <c r="AB790" i="5"/>
  <c r="AB791" i="5"/>
  <c r="AB792" i="5"/>
  <c r="AB794" i="5"/>
  <c r="AB795" i="5"/>
  <c r="AB796" i="5"/>
  <c r="AB798" i="5"/>
  <c r="AB259" i="5"/>
  <c r="AB260" i="5"/>
  <c r="AB261" i="5"/>
  <c r="AB262" i="5"/>
  <c r="AB263" i="5"/>
  <c r="AB264" i="5"/>
  <c r="AB265" i="5"/>
  <c r="AB266" i="5"/>
  <c r="AB267" i="5"/>
  <c r="AB256" i="5"/>
  <c r="AB268" i="5"/>
  <c r="AB258" i="5"/>
  <c r="AB535" i="5"/>
  <c r="AB547" i="5"/>
  <c r="AB536" i="5"/>
  <c r="AB548" i="5"/>
  <c r="AB537" i="5"/>
  <c r="AB549" i="5"/>
  <c r="AB526" i="5"/>
  <c r="AB538" i="5"/>
  <c r="AB550" i="5"/>
  <c r="AB527" i="5"/>
  <c r="AB539" i="5"/>
  <c r="AB528" i="5"/>
  <c r="AB540" i="5"/>
  <c r="AB529" i="5"/>
  <c r="AB541" i="5"/>
  <c r="AB530" i="5"/>
  <c r="AB542" i="5"/>
  <c r="AB531" i="5"/>
  <c r="AB543" i="5"/>
  <c r="AB532" i="5"/>
  <c r="AB544" i="5"/>
  <c r="AB534" i="5"/>
  <c r="AB546" i="5"/>
  <c r="AB1205" i="5"/>
  <c r="AB1097" i="5"/>
  <c r="AB1203" i="5"/>
  <c r="AB1095" i="5"/>
  <c r="AB793" i="5"/>
  <c r="AB1202" i="5"/>
  <c r="AB1094" i="5"/>
  <c r="AB545" i="5"/>
  <c r="AB257" i="5"/>
  <c r="AB1201" i="5"/>
  <c r="AB1093" i="5"/>
  <c r="AB533" i="5"/>
  <c r="AB1200" i="5"/>
  <c r="AB1104" i="5"/>
  <c r="AB1092" i="5"/>
  <c r="AB1103" i="5"/>
  <c r="AB1091" i="5"/>
  <c r="AB1102" i="5"/>
  <c r="AB1090" i="5"/>
  <c r="AB1101" i="5"/>
  <c r="AB1089" i="5"/>
  <c r="AB1100" i="5"/>
  <c r="AB1088" i="5"/>
  <c r="AB1099" i="5"/>
  <c r="AB1087" i="5"/>
  <c r="L6" i="3" l="1"/>
  <c r="L5" i="3" l="1"/>
  <c r="L7" i="3"/>
  <c r="F10" i="5" l="1"/>
  <c r="R10" i="5" s="1"/>
  <c r="F16" i="5"/>
  <c r="R16" i="5" s="1"/>
  <c r="F5" i="5"/>
  <c r="R5" i="5" s="1"/>
  <c r="F21" i="5"/>
  <c r="R21" i="5" s="1"/>
  <c r="F12" i="5"/>
  <c r="R12" i="5" s="1"/>
  <c r="F22" i="5"/>
  <c r="R22" i="5" s="1"/>
  <c r="F9" i="5"/>
  <c r="R9" i="5" s="1"/>
  <c r="F19" i="5"/>
  <c r="R19" i="5" s="1"/>
  <c r="F15" i="5"/>
  <c r="R15" i="5" s="1"/>
  <c r="F6" i="5"/>
  <c r="R6" i="5" s="1"/>
  <c r="F14" i="5"/>
  <c r="R14" i="5" s="1"/>
  <c r="F11" i="5"/>
  <c r="R11" i="5" s="1"/>
  <c r="F17" i="5"/>
  <c r="R17" i="5" s="1"/>
  <c r="F20" i="5"/>
  <c r="R20" i="5" s="1"/>
  <c r="S20" i="5" l="1"/>
  <c r="S10" i="5"/>
  <c r="S11" i="5"/>
  <c r="S8" i="5"/>
  <c r="S19" i="5"/>
  <c r="S14" i="5"/>
  <c r="S9" i="5"/>
  <c r="S15" i="5"/>
  <c r="S22" i="5"/>
  <c r="S6" i="5"/>
  <c r="S16" i="5"/>
  <c r="S12" i="5"/>
  <c r="S7" i="5"/>
  <c r="L8" i="3"/>
  <c r="S17" i="5"/>
  <c r="S5" i="5"/>
  <c r="S18" i="5"/>
  <c r="S13" i="5"/>
  <c r="S21" i="5"/>
  <c r="V7" i="5" l="1"/>
  <c r="V6" i="5"/>
  <c r="V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05278B-1D34-41D5-93D1-BC09CCD70BC9}" name="equipment" type="4" refreshedVersion="0" background="1">
    <webPr xml="1" sourceData="1" parsePre="1" consecutive="1" url="E:\x1-data\trunk\excel\xml模板\equipment.xml" htmlTables="1"/>
  </connection>
  <connection id="2" xr16:uid="{4D4E0438-229F-4154-9E4D-EDAC53C0D013}" name="equipment_slot" type="4" refreshedVersion="0" background="1">
    <webPr xml="1" sourceData="1" parsePre="1" consecutive="1" url="E:\x1-data\trunk\excel\xml模板\equipment_slot.xml" htmlTables="1"/>
  </connection>
  <connection id="3" xr16:uid="{F7539850-6445-41E7-A7A6-322460C95D10}" name="equipment_slot1" type="4" refreshedVersion="0" background="1">
    <webPr xml="1" sourceData="1" url="E:\x1-data\trunk\excel\xml模板\equipment_slot.xml" htmlTables="1" htmlFormat="all"/>
  </connection>
  <connection id="4" xr16:uid="{EBF51C7B-72E6-49A5-B72A-A0950DBA5192}" name="equipment1" type="4" refreshedVersion="0" background="1">
    <webPr xml="1" sourceData="1" url="E:\x1-data\trunk\excel\xml模板\equipment.xml" htmlTables="1" htmlFormat="all"/>
  </connection>
  <connection id="5" xr16:uid="{502B328F-93E0-4701-868E-DC111620FD39}" name="equipment10" type="4" refreshedVersion="0" background="1">
    <webPr xml="1" sourceData="1" url="E:\svvdata\trunk\excel\xml模板\equipment.xml" htmlTables="1" htmlFormat="all"/>
  </connection>
  <connection id="6" xr16:uid="{5A71E6BF-44C5-43CE-B851-AECF2414FEC9}" name="equipment11" type="4" refreshedVersion="0" background="1">
    <webPr xml="1" sourceData="1" url="E:\svvdata\trunk\excel\xml模板\equipment.xml" htmlTables="1" htmlFormat="all"/>
  </connection>
  <connection id="7" xr16:uid="{C0EE6EAD-95B7-4F56-B88E-49DBE335293E}" name="equipment12" type="4" refreshedVersion="0" background="1">
    <webPr xml="1" sourceData="1" url="E:\svvdata\trunk\excel\xml模板\equipment.xml" htmlTables="1" htmlFormat="all"/>
  </connection>
  <connection id="8" xr16:uid="{70ECBDA1-6E43-4527-B2F2-17C3C23AC06E}" name="equipment13" type="4" refreshedVersion="0" background="1">
    <webPr xml="1" sourceData="1" url="E:\svvdata\trunk\excel\xml模板\equipment.xml" htmlTables="1" htmlFormat="all"/>
  </connection>
  <connection id="9" xr16:uid="{0C32BB3E-7C3A-459B-B408-D46D862A6CD3}" name="equipment14" type="4" refreshedVersion="0" background="1">
    <webPr xml="1" sourceData="1" url="G:\survivors\data\trunk\excel\xml模板\equipment.xml" htmlTables="1" htmlFormat="all"/>
  </connection>
  <connection id="10" xr16:uid="{DEDE7C7D-2697-45FB-8711-0CE0C64A9C28}" name="equipment15" type="4" refreshedVersion="0" background="1">
    <webPr xml="1" sourceData="1" url="E:\svvdata\trunk\excel\xml模板\equipment.xml" htmlTables="1" htmlFormat="all"/>
  </connection>
  <connection id="11" xr16:uid="{E8EE87F3-306D-4C90-B262-256DEBC0908E}" name="equipment16" type="4" refreshedVersion="0" background="1">
    <webPr xml="1" sourceData="1" url="D:\x1\data\trunk\excel\xml模板\equipment.xml" htmlTables="1" htmlFormat="all"/>
  </connection>
  <connection id="12" xr16:uid="{4796E932-2BF4-484C-AAD4-F184855E97EC}" name="equipment17" type="4" refreshedVersion="0" background="1">
    <webPr xml="1" sourceData="1" url="G:\survivors\data\trunk\excel\xml模板\equipment.xml" htmlTables="1" htmlFormat="all"/>
  </connection>
  <connection id="13" xr16:uid="{C713170E-6C19-400A-A071-407A66C6DDDA}" name="equipment18" type="4" refreshedVersion="0" background="1">
    <webPr xml="1" sourceData="1" url="G:\survivors\data\trunk\excel\xml模板\equipment.xml" htmlTables="1" htmlFormat="all"/>
  </connection>
  <connection id="14" xr16:uid="{E79355E9-5440-4D2F-B5B6-1591A2FEE9BB}" name="equipment19" type="4" refreshedVersion="0" background="1">
    <webPr xml="1" sourceData="1" url="G:\survivors\data\trunk\excel\xml模板\equipment.xml" htmlTables="1" htmlFormat="all"/>
  </connection>
  <connection id="15" xr16:uid="{F9D5E22F-9ECE-4557-B4E6-A721BFE61D89}" name="equipment2" type="4" refreshedVersion="0" background="1">
    <webPr xml="1" sourceData="1" url="E:\x1-data\trunk\excel\xml模板\equipment.xml" htmlTables="1" htmlFormat="all"/>
  </connection>
  <connection id="16" xr16:uid="{FA4DE629-9A40-4CC5-818C-5C555F859C85}" name="equipment20" type="4" refreshedVersion="0" background="1">
    <webPr xml="1" sourceData="1" url="G:\survivors\data\trunk\excel\xml模板\equipment.xml" htmlTables="1" htmlFormat="all"/>
  </connection>
  <connection id="17" xr16:uid="{7D2789DD-17CE-4FA9-9A5F-CA6C1AB4055B}" name="equipment3" type="4" refreshedVersion="0" background="1">
    <webPr xml="1" sourceData="1" url="E:\x1-data\trunk\excel\xml模板\equipment.xml" htmlTables="1" htmlFormat="all"/>
  </connection>
  <connection id="18" xr16:uid="{E963929E-8153-46FD-A26E-E6AFEC8B6279}" name="equipment4" type="4" refreshedVersion="0" background="1">
    <webPr xml="1" sourceData="1" url="E:\svvdata\trunk\excel\xml模板\equipment.xml" htmlTables="1" htmlFormat="all"/>
  </connection>
  <connection id="19" xr16:uid="{CE200DEA-21AF-415C-A880-EB77F3BCBF16}" name="equipment5" type="4" refreshedVersion="0" background="1">
    <webPr xml="1" sourceData="1" url="D:\x1\data\trunk\excel\xml模板\equipment.xml" htmlTables="1" htmlFormat="all"/>
  </connection>
  <connection id="20" xr16:uid="{AB1FDB75-3AFA-4369-A177-0FB8781468FE}" name="equipment6" type="4" refreshedVersion="0" background="1">
    <webPr xml="1" sourceData="1" url="D:\x1\data\trunk\excel\xml模板\equipment.xml" htmlTables="1" htmlFormat="all"/>
  </connection>
  <connection id="21" xr16:uid="{4D39030C-0284-4CD6-8160-CA323585AB3C}" name="equipment7" type="4" refreshedVersion="0" background="1">
    <webPr xml="1" sourceData="1" url="D:\x1\data\trunk\excel\xml模板\equipment.xml" htmlTables="1" htmlFormat="all"/>
  </connection>
  <connection id="22" xr16:uid="{8743D43F-308C-44DF-A5A9-026372F72F34}" name="equipment8" type="4" refreshedVersion="0" background="1">
    <webPr xml="1" sourceData="1" url="G:\survivors相关\data\trunk\excel\xml模板\equipment.xml" htmlTables="1" htmlFormat="all"/>
  </connection>
  <connection id="23" xr16:uid="{DF89D2F9-7A21-4A24-8503-4C1BF2EDE7D3}" name="equipment9" type="4" refreshedVersion="0" background="1">
    <webPr xml="1" sourceData="1" url="D:\survivorsdata\trunk\excel\xml模板\equipment.xml" htmlTables="1" htmlFormat="all"/>
  </connection>
  <connection id="24" xr16:uid="{BEA7877A-B947-4EC2-A5BD-D506ECCD1D68}" name="set_equip" type="4" refreshedVersion="0" background="1">
    <webPr xml="1" sourceData="1" url="D:\x1\data\trunk\excel\xml模板\set_equip.xml" htmlTables="1" htmlFormat="all"/>
  </connection>
  <connection id="25" xr16:uid="{29945713-8EF0-41CE-8ADB-1CC227F68D36}" name="set_equip1" type="4" refreshedVersion="0" background="1">
    <webPr xml="1" sourceData="1" url="D:\survivorsdata\trunk\excel\xml模板\set_equip.xml" htmlTables="1" htmlFormat="all"/>
  </connection>
</connections>
</file>

<file path=xl/sharedStrings.xml><?xml version="1.0" encoding="utf-8"?>
<sst xmlns="http://schemas.openxmlformats.org/spreadsheetml/2006/main" count="8076" uniqueCount="4924">
  <si>
    <t>id_i</t>
  </si>
  <si>
    <t>name_i</t>
  </si>
  <si>
    <t>rarity_i</t>
  </si>
  <si>
    <t>装备名称</t>
    <phoneticPr fontId="1" type="noConversion"/>
  </si>
  <si>
    <t>装备图标</t>
    <phoneticPr fontId="1" type="noConversion"/>
  </si>
  <si>
    <t>装备描述</t>
    <phoneticPr fontId="1" type="noConversion"/>
  </si>
  <si>
    <t>掉落模型</t>
    <phoneticPr fontId="1" type="noConversion"/>
  </si>
  <si>
    <t>掉落音效</t>
    <phoneticPr fontId="1" type="noConversion"/>
  </si>
  <si>
    <t>拾取音效</t>
    <phoneticPr fontId="1" type="noConversion"/>
  </si>
  <si>
    <t>type_i</t>
  </si>
  <si>
    <t>desc_i</t>
  </si>
  <si>
    <t>base_attri_m</t>
  </si>
  <si>
    <t>weight_i</t>
  </si>
  <si>
    <t>dropsound_i</t>
  </si>
  <si>
    <t>dropmodel_i</t>
  </si>
  <si>
    <t>vocation_i</t>
  </si>
  <si>
    <r>
      <rPr>
        <b/>
        <sz val="11"/>
        <color theme="1"/>
        <rFont val="等线"/>
        <family val="3"/>
        <charset val="134"/>
        <scheme val="minor"/>
      </rPr>
      <t>装备技能</t>
    </r>
    <r>
      <rPr>
        <sz val="11"/>
        <color theme="1"/>
        <rFont val="等线"/>
        <family val="2"/>
        <scheme val="minor"/>
      </rPr>
      <t xml:space="preserve">
武器上自带的主动技能ID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</si>
  <si>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职业限制</t>
    </r>
    <r>
      <rPr>
        <sz val="11"/>
        <color theme="1"/>
        <rFont val="等线"/>
        <family val="2"/>
        <scheme val="minor"/>
      </rPr>
      <t xml:space="preserve">
0或不填-无限制
1-野蛮人
2-女巫
3-圣骑士
4-死灵法师
5-游侠
6-刺客
7-死亡骑士
8-萨满</t>
    </r>
    <phoneticPr fontId="1" type="noConversion"/>
  </si>
  <si>
    <t>占用物品栏
宽度</t>
  </si>
  <si>
    <t>占用物品栏
高度</t>
  </si>
  <si>
    <t>invwidth_i</t>
  </si>
  <si>
    <t>invheight_i</t>
  </si>
  <si>
    <t>单手斧</t>
  </si>
  <si>
    <t>单手锤</t>
  </si>
  <si>
    <t>匕首</t>
  </si>
  <si>
    <t>双手剑</t>
  </si>
  <si>
    <t>双手斧</t>
  </si>
  <si>
    <t>双手锤</t>
  </si>
  <si>
    <t>法杖</t>
  </si>
  <si>
    <t>弓</t>
  </si>
  <si>
    <t>长柄武器</t>
  </si>
  <si>
    <r>
      <t xml:space="preserve">武器攻速
</t>
    </r>
    <r>
      <rPr>
        <sz val="11"/>
        <color theme="1"/>
        <rFont val="等线"/>
        <family val="3"/>
        <charset val="134"/>
        <scheme val="minor"/>
      </rPr>
      <t>攻击间隔(MS)</t>
    </r>
    <phoneticPr fontId="1" type="noConversion"/>
  </si>
  <si>
    <r>
      <t xml:space="preserve">装备重量
</t>
    </r>
    <r>
      <rPr>
        <sz val="11"/>
        <color theme="1"/>
        <rFont val="等线"/>
        <family val="3"/>
        <charset val="134"/>
        <scheme val="minor"/>
      </rPr>
      <t>（待定）</t>
    </r>
    <phoneticPr fontId="1" type="noConversion"/>
  </si>
  <si>
    <t>武器</t>
    <phoneticPr fontId="1" type="noConversion"/>
  </si>
  <si>
    <t>防具</t>
    <phoneticPr fontId="1" type="noConversion"/>
  </si>
  <si>
    <t>首饰</t>
    <phoneticPr fontId="1" type="noConversion"/>
  </si>
  <si>
    <t>盾牌</t>
    <phoneticPr fontId="1" type="noConversion"/>
  </si>
  <si>
    <t>头盔</t>
    <phoneticPr fontId="1" type="noConversion"/>
  </si>
  <si>
    <t>衣服</t>
    <phoneticPr fontId="1" type="noConversion"/>
  </si>
  <si>
    <t>手套</t>
    <phoneticPr fontId="1" type="noConversion"/>
  </si>
  <si>
    <t>鞋子</t>
    <phoneticPr fontId="1" type="noConversion"/>
  </si>
  <si>
    <t>腰带</t>
    <phoneticPr fontId="1" type="noConversion"/>
  </si>
  <si>
    <t>项链</t>
    <phoneticPr fontId="1" type="noConversion"/>
  </si>
  <si>
    <t>戒指</t>
    <phoneticPr fontId="1" type="noConversion"/>
  </si>
  <si>
    <t>单手剑</t>
    <phoneticPr fontId="1" type="noConversion"/>
  </si>
  <si>
    <t>0:0</t>
    <phoneticPr fontId="1" type="noConversion"/>
  </si>
  <si>
    <t>穿戴模型</t>
    <phoneticPr fontId="1" type="noConversion"/>
  </si>
  <si>
    <t>weapon_atkspeed_i</t>
  </si>
  <si>
    <t>wearmodel_i</t>
  </si>
  <si>
    <t>equip_i</t>
  </si>
  <si>
    <t>slot_l</t>
  </si>
  <si>
    <t>流水号</t>
    <phoneticPr fontId="1" type="noConversion"/>
  </si>
  <si>
    <t>可装备的槽位编号</t>
    <phoneticPr fontId="1" type="noConversion"/>
  </si>
  <si>
    <t>导出为equipment_slot.xml</t>
    <phoneticPr fontId="1" type="noConversion"/>
  </si>
  <si>
    <t>1-单手剑</t>
  </si>
  <si>
    <t>2-单手斧</t>
  </si>
  <si>
    <t>3-单手锤</t>
  </si>
  <si>
    <t>4-匕首</t>
  </si>
  <si>
    <t>5-双手剑</t>
  </si>
  <si>
    <t>6-双手斧</t>
  </si>
  <si>
    <t>7-双手锤</t>
  </si>
  <si>
    <t>8-法杖</t>
  </si>
  <si>
    <t>9-弓</t>
  </si>
  <si>
    <t>10-长柄</t>
  </si>
  <si>
    <t>11-盾牌</t>
  </si>
  <si>
    <t>21-头盔</t>
  </si>
  <si>
    <t>22-衣服</t>
  </si>
  <si>
    <t>23-手套</t>
  </si>
  <si>
    <t>24-鞋子</t>
  </si>
  <si>
    <t>25-腰带</t>
  </si>
  <si>
    <t>31-项链</t>
  </si>
  <si>
    <t>32-戒指</t>
  </si>
  <si>
    <t>6,7</t>
    <phoneticPr fontId="1" type="noConversion"/>
  </si>
  <si>
    <t>4,5</t>
  </si>
  <si>
    <t>4,5</t>
    <phoneticPr fontId="1" type="noConversion"/>
  </si>
  <si>
    <t>装备表类型</t>
    <phoneticPr fontId="1" type="noConversion"/>
  </si>
  <si>
    <t>1-单手武器
2-双手武器</t>
    <phoneticPr fontId="1" type="noConversion"/>
  </si>
  <si>
    <t>hands_i</t>
  </si>
  <si>
    <t>chinese_i</t>
  </si>
  <si>
    <t>affix_attri_n</t>
  </si>
  <si>
    <t>词缀中文id</t>
    <phoneticPr fontId="1" type="noConversion"/>
  </si>
  <si>
    <r>
      <t xml:space="preserve">词缀属性
</t>
    </r>
    <r>
      <rPr>
        <sz val="11"/>
        <color theme="1"/>
        <rFont val="等线"/>
        <family val="3"/>
        <charset val="134"/>
        <scheme val="minor"/>
      </rPr>
      <t>1:属性表--id,min,max
2:buff--id
3:passive--id
4:bd--id</t>
    </r>
    <phoneticPr fontId="1" type="noConversion"/>
  </si>
  <si>
    <t xml:space="preserve">道具ID
1~9999
装备ID
10000+
</t>
    <phoneticPr fontId="1" type="noConversion"/>
  </si>
  <si>
    <t>火炬</t>
    <phoneticPr fontId="1" type="noConversion"/>
  </si>
  <si>
    <t>99-火炬</t>
    <phoneticPr fontId="1" type="noConversion"/>
  </si>
  <si>
    <t>0:0</t>
  </si>
  <si>
    <t>0</t>
    <phoneticPr fontId="1" type="noConversion"/>
  </si>
  <si>
    <t>是否可丢弃
1-不可丢弃
0或不填可丢弃</t>
    <phoneticPr fontId="1" type="noConversion"/>
  </si>
  <si>
    <t>chance_i</t>
  </si>
  <si>
    <t>discard_i</t>
  </si>
  <si>
    <r>
      <rPr>
        <b/>
        <sz val="11"/>
        <color theme="1"/>
        <rFont val="等线"/>
        <family val="3"/>
        <charset val="134"/>
        <scheme val="minor"/>
      </rPr>
      <t>装备buff</t>
    </r>
    <r>
      <rPr>
        <sz val="11"/>
        <color theme="1"/>
        <rFont val="等线"/>
        <family val="3"/>
        <charset val="134"/>
        <scheme val="minor"/>
      </rPr>
      <t xml:space="preserve">
自带buff
火炬开关会导致buff上或者下</t>
    </r>
    <phoneticPr fontId="1" type="noConversion"/>
  </si>
  <si>
    <t>equipment.xml</t>
    <phoneticPr fontId="1" type="noConversion"/>
  </si>
  <si>
    <r>
      <t xml:space="preserve">随机词缀的类
</t>
    </r>
    <r>
      <rPr>
        <sz val="11"/>
        <color theme="1"/>
        <rFont val="等线"/>
        <family val="3"/>
        <charset val="134"/>
        <scheme val="minor"/>
      </rPr>
      <t>填id表示允许出现这些类别</t>
    </r>
    <phoneticPr fontId="1" type="noConversion"/>
  </si>
  <si>
    <t>item_affix_l</t>
  </si>
  <si>
    <t>0</t>
  </si>
  <si>
    <t>装备基础价格</t>
    <phoneticPr fontId="1" type="noConversion"/>
  </si>
  <si>
    <t>base_price_i</t>
  </si>
  <si>
    <t>gamble_chance_i</t>
  </si>
  <si>
    <t>shop_chance_i</t>
  </si>
  <si>
    <t>基础火炬</t>
    <phoneticPr fontId="1" type="noConversion"/>
  </si>
  <si>
    <t>烈焰火炬</t>
    <phoneticPr fontId="1" type="noConversion"/>
  </si>
  <si>
    <t>冰火炬</t>
    <phoneticPr fontId="1" type="noConversion"/>
  </si>
  <si>
    <t>雷火炬</t>
    <phoneticPr fontId="1" type="noConversion"/>
  </si>
  <si>
    <t>暗影火炬</t>
    <phoneticPr fontId="1" type="noConversion"/>
  </si>
  <si>
    <t>毒火炬</t>
    <phoneticPr fontId="1" type="noConversion"/>
  </si>
  <si>
    <t>品质</t>
    <phoneticPr fontId="1" type="noConversion"/>
  </si>
  <si>
    <t>焚灵之杖</t>
  </si>
  <si>
    <t>灰烬使者</t>
  </si>
  <si>
    <t>Ashen Invoker</t>
  </si>
  <si>
    <t>时间之杖</t>
  </si>
  <si>
    <t>Chronomancer's Staff</t>
  </si>
  <si>
    <t>骸骨主宰</t>
  </si>
  <si>
    <t>Master of Bones</t>
  </si>
  <si>
    <t>瘟毒之杖</t>
  </si>
  <si>
    <t>Plaguebearer’s Staff</t>
  </si>
  <si>
    <t>混沌挽歌</t>
  </si>
  <si>
    <t>Requiem of Chaos</t>
  </si>
  <si>
    <t>群星之怒</t>
  </si>
  <si>
    <t>Fury of the Stars</t>
  </si>
  <si>
    <t>冰魄之刃</t>
  </si>
  <si>
    <t>Frostfang</t>
  </si>
  <si>
    <t>血契之刃</t>
  </si>
  <si>
    <t>血痕之刃</t>
  </si>
  <si>
    <t>Blade of the Bloodstained</t>
  </si>
  <si>
    <t>恒辉之刃</t>
  </si>
  <si>
    <t>Eternal Radiance Blade</t>
  </si>
  <si>
    <t>陨星之刃</t>
  </si>
  <si>
    <t>Meteorfall</t>
  </si>
  <si>
    <t>鲜血预兆</t>
  </si>
  <si>
    <t>Blood Omen</t>
  </si>
  <si>
    <t>湮灭之刺</t>
  </si>
  <si>
    <t>Sting of Annihilation</t>
  </si>
  <si>
    <t>剧毒之刺</t>
  </si>
  <si>
    <t>Venomspike</t>
  </si>
  <si>
    <t>血焰之牙</t>
  </si>
  <si>
    <t>Fangs of the Bloodflame</t>
  </si>
  <si>
    <t>影疾之刃</t>
  </si>
  <si>
    <t>Shadowfang</t>
  </si>
  <si>
    <t>腐毒之刺</t>
  </si>
  <si>
    <t>雷霆之斧</t>
  </si>
  <si>
    <t>失心屠戮者</t>
  </si>
  <si>
    <t>焰寒斧</t>
  </si>
  <si>
    <t>裂颅者</t>
  </si>
  <si>
    <t>毁灭之锋</t>
  </si>
  <si>
    <t>Edge of Destruction</t>
  </si>
  <si>
    <t>巨人杀手</t>
  </si>
  <si>
    <t>狱炎重剑</t>
  </si>
  <si>
    <t>冰狱重剑</t>
  </si>
  <si>
    <t>Frostbound Blade</t>
  </si>
  <si>
    <t>魔像戟</t>
  </si>
  <si>
    <t>猎神之弓</t>
  </si>
  <si>
    <t>Bow of the Godhunter</t>
  </si>
  <si>
    <t>连锁之弓</t>
  </si>
  <si>
    <t>Chainshot Bow</t>
  </si>
  <si>
    <t>贯穿之弓</t>
  </si>
  <si>
    <t>Bow of Piercing Eternity</t>
  </si>
  <si>
    <t>焚界弓</t>
  </si>
  <si>
    <t>Bow of Scorching Worlds</t>
  </si>
  <si>
    <t>深渊引路者</t>
  </si>
  <si>
    <t>Harbinger of the Abyss</t>
  </si>
  <si>
    <t>破军弦歌</t>
  </si>
  <si>
    <t>Battlecaller’s String</t>
  </si>
  <si>
    <t>饮血者的轻语</t>
  </si>
  <si>
    <t>Whisper of the Bloodseeker</t>
  </si>
  <si>
    <t>追风行者</t>
  </si>
  <si>
    <t>Windswift Strider</t>
  </si>
  <si>
    <t>冰雷之眼</t>
  </si>
  <si>
    <t>Eye of Frost and Thunder</t>
  </si>
  <si>
    <t>绝对壁垒</t>
  </si>
  <si>
    <t>符文之壁</t>
  </si>
  <si>
    <t>Wall of Runes</t>
  </si>
  <si>
    <t>生命共鸣</t>
  </si>
  <si>
    <t>Resonance of Life</t>
  </si>
  <si>
    <t>冰晶守护</t>
  </si>
  <si>
    <t>Frostguard Shield</t>
  </si>
  <si>
    <t>荆棘誓约</t>
  </si>
  <si>
    <t>Thorned Vow</t>
  </si>
  <si>
    <t>战吼之墙</t>
  </si>
  <si>
    <t>Wall of the Battlecry</t>
  </si>
  <si>
    <t>燃灵壁垒</t>
  </si>
  <si>
    <t>Soulfire Bulwark</t>
  </si>
  <si>
    <t>破碎之盾</t>
  </si>
  <si>
    <t>Shield of the Fallen</t>
  </si>
  <si>
    <t>生命之盾</t>
  </si>
  <si>
    <t>Shield of Life</t>
  </si>
  <si>
    <t>烈焰庇护</t>
  </si>
  <si>
    <t>Sanctuary of Flame</t>
  </si>
  <si>
    <t>永恒之视</t>
  </si>
  <si>
    <t>Helm of Eternal Vigilance</t>
  </si>
  <si>
    <t>殉战之冠</t>
  </si>
  <si>
    <t>元素灼魂</t>
  </si>
  <si>
    <t>夜影兜帽</t>
  </si>
  <si>
    <t>Hood of the Nightshade</t>
  </si>
  <si>
    <t>苍空之冠</t>
  </si>
  <si>
    <t>金缕帽</t>
  </si>
  <si>
    <t>极地皮帽</t>
  </si>
  <si>
    <t>荆棘之冠</t>
  </si>
  <si>
    <t>猎鹰之冕</t>
  </si>
  <si>
    <t>Crown of the Falcon</t>
  </si>
  <si>
    <t>诅咒祭司的覆面</t>
  </si>
  <si>
    <t>Mask of the Cursed Priest</t>
  </si>
  <si>
    <t>元素贤者之冠</t>
  </si>
  <si>
    <t>Crown of the Elemental Sage</t>
  </si>
  <si>
    <t>火焰假面</t>
  </si>
  <si>
    <t>寒霜之盔</t>
  </si>
  <si>
    <t>Helm of Frost Warden</t>
  </si>
  <si>
    <t>荆棘三元面具</t>
  </si>
  <si>
    <t>Thorned Mask of Trinity</t>
  </si>
  <si>
    <t>钢铁意志战盔</t>
  </si>
  <si>
    <t>Battlehelm of Iron Will</t>
  </si>
  <si>
    <t>亡者守护之盔</t>
  </si>
  <si>
    <t>Helm of Undead Guardians</t>
  </si>
  <si>
    <t>元素假面</t>
  </si>
  <si>
    <t>不动如山</t>
  </si>
  <si>
    <t>Mountain's Resolve</t>
  </si>
  <si>
    <t>思维窃取之面</t>
  </si>
  <si>
    <t>Mind Reaver</t>
  </si>
  <si>
    <t>荆棘宝甲</t>
  </si>
  <si>
    <t>Armor of Thorns</t>
  </si>
  <si>
    <t>贪婪之拥</t>
  </si>
  <si>
    <t>Embrace of Greed</t>
  </si>
  <si>
    <t>无头骑士的战铠</t>
  </si>
  <si>
    <t>猎影之甲</t>
  </si>
  <si>
    <t>Shadowstalker Plate</t>
  </si>
  <si>
    <t>寂静壁垒</t>
  </si>
  <si>
    <t>风行外袍</t>
  </si>
  <si>
    <t>Windswept Cloak</t>
  </si>
  <si>
    <t>钢铁屏障</t>
  </si>
  <si>
    <t>Iron Bastion</t>
  </si>
  <si>
    <t>烈焰之袍</t>
  </si>
  <si>
    <t>Infernal Mantle</t>
  </si>
  <si>
    <t>星辰之袍</t>
  </si>
  <si>
    <t>祖灵之袍</t>
  </si>
  <si>
    <t>Ancestor's Robes</t>
  </si>
  <si>
    <t>堕影披风</t>
  </si>
  <si>
    <t>Shadowbind Mantle</t>
  </si>
  <si>
    <t>渎圣战铠</t>
  </si>
  <si>
    <t>Desecrator's Plate</t>
  </si>
  <si>
    <t>虚空壁垒</t>
  </si>
  <si>
    <t>Voidward Aegis</t>
  </si>
  <si>
    <t>灵魂屏障</t>
  </si>
  <si>
    <t>Soulbound Vestment</t>
  </si>
  <si>
    <t>冰息</t>
  </si>
  <si>
    <t>Breath of Frost</t>
  </si>
  <si>
    <t>虚空灵脊甲</t>
  </si>
  <si>
    <t>Aegis of the Void Spine</t>
  </si>
  <si>
    <t>雷霆咏叹</t>
  </si>
  <si>
    <t>Thunder Hymn</t>
  </si>
  <si>
    <t>元素湮灭者</t>
  </si>
  <si>
    <t>Annihilator of Elements</t>
  </si>
  <si>
    <t>星界湮灭外袍</t>
  </si>
  <si>
    <t>Stellar Annihilation Robes</t>
  </si>
  <si>
    <t>冻结大地</t>
  </si>
  <si>
    <t>Frostbound</t>
  </si>
  <si>
    <t>Stormstride Boots</t>
  </si>
  <si>
    <t>火灵护足</t>
  </si>
  <si>
    <t>Flametouched Boots</t>
  </si>
  <si>
    <t>Shoes of Divine Speed</t>
  </si>
  <si>
    <t>血刃足甲</t>
  </si>
  <si>
    <t>Bloodedge Greaves</t>
  </si>
  <si>
    <t>巨人胫甲</t>
  </si>
  <si>
    <t>Path of Starlight</t>
  </si>
  <si>
    <t>轻风足履</t>
  </si>
  <si>
    <t>Breezestep Shoes</t>
  </si>
  <si>
    <t>疾掷行靴</t>
  </si>
  <si>
    <t>Swiftcast Boots</t>
  </si>
  <si>
    <t>龙炎短靴</t>
  </si>
  <si>
    <t>Dragonflame Boots</t>
  </si>
  <si>
    <t>毒影足履</t>
  </si>
  <si>
    <t>Venomshade Boots</t>
  </si>
  <si>
    <t>灵动短靴</t>
  </si>
  <si>
    <t>Shoes of Agility</t>
  </si>
  <si>
    <t>风行者之步</t>
  </si>
  <si>
    <t>绝地魔履</t>
  </si>
  <si>
    <t>Voidwalker Boots</t>
  </si>
  <si>
    <t>Tactical Stride</t>
  </si>
  <si>
    <t>狂焰战靴</t>
  </si>
  <si>
    <t>Berserker’s Flame Boots</t>
  </si>
  <si>
    <t>Flame Warden</t>
  </si>
  <si>
    <t>Thunderrush</t>
  </si>
  <si>
    <t>巨人之握</t>
  </si>
  <si>
    <t>巨力腕甲</t>
  </si>
  <si>
    <t>疾风手套</t>
  </si>
  <si>
    <t>Gloves of the Gale</t>
  </si>
  <si>
    <t>鹰之爪</t>
  </si>
  <si>
    <t>猎宝手套</t>
  </si>
  <si>
    <t>reasure Hunter's Gloves</t>
  </si>
  <si>
    <t>暴击之爪</t>
  </si>
  <si>
    <t>旧神之触手</t>
  </si>
  <si>
    <t>Tentacles of the Old Gods</t>
  </si>
  <si>
    <t>Blood Plague Gloves</t>
  </si>
  <si>
    <t>灵魂之手</t>
  </si>
  <si>
    <t>工匠师手套</t>
  </si>
  <si>
    <t>建筑师护手</t>
  </si>
  <si>
    <t>赏金猎手</t>
  </si>
  <si>
    <t>雷霆意志</t>
  </si>
  <si>
    <t>星辰投影</t>
  </si>
  <si>
    <t>贤者腰带</t>
  </si>
  <si>
    <t>荆棘之恨</t>
  </si>
  <si>
    <t>灵魂之火</t>
  </si>
  <si>
    <t>命运之绳</t>
  </si>
  <si>
    <t>全能之戒</t>
  </si>
  <si>
    <t>贤者之戒</t>
  </si>
  <si>
    <t>毒蛇低语</t>
  </si>
  <si>
    <t>Whispers of the Serpent</t>
  </si>
  <si>
    <t>血色誓言</t>
  </si>
  <si>
    <t>知识洪流</t>
  </si>
  <si>
    <t>Tide of Knowledge</t>
  </si>
  <si>
    <t>贪欲宝戒</t>
  </si>
  <si>
    <t>命运之环</t>
  </si>
  <si>
    <t>万象之戒</t>
  </si>
  <si>
    <t>风雷戒</t>
  </si>
  <si>
    <t>Thunderous Might</t>
  </si>
  <si>
    <t>诡秘之影</t>
  </si>
  <si>
    <t>乌鸦之霜</t>
  </si>
  <si>
    <t>霜焰</t>
  </si>
  <si>
    <t>Frost and Fire</t>
  </si>
  <si>
    <t>寒霜之戒</t>
  </si>
  <si>
    <t>怜悯之戒</t>
  </si>
  <si>
    <t>冰霜之缚</t>
  </si>
  <si>
    <t>灼热之缚</t>
  </si>
  <si>
    <t>余烬</t>
  </si>
  <si>
    <t>契约之戒</t>
  </si>
  <si>
    <t>混沌之眼</t>
  </si>
  <si>
    <t>统御之戒</t>
  </si>
  <si>
    <t>恐惧之环</t>
  </si>
  <si>
    <t>训犬师之戒</t>
  </si>
  <si>
    <t>雷鸣</t>
  </si>
  <si>
    <t>冰火之戒</t>
  </si>
  <si>
    <t>魔像之心</t>
  </si>
  <si>
    <t>卡恩的镜像之戒</t>
  </si>
  <si>
    <t>猫眼</t>
  </si>
  <si>
    <t>铁壁之力</t>
  </si>
  <si>
    <t>光明戒</t>
  </si>
  <si>
    <t>黑暗戒</t>
  </si>
  <si>
    <t>暮光轮回戒</t>
  </si>
  <si>
    <t>风行者护符</t>
  </si>
  <si>
    <t>冻结之心</t>
  </si>
  <si>
    <t>裂天断锋</t>
  </si>
  <si>
    <t>Skybreaker Edge</t>
  </si>
  <si>
    <t>暮光吞噬者</t>
  </si>
  <si>
    <t>Twilight Devourer</t>
  </si>
  <si>
    <t>Starseeker Bow</t>
    <phoneticPr fontId="1" type="noConversion"/>
  </si>
  <si>
    <t>晨曦之拥</t>
  </si>
  <si>
    <t>Embrace of Dawn</t>
  </si>
  <si>
    <t>永夜之链</t>
  </si>
  <si>
    <t>星河之泪</t>
  </si>
  <si>
    <t>烬火之痕</t>
  </si>
  <si>
    <t>月影守护</t>
  </si>
  <si>
    <t>天穹之息</t>
  </si>
  <si>
    <t>烁星之拥</t>
  </si>
  <si>
    <t>暗影心核</t>
  </si>
  <si>
    <t>14365</t>
    <phoneticPr fontId="1" type="noConversion"/>
  </si>
  <si>
    <t>Nightpiercer</t>
  </si>
  <si>
    <t>穿夜剑</t>
  </si>
  <si>
    <t>Worn Steel</t>
  </si>
  <si>
    <t>旧钢之剑</t>
  </si>
  <si>
    <t>Flicker Fang</t>
  </si>
  <si>
    <t>闪烁之牙</t>
  </si>
  <si>
    <t>Verdant Fang</t>
  </si>
  <si>
    <t>苍翠之牙</t>
  </si>
  <si>
    <t>Silent Edge</t>
  </si>
  <si>
    <t>静寂之锋</t>
  </si>
  <si>
    <t>Emberlit Saber</t>
  </si>
  <si>
    <t>余焰军刀</t>
  </si>
  <si>
    <t>Shattered Fang</t>
  </si>
  <si>
    <t>破碎之牙</t>
  </si>
  <si>
    <t>Bloodstreak Blade</t>
  </si>
  <si>
    <t>血痕剑</t>
  </si>
  <si>
    <t>Phantom Edge</t>
  </si>
  <si>
    <t>幻影之锋</t>
  </si>
  <si>
    <t>Dullfang</t>
  </si>
  <si>
    <t>钝牙剑</t>
  </si>
  <si>
    <t>Withered Saber</t>
  </si>
  <si>
    <t>枯萎军刀</t>
  </si>
  <si>
    <t>Lonefang</t>
  </si>
  <si>
    <t>孤牙剑</t>
  </si>
  <si>
    <t>Splintered Hatchet</t>
  </si>
  <si>
    <t>碎木战斧</t>
  </si>
  <si>
    <t>Ember Axe</t>
  </si>
  <si>
    <t>余烬之斧</t>
  </si>
  <si>
    <t>Weathered Hatchet</t>
  </si>
  <si>
    <t>风化战斧</t>
  </si>
  <si>
    <t>Cracked Edge</t>
  </si>
  <si>
    <t>裂刃之斧</t>
  </si>
  <si>
    <t>Dusktalon Axe</t>
  </si>
  <si>
    <t>暮爪战斧</t>
  </si>
  <si>
    <t>Worn Cleaver</t>
  </si>
  <si>
    <t>旧裂斧</t>
  </si>
  <si>
    <t>Stonebite Hatchet</t>
  </si>
  <si>
    <t>石牙战斧</t>
  </si>
  <si>
    <t>Hollow Fang Axe</t>
  </si>
  <si>
    <t>空牙之斧</t>
  </si>
  <si>
    <t>Rustshard Hatchet</t>
  </si>
  <si>
    <t>锈痕战斧</t>
  </si>
  <si>
    <t>Frostedge Axe</t>
  </si>
  <si>
    <t>霜刃战斧</t>
  </si>
  <si>
    <t>Dimfang Cleaver</t>
  </si>
  <si>
    <t>暗牙裂斧</t>
  </si>
  <si>
    <t>Shadow Hew</t>
  </si>
  <si>
    <t>影痕战斧</t>
  </si>
  <si>
    <t>Ashwood Hatchet</t>
  </si>
  <si>
    <t>灰木战斧</t>
  </si>
  <si>
    <t>Splinter Fang Axe</t>
  </si>
  <si>
    <t>碎牙之斧</t>
  </si>
  <si>
    <t>Silent Talon</t>
  </si>
  <si>
    <t>静爪战斧</t>
  </si>
  <si>
    <t>Verdant Edge</t>
  </si>
  <si>
    <t>苍翠之刃</t>
  </si>
  <si>
    <t>Emberveil Axe</t>
  </si>
  <si>
    <t>余焰面斧</t>
  </si>
  <si>
    <t>Ironbound Cleaver</t>
  </si>
  <si>
    <t>铁缚裂斧</t>
  </si>
  <si>
    <t>Duskfang Hatchet</t>
  </si>
  <si>
    <t>暮牙战斧</t>
  </si>
  <si>
    <t>Hollowbite Axe</t>
  </si>
  <si>
    <t>空噬战斧</t>
  </si>
  <si>
    <t>Glintstone Hatchet</t>
  </si>
  <si>
    <t>闪石战斧</t>
  </si>
  <si>
    <t>Nightshadow Axe</t>
  </si>
  <si>
    <t>夜影之斧</t>
  </si>
  <si>
    <t>Frayed Edge</t>
  </si>
  <si>
    <t>裂缝战斧</t>
  </si>
  <si>
    <t>Ashfang Hatchet</t>
  </si>
  <si>
    <t>灰牙战斧</t>
  </si>
  <si>
    <t>Splinterclaw Axe</t>
  </si>
  <si>
    <t>碎爪之斧</t>
  </si>
  <si>
    <t>Cracked Maul</t>
  </si>
  <si>
    <t>裂纹战锤</t>
  </si>
  <si>
    <t>Rusted Hammer</t>
  </si>
  <si>
    <t>锈蚀之锤</t>
  </si>
  <si>
    <t>Emberforged Mace</t>
  </si>
  <si>
    <t>余烬锻锤</t>
  </si>
  <si>
    <t>Dimlight Maul</t>
  </si>
  <si>
    <t>微光战锤</t>
  </si>
  <si>
    <t>Stonebound Hammer</t>
  </si>
  <si>
    <t>石缚之锤</t>
  </si>
  <si>
    <t>Hollow Strike</t>
  </si>
  <si>
    <t>空击战锤</t>
  </si>
  <si>
    <t>Frosttouched Maul</t>
  </si>
  <si>
    <t>霜痕战锤</t>
  </si>
  <si>
    <t>Weathered Mace</t>
  </si>
  <si>
    <t>风蚀之锤</t>
  </si>
  <si>
    <t>Splinterstone Hammer</t>
  </si>
  <si>
    <t>碎石之锤</t>
  </si>
  <si>
    <t>Ashen Club</t>
  </si>
  <si>
    <t>灰烬之槌</t>
  </si>
  <si>
    <t>Duskcrusher</t>
  </si>
  <si>
    <t>暮光碎锤</t>
  </si>
  <si>
    <t>Worn Iron Mace</t>
  </si>
  <si>
    <t>旧铁锤</t>
  </si>
  <si>
    <t>Glinting Hammer</t>
  </si>
  <si>
    <t>闪光战锤</t>
  </si>
  <si>
    <t>Silent Bludgeon</t>
  </si>
  <si>
    <t>静寂槌</t>
  </si>
  <si>
    <t>Verdant Maul</t>
  </si>
  <si>
    <t>苍翠战锤</t>
  </si>
  <si>
    <t>Shadowforged Mace</t>
  </si>
  <si>
    <t>影铸之锤</t>
  </si>
  <si>
    <t>Embergrip Hammer</t>
  </si>
  <si>
    <t>灰焰握锤</t>
  </si>
  <si>
    <t>Crumbling Mace</t>
  </si>
  <si>
    <t>崩裂战锤</t>
  </si>
  <si>
    <t>Dullstrike Hammer</t>
  </si>
  <si>
    <t>钝击之锤</t>
  </si>
  <si>
    <t>Shattered Maul</t>
  </si>
  <si>
    <t>破碎战锤</t>
  </si>
  <si>
    <t>Ironspike Club</t>
  </si>
  <si>
    <t>铁钉槌</t>
  </si>
  <si>
    <t>Nightfall Hammer</t>
  </si>
  <si>
    <t>夜幕战锤</t>
  </si>
  <si>
    <t>Splintered Fang Mace</t>
  </si>
  <si>
    <t>碎牙战锤</t>
  </si>
  <si>
    <t>Dustveil Hammer</t>
  </si>
  <si>
    <t>尘纱战锤</t>
  </si>
  <si>
    <t>Loneforge Maul</t>
  </si>
  <si>
    <t>孤铸战锤</t>
  </si>
  <si>
    <t>Rustfang Dagger</t>
  </si>
  <si>
    <t>锈牙匕首</t>
  </si>
  <si>
    <t>Cracked Stiletto</t>
  </si>
  <si>
    <t>裂纹刺刃</t>
  </si>
  <si>
    <t>Shadowpiercer</t>
  </si>
  <si>
    <t>影刺匕首</t>
  </si>
  <si>
    <t>Embertip Dagger</t>
  </si>
  <si>
    <t>余焰匕首</t>
  </si>
  <si>
    <t>Dimblade Fang</t>
  </si>
  <si>
    <t>微光之牙</t>
  </si>
  <si>
    <t>Worn Nightfang</t>
  </si>
  <si>
    <t>旧夜牙</t>
  </si>
  <si>
    <t>Hollow Shard</t>
  </si>
  <si>
    <t>空碎匕首</t>
  </si>
  <si>
    <t>Dusktalon Dagger</t>
  </si>
  <si>
    <t>暮爪匕首</t>
  </si>
  <si>
    <t>Frostshard Blade</t>
  </si>
  <si>
    <t>霜碎之刃</t>
  </si>
  <si>
    <t>Ashfang Dagger</t>
  </si>
  <si>
    <t>灰牙匕首</t>
  </si>
  <si>
    <t>Silent Thorn</t>
  </si>
  <si>
    <t>静寂荆匕</t>
  </si>
  <si>
    <t>Glimmerfang</t>
  </si>
  <si>
    <t>闪辉之牙</t>
  </si>
  <si>
    <t>Bloodstreak Dagger</t>
  </si>
  <si>
    <t>血痕匕首</t>
  </si>
  <si>
    <t>Dustbite Blade</t>
  </si>
  <si>
    <t>尘噬之刃</t>
  </si>
  <si>
    <t>Shattered Thorn</t>
  </si>
  <si>
    <t>破碎荆匕</t>
  </si>
  <si>
    <t>Nightveil Dagger</t>
  </si>
  <si>
    <t>夜纱匕首</t>
  </si>
  <si>
    <t>Splintertip Blade</t>
  </si>
  <si>
    <t>碎尖匕首</t>
  </si>
  <si>
    <t>Ironspike Fang</t>
  </si>
  <si>
    <t>铁刺之牙</t>
  </si>
  <si>
    <t>Phantom Whisper</t>
  </si>
  <si>
    <t>幻影低语</t>
  </si>
  <si>
    <t>Dullsting Dagger</t>
  </si>
  <si>
    <t>钝刺匕首</t>
  </si>
  <si>
    <t>Emberveil Blade</t>
  </si>
  <si>
    <t>余焰纱刃</t>
  </si>
  <si>
    <t>Lonefang Stiletto</t>
  </si>
  <si>
    <t>孤牙刺刃</t>
  </si>
  <si>
    <t>Hollowfang Dagger</t>
  </si>
  <si>
    <t>空牙匕首</t>
  </si>
  <si>
    <t>Cracked Claymore</t>
  </si>
  <si>
    <t>裂纹巨剑</t>
  </si>
  <si>
    <t>Rusted Greatblade</t>
  </si>
  <si>
    <t>锈蚀巨刃</t>
  </si>
  <si>
    <t>Emberclad Sword</t>
  </si>
  <si>
    <t>灰烬覆刃</t>
  </si>
  <si>
    <t>Duskbreaker</t>
  </si>
  <si>
    <t>暮光破剑</t>
  </si>
  <si>
    <t>Hollowed Edge</t>
  </si>
  <si>
    <t>空蚀之锋</t>
  </si>
  <si>
    <t>Frostbite Claymore</t>
  </si>
  <si>
    <t>霜痕巨剑</t>
  </si>
  <si>
    <t>Dimfang Greatsword</t>
  </si>
  <si>
    <t>微光巨剑</t>
  </si>
  <si>
    <t>Verdant Cleaver</t>
  </si>
  <si>
    <t>苍翠劈刃</t>
  </si>
  <si>
    <t>Ashen Fang</t>
  </si>
  <si>
    <t>灰烬之牙</t>
  </si>
  <si>
    <t>Shadowforge Blade</t>
  </si>
  <si>
    <t>影铸巨刃</t>
  </si>
  <si>
    <t>Shattered Bastard Sword</t>
  </si>
  <si>
    <t>破碎双手剑</t>
  </si>
  <si>
    <t>Silent Cleave</t>
  </si>
  <si>
    <t>静寂劈刃</t>
  </si>
  <si>
    <t>Glimmeredge</t>
  </si>
  <si>
    <t>闪辉之锋</t>
  </si>
  <si>
    <t>Bloodrust Blade</t>
  </si>
  <si>
    <t>血锈巨剑</t>
  </si>
  <si>
    <t>Dustveil Greatsword</t>
  </si>
  <si>
    <t>尘纱巨刃</t>
  </si>
  <si>
    <t>Nightpiercer Claymore</t>
  </si>
  <si>
    <t>穿夜巨剑</t>
  </si>
  <si>
    <t>Loneblade</t>
  </si>
  <si>
    <t>孤锋巨剑</t>
  </si>
  <si>
    <t>Emberveil Edge</t>
  </si>
  <si>
    <t>余焰纱锋</t>
  </si>
  <si>
    <t>Phantomstrike Sword</t>
  </si>
  <si>
    <t>幻击巨剑</t>
  </si>
  <si>
    <t>Crumbling Colossus</t>
  </si>
  <si>
    <t>崩裂巨剑</t>
  </si>
  <si>
    <t>Dullfang Cleaver</t>
  </si>
  <si>
    <t>钝牙劈刃</t>
  </si>
  <si>
    <t>Splintered Colossus</t>
  </si>
  <si>
    <t>碎裂巨剑</t>
  </si>
  <si>
    <t>Ironbound Edge</t>
  </si>
  <si>
    <t>铁缚巨刃</t>
  </si>
  <si>
    <t>Frostveil Sword</t>
  </si>
  <si>
    <t>霜纱巨剑</t>
  </si>
  <si>
    <t>Shadowclad Blade</t>
  </si>
  <si>
    <t>影覆巨刃</t>
  </si>
  <si>
    <t>Cracked Waraxe</t>
  </si>
  <si>
    <t>裂纹战斧</t>
  </si>
  <si>
    <t>Rusted Battle Cleaver</t>
  </si>
  <si>
    <t>锈蚀战刃</t>
  </si>
  <si>
    <t>Emberedge Axe</t>
  </si>
  <si>
    <t>灰烬之锋</t>
  </si>
  <si>
    <t>Duskfang Cleaver</t>
  </si>
  <si>
    <t>暮牙劈斧</t>
  </si>
  <si>
    <t>Hollow Hew</t>
  </si>
  <si>
    <t>Frostbite Axe</t>
  </si>
  <si>
    <t>霜痕巨斧</t>
  </si>
  <si>
    <t>Dimveil Cleaver</t>
  </si>
  <si>
    <t>微纱劈斧</t>
  </si>
  <si>
    <t>Verdant Splitter</t>
  </si>
  <si>
    <t>苍翠劈斧</t>
  </si>
  <si>
    <t>Ashen Talon</t>
  </si>
  <si>
    <t>灰烬爪斧</t>
  </si>
  <si>
    <t>Shadowfang Cleaver</t>
  </si>
  <si>
    <t>Shattered Warblade</t>
  </si>
  <si>
    <t>破碎战刃</t>
  </si>
  <si>
    <t>Glimmercleave</t>
  </si>
  <si>
    <t>闪辉战斧</t>
  </si>
  <si>
    <t>Bloodsplinter Axe</t>
  </si>
  <si>
    <t>血裂巨斧</t>
  </si>
  <si>
    <t>Dustgrip Splitter</t>
  </si>
  <si>
    <t>尘握劈斧</t>
  </si>
  <si>
    <t>Nightfell Axe</t>
  </si>
  <si>
    <t>夜陨巨斧</t>
  </si>
  <si>
    <t>Lonehowl Cleaver</t>
  </si>
  <si>
    <t>孤嚎裂斧</t>
  </si>
  <si>
    <t>余焰纱斧</t>
  </si>
  <si>
    <t>Phantombite Splitter</t>
  </si>
  <si>
    <t>幻噬巨斧</t>
  </si>
  <si>
    <t>Crumbling Hew</t>
  </si>
  <si>
    <t>崩裂战斧</t>
  </si>
  <si>
    <t>Dullclaw Axe</t>
  </si>
  <si>
    <t>钝爪巨斧</t>
  </si>
  <si>
    <t>Splinterstrike Cleaver</t>
  </si>
  <si>
    <t>碎击劈斧</t>
  </si>
  <si>
    <t>铁缚战斧</t>
  </si>
  <si>
    <t>Frostshadow Axe</t>
  </si>
  <si>
    <t>霜影巨斧</t>
  </si>
  <si>
    <t>Shadowclad Splitter</t>
  </si>
  <si>
    <t>影覆裂斧</t>
  </si>
  <si>
    <t>裂纹巨锤</t>
  </si>
  <si>
    <t>Rusted Warhammer</t>
  </si>
  <si>
    <t>锈蚀战锤</t>
  </si>
  <si>
    <t>Emberbound Maul</t>
  </si>
  <si>
    <t>灰烬缚锤</t>
  </si>
  <si>
    <t>Dusksmash Hammer</t>
  </si>
  <si>
    <t>Hollowpound Maul</t>
  </si>
  <si>
    <t>空击巨锤</t>
  </si>
  <si>
    <t>Frostshard Hammer</t>
  </si>
  <si>
    <t>霜碎巨锤</t>
  </si>
  <si>
    <t>Dimveil Maul</t>
  </si>
  <si>
    <t>微纱战锤</t>
  </si>
  <si>
    <t>Verdant Crusher</t>
  </si>
  <si>
    <t>苍翠粉碎锤</t>
  </si>
  <si>
    <t>Ashen Smash</t>
  </si>
  <si>
    <t>灰烬碎击</t>
  </si>
  <si>
    <t>Shadowgrip Maul</t>
  </si>
  <si>
    <t>暗握巨锤</t>
  </si>
  <si>
    <t>Shattered Earthbreaker</t>
  </si>
  <si>
    <t>破碎裂地锤</t>
  </si>
  <si>
    <t>Silent Maul</t>
  </si>
  <si>
    <t>静寂巨锤</t>
  </si>
  <si>
    <t>Glimmersmash Hammer</t>
  </si>
  <si>
    <t>闪辉战锤</t>
  </si>
  <si>
    <t>Bloodpound Maul</t>
  </si>
  <si>
    <t>血击巨锤</t>
  </si>
  <si>
    <t>Dustforged Crusher</t>
  </si>
  <si>
    <t>尘铸粉碎锤</t>
  </si>
  <si>
    <t>Nightfall Smasher</t>
  </si>
  <si>
    <t>夜幕碎击锤</t>
  </si>
  <si>
    <t>Lonehowl Maul</t>
  </si>
  <si>
    <t>孤嚎巨锤</t>
  </si>
  <si>
    <t>Emberveil Maul</t>
  </si>
  <si>
    <t>余焰纱锤</t>
  </si>
  <si>
    <t>Phantombreak Hammer</t>
  </si>
  <si>
    <t>幻裂战锤</t>
  </si>
  <si>
    <t>Crumbling Crusher</t>
  </si>
  <si>
    <t>崩裂粉碎锤</t>
  </si>
  <si>
    <t>Dullstrike Maul</t>
  </si>
  <si>
    <t>钝击巨锤</t>
  </si>
  <si>
    <t>Splinterstone Smasher</t>
  </si>
  <si>
    <t>碎石战锤</t>
  </si>
  <si>
    <t>Ironbound Crusher</t>
  </si>
  <si>
    <t>铁缚粉碎锤</t>
  </si>
  <si>
    <t>Frostveil Hammer</t>
  </si>
  <si>
    <t>霜纱战锤</t>
  </si>
  <si>
    <t>Shadowclad Maul</t>
  </si>
  <si>
    <t>影覆巨锤</t>
  </si>
  <si>
    <t>Cracked Wand</t>
  </si>
  <si>
    <t>裂纹法杖</t>
  </si>
  <si>
    <t>Rusted Staff</t>
  </si>
  <si>
    <t>锈蚀法杖</t>
  </si>
  <si>
    <t>Emberlight Rod</t>
  </si>
  <si>
    <t>灰烬之光法杖</t>
  </si>
  <si>
    <t>Duskwisp Staff</t>
  </si>
  <si>
    <t>暮灵法杖</t>
  </si>
  <si>
    <t>Hollowbranch</t>
  </si>
  <si>
    <t>空枝法杖</t>
  </si>
  <si>
    <t>Frostbound Staff</t>
  </si>
  <si>
    <t>霜缚法杖</t>
  </si>
  <si>
    <t>Dimveil Wand</t>
  </si>
  <si>
    <t>微纱法杖</t>
  </si>
  <si>
    <t>Verdant Root</t>
  </si>
  <si>
    <t>苍翠根杖</t>
  </si>
  <si>
    <t>Ashen Ember Staff</t>
  </si>
  <si>
    <t>灰烬余焰杖</t>
  </si>
  <si>
    <t>Shadowthorn Rod</t>
  </si>
  <si>
    <t>暗棘法杖</t>
  </si>
  <si>
    <t>Shattered Arcane Wand</t>
  </si>
  <si>
    <t>破碎奥术法杖</t>
  </si>
  <si>
    <t>Silent Flame Rod</t>
  </si>
  <si>
    <t>静焰法杖</t>
  </si>
  <si>
    <t>Glimmerroot Staff</t>
  </si>
  <si>
    <t>闪辉根杖</t>
  </si>
  <si>
    <t>Bloodshard Wand</t>
  </si>
  <si>
    <t>血碎法杖</t>
  </si>
  <si>
    <t>Dustwoven Rod</t>
  </si>
  <si>
    <t>尘织法杖</t>
  </si>
  <si>
    <t>Nightbloom Staff</t>
  </si>
  <si>
    <t>夜绽法杖</t>
  </si>
  <si>
    <t>Lonebranch Wand</t>
  </si>
  <si>
    <t>孤枝法杖</t>
  </si>
  <si>
    <t>Emberveil Staff</t>
  </si>
  <si>
    <t>余焰纱杖</t>
  </si>
  <si>
    <t>Phantomflare Rod</t>
  </si>
  <si>
    <t>幻焰法杖</t>
  </si>
  <si>
    <t>Crumbling Root Staff</t>
  </si>
  <si>
    <t>崩裂根法杖</t>
  </si>
  <si>
    <t>Dullshard Wand</t>
  </si>
  <si>
    <t>钝碎法杖</t>
  </si>
  <si>
    <t>Splinterbark Staff</t>
  </si>
  <si>
    <t>碎树皮法杖</t>
  </si>
  <si>
    <t>Ironbound Staff</t>
  </si>
  <si>
    <t>铁缚法杖</t>
  </si>
  <si>
    <t>Frostveil Wand</t>
  </si>
  <si>
    <t>霜纱法杖</t>
  </si>
  <si>
    <t>Shadowclad Rod</t>
  </si>
  <si>
    <t>影覆法杖</t>
  </si>
  <si>
    <t>Cracked Longbow</t>
  </si>
  <si>
    <t>裂纹长弓</t>
  </si>
  <si>
    <t>Rusted Recurve</t>
  </si>
  <si>
    <t>锈蚀反曲弓</t>
  </si>
  <si>
    <t>Emberstring Bow</t>
  </si>
  <si>
    <t>灰烬弦弓</t>
  </si>
  <si>
    <t>Duskwood Bow</t>
  </si>
  <si>
    <t>暮木之弓</t>
  </si>
  <si>
    <t>Hollowbranch Bow</t>
  </si>
  <si>
    <t>空枝长弓</t>
  </si>
  <si>
    <t>Frosttip Bow</t>
  </si>
  <si>
    <t>霜尖之弓</t>
  </si>
  <si>
    <t>Dimveil Recurve</t>
  </si>
  <si>
    <t>微纱反曲弓</t>
  </si>
  <si>
    <t>Verdant Yew Bow</t>
  </si>
  <si>
    <t>苍翠紫杉弓</t>
  </si>
  <si>
    <t>Ashenwood Bow</t>
  </si>
  <si>
    <t>灰木长弓</t>
  </si>
  <si>
    <t>Shadowthorn Bow</t>
  </si>
  <si>
    <t>暗棘弓</t>
  </si>
  <si>
    <t>Shattered Fang Bow</t>
  </si>
  <si>
    <t>破碎之牙弓</t>
  </si>
  <si>
    <t>Silent Whisper Bow</t>
  </si>
  <si>
    <t>静语之弓</t>
  </si>
  <si>
    <t>Glimmershadow Bow</t>
  </si>
  <si>
    <t>闪影之弓</t>
  </si>
  <si>
    <t>Bloodstreak Bow</t>
  </si>
  <si>
    <t>血痕长弓</t>
  </si>
  <si>
    <t>Dustwoven Recurve</t>
  </si>
  <si>
    <t>尘织反曲弓</t>
  </si>
  <si>
    <t>Nightfall Bow</t>
  </si>
  <si>
    <t>夜幕长弓</t>
  </si>
  <si>
    <t>Lonehunter Bow</t>
  </si>
  <si>
    <t>独猎之弓</t>
  </si>
  <si>
    <t>Emberveil Bow</t>
  </si>
  <si>
    <t>余焰纱弓</t>
  </si>
  <si>
    <t>Phantomstring Bow</t>
  </si>
  <si>
    <t>幻弦长弓</t>
  </si>
  <si>
    <t>Crumbling Arc Bow</t>
  </si>
  <si>
    <t>崩裂弧弓</t>
  </si>
  <si>
    <t>Dullthorn Bow</t>
  </si>
  <si>
    <t>钝棘长弓</t>
  </si>
  <si>
    <t>Splinterbranch Bow</t>
  </si>
  <si>
    <t>碎枝长弓</t>
  </si>
  <si>
    <t>Ironbound Bow</t>
  </si>
  <si>
    <t>铁缚弓</t>
  </si>
  <si>
    <t>Frostveil Bow</t>
  </si>
  <si>
    <t>霜纱长弓</t>
  </si>
  <si>
    <t>Shadowclad Bow</t>
  </si>
  <si>
    <t>影覆弓</t>
  </si>
  <si>
    <t>Cracked Reaper</t>
  </si>
  <si>
    <t>裂纹收割镰</t>
  </si>
  <si>
    <t>Rusted Scythe</t>
  </si>
  <si>
    <t>锈蚀镰刀</t>
  </si>
  <si>
    <t>Emberfang Scythe</t>
  </si>
  <si>
    <t>灰焰之牙镰</t>
  </si>
  <si>
    <t>Duskhollow Reaper</t>
  </si>
  <si>
    <t>暮影收割镰</t>
  </si>
  <si>
    <t>Hollowbite Scythe</t>
  </si>
  <si>
    <t>空噬镰刀</t>
  </si>
  <si>
    <t>Frosted Edge</t>
  </si>
  <si>
    <t>霜痕之刃</t>
  </si>
  <si>
    <t>Dimveil Scythe</t>
  </si>
  <si>
    <t>微纱镰刀</t>
  </si>
  <si>
    <t>Verdant Reaper</t>
  </si>
  <si>
    <t>苍翠收割镰</t>
  </si>
  <si>
    <t>Ashen Shard</t>
  </si>
  <si>
    <t>灰烬碎刃</t>
  </si>
  <si>
    <t>Shadowcurve Scythe</t>
  </si>
  <si>
    <t>暗弧镰刀</t>
  </si>
  <si>
    <t>Shattered Fang Scythe</t>
  </si>
  <si>
    <t>破碎之牙镰</t>
  </si>
  <si>
    <t>静爪镰刀</t>
  </si>
  <si>
    <t>Glimmerscythe</t>
  </si>
  <si>
    <t>闪辉镰刀</t>
  </si>
  <si>
    <t>Bloodstreak Reaper</t>
  </si>
  <si>
    <t>血痕收割镰</t>
  </si>
  <si>
    <t>Dustwoven Scythe</t>
  </si>
  <si>
    <t>尘织镰刀</t>
  </si>
  <si>
    <t>Nightfall Reaper</t>
  </si>
  <si>
    <t>夜幕收割镰</t>
  </si>
  <si>
    <t>Lonefang Scythe</t>
  </si>
  <si>
    <t>孤牙镰刀</t>
  </si>
  <si>
    <t>Phantombite Scythe</t>
  </si>
  <si>
    <t>幻噬镰刀</t>
  </si>
  <si>
    <t>Crumbling Scythe</t>
  </si>
  <si>
    <t>崩裂镰刀</t>
  </si>
  <si>
    <t>Dullblade Reaper</t>
  </si>
  <si>
    <t>钝刃收割镰</t>
  </si>
  <si>
    <t>Splintercurve Scythe</t>
  </si>
  <si>
    <t>碎弧镰刀</t>
  </si>
  <si>
    <t>Ironbound Reaper</t>
  </si>
  <si>
    <t>铁缚收割镰</t>
  </si>
  <si>
    <t>Frostveil Scythe</t>
  </si>
  <si>
    <t>霜纱镰刀</t>
  </si>
  <si>
    <t>Shadowclad Scythe</t>
  </si>
  <si>
    <t>影覆镰刀</t>
  </si>
  <si>
    <t>Worn Barrier</t>
  </si>
  <si>
    <t>旧障壁</t>
  </si>
  <si>
    <t>Crumbling Bastion</t>
  </si>
  <si>
    <t>崩坏堡垒</t>
  </si>
  <si>
    <t>Dimshield</t>
  </si>
  <si>
    <t>微光之盾</t>
  </si>
  <si>
    <t>Embercrest</t>
  </si>
  <si>
    <t>余焰纹盾</t>
  </si>
  <si>
    <t>Duskwrought Shield</t>
  </si>
  <si>
    <t>暮铸之盾</t>
  </si>
  <si>
    <t>Frostveil Ward</t>
  </si>
  <si>
    <t>冰纱护盾</t>
  </si>
  <si>
    <t>Hollowguard</t>
  </si>
  <si>
    <t>空守之盾</t>
  </si>
  <si>
    <t>Verdant Bulwark</t>
  </si>
  <si>
    <t>苍翠之壁</t>
  </si>
  <si>
    <t>Ashglow Shield</t>
  </si>
  <si>
    <t>灰光之盾</t>
  </si>
  <si>
    <t>Nightgrove Aegis</t>
  </si>
  <si>
    <t>夜林庇护盾</t>
  </si>
  <si>
    <t>Shadowpike Shield</t>
  </si>
  <si>
    <t>影刺之盾</t>
  </si>
  <si>
    <t>Splinterwood Ward</t>
  </si>
  <si>
    <t>碎木守盾</t>
  </si>
  <si>
    <t>Dustcarved Crest</t>
  </si>
  <si>
    <t>尘雕纹盾</t>
  </si>
  <si>
    <t>Cracked Helm</t>
  </si>
  <si>
    <t>裂纹头盔</t>
  </si>
  <si>
    <t>Rustveil Cap</t>
  </si>
  <si>
    <t>锈纱头盔</t>
  </si>
  <si>
    <t>Emberflare Helm</t>
  </si>
  <si>
    <t>余焰盔</t>
  </si>
  <si>
    <t>Duskshard Hood</t>
  </si>
  <si>
    <t>暮影兜帽</t>
  </si>
  <si>
    <t>Hollowhelm</t>
  </si>
  <si>
    <t>空核头盔</t>
  </si>
  <si>
    <t>Frostveil Crown</t>
  </si>
  <si>
    <t>霜纱冠</t>
  </si>
  <si>
    <t>Verdant Crest</t>
  </si>
  <si>
    <t>苍翠纹盔</t>
  </si>
  <si>
    <t>Ashplume Helm</t>
  </si>
  <si>
    <t>灰羽头盔</t>
  </si>
  <si>
    <t>Nightbloom Helm</t>
  </si>
  <si>
    <t>夜绽头盔</t>
  </si>
  <si>
    <t>Shadowthorn Visor</t>
  </si>
  <si>
    <t>暗棘面甲</t>
  </si>
  <si>
    <t>Shattered Helm</t>
  </si>
  <si>
    <t>破碎头盔</t>
  </si>
  <si>
    <t>Silent Plume</t>
  </si>
  <si>
    <t>静羽头盔</t>
  </si>
  <si>
    <t>Glimmerhood</t>
  </si>
  <si>
    <t>闪辉兜帽</t>
  </si>
  <si>
    <t>Dustwoven Helm</t>
  </si>
  <si>
    <t>尘织头盔</t>
  </si>
  <si>
    <t>Bloodspike Cap</t>
  </si>
  <si>
    <t>血刺头盔</t>
  </si>
  <si>
    <t>Lonewarden Helm</t>
  </si>
  <si>
    <t>孤卫盔</t>
  </si>
  <si>
    <t>Emberveil Hood</t>
  </si>
  <si>
    <t>余焰纱帽</t>
  </si>
  <si>
    <t>Phantomcrown</t>
  </si>
  <si>
    <t>幻影冠</t>
  </si>
  <si>
    <t>Crumbling Visor</t>
  </si>
  <si>
    <t>崩裂面甲</t>
  </si>
  <si>
    <t>Witherbranch Helm</t>
  </si>
  <si>
    <t>枯枝头盔</t>
  </si>
  <si>
    <t>Frostbark Crown</t>
  </si>
  <si>
    <t>霜木之冠</t>
  </si>
  <si>
    <t>Ironbound Hood</t>
  </si>
  <si>
    <t>铁缚兜帽</t>
  </si>
  <si>
    <t>Nightshade Helm</t>
  </si>
  <si>
    <t>夜影头盔</t>
  </si>
  <si>
    <t>Hollowthorn Helm</t>
  </si>
  <si>
    <t>空棘头盔</t>
  </si>
  <si>
    <t>Riftbloom Crest</t>
  </si>
  <si>
    <t>裂花纹盔</t>
  </si>
  <si>
    <t>Cracked Tunic</t>
  </si>
  <si>
    <t>裂纹束衣</t>
  </si>
  <si>
    <t>Rusted Vestment</t>
  </si>
  <si>
    <t>锈蚀法衣</t>
  </si>
  <si>
    <t>Emberweave Robe</t>
  </si>
  <si>
    <t>余焰织袍</t>
  </si>
  <si>
    <t>Duskworn Garb</t>
  </si>
  <si>
    <t>暮色旧衣</t>
  </si>
  <si>
    <t>Hollowthread Cloak</t>
  </si>
  <si>
    <t>空纹披风</t>
  </si>
  <si>
    <t>Frostveil Robe</t>
  </si>
  <si>
    <t>霜纱长袍</t>
  </si>
  <si>
    <t>Verdant Mantle</t>
  </si>
  <si>
    <t>苍翠斗篷</t>
  </si>
  <si>
    <t>Ashen Vest</t>
  </si>
  <si>
    <t>灰烬护甲</t>
  </si>
  <si>
    <t>Nightbloom Cloak</t>
  </si>
  <si>
    <t>夜绽披风</t>
  </si>
  <si>
    <t>Shadowthorn Vestment</t>
  </si>
  <si>
    <t>暗棘法袍</t>
  </si>
  <si>
    <t>Shattered Cloak</t>
  </si>
  <si>
    <t>破碎斗篷</t>
  </si>
  <si>
    <t>Silent Wrap</t>
  </si>
  <si>
    <t>静默披衣</t>
  </si>
  <si>
    <t>Glimmerthread Robe</t>
  </si>
  <si>
    <t>闪辉长袍</t>
  </si>
  <si>
    <t>Dustwoven Tunic</t>
  </si>
  <si>
    <t>尘织束衣</t>
  </si>
  <si>
    <t>Bloodspun Vest</t>
  </si>
  <si>
    <t>血纺护衣</t>
  </si>
  <si>
    <t>Lonewanderer Garb</t>
  </si>
  <si>
    <t>孤旅者衣袍</t>
  </si>
  <si>
    <t>Emberveil Cloak</t>
  </si>
  <si>
    <t>余焰纱衣</t>
  </si>
  <si>
    <t>Phantomwrap Robe</t>
  </si>
  <si>
    <t>幻影长袍</t>
  </si>
  <si>
    <t>Crumbling Mantle</t>
  </si>
  <si>
    <t>崩裂斗篷</t>
  </si>
  <si>
    <t>Witherthread Garb</t>
  </si>
  <si>
    <t>枯纹长衣</t>
  </si>
  <si>
    <t>Frostshade Vest</t>
  </si>
  <si>
    <t>霜影护甲</t>
  </si>
  <si>
    <t>Ironbound Tunic</t>
  </si>
  <si>
    <t>铁缚束衣</t>
  </si>
  <si>
    <t>Nightshade Cloak</t>
  </si>
  <si>
    <t>夜影披风</t>
  </si>
  <si>
    <t>Hollowroot Vest</t>
  </si>
  <si>
    <t>空根护衣</t>
  </si>
  <si>
    <t>Riftbloom Robe</t>
  </si>
  <si>
    <t>裂花长袍</t>
  </si>
  <si>
    <t>Cracked Gloves</t>
  </si>
  <si>
    <t>裂纹手套</t>
  </si>
  <si>
    <t>Rusted Gauntlets</t>
  </si>
  <si>
    <t>锈蚀护手</t>
  </si>
  <si>
    <t>Embergrip Mitts</t>
  </si>
  <si>
    <t>余焰握套</t>
  </si>
  <si>
    <t>Duskwoven Gloves</t>
  </si>
  <si>
    <t>暮织手套</t>
  </si>
  <si>
    <t>Hollowbound Gauntlets</t>
  </si>
  <si>
    <t>空缚护手</t>
  </si>
  <si>
    <t>Frostveil Wraps</t>
  </si>
  <si>
    <t>霜纱护腕</t>
  </si>
  <si>
    <t>Verdant Bindings</t>
  </si>
  <si>
    <t>苍翠绑带</t>
  </si>
  <si>
    <t>Ashen Grasp</t>
  </si>
  <si>
    <t>灰痕之握</t>
  </si>
  <si>
    <t>Nightbloom Gloves</t>
  </si>
  <si>
    <t>夜绽手套</t>
  </si>
  <si>
    <t>Shadowthorn Gauntlets</t>
  </si>
  <si>
    <t>暗棘护手</t>
  </si>
  <si>
    <t>Shattered Wraps</t>
  </si>
  <si>
    <t>破碎护腕</t>
  </si>
  <si>
    <t>Silent Grip</t>
  </si>
  <si>
    <t>静寂之握</t>
  </si>
  <si>
    <t>Glimmerthread Gloves</t>
  </si>
  <si>
    <t>闪辉手套</t>
  </si>
  <si>
    <t>Dustwoven Bindings</t>
  </si>
  <si>
    <t>尘织绑带</t>
  </si>
  <si>
    <t>Bloodspike Gauntlets</t>
  </si>
  <si>
    <t>血刺护手</t>
  </si>
  <si>
    <t>Lonewarden Mitts</t>
  </si>
  <si>
    <t>孤卫手套</t>
  </si>
  <si>
    <t>Emberveil Wraps</t>
  </si>
  <si>
    <t>余焰纱腕</t>
  </si>
  <si>
    <t>Phantomgrip Gloves</t>
  </si>
  <si>
    <t>幻影之握</t>
  </si>
  <si>
    <t>Crumbling Gauntlets</t>
  </si>
  <si>
    <t>崩裂护手</t>
  </si>
  <si>
    <t>Witherthorn Wraps</t>
  </si>
  <si>
    <t>枯棘护腕</t>
  </si>
  <si>
    <t>Frostbark Gloves</t>
  </si>
  <si>
    <t>霜木手套</t>
  </si>
  <si>
    <t>Ironbound Gauntlets</t>
  </si>
  <si>
    <t>铁缚护手</t>
  </si>
  <si>
    <t>Nightshade Bindings</t>
  </si>
  <si>
    <t>夜影绑带</t>
  </si>
  <si>
    <t>Hollowroot Gloves</t>
  </si>
  <si>
    <t>空根手套</t>
  </si>
  <si>
    <t>Riftbloom Grasp</t>
  </si>
  <si>
    <t>裂花之握</t>
  </si>
  <si>
    <t>Cracked Boots</t>
  </si>
  <si>
    <t>裂纹之靴</t>
  </si>
  <si>
    <t>Rusted Greaves</t>
  </si>
  <si>
    <t>锈蚀胫甲</t>
  </si>
  <si>
    <t>Emberstep Shoes</t>
  </si>
  <si>
    <t>余焰行靴</t>
  </si>
  <si>
    <t>Dusktread Boots</t>
  </si>
  <si>
    <t>暮履之靴</t>
  </si>
  <si>
    <t>Hollowpath Greaves</t>
  </si>
  <si>
    <t>空行胫甲</t>
  </si>
  <si>
    <t>Frostveil Treads</t>
  </si>
  <si>
    <t>霜纱靴</t>
  </si>
  <si>
    <t>Verdant Walkers</t>
  </si>
  <si>
    <t>苍翠行靴</t>
  </si>
  <si>
    <t>Cracked Girdle</t>
  </si>
  <si>
    <t>裂纹束带</t>
  </si>
  <si>
    <t>Rusted Cinch</t>
  </si>
  <si>
    <t>锈蚀腰带</t>
  </si>
  <si>
    <t>Emberbind Belt</t>
  </si>
  <si>
    <t>余焰束腰</t>
  </si>
  <si>
    <t>Duskwoven Cord</t>
  </si>
  <si>
    <t>暮纱腰绳</t>
  </si>
  <si>
    <t>Hollowthread Belt</t>
  </si>
  <si>
    <t>空纹腰带</t>
  </si>
  <si>
    <t>Frostveil Sash</t>
  </si>
  <si>
    <t>霜纱束带</t>
  </si>
  <si>
    <t>Verdant Loop</t>
  </si>
  <si>
    <t>苍翠环带</t>
  </si>
  <si>
    <t>Ashen Chain</t>
  </si>
  <si>
    <t>灰烬锁链</t>
  </si>
  <si>
    <t>Nightbloom Girdle</t>
  </si>
  <si>
    <t>夜绽束腰</t>
  </si>
  <si>
    <t>Shadowthorn Belt</t>
  </si>
  <si>
    <t>暗棘腰带</t>
  </si>
  <si>
    <t>Shattered Cinch</t>
  </si>
  <si>
    <t>破碎腰带</t>
  </si>
  <si>
    <t>Silent Bind</t>
  </si>
  <si>
    <t>静默束带</t>
  </si>
  <si>
    <t>Dustwoven Sash</t>
  </si>
  <si>
    <t>尘织束带</t>
  </si>
  <si>
    <t>Phantomthread Cord</t>
  </si>
  <si>
    <t>幻纹腰绳</t>
  </si>
  <si>
    <t>Riftbloom Belt</t>
  </si>
  <si>
    <t>裂花腰带</t>
  </si>
  <si>
    <t>Cracked Pendant</t>
  </si>
  <si>
    <t>裂纹吊坠</t>
  </si>
  <si>
    <t>Rusted Chain</t>
  </si>
  <si>
    <t>锈蚀项链</t>
  </si>
  <si>
    <t>Emberlight Necklace</t>
  </si>
  <si>
    <t>灰烬之光项链</t>
  </si>
  <si>
    <t>Duskhollow Amulet</t>
  </si>
  <si>
    <t>暮影护符</t>
  </si>
  <si>
    <t>Hollowthread Pendant</t>
  </si>
  <si>
    <t>空纹吊坠</t>
  </si>
  <si>
    <t>Frostveil Locket</t>
  </si>
  <si>
    <t>霜纱锁链</t>
  </si>
  <si>
    <t>Verdant Talisman</t>
  </si>
  <si>
    <t>苍翠护符</t>
  </si>
  <si>
    <t>Ashen Charm</t>
  </si>
  <si>
    <t>灰烬饰坠</t>
  </si>
  <si>
    <t>Nightbloom Pendant</t>
  </si>
  <si>
    <t>夜绽吊坠</t>
  </si>
  <si>
    <t>Shadowthorn Locket</t>
  </si>
  <si>
    <t>暗棘锁坠</t>
  </si>
  <si>
    <t>Shattered Amulet</t>
  </si>
  <si>
    <t>破碎护符</t>
  </si>
  <si>
    <t>Silent Glow Necklace</t>
  </si>
  <si>
    <t>静辉项链</t>
  </si>
  <si>
    <t>Glimmerthread Talisman</t>
  </si>
  <si>
    <t>闪辉护符</t>
  </si>
  <si>
    <t>Dustwoven Chain</t>
  </si>
  <si>
    <t>尘织项链</t>
  </si>
  <si>
    <t>Bloodstreak Pendant</t>
  </si>
  <si>
    <t>血痕吊坠</t>
  </si>
  <si>
    <t>Lonewarden Locket</t>
  </si>
  <si>
    <t>孤卫锁坠</t>
  </si>
  <si>
    <t>Emberveil Charm</t>
  </si>
  <si>
    <t>余焰饰坠</t>
  </si>
  <si>
    <t>Phantomwhisper Amulet</t>
  </si>
  <si>
    <t>幻语护符</t>
  </si>
  <si>
    <t>Crumbling Pendant</t>
  </si>
  <si>
    <t>崩裂吊坠</t>
  </si>
  <si>
    <t>Witherbranch Necklace</t>
  </si>
  <si>
    <t>枯枝项链</t>
  </si>
  <si>
    <t>Frostshade Charm</t>
  </si>
  <si>
    <t>霜影饰坠</t>
  </si>
  <si>
    <t>Ironbound Locket</t>
  </si>
  <si>
    <t>铁缚锁坠</t>
  </si>
  <si>
    <t>Nightshade Talisman</t>
  </si>
  <si>
    <t>夜影护符</t>
  </si>
  <si>
    <t>Hollowroot Pendant</t>
  </si>
  <si>
    <t>空根吊坠</t>
  </si>
  <si>
    <t>Riftbloom Amulet</t>
  </si>
  <si>
    <t>裂花护符</t>
  </si>
  <si>
    <t>Cracked Band</t>
  </si>
  <si>
    <t>裂纹指环</t>
  </si>
  <si>
    <t>Rusted Circle</t>
  </si>
  <si>
    <t>锈蚀圆环</t>
  </si>
  <si>
    <t>Emberglow Ring</t>
  </si>
  <si>
    <t>余焰指环</t>
  </si>
  <si>
    <t>Duskhollow Loop</t>
  </si>
  <si>
    <t>暮影环</t>
  </si>
  <si>
    <t>Frostveil Band</t>
  </si>
  <si>
    <t>霜纱指环</t>
  </si>
  <si>
    <t>Verdant Signet</t>
  </si>
  <si>
    <t>苍翠印戒</t>
  </si>
  <si>
    <t>Ashen Ring</t>
  </si>
  <si>
    <t>灰烬指环</t>
  </si>
  <si>
    <t>Nightbloom Circle</t>
  </si>
  <si>
    <t>夜绽圆环</t>
  </si>
  <si>
    <t>Shadowthorn Band</t>
  </si>
  <si>
    <t>暗棘指环</t>
  </si>
  <si>
    <t>Riftbloom Ring</t>
  </si>
  <si>
    <t>裂花指环</t>
  </si>
  <si>
    <t>Duskfang Blade</t>
  </si>
  <si>
    <t>暮牙之刃</t>
  </si>
  <si>
    <t>Embersteel Saber</t>
  </si>
  <si>
    <t>灰焰钢剑</t>
  </si>
  <si>
    <t>Frostbite Edge</t>
  </si>
  <si>
    <t>霜痕之锋</t>
  </si>
  <si>
    <t>Ashenlight Saber</t>
  </si>
  <si>
    <t>灰烬光剑</t>
  </si>
  <si>
    <t>Shadowveil Blade</t>
  </si>
  <si>
    <t>暗纱之剑</t>
  </si>
  <si>
    <t>Bloodstreak Fang</t>
  </si>
  <si>
    <t>血痕之牙</t>
  </si>
  <si>
    <t>Phantomshard Saber</t>
  </si>
  <si>
    <t>幻碎军刀</t>
  </si>
  <si>
    <t>Ironflame Blade</t>
  </si>
  <si>
    <t>铁焰之剑</t>
  </si>
  <si>
    <t>Duskwrought Saber</t>
  </si>
  <si>
    <t>暮铸军刀</t>
  </si>
  <si>
    <t>Hollowthorn Edge</t>
  </si>
  <si>
    <t>空棘之锋</t>
  </si>
  <si>
    <t>Riftshard Blade</t>
  </si>
  <si>
    <t>裂痕碎刃</t>
  </si>
  <si>
    <t>Silentfang Saber</t>
  </si>
  <si>
    <t>静牙军刀</t>
  </si>
  <si>
    <t>Nightveil Edge</t>
  </si>
  <si>
    <t>夜纱之刃</t>
  </si>
  <si>
    <t>Emberbound Saber</t>
  </si>
  <si>
    <t>灰焰缚剑</t>
  </si>
  <si>
    <t>Frostthorn Blade</t>
  </si>
  <si>
    <t>霜棘之刃</t>
  </si>
  <si>
    <t>Verdantshard Saber</t>
  </si>
  <si>
    <t>苍翠碎刃</t>
  </si>
  <si>
    <t>Ashspike Blade</t>
  </si>
  <si>
    <t>灰刺之剑</t>
  </si>
  <si>
    <t>Shadowwrought Fang</t>
  </si>
  <si>
    <t>影铸之牙</t>
  </si>
  <si>
    <t>Glintfang Blade</t>
  </si>
  <si>
    <t>Bloodthorn Edge</t>
  </si>
  <si>
    <t>血棘之锋</t>
  </si>
  <si>
    <t>Hollowlight Saber</t>
  </si>
  <si>
    <t>空光军刀</t>
  </si>
  <si>
    <t>Nightshadow Blade</t>
  </si>
  <si>
    <t>夜影之刃</t>
  </si>
  <si>
    <t>Riftfang Saber</t>
  </si>
  <si>
    <t>裂牙军刀</t>
  </si>
  <si>
    <t>Emberfang Axe</t>
  </si>
  <si>
    <t>灰焰之牙</t>
    <phoneticPr fontId="1" type="noConversion"/>
  </si>
  <si>
    <t>Frostthorn Cleaver</t>
  </si>
  <si>
    <t>霜棘劈斧</t>
  </si>
  <si>
    <t>Shadowbite Hatchet</t>
  </si>
  <si>
    <t>影噬战斧</t>
  </si>
  <si>
    <t>Duskwrought Cleaver</t>
  </si>
  <si>
    <t>暮铸裂斧</t>
  </si>
  <si>
    <t>Verdantfang Axe</t>
  </si>
  <si>
    <t>苍翠之牙</t>
    <phoneticPr fontId="1" type="noConversion"/>
  </si>
  <si>
    <t>Hollowedge Cleaver</t>
  </si>
  <si>
    <t>空刃劈斧</t>
  </si>
  <si>
    <t>Glimmerthorn Axe</t>
  </si>
  <si>
    <t>闪辉棘斧</t>
  </si>
  <si>
    <t>Bloodspike Cleaver</t>
  </si>
  <si>
    <t>血刺裂斧</t>
  </si>
  <si>
    <t>Riftshadow Axe</t>
  </si>
  <si>
    <t>裂影战斧</t>
  </si>
  <si>
    <t>Nightpiercer Hatchet</t>
  </si>
  <si>
    <t>夜刺战斧</t>
  </si>
  <si>
    <t>Ashensteel Cleaver</t>
  </si>
  <si>
    <t>灰钢劈斧</t>
  </si>
  <si>
    <t>Silentfang Axe</t>
  </si>
  <si>
    <t>静牙之斧</t>
  </si>
  <si>
    <t>Ironbound Hatchet</t>
  </si>
  <si>
    <t>Emberthorn Axe</t>
  </si>
  <si>
    <t>灰焰棘斧</t>
  </si>
  <si>
    <t>Frostbite Hatchet</t>
  </si>
  <si>
    <t>霜噬战斧</t>
  </si>
  <si>
    <t>Verdantspike Cleaver</t>
  </si>
  <si>
    <t>苍翠刺斧</t>
  </si>
  <si>
    <t>Shadowwrought Axe</t>
  </si>
  <si>
    <t>影铸战斧</t>
  </si>
  <si>
    <t>Phantomfang Cleaver</t>
  </si>
  <si>
    <t>幻牙裂斧</t>
  </si>
  <si>
    <t>Dustveil Axe</t>
  </si>
  <si>
    <t>尘纱战斧</t>
  </si>
  <si>
    <t>Bloodrust Hatchet</t>
  </si>
  <si>
    <t>血锈战斧</t>
  </si>
  <si>
    <t>Glintshard Cleaver</t>
  </si>
  <si>
    <t>微光碎斧</t>
  </si>
  <si>
    <t>夜影战斧</t>
  </si>
  <si>
    <t>Hollowlight Hatchet</t>
  </si>
  <si>
    <t>空光战斧</t>
  </si>
  <si>
    <t>Emberveil Cleaver</t>
  </si>
  <si>
    <t>灰焰纱斧</t>
  </si>
  <si>
    <t>Riftfang Axe</t>
  </si>
  <si>
    <t>裂牙战斧</t>
  </si>
  <si>
    <t>Emberstrike Mace</t>
  </si>
  <si>
    <t>灰焰之击</t>
    <phoneticPr fontId="1" type="noConversion"/>
  </si>
  <si>
    <t>Frostbound Hammer</t>
  </si>
  <si>
    <t>霜缚之锤</t>
  </si>
  <si>
    <t>Shadowforge Maul</t>
  </si>
  <si>
    <t>影铸战锤</t>
  </si>
  <si>
    <t>Duskwrought Hammer</t>
  </si>
  <si>
    <t>暮铸战锤</t>
  </si>
  <si>
    <t>Verdantcore Maul</t>
  </si>
  <si>
    <t>苍翠核锤</t>
  </si>
  <si>
    <t>Hollowlight Mace</t>
  </si>
  <si>
    <t>空光战锤</t>
  </si>
  <si>
    <t>Glimmerstone Hammer</t>
  </si>
  <si>
    <t>闪辉石锤</t>
  </si>
  <si>
    <t>Bloodspike Maul</t>
  </si>
  <si>
    <t>血刺重锤</t>
  </si>
  <si>
    <t>Riftcrush Mace</t>
  </si>
  <si>
    <t>裂击之锤</t>
  </si>
  <si>
    <t>Nightveil Hammer</t>
  </si>
  <si>
    <t>夜纱战锤</t>
  </si>
  <si>
    <t>Ashenflame Maul</t>
  </si>
  <si>
    <t>灰焰重锤</t>
  </si>
  <si>
    <t>Silentforge Hammer</t>
  </si>
  <si>
    <t>静铸战锤</t>
  </si>
  <si>
    <t>Ironthorn Mace</t>
  </si>
  <si>
    <t>铁棘之锤</t>
  </si>
  <si>
    <t>灰焰纱锤</t>
  </si>
  <si>
    <t>Frostthorn Hammer</t>
  </si>
  <si>
    <t>霜棘战锤</t>
  </si>
  <si>
    <t>Phantomstrike Mace</t>
  </si>
  <si>
    <t>幻击之锤</t>
  </si>
  <si>
    <t>Dustwrought Maul</t>
  </si>
  <si>
    <t>尘铸重锤</t>
  </si>
  <si>
    <t>Glintfang Hammer</t>
  </si>
  <si>
    <t>微光牙锤</t>
  </si>
  <si>
    <t>Hollowshard Mace</t>
  </si>
  <si>
    <t>空碎之锤</t>
  </si>
  <si>
    <t>Nightshadow Maul</t>
  </si>
  <si>
    <t>夜影重锤</t>
  </si>
  <si>
    <t>Riftbound Hammer</t>
  </si>
  <si>
    <t>裂缚之锤</t>
  </si>
  <si>
    <t>Embercore Mace</t>
  </si>
  <si>
    <t>灰焰核锤</t>
  </si>
  <si>
    <t>Frostbite Hammer</t>
  </si>
  <si>
    <t>霜噬战锤</t>
  </si>
  <si>
    <t>Shadowwrought Maul</t>
  </si>
  <si>
    <t>影铸重锤</t>
  </si>
  <si>
    <t>Verdantforge Mace</t>
  </si>
  <si>
    <t>苍翠铸锤</t>
  </si>
  <si>
    <t>Embertrace Dagger</t>
  </si>
  <si>
    <t>灰痕之匕</t>
  </si>
  <si>
    <t>Frostwhisper Blade</t>
  </si>
  <si>
    <t>冰语之刃</t>
  </si>
  <si>
    <t>Shadowsilk Stiletto</t>
  </si>
  <si>
    <t>影丝短匕</t>
  </si>
  <si>
    <t>Duskfang Carver</t>
  </si>
  <si>
    <t>暮牙雕匕</t>
  </si>
  <si>
    <t>Verdantsting Dagger</t>
  </si>
  <si>
    <t>苍刺匕首</t>
  </si>
  <si>
    <t>Hollowflare Fang</t>
  </si>
  <si>
    <t>空焰之牙</t>
  </si>
  <si>
    <t>Glimmercarve Blade</t>
  </si>
  <si>
    <t>闪雕之刃</t>
  </si>
  <si>
    <t>Bloodember Knife</t>
  </si>
  <si>
    <t>血焰匕首</t>
  </si>
  <si>
    <t>Riftgaze Shard</t>
  </si>
  <si>
    <t>裂视碎刃</t>
  </si>
  <si>
    <t>Nightsinge Fang</t>
  </si>
  <si>
    <t>夜灼之牙</t>
  </si>
  <si>
    <t>Ashspire Stiletto</t>
  </si>
  <si>
    <t>灰尖短匕</t>
  </si>
  <si>
    <t>Silentcarve Knife</t>
  </si>
  <si>
    <t>静雕匕首</t>
  </si>
  <si>
    <t>Phantombreak Dagger</t>
  </si>
  <si>
    <t>幻裂之匕</t>
  </si>
  <si>
    <t>Dusttrace Fang</t>
  </si>
  <si>
    <t>尘痕之牙</t>
  </si>
  <si>
    <t>Embergrove Shard</t>
  </si>
  <si>
    <t>灰林碎刃</t>
  </si>
  <si>
    <t>Frostsoul Fang</t>
  </si>
  <si>
    <t>霜魂之牙</t>
  </si>
  <si>
    <t>Luminousfang Blade</t>
  </si>
  <si>
    <t>光辉之牙</t>
  </si>
  <si>
    <t>Hollowgloom Carver</t>
  </si>
  <si>
    <t>空暮雕匕</t>
  </si>
  <si>
    <t>Nightpetal Knife</t>
  </si>
  <si>
    <t>夜瓣匕首</t>
  </si>
  <si>
    <t>Rifttrace Stiletto</t>
  </si>
  <si>
    <t>裂痕短刃</t>
  </si>
  <si>
    <t>Shadowsear Dagger</t>
  </si>
  <si>
    <t>影灼匕首</t>
  </si>
  <si>
    <t>Verdantedge Blade</t>
  </si>
  <si>
    <t>苍锋之刃</t>
  </si>
  <si>
    <t>Emberbloom Knife</t>
  </si>
  <si>
    <t>灰烬花匕</t>
  </si>
  <si>
    <t>Frostpierce Fang</t>
  </si>
  <si>
    <t>霜刺之牙</t>
  </si>
  <si>
    <t>Starvein Stiletto</t>
  </si>
  <si>
    <t>星脉短刃</t>
  </si>
  <si>
    <t>Emberbrand Claymore</t>
  </si>
  <si>
    <t>灰焰巨剑</t>
  </si>
  <si>
    <t>Frostspike Edge</t>
  </si>
  <si>
    <t>霜刺之锋</t>
  </si>
  <si>
    <t>Shadowsoul Blade</t>
  </si>
  <si>
    <t>影魂之刃</t>
  </si>
  <si>
    <t>Duskwrought Greatsword</t>
  </si>
  <si>
    <t>暮铸重剑</t>
  </si>
  <si>
    <t>Verdantcleave Edge</t>
  </si>
  <si>
    <t>苍劈巨剑</t>
  </si>
  <si>
    <t>Hollowflare Blade</t>
  </si>
  <si>
    <t>空焰之锋</t>
  </si>
  <si>
    <t>Glimmerthorn Sword</t>
  </si>
  <si>
    <t>闪棘之剑</t>
  </si>
  <si>
    <t>Bloodforged Edge</t>
  </si>
  <si>
    <t>血铸之刃</t>
  </si>
  <si>
    <t>Riftpiercer Blade</t>
  </si>
  <si>
    <t>裂刺巨剑</t>
  </si>
  <si>
    <t>Nightveil Claymore</t>
  </si>
  <si>
    <t>夜纱巨剑</t>
  </si>
  <si>
    <t>Ashenfang Blade</t>
  </si>
  <si>
    <t>灰牙之剑</t>
  </si>
  <si>
    <t>Silentwhisper Edge</t>
  </si>
  <si>
    <t>静语重剑</t>
  </si>
  <si>
    <t>Phantomspike Sword</t>
  </si>
  <si>
    <t>幻刺之剑</t>
  </si>
  <si>
    <t>Dustcarved Edge</t>
  </si>
  <si>
    <t>尘雕巨剑</t>
  </si>
  <si>
    <t>Emberthorn Blade</t>
  </si>
  <si>
    <t>灰棘巨剑</t>
  </si>
  <si>
    <t>Frostvein Edge</t>
  </si>
  <si>
    <t>霜脉之刃</t>
  </si>
  <si>
    <t>Luminousblade Edge</t>
  </si>
  <si>
    <t>光辉巨剑</t>
  </si>
  <si>
    <t>Hollowbloom Claymore</t>
  </si>
  <si>
    <t>空花巨剑</t>
  </si>
  <si>
    <t>夜影之剑</t>
  </si>
  <si>
    <t>Riftshard Sword</t>
  </si>
  <si>
    <t>裂痕重剑</t>
  </si>
  <si>
    <t>Shadowstrike Edge</t>
  </si>
  <si>
    <t>影击之锋</t>
  </si>
  <si>
    <t>Verdantpierce Blade</t>
  </si>
  <si>
    <t>苍刺之剑</t>
  </si>
  <si>
    <t>Embertrace Claymore</t>
  </si>
  <si>
    <t>灰痕巨剑</t>
  </si>
  <si>
    <t>Frostwrought Edge</t>
  </si>
  <si>
    <t>霜铸巨剑</t>
  </si>
  <si>
    <t>Starcleave Blade</t>
  </si>
  <si>
    <t>星裂之剑</t>
  </si>
  <si>
    <t>Emberbite Axe</t>
  </si>
  <si>
    <t>灰噬巨斧</t>
  </si>
  <si>
    <t>Frosthewn Cleaver</t>
  </si>
  <si>
    <t>霜雕战斧</t>
  </si>
  <si>
    <t>Shadowfang Axe</t>
  </si>
  <si>
    <t>影牙巨斧</t>
  </si>
  <si>
    <t>Duskwrought Splitter</t>
  </si>
  <si>
    <t>Verdantcleave Axe</t>
  </si>
  <si>
    <t>苍劈巨斧</t>
  </si>
  <si>
    <t>Hollowrend Cleaver</t>
  </si>
  <si>
    <t>空裂战斧</t>
  </si>
  <si>
    <t>Glimmerstrike Axe</t>
  </si>
  <si>
    <t>闪击之斧</t>
  </si>
  <si>
    <t>Bloodforge Splitter</t>
  </si>
  <si>
    <t>血铸裂斧</t>
  </si>
  <si>
    <t>Riftbreaker Axe</t>
  </si>
  <si>
    <t>裂破巨斧</t>
  </si>
  <si>
    <t>Nightsear Cleaver</t>
  </si>
  <si>
    <t>夜灼战斧</t>
  </si>
  <si>
    <t>Ashenspike Axe</t>
  </si>
  <si>
    <t>灰刺巨斧</t>
  </si>
  <si>
    <t>Silentfang Cleaver</t>
  </si>
  <si>
    <t>静牙裂斧</t>
  </si>
  <si>
    <t>Phantomedge Splitter</t>
  </si>
  <si>
    <t>幻锋巨斧</t>
  </si>
  <si>
    <t>Dustcarve Cleaver</t>
  </si>
  <si>
    <t>尘雕战斧</t>
  </si>
  <si>
    <t>灰棘之斧</t>
  </si>
  <si>
    <t>Frostshade Cleaver</t>
  </si>
  <si>
    <t>霜影战斧</t>
  </si>
  <si>
    <t>Luminousfang Axe</t>
  </si>
  <si>
    <t>光牙巨斧</t>
  </si>
  <si>
    <t>Hollowspike Cleaver</t>
  </si>
  <si>
    <t>空刺战斧</t>
  </si>
  <si>
    <t>Nightstrike Splitter</t>
  </si>
  <si>
    <t>夜击裂斧</t>
  </si>
  <si>
    <t>Rifttrace Axe</t>
  </si>
  <si>
    <t>裂痕巨斧</t>
  </si>
  <si>
    <t>Shadowwrought Cleaver</t>
  </si>
  <si>
    <t>Verdantpierce Axe</t>
  </si>
  <si>
    <t>苍刺之斧</t>
  </si>
  <si>
    <t>Emberrend Splitter</t>
  </si>
  <si>
    <t>灰裂巨斧</t>
  </si>
  <si>
    <t>Frostgloom Cleaver</t>
  </si>
  <si>
    <t>霜暮战斧</t>
  </si>
  <si>
    <t>Starclash Axe</t>
  </si>
  <si>
    <t>星击巨斧</t>
  </si>
  <si>
    <t>Emberforge Maul</t>
  </si>
  <si>
    <t>灰铸重锤</t>
  </si>
  <si>
    <t>Frostcrush Hammer</t>
  </si>
  <si>
    <t>霜击战锤</t>
  </si>
  <si>
    <t>Shadowbloom Maul</t>
  </si>
  <si>
    <t>影花重锤</t>
  </si>
  <si>
    <t>暮铸巨锤</t>
  </si>
  <si>
    <t>Verdantflare Maul</t>
  </si>
  <si>
    <t>苍焰重锤</t>
  </si>
  <si>
    <t>Hollowstrike Hammer</t>
  </si>
  <si>
    <t>Glimmersoul Maul</t>
  </si>
  <si>
    <t>闪魂巨锤</t>
  </si>
  <si>
    <t>Bloodshard Hammer</t>
  </si>
  <si>
    <t>血碎战锤</t>
  </si>
  <si>
    <t>Riftpierce Maul</t>
  </si>
  <si>
    <t>裂刺重锤</t>
  </si>
  <si>
    <t>夜纱巨锤</t>
  </si>
  <si>
    <t>Ashenfang Maul</t>
  </si>
  <si>
    <t>灰牙重锤</t>
  </si>
  <si>
    <t>Silentflare Hammer</t>
  </si>
  <si>
    <t>静焰巨锤</t>
  </si>
  <si>
    <t>Phantomcrush Maul</t>
  </si>
  <si>
    <t>幻击重锤</t>
  </si>
  <si>
    <t>Dustwrought Hammer</t>
  </si>
  <si>
    <t>尘铸战锤</t>
  </si>
  <si>
    <t>Emberthorn Maul</t>
  </si>
  <si>
    <t>灰棘巨锤</t>
  </si>
  <si>
    <t>Frostshade Hammer</t>
  </si>
  <si>
    <t>霜影战锤</t>
  </si>
  <si>
    <t>Luminousstrike Maul</t>
  </si>
  <si>
    <t>光击巨锤</t>
  </si>
  <si>
    <t>Hollowbloom Hammer</t>
  </si>
  <si>
    <t>空花战锤</t>
  </si>
  <si>
    <t>Nightsear Maul</t>
  </si>
  <si>
    <t>夜灼重锤</t>
  </si>
  <si>
    <t>裂缚战锤</t>
  </si>
  <si>
    <t>影铸巨锤</t>
  </si>
  <si>
    <t>Verdantcarve Hammer</t>
  </si>
  <si>
    <t>苍雕战锤</t>
  </si>
  <si>
    <t>Frostspike Hammer</t>
  </si>
  <si>
    <t>霜刺战锤</t>
  </si>
  <si>
    <t>Starveil Maul</t>
  </si>
  <si>
    <t>星纱巨锤</t>
  </si>
  <si>
    <t>Emberflare Staff</t>
  </si>
  <si>
    <t>灰焰法杖</t>
  </si>
  <si>
    <t>Frostshard Rod</t>
  </si>
  <si>
    <t>霜碎之杖</t>
  </si>
  <si>
    <t>Shadowthorn Staff</t>
  </si>
  <si>
    <t>影棘法杖</t>
  </si>
  <si>
    <t>Dusksoul Rod</t>
  </si>
  <si>
    <t>暮魂法杖</t>
  </si>
  <si>
    <t>Verdantbloom Staff</t>
  </si>
  <si>
    <t>苍花法杖</t>
  </si>
  <si>
    <t>Hollowflare Wand</t>
  </si>
  <si>
    <t>空焰之杖</t>
  </si>
  <si>
    <t>Glimmerbranch Staff</t>
  </si>
  <si>
    <t>闪枝法杖</t>
  </si>
  <si>
    <t>Bloodspike Rod</t>
  </si>
  <si>
    <t>血刺法杖</t>
  </si>
  <si>
    <t>Riftspire Wand</t>
  </si>
  <si>
    <t>裂尖法杖</t>
  </si>
  <si>
    <t>Nightveil Staff</t>
  </si>
  <si>
    <t>夜纱法杖</t>
  </si>
  <si>
    <t>Ashenroot Rod</t>
  </si>
  <si>
    <t>灰根之杖</t>
  </si>
  <si>
    <t>Silentbloom Wand</t>
  </si>
  <si>
    <t>静花法杖</t>
  </si>
  <si>
    <t>Phantomtrace Staff</t>
  </si>
  <si>
    <t>幻痕法杖</t>
  </si>
  <si>
    <t>尘织之杖</t>
  </si>
  <si>
    <t>Emberthorn Wand</t>
  </si>
  <si>
    <t>灰棘法杖</t>
  </si>
  <si>
    <t>Frostwhisper Staff</t>
  </si>
  <si>
    <t>霜语法杖</t>
  </si>
  <si>
    <t>Luminousbloom Rod</t>
  </si>
  <si>
    <t>光花之杖</t>
  </si>
  <si>
    <t>Hollowspike Wand</t>
  </si>
  <si>
    <t>空刺法杖</t>
  </si>
  <si>
    <t>Nightpetal Staff</t>
  </si>
  <si>
    <t>夜瓣法杖</t>
  </si>
  <si>
    <t>Riftshadow Wand</t>
  </si>
  <si>
    <t>裂影法杖</t>
  </si>
  <si>
    <t>Shadowweave Rod</t>
  </si>
  <si>
    <t>影织之杖</t>
  </si>
  <si>
    <t>Verdantflare Staff</t>
  </si>
  <si>
    <t>苍焰法杖</t>
  </si>
  <si>
    <t>Emberbranch Wand</t>
  </si>
  <si>
    <t>灰枝法杖</t>
  </si>
  <si>
    <t>Starspire Rod</t>
  </si>
  <si>
    <t>星尖法杖</t>
  </si>
  <si>
    <t>灰焰之弓</t>
  </si>
  <si>
    <t>Frostpierce Bow</t>
  </si>
  <si>
    <t>霜刺之弓</t>
  </si>
  <si>
    <t>Shadowsong Bow</t>
  </si>
  <si>
    <t>影歌长弓</t>
  </si>
  <si>
    <t>Duskthorn Bow</t>
  </si>
  <si>
    <t>暮棘长弓</t>
  </si>
  <si>
    <t>Verdantfang Bow</t>
  </si>
  <si>
    <t>苍牙之弓</t>
  </si>
  <si>
    <t>Glimmerstrike Bow</t>
  </si>
  <si>
    <t>闪击长弓</t>
  </si>
  <si>
    <t>Bloodtrace Bow</t>
  </si>
  <si>
    <t>Riftwhisper Bow</t>
  </si>
  <si>
    <t>裂语长弓</t>
  </si>
  <si>
    <t>Nightveil Bow</t>
  </si>
  <si>
    <t>夜纱长弓</t>
  </si>
  <si>
    <t>Ashenflare Bow</t>
  </si>
  <si>
    <t>Silentshadow Bow</t>
  </si>
  <si>
    <t>静影之弓</t>
  </si>
  <si>
    <t>Phantomshard Bow</t>
  </si>
  <si>
    <t>幻碎长弓</t>
  </si>
  <si>
    <t>Dustwoven Bow</t>
  </si>
  <si>
    <t>尘织长弓</t>
  </si>
  <si>
    <t>Emberthorn Bow</t>
  </si>
  <si>
    <t>灰棘长弓</t>
  </si>
  <si>
    <t>Frostsong Bow</t>
  </si>
  <si>
    <t>霜歌长弓</t>
  </si>
  <si>
    <t>Luminousedge Bow</t>
  </si>
  <si>
    <t>光刃长弓</t>
  </si>
  <si>
    <t>Hollowspike Bow</t>
  </si>
  <si>
    <t>空刺之弓</t>
  </si>
  <si>
    <t>Nightgloom Bow</t>
  </si>
  <si>
    <t>夜暮长弓</t>
  </si>
  <si>
    <t>Riftpierce Bow</t>
  </si>
  <si>
    <t>裂刺长弓</t>
  </si>
  <si>
    <t>Shadowbloom Bow</t>
  </si>
  <si>
    <t>影花长弓</t>
  </si>
  <si>
    <t>Verdantstring Bow</t>
  </si>
  <si>
    <t>苍弦长弓</t>
  </si>
  <si>
    <t>灰纱之弓</t>
  </si>
  <si>
    <t>Frostthorn Bow</t>
  </si>
  <si>
    <t>霜棘长弓</t>
  </si>
  <si>
    <t>Starbound Bow</t>
  </si>
  <si>
    <t>星缚长弓</t>
  </si>
  <si>
    <t>灰焰之镰</t>
  </si>
  <si>
    <t>Frostshade Reaper</t>
  </si>
  <si>
    <t>霜影镰刀</t>
  </si>
  <si>
    <t>Shadowsoul Scythe</t>
  </si>
  <si>
    <t>影魂之镰</t>
  </si>
  <si>
    <t>Duskthorn Reaper</t>
  </si>
  <si>
    <t>暮棘镰刀</t>
  </si>
  <si>
    <t>Verdantedge Scythe</t>
  </si>
  <si>
    <t>苍锋之镰</t>
  </si>
  <si>
    <t>Hollowgaze Scythe</t>
  </si>
  <si>
    <t>空视之镰</t>
  </si>
  <si>
    <t>Glimmerflare Scythe</t>
  </si>
  <si>
    <t>闪焰之镰</t>
  </si>
  <si>
    <t>Bloodpetal Reaper</t>
  </si>
  <si>
    <t>血瓣镰刀</t>
  </si>
  <si>
    <t>Riftpierce Scythe</t>
  </si>
  <si>
    <t>裂刺镰刀</t>
  </si>
  <si>
    <t>Nightveil Reaper</t>
  </si>
  <si>
    <t>夜纱镰刀</t>
  </si>
  <si>
    <t>Ashenroot Scythe</t>
  </si>
  <si>
    <t>灰根之镰</t>
  </si>
  <si>
    <t>Silentbloom Reaper</t>
  </si>
  <si>
    <t>静花镰刀</t>
  </si>
  <si>
    <t>Phantomspike Scythe</t>
  </si>
  <si>
    <t>幻刺之镰</t>
  </si>
  <si>
    <t>Emberthorn Reaper</t>
  </si>
  <si>
    <t>灰棘镰刀</t>
  </si>
  <si>
    <t>Frostspire Scythe</t>
  </si>
  <si>
    <t>霜尖之镰</t>
  </si>
  <si>
    <t>Luminousfang Scythe</t>
  </si>
  <si>
    <t>光牙之镰</t>
  </si>
  <si>
    <t>Hollowtrace Reaper</t>
  </si>
  <si>
    <t>空痕镰刀</t>
  </si>
  <si>
    <t>Nightpetal Scythe</t>
  </si>
  <si>
    <t>夜瓣之镰</t>
  </si>
  <si>
    <t>Riftshard Scythe</t>
  </si>
  <si>
    <t>裂碎镰刀</t>
  </si>
  <si>
    <t>Shadowbloom Scythe</t>
  </si>
  <si>
    <t>影花之镰</t>
  </si>
  <si>
    <t>Verdantflare Scythe</t>
  </si>
  <si>
    <t>苍焰镰刀</t>
  </si>
  <si>
    <t>Emberpierce Scythe</t>
  </si>
  <si>
    <t>灰刺之镰</t>
  </si>
  <si>
    <t>Frostwhisper Reaper</t>
  </si>
  <si>
    <t>霜语镰刀</t>
  </si>
  <si>
    <t>Starshade Scythe</t>
  </si>
  <si>
    <t>星影之镰</t>
  </si>
  <si>
    <t>Emberveil Shield</t>
  </si>
  <si>
    <t>灰纱之盾</t>
  </si>
  <si>
    <t>Frostshard Barrier</t>
  </si>
  <si>
    <t>霜碎壁垒</t>
  </si>
  <si>
    <t>Shadowthorn Aegis</t>
  </si>
  <si>
    <t>影棘之庇</t>
  </si>
  <si>
    <t>Duskflame Shield</t>
  </si>
  <si>
    <t>暮焰之盾</t>
  </si>
  <si>
    <t>Verdantbloom Wall</t>
  </si>
  <si>
    <t>苍花之壁</t>
  </si>
  <si>
    <t>Hollowgloom Guard</t>
  </si>
  <si>
    <t>空暮之护</t>
  </si>
  <si>
    <t>Glimmerlight Shield</t>
  </si>
  <si>
    <t>闪光之盾</t>
  </si>
  <si>
    <t>Bloodforged Bulwark</t>
  </si>
  <si>
    <t>血铸壁垒</t>
  </si>
  <si>
    <t>Riftveil Aegis</t>
  </si>
  <si>
    <t>裂纱之庇</t>
  </si>
  <si>
    <t>Nightshadow Shield</t>
  </si>
  <si>
    <t>夜影之盾</t>
  </si>
  <si>
    <t>Ashenspike Wall</t>
  </si>
  <si>
    <t>灰刺之壁</t>
  </si>
  <si>
    <t>Silentwhisper Guard</t>
  </si>
  <si>
    <t>静语之护</t>
  </si>
  <si>
    <t>Phantomspire Shield</t>
  </si>
  <si>
    <t>幻尖之盾</t>
  </si>
  <si>
    <t>Starbloom Barrier</t>
  </si>
  <si>
    <t>星花壁垒</t>
  </si>
  <si>
    <t>灰焰战盔</t>
  </si>
  <si>
    <t>霜纱之冠</t>
  </si>
  <si>
    <t>Shadowsoul Visor</t>
  </si>
  <si>
    <t>影魂面盔</t>
  </si>
  <si>
    <t>Duskwrought Helm</t>
  </si>
  <si>
    <t>暮铸战盔</t>
  </si>
  <si>
    <t>Verdantbloom Crest</t>
  </si>
  <si>
    <t>苍花纹盔</t>
  </si>
  <si>
    <t>Hollowgaze Helm</t>
  </si>
  <si>
    <t>空视头盔</t>
  </si>
  <si>
    <t>Glimmerthorn Helm</t>
  </si>
  <si>
    <t>闪棘战盔</t>
  </si>
  <si>
    <t>Bloodspike Visor</t>
  </si>
  <si>
    <t>血刺面盔</t>
  </si>
  <si>
    <t>Riftshadow Crown</t>
  </si>
  <si>
    <t>裂影头冠</t>
  </si>
  <si>
    <t>Nightveil Helm</t>
  </si>
  <si>
    <t>夜纱头盔</t>
  </si>
  <si>
    <t>Ashenspike Helm</t>
  </si>
  <si>
    <t>灰刺战盔</t>
  </si>
  <si>
    <t>Silentflare Visor</t>
  </si>
  <si>
    <t>静焰面盔</t>
  </si>
  <si>
    <t>Phantomtrace Helm</t>
  </si>
  <si>
    <t>幻痕战盔</t>
  </si>
  <si>
    <t>Dustwoven Crown</t>
  </si>
  <si>
    <t>尘织头冠</t>
  </si>
  <si>
    <t>Emberthorn Crest</t>
  </si>
  <si>
    <t>灰棘纹盔</t>
  </si>
  <si>
    <t>Frostshade Helm</t>
  </si>
  <si>
    <t>霜影头盔</t>
  </si>
  <si>
    <t>Luminousgloom Crown</t>
  </si>
  <si>
    <t>光暮之冠</t>
  </si>
  <si>
    <t>空棘战盔</t>
  </si>
  <si>
    <t>Nightpetal Helm</t>
  </si>
  <si>
    <t>夜瓣头盔</t>
  </si>
  <si>
    <t>Riftveil Visor</t>
  </si>
  <si>
    <t>裂纱面盔</t>
  </si>
  <si>
    <t>Shadowbloom Crown</t>
  </si>
  <si>
    <t>影花头冠</t>
  </si>
  <si>
    <t>Verdantflare Helm</t>
  </si>
  <si>
    <t>苍焰头盔</t>
  </si>
  <si>
    <t>Emberspire Crest</t>
  </si>
  <si>
    <t>灰尖纹盔</t>
  </si>
  <si>
    <t>Frostbloom Helm</t>
  </si>
  <si>
    <t>霜花战盔</t>
  </si>
  <si>
    <t>Starveil Visor</t>
  </si>
  <si>
    <t>星纱面盔</t>
  </si>
  <si>
    <t>灰焰织袍</t>
  </si>
  <si>
    <t>Frostveil Garb</t>
  </si>
  <si>
    <t>霜纱外衣</t>
  </si>
  <si>
    <t>Shadowsoul Cloak</t>
  </si>
  <si>
    <t>影魂披风</t>
  </si>
  <si>
    <t>Duskwrought Vestment</t>
  </si>
  <si>
    <t>暮铸法衣</t>
  </si>
  <si>
    <t>Verdantbloom Mantle</t>
  </si>
  <si>
    <t>苍花披肩</t>
  </si>
  <si>
    <t>Hollowflare Robe</t>
  </si>
  <si>
    <t>空焰长袍</t>
  </si>
  <si>
    <t>Glimmerthread Vest</t>
  </si>
  <si>
    <t>闪丝外袍</t>
  </si>
  <si>
    <t>Bloodspike Garb</t>
  </si>
  <si>
    <t>血刺衣袍</t>
  </si>
  <si>
    <t>Riftbloom Cloak</t>
  </si>
  <si>
    <t>裂花披风</t>
  </si>
  <si>
    <t>Nightveil Robe</t>
  </si>
  <si>
    <t>夜纱长袍</t>
  </si>
  <si>
    <t>Ashenspike Mantle</t>
  </si>
  <si>
    <t>灰刺披肩</t>
  </si>
  <si>
    <t>Silentwhisper Garb</t>
  </si>
  <si>
    <t>静语外衣</t>
  </si>
  <si>
    <t>Phantomtrace Vestment</t>
  </si>
  <si>
    <t>幻痕法衣</t>
  </si>
  <si>
    <t>Dustwoven Cloak</t>
  </si>
  <si>
    <t>尘织披风</t>
  </si>
  <si>
    <t>Emberthorn Robe</t>
  </si>
  <si>
    <t>灰棘长袍</t>
  </si>
  <si>
    <t>Frostshade Garb</t>
  </si>
  <si>
    <t>霜影外衣</t>
  </si>
  <si>
    <t>Luminousveil Mantle</t>
  </si>
  <si>
    <t>光纱披肩</t>
  </si>
  <si>
    <t>Hollowthorn Vest</t>
  </si>
  <si>
    <t>空棘外袍</t>
  </si>
  <si>
    <t>Nightpetal Cloak</t>
  </si>
  <si>
    <t>夜瓣披风</t>
  </si>
  <si>
    <t>Riftveil Robe</t>
  </si>
  <si>
    <t>裂纱长袍</t>
  </si>
  <si>
    <t>Shadowbloom Mantle</t>
  </si>
  <si>
    <t>影花披肩</t>
  </si>
  <si>
    <t>Verdantflare Garb</t>
  </si>
  <si>
    <t>苍焰外衣</t>
  </si>
  <si>
    <t>Emberspire Robe</t>
  </si>
  <si>
    <t>灰尖长袍</t>
  </si>
  <si>
    <t>Frostwoven Vest</t>
  </si>
  <si>
    <t>霜织外袍</t>
  </si>
  <si>
    <t>Starveil Cloak</t>
  </si>
  <si>
    <t>星纱披风</t>
  </si>
  <si>
    <t>Embergrip Gloves</t>
  </si>
  <si>
    <t>灰焰手套</t>
  </si>
  <si>
    <t>Frostwoven Grips</t>
  </si>
  <si>
    <t>霜织之握</t>
  </si>
  <si>
    <t>Shadowclaw Gauntlets</t>
  </si>
  <si>
    <t>影爪护手</t>
  </si>
  <si>
    <t>Duskbloom Gloves</t>
  </si>
  <si>
    <t>暮花手套</t>
  </si>
  <si>
    <t>Verdantfang Gauntlets</t>
  </si>
  <si>
    <t>苍牙护手</t>
  </si>
  <si>
    <t>Hollowthorn Grips</t>
  </si>
  <si>
    <t>空棘之握</t>
  </si>
  <si>
    <t>Glimmerflare Gloves</t>
  </si>
  <si>
    <t>闪焰手套</t>
  </si>
  <si>
    <t>Bloodforged Grips</t>
  </si>
  <si>
    <t>血铸之握</t>
  </si>
  <si>
    <t>Riftbloom Gauntlets</t>
  </si>
  <si>
    <t>裂花护手</t>
  </si>
  <si>
    <t>Nightveil Gloves</t>
  </si>
  <si>
    <t>夜纱手套</t>
  </si>
  <si>
    <t>Ashenspike Grips</t>
  </si>
  <si>
    <t>灰刺之握</t>
  </si>
  <si>
    <t>Silentwoven Gloves</t>
  </si>
  <si>
    <t>静织手套</t>
  </si>
  <si>
    <t>Phantomtrace Grips</t>
  </si>
  <si>
    <t>幻痕之握</t>
  </si>
  <si>
    <t>Dustwoven Gauntlets</t>
  </si>
  <si>
    <t>尘织护手</t>
  </si>
  <si>
    <t>Emberthorn Gloves</t>
  </si>
  <si>
    <t>灰棘手套</t>
  </si>
  <si>
    <t>Frostshade Grips</t>
  </si>
  <si>
    <t>霜影之握</t>
  </si>
  <si>
    <t>Luminousbloom Gauntlets</t>
  </si>
  <si>
    <t>光花护手</t>
  </si>
  <si>
    <t>Hollowspike Gloves</t>
  </si>
  <si>
    <t>空刺手套</t>
  </si>
  <si>
    <t>Nightpetal Grips</t>
  </si>
  <si>
    <t>夜瓣之握</t>
  </si>
  <si>
    <t>Riftveil Gauntlets</t>
  </si>
  <si>
    <t>裂纱护手</t>
  </si>
  <si>
    <t>Shadowwoven Gloves</t>
  </si>
  <si>
    <t>影织手套</t>
  </si>
  <si>
    <t>Verdantflare Grips</t>
  </si>
  <si>
    <t>苍焰之握</t>
  </si>
  <si>
    <t>Emberspire Gauntlets</t>
  </si>
  <si>
    <t>灰尖护手</t>
  </si>
  <si>
    <t>Frostbloom Gloves</t>
  </si>
  <si>
    <t>霜花手套</t>
  </si>
  <si>
    <t>Starwoven Grips</t>
  </si>
  <si>
    <t>星织之握</t>
  </si>
  <si>
    <t>Emberstep Boots</t>
  </si>
  <si>
    <t>灰焰战靴</t>
  </si>
  <si>
    <t>霜纱履靴</t>
  </si>
  <si>
    <t>Shadowthorn Boots</t>
  </si>
  <si>
    <t>影棘之靴</t>
  </si>
  <si>
    <t>Nightwoven Treads</t>
  </si>
  <si>
    <t>夜织履靴</t>
  </si>
  <si>
    <t>灰焰束带</t>
  </si>
  <si>
    <t>Frostwoven Sash</t>
  </si>
  <si>
    <t>霜织腰带</t>
  </si>
  <si>
    <t>Shadowsoul Cord</t>
  </si>
  <si>
    <t>影魂腰绳</t>
  </si>
  <si>
    <t>Dusktwine Cinch</t>
  </si>
  <si>
    <t>暮缚腰带</t>
  </si>
  <si>
    <t>Verdantbloom Girdle</t>
  </si>
  <si>
    <t>苍花腰带</t>
  </si>
  <si>
    <t>Hollowspike Belt</t>
  </si>
  <si>
    <t>空刺束带</t>
  </si>
  <si>
    <t>Glimmerthread Sash</t>
  </si>
  <si>
    <t>闪丝腰带</t>
  </si>
  <si>
    <t>Bloodtrace Cord</t>
  </si>
  <si>
    <t>血痕腰绳</t>
  </si>
  <si>
    <t>Riftwoven Girdle</t>
  </si>
  <si>
    <t>裂织腰带</t>
  </si>
  <si>
    <t>Nightveil Belt</t>
  </si>
  <si>
    <t>夜纱腰带</t>
  </si>
  <si>
    <t>Ashenspike Cinch</t>
  </si>
  <si>
    <t>灰刺腰带</t>
  </si>
  <si>
    <t>Silentflame Cord</t>
  </si>
  <si>
    <t>静焰腰绳</t>
  </si>
  <si>
    <t>Phantombloom Belt</t>
  </si>
  <si>
    <t>幻花束带</t>
  </si>
  <si>
    <t>Dustwoven Girdle</t>
  </si>
  <si>
    <t>尘织腰带</t>
  </si>
  <si>
    <t>Emberthorn Sash</t>
  </si>
  <si>
    <t>灰棘腰带</t>
  </si>
  <si>
    <t>Frostshade Belt</t>
  </si>
  <si>
    <t>霜影束带</t>
  </si>
  <si>
    <t>Luminousgloom Cinch</t>
  </si>
  <si>
    <t>光暮腰带</t>
  </si>
  <si>
    <t>Hollowflare Girdle</t>
  </si>
  <si>
    <t>空焰腰带</t>
  </si>
  <si>
    <t>Emberglow Pendant</t>
  </si>
  <si>
    <t>灰焰吊坠</t>
  </si>
  <si>
    <t>Frostshard Necklace</t>
  </si>
  <si>
    <t>霜碎项链</t>
  </si>
  <si>
    <t>Shadowsoul Locket</t>
  </si>
  <si>
    <t>影魂锁链</t>
  </si>
  <si>
    <t>Duskbloom Talisman</t>
  </si>
  <si>
    <t>暮花护符</t>
  </si>
  <si>
    <t>Verdantfang Charm</t>
  </si>
  <si>
    <t>苍牙饰坠</t>
  </si>
  <si>
    <t>Hollowthorn Pendant</t>
  </si>
  <si>
    <t>空棘吊坠</t>
  </si>
  <si>
    <t>Glimmerflare Necklace</t>
  </si>
  <si>
    <t>闪焰项链</t>
  </si>
  <si>
    <t>Bloodtrace Amulet</t>
  </si>
  <si>
    <t>血痕护符</t>
  </si>
  <si>
    <t>Riftshadow Locket</t>
  </si>
  <si>
    <t>裂影锁链</t>
  </si>
  <si>
    <t>Nightveil Pendant</t>
  </si>
  <si>
    <t>夜纱吊坠</t>
  </si>
  <si>
    <t>Ashenspike Talisman</t>
  </si>
  <si>
    <t>灰刺护符</t>
  </si>
  <si>
    <t>Silentwoven Necklace</t>
  </si>
  <si>
    <t>静织项链</t>
  </si>
  <si>
    <t>Phantomtrace Amulet</t>
  </si>
  <si>
    <t>幻痕护符</t>
  </si>
  <si>
    <t>Dustwoven Pendant</t>
  </si>
  <si>
    <t>尘织吊坠</t>
  </si>
  <si>
    <t>Emberthorn Charm</t>
  </si>
  <si>
    <t>灰棘饰坠</t>
  </si>
  <si>
    <t>Frostshade Necklace</t>
  </si>
  <si>
    <t>霜影项链</t>
  </si>
  <si>
    <t>Luminousbloom Pendant</t>
  </si>
  <si>
    <t>光花吊坠</t>
  </si>
  <si>
    <t>Hollowpetal Locket</t>
  </si>
  <si>
    <t>空瓣锁链</t>
  </si>
  <si>
    <t>Nightpetal Talisman</t>
  </si>
  <si>
    <t>夜瓣护符</t>
  </si>
  <si>
    <t>Riftveil Pendant</t>
  </si>
  <si>
    <t>裂纱吊坠</t>
  </si>
  <si>
    <t>Shadowbloom Necklace</t>
  </si>
  <si>
    <t>影花项链</t>
  </si>
  <si>
    <t>Verdantspire Pendant</t>
  </si>
  <si>
    <t>苍尖吊坠</t>
  </si>
  <si>
    <t>Emberpierce Talisman</t>
  </si>
  <si>
    <t>Frostwoven Charm</t>
  </si>
  <si>
    <t>霜织饰坠</t>
  </si>
  <si>
    <t>Starveil Amulet</t>
  </si>
  <si>
    <t>星纱护符</t>
  </si>
  <si>
    <t>Emberflame Ring</t>
  </si>
  <si>
    <t>灰焰指环</t>
  </si>
  <si>
    <t>Frostshard Band</t>
  </si>
  <si>
    <t>霜碎之戒</t>
  </si>
  <si>
    <t>Shadowsoul Circle</t>
  </si>
  <si>
    <t>影魂圆戒</t>
  </si>
  <si>
    <t>Duskwrought Ring</t>
  </si>
  <si>
    <t>暮铸指环</t>
  </si>
  <si>
    <t>Verdantbloom Band</t>
  </si>
  <si>
    <t>苍花之戒</t>
  </si>
  <si>
    <t>Hollowthorn Ring</t>
  </si>
  <si>
    <t>空棘之戒</t>
  </si>
  <si>
    <t>Glimmerlight Band</t>
  </si>
  <si>
    <t>闪辉之环</t>
  </si>
  <si>
    <t>Bloodtrace Circle</t>
  </si>
  <si>
    <t>血痕圆戒</t>
  </si>
  <si>
    <t>Riftveil Ring</t>
  </si>
  <si>
    <t>裂纱指环</t>
  </si>
  <si>
    <t>Nightpetal Band</t>
  </si>
  <si>
    <t>夜瓣之戒</t>
  </si>
  <si>
    <t>Ashenspike Ring</t>
  </si>
  <si>
    <t>灰刺之戒</t>
  </si>
  <si>
    <t>Silentgloom Circle</t>
  </si>
  <si>
    <t>静暮圆戒</t>
  </si>
  <si>
    <t>Phantomtrace Band</t>
  </si>
  <si>
    <t>幻痕之戒</t>
  </si>
  <si>
    <t>Dustwoven Ring</t>
  </si>
  <si>
    <t>尘织指环</t>
  </si>
  <si>
    <t>Starshadow Band</t>
  </si>
  <si>
    <t>星影之戒</t>
  </si>
  <si>
    <t>Celestial Fang</t>
  </si>
  <si>
    <t>天穹之牙</t>
  </si>
  <si>
    <t>Voidbreaker Blade</t>
  </si>
  <si>
    <t>虚破之刃</t>
  </si>
  <si>
    <t>Soulpiercer Saber</t>
  </si>
  <si>
    <t>刺魂军刃</t>
  </si>
  <si>
    <t>Dawnseeker Edge</t>
  </si>
  <si>
    <t>逐光之锋</t>
  </si>
  <si>
    <t>Abyssfire Blade</t>
  </si>
  <si>
    <t>渊焰之刃</t>
  </si>
  <si>
    <t>Radiance Fang</t>
  </si>
  <si>
    <t>辉煌之牙</t>
  </si>
  <si>
    <t>Eclipsing Saber</t>
  </si>
  <si>
    <t>遮日军刃</t>
  </si>
  <si>
    <t>Netherveil Blade</t>
  </si>
  <si>
    <t>幽纱之剑</t>
  </si>
  <si>
    <t>Stormreaver Edge</t>
  </si>
  <si>
    <t>雷掠之锋</t>
  </si>
  <si>
    <t>Eternalshard Sword</t>
  </si>
  <si>
    <t>永裂之剑</t>
  </si>
  <si>
    <t>Blightthorn Fang</t>
  </si>
  <si>
    <t>衰棘之牙</t>
  </si>
  <si>
    <t>Skybound Blade</t>
  </si>
  <si>
    <t>天缚之刃</t>
  </si>
  <si>
    <t>Shadowflare Saber</t>
  </si>
  <si>
    <t>影耀军刃</t>
  </si>
  <si>
    <t>Starforge Edge</t>
  </si>
  <si>
    <t>铸星之锋</t>
  </si>
  <si>
    <t>Deathreign Fang</t>
  </si>
  <si>
    <t>死冕之牙</t>
  </si>
  <si>
    <t>Infernalspire Blade</t>
  </si>
  <si>
    <t>狱塔之剑</t>
  </si>
  <si>
    <t>Wraithbane Saber</t>
  </si>
  <si>
    <t>魂灭军刃</t>
  </si>
  <si>
    <t>Riftseeker Edge</t>
  </si>
  <si>
    <t>裂觅之锋</t>
  </si>
  <si>
    <t>Lightreaver Blade</t>
  </si>
  <si>
    <t>光掠之剑</t>
  </si>
  <si>
    <t>Thornbound Saber</t>
  </si>
  <si>
    <t>棘缚军刃</t>
  </si>
  <si>
    <t>Oblivionflare Edge</t>
  </si>
  <si>
    <t>灭焰之锋</t>
  </si>
  <si>
    <t>Frostwarden Blade</t>
  </si>
  <si>
    <t>霜守之剑</t>
  </si>
  <si>
    <t>Dawnreaver Fang</t>
  </si>
  <si>
    <t>曙掠之牙</t>
  </si>
  <si>
    <t>Flameforged Saber</t>
  </si>
  <si>
    <t>炽铸军刃</t>
  </si>
  <si>
    <t>Astralshard Edge</t>
  </si>
  <si>
    <t>星晶之锋</t>
  </si>
  <si>
    <t>Celestial Hew</t>
  </si>
  <si>
    <t>天穹斩斧</t>
  </si>
  <si>
    <t>Voidscar Axe</t>
  </si>
  <si>
    <t>虚痕之斧</t>
  </si>
  <si>
    <t>Soulreaper Cleaver</t>
  </si>
  <si>
    <t>夺魂裂斧</t>
  </si>
  <si>
    <t>Dawncrush Hatchet</t>
  </si>
  <si>
    <t>曙光战斧</t>
  </si>
  <si>
    <t>Abyssbound Axe</t>
  </si>
  <si>
    <t>渊缚巨斧</t>
  </si>
  <si>
    <t>Radiant Fang</t>
  </si>
  <si>
    <t>辉耀之牙</t>
  </si>
  <si>
    <t>Eclipsing Hew</t>
  </si>
  <si>
    <t>遮日斩斧</t>
  </si>
  <si>
    <t>Netherflare Axe</t>
  </si>
  <si>
    <t>幽焰巨斧</t>
  </si>
  <si>
    <t>Stormspike Cleaver</t>
  </si>
  <si>
    <t>雷刺裂斧</t>
  </si>
  <si>
    <t>Eternalsplit Axe</t>
  </si>
  <si>
    <t>永裂之斧</t>
  </si>
  <si>
    <t>Blightshard Hatchet</t>
  </si>
  <si>
    <t>衰碎战斧</t>
  </si>
  <si>
    <t>Skyreaver Cleaver</t>
  </si>
  <si>
    <t>天掠裂斧</t>
  </si>
  <si>
    <t>Shadowforged Axe</t>
  </si>
  <si>
    <t>影铸之斧</t>
  </si>
  <si>
    <t>Starshard Cleaver</t>
  </si>
  <si>
    <t>星碎裂斧</t>
  </si>
  <si>
    <t>Deathhowl Hatchet</t>
  </si>
  <si>
    <t>死嚎战斧</t>
  </si>
  <si>
    <t>Infernalbound Axe</t>
  </si>
  <si>
    <t>狱缚巨斧</t>
  </si>
  <si>
    <t>Wraithcleave Cleaver</t>
  </si>
  <si>
    <t>魂裂裂斧</t>
  </si>
  <si>
    <t>Riftforge Hatchet</t>
  </si>
  <si>
    <t>裂铸战斧</t>
  </si>
  <si>
    <t>Lightpiercer Axe</t>
  </si>
  <si>
    <t>光刺巨斧</t>
  </si>
  <si>
    <t>Thornflare Hew</t>
  </si>
  <si>
    <t>棘焰斩斧</t>
  </si>
  <si>
    <t>Oblivionspike Cleaver</t>
  </si>
  <si>
    <t>灭刺裂斧</t>
  </si>
  <si>
    <t>Frostwarden Axe</t>
  </si>
  <si>
    <t>霜守之斧</t>
  </si>
  <si>
    <t>Embersear Hatchet</t>
  </si>
  <si>
    <t>灰灼战斧</t>
  </si>
  <si>
    <t>Flamecarve Cleaver</t>
  </si>
  <si>
    <t>炽刻裂斧</t>
  </si>
  <si>
    <t>Astralsplit Axe</t>
  </si>
  <si>
    <t>星断之斧</t>
  </si>
  <si>
    <t>Celestial Maul</t>
  </si>
  <si>
    <t>天穹巨锤</t>
  </si>
  <si>
    <t>Voidbound Hammer</t>
  </si>
  <si>
    <t>虚缚之锤</t>
  </si>
  <si>
    <t>Soulforge Mace</t>
  </si>
  <si>
    <t>铸魂战锤</t>
  </si>
  <si>
    <t>Dawnpierce Hammer</t>
  </si>
  <si>
    <t>曙光穿锤</t>
  </si>
  <si>
    <t>Abyssflame Maul</t>
  </si>
  <si>
    <t>渊焰巨锤</t>
  </si>
  <si>
    <t>Radiantcrush Hammer</t>
  </si>
  <si>
    <t>辉击之锤</t>
  </si>
  <si>
    <t>Eclipseforge Mace</t>
  </si>
  <si>
    <t>月蚀铸锤</t>
  </si>
  <si>
    <t>Netherstrike Hammer</t>
  </si>
  <si>
    <t>幽击战锤</t>
  </si>
  <si>
    <t>Stormwarden Maul</t>
  </si>
  <si>
    <t>雷守巨锤</t>
  </si>
  <si>
    <t>Eternalflame Mace</t>
  </si>
  <si>
    <t>永焰战锤</t>
  </si>
  <si>
    <t>Blightbound Hammer</t>
  </si>
  <si>
    <t>衰缚之锤</t>
  </si>
  <si>
    <t>Skyspike Maul</t>
  </si>
  <si>
    <t>天刺巨锤</t>
  </si>
  <si>
    <t>Shadowpierce Mace</t>
  </si>
  <si>
    <t>影穿战锤</t>
  </si>
  <si>
    <t>Starfall Hammer</t>
  </si>
  <si>
    <t>星坠之锤</t>
  </si>
  <si>
    <t>Deathhowl Maul</t>
  </si>
  <si>
    <t>死嚎巨锤</t>
  </si>
  <si>
    <t>Infernalflare Mace</t>
  </si>
  <si>
    <t>狱焰战锤</t>
  </si>
  <si>
    <t>Wraithbound Hammer</t>
  </si>
  <si>
    <t>魂缚之锤</t>
  </si>
  <si>
    <t>Riftforged Maul</t>
  </si>
  <si>
    <t>裂铸巨锤</t>
  </si>
  <si>
    <t>Lightbringer Mace</t>
  </si>
  <si>
    <t>光辉战锤</t>
  </si>
  <si>
    <t>Thornshard Hammer</t>
  </si>
  <si>
    <t>棘碎之锤</t>
  </si>
  <si>
    <t>Oblivioncrush Maul</t>
  </si>
  <si>
    <t>灭击巨锤</t>
  </si>
  <si>
    <t>Frosthewn Hammer</t>
  </si>
  <si>
    <t>霜雕战锤</t>
  </si>
  <si>
    <t>Emberveil Mace</t>
  </si>
  <si>
    <t>灰纱战锤</t>
  </si>
  <si>
    <t>Flameforged Maul</t>
  </si>
  <si>
    <t>炽铸巨锤</t>
  </si>
  <si>
    <t>Astralwarden Hammer</t>
  </si>
  <si>
    <t>星守之锤</t>
  </si>
  <si>
    <t>Voidshadow Dagger</t>
  </si>
  <si>
    <t>虚影匕首</t>
  </si>
  <si>
    <t>Soulpierce Blade</t>
  </si>
  <si>
    <t>刺魂之刃</t>
  </si>
  <si>
    <t>Dawnfang Stiletto</t>
  </si>
  <si>
    <t>曙牙短刃</t>
  </si>
  <si>
    <t>Abysswhisper Fang</t>
  </si>
  <si>
    <t>渊语之牙</t>
  </si>
  <si>
    <t>Radiantspike Dagger</t>
  </si>
  <si>
    <t>辉刺匕首</t>
  </si>
  <si>
    <t>Eclipseedge Blade</t>
  </si>
  <si>
    <t>月蚀之锋</t>
  </si>
  <si>
    <t>Netherflame Fang</t>
  </si>
  <si>
    <t>幽焰之牙</t>
  </si>
  <si>
    <t>Stormshard Dagger</t>
  </si>
  <si>
    <t>雷裂匕首</t>
  </si>
  <si>
    <t>Eternalfang Blade</t>
  </si>
  <si>
    <t>永牙之刃</t>
  </si>
  <si>
    <t>Blightspike Dagger</t>
  </si>
  <si>
    <t>衰刺匕首</t>
  </si>
  <si>
    <t>Skyforged Fang</t>
  </si>
  <si>
    <t>天铸之牙</t>
  </si>
  <si>
    <t>Shadowreaver Blade</t>
  </si>
  <si>
    <t>影掠之刃</t>
  </si>
  <si>
    <t>Starbound Stiletto</t>
  </si>
  <si>
    <t>星缚短刃</t>
  </si>
  <si>
    <t>Deathsong Fang</t>
  </si>
  <si>
    <t>死歌之牙</t>
  </si>
  <si>
    <t>Infernalflare Dagger</t>
  </si>
  <si>
    <t>狱焰匕首</t>
  </si>
  <si>
    <t>Wraithpierce Blade</t>
  </si>
  <si>
    <t>魂刺之刃</t>
  </si>
  <si>
    <t>Riftshadow Fang</t>
  </si>
  <si>
    <t>裂影之牙</t>
  </si>
  <si>
    <t>Lightfang Stiletto</t>
  </si>
  <si>
    <t>光牙短刃</t>
  </si>
  <si>
    <t>Thornveil Dagger</t>
  </si>
  <si>
    <t>棘纱匕首</t>
  </si>
  <si>
    <t>Oblivionshard Blade</t>
  </si>
  <si>
    <t>灭裂之刃</t>
  </si>
  <si>
    <t>Frostreign Fang</t>
  </si>
  <si>
    <t>霜冕之牙</t>
  </si>
  <si>
    <t>Emberfang Stiletto</t>
  </si>
  <si>
    <t>灰牙短刃</t>
  </si>
  <si>
    <t>Flameforged Dagger</t>
  </si>
  <si>
    <t>炽铸匕首</t>
  </si>
  <si>
    <t>Astralseek Fang</t>
  </si>
  <si>
    <t>星觅之牙</t>
  </si>
  <si>
    <t>Celestial Cleave</t>
  </si>
  <si>
    <t>天穹断锋</t>
  </si>
  <si>
    <t>Voidshard Greatsword</t>
  </si>
  <si>
    <t>虚碎巨剑</t>
  </si>
  <si>
    <t>Soulreaver Blade</t>
  </si>
  <si>
    <t>掠魂之刃</t>
  </si>
  <si>
    <t>Dawnbreaker Edge</t>
  </si>
  <si>
    <t>曙光破锋</t>
  </si>
  <si>
    <t>Abyssforge Sword</t>
  </si>
  <si>
    <t>渊铸之剑</t>
  </si>
  <si>
    <t>Radiantstrike Blade</t>
  </si>
  <si>
    <t>辉击之刃</t>
  </si>
  <si>
    <t>Eclipsing Cleave</t>
  </si>
  <si>
    <t>月蚀裂锋</t>
  </si>
  <si>
    <t>Netherflame Edge</t>
  </si>
  <si>
    <t>幽焰断锋</t>
  </si>
  <si>
    <t>Stormbound Greatsword</t>
  </si>
  <si>
    <t>雷缚巨剑</t>
  </si>
  <si>
    <t>Eternalspike Blade</t>
  </si>
  <si>
    <t>永刺之刃</t>
  </si>
  <si>
    <t>Blightfall Sword</t>
  </si>
  <si>
    <t>衰坠之剑</t>
  </si>
  <si>
    <t>Skycarver Edge</t>
  </si>
  <si>
    <t>天刻之锋</t>
  </si>
  <si>
    <t>Shadowbane Blade</t>
  </si>
  <si>
    <t>影灭之刃</t>
  </si>
  <si>
    <t>Starforge Greatsword</t>
  </si>
  <si>
    <t>铸星巨剑</t>
  </si>
  <si>
    <t>Deathpierce Edge</t>
  </si>
  <si>
    <t>死刺断锋</t>
  </si>
  <si>
    <t>Infernalhowl Sword</t>
  </si>
  <si>
    <t>狱嚎之剑</t>
  </si>
  <si>
    <t>Wraithcleave Blade</t>
  </si>
  <si>
    <t>魂裂之刃</t>
  </si>
  <si>
    <t>Riftspike Greatsword</t>
  </si>
  <si>
    <t>Lightreign Edge</t>
  </si>
  <si>
    <t>光冕断锋</t>
  </si>
  <si>
    <t>Thornbound Blade</t>
  </si>
  <si>
    <t>棘缚之刃</t>
  </si>
  <si>
    <t>Oblivionflare Sword</t>
  </si>
  <si>
    <t>灭焰之剑</t>
  </si>
  <si>
    <t>Frosthewn Greatsword</t>
  </si>
  <si>
    <t>霜雕巨剑</t>
  </si>
  <si>
    <t>灰纱断锋</t>
  </si>
  <si>
    <t>Flamecarve Blade</t>
  </si>
  <si>
    <t>炽刻之刃</t>
  </si>
  <si>
    <t>Astralwarden Sword</t>
  </si>
  <si>
    <t>星守之剑</t>
  </si>
  <si>
    <t>Celestial Cleaver</t>
  </si>
  <si>
    <t>天穹裂斧</t>
  </si>
  <si>
    <t>Voidrend Axe</t>
  </si>
  <si>
    <t>虚裂巨斧</t>
  </si>
  <si>
    <t>Soulbound Hew</t>
  </si>
  <si>
    <t>缚魂战斧</t>
  </si>
  <si>
    <t>Dawnbreaker Axe</t>
  </si>
  <si>
    <t>曙光破斧</t>
  </si>
  <si>
    <t>Abysscar Cleaver</t>
  </si>
  <si>
    <t>渊痕裂斧</t>
  </si>
  <si>
    <t>Radiantfang Axe</t>
  </si>
  <si>
    <t>辉牙巨斧</t>
  </si>
  <si>
    <t>Eclipsewrought Hew</t>
  </si>
  <si>
    <t>月蚀铸斧</t>
  </si>
  <si>
    <t>Netherstrike Axe</t>
  </si>
  <si>
    <t>幽击巨斧</t>
  </si>
  <si>
    <t>Stormpierce Cleaver</t>
  </si>
  <si>
    <t>Eternalhowl Axe</t>
  </si>
  <si>
    <t>永嚎之斧</t>
  </si>
  <si>
    <t>Blightbound Hew</t>
  </si>
  <si>
    <t>衰缚战斧</t>
  </si>
  <si>
    <t>Skybreaker Axe</t>
  </si>
  <si>
    <t>天破巨斧</t>
  </si>
  <si>
    <t>影牙裂斧</t>
  </si>
  <si>
    <t>Starfall Axe</t>
  </si>
  <si>
    <t>星坠之斧</t>
  </si>
  <si>
    <t>Deathforge Hew</t>
  </si>
  <si>
    <t>死铸战斧</t>
  </si>
  <si>
    <t>Infernalrend Axe</t>
  </si>
  <si>
    <t>狱裂巨斧</t>
  </si>
  <si>
    <t>Wraithspike Cleaver</t>
  </si>
  <si>
    <t>魂刺裂斧</t>
  </si>
  <si>
    <t>Riftcarve Axe</t>
  </si>
  <si>
    <t>裂刻巨斧</t>
  </si>
  <si>
    <t>Lightbane Hew</t>
  </si>
  <si>
    <t>灭光战斧</t>
  </si>
  <si>
    <t>Thornshard Axe</t>
  </si>
  <si>
    <t>棘碎巨斧</t>
  </si>
  <si>
    <t>Oblivionflare Cleaver</t>
  </si>
  <si>
    <t>灭焰裂斧</t>
  </si>
  <si>
    <t>Frostreign Axe</t>
  </si>
  <si>
    <t>霜冕巨斧</t>
  </si>
  <si>
    <t>Emberflame Hew</t>
  </si>
  <si>
    <t>灰焰战斧</t>
  </si>
  <si>
    <t>Flamebound Axe</t>
  </si>
  <si>
    <t>炽缚巨斧</t>
  </si>
  <si>
    <t>Astralseek Cleaver</t>
  </si>
  <si>
    <t>星觅裂斧</t>
  </si>
  <si>
    <t>天穹战锤</t>
  </si>
  <si>
    <t>Voidshard Hammer</t>
  </si>
  <si>
    <t>虚碎巨锤</t>
  </si>
  <si>
    <t>Soulreaver Maul</t>
  </si>
  <si>
    <t>掠魂巨锤</t>
  </si>
  <si>
    <t>Dawnbreaker Hammer</t>
  </si>
  <si>
    <t>曙光破锤</t>
  </si>
  <si>
    <t>Abyssforge Maul</t>
  </si>
  <si>
    <t>渊铸重锤</t>
  </si>
  <si>
    <t>Radiantstrike Hammer</t>
  </si>
  <si>
    <t>Eclipsing Maul</t>
  </si>
  <si>
    <t>月蚀巨锤</t>
  </si>
  <si>
    <t>Netherflame Hammer</t>
  </si>
  <si>
    <t>幽焰战锤</t>
  </si>
  <si>
    <t>Stormbreaker Maul</t>
  </si>
  <si>
    <t>雷破重锤</t>
  </si>
  <si>
    <t>Eternalhowl Hammer</t>
  </si>
  <si>
    <t>永嚎之锤</t>
  </si>
  <si>
    <t>Blightbound Maul</t>
  </si>
  <si>
    <t>衰缚巨锤</t>
  </si>
  <si>
    <t>Skyshard Hammer</t>
  </si>
  <si>
    <t>天碎战锤</t>
  </si>
  <si>
    <t>Shadowbane Maul</t>
  </si>
  <si>
    <t>影灭重锤</t>
  </si>
  <si>
    <t>Starforge Hammer</t>
  </si>
  <si>
    <t>铸星战锤</t>
  </si>
  <si>
    <t>Deathpierce Maul</t>
  </si>
  <si>
    <t>死刺重锤</t>
  </si>
  <si>
    <t>Infernalstrike Hammer</t>
  </si>
  <si>
    <t>狱击战锤</t>
  </si>
  <si>
    <t>Wraithbound Maul</t>
  </si>
  <si>
    <t>魂缚巨锤</t>
  </si>
  <si>
    <t>Riftspike Hammer</t>
  </si>
  <si>
    <t>裂刺战锤</t>
  </si>
  <si>
    <t>Lightreaver Maul</t>
  </si>
  <si>
    <t>光掠重锤</t>
  </si>
  <si>
    <t>Thornflare Hammer</t>
  </si>
  <si>
    <t>棘焰战锤</t>
  </si>
  <si>
    <t>灰纱重锤</t>
  </si>
  <si>
    <t>Flamecarve Hammer</t>
  </si>
  <si>
    <t>炽刻战锤</t>
  </si>
  <si>
    <t>Astralseek Maul</t>
  </si>
  <si>
    <t>星觅巨锤</t>
  </si>
  <si>
    <t>Celestial Spire</t>
  </si>
  <si>
    <t>天穹法杖</t>
  </si>
  <si>
    <t>Voidflare Staff</t>
  </si>
  <si>
    <t>虚焰法杖</t>
  </si>
  <si>
    <t>Soulforge Rod</t>
  </si>
  <si>
    <t>铸魂法杖</t>
  </si>
  <si>
    <t>Dawnbreaker Wand</t>
  </si>
  <si>
    <t>曙光魔杖</t>
  </si>
  <si>
    <t>Abyssbound Staff</t>
  </si>
  <si>
    <t>渊缚法杖</t>
  </si>
  <si>
    <t>Radiantspire Rod</t>
  </si>
  <si>
    <t>辉耀法杖</t>
  </si>
  <si>
    <t>Eclipsing Staff</t>
  </si>
  <si>
    <t>月蚀之杖</t>
  </si>
  <si>
    <t>Netherveil Wand</t>
  </si>
  <si>
    <t>幽纱魔杖</t>
  </si>
  <si>
    <t>Stormwarden Staff</t>
  </si>
  <si>
    <t>雷守法杖</t>
  </si>
  <si>
    <t>Eternalflare Rod</t>
  </si>
  <si>
    <t>永焰法杖</t>
  </si>
  <si>
    <t>Blightshard Staff</t>
  </si>
  <si>
    <t>衰碎法杖</t>
  </si>
  <si>
    <t>Skybound Wand</t>
  </si>
  <si>
    <t>天缚魔杖</t>
  </si>
  <si>
    <t>Shadowpiercer Rod</t>
  </si>
  <si>
    <t>影穿法杖</t>
  </si>
  <si>
    <t>Starfire Staff</t>
  </si>
  <si>
    <t>星焰法杖</t>
  </si>
  <si>
    <t>Deathwhisper Wand</t>
  </si>
  <si>
    <t>死语魔杖</t>
  </si>
  <si>
    <t>Infernalhowl Staff</t>
  </si>
  <si>
    <t>狱嚎法杖</t>
  </si>
  <si>
    <t>Wraithflare Rod</t>
  </si>
  <si>
    <t>魂焰法杖</t>
  </si>
  <si>
    <t>Riftbound Wand</t>
  </si>
  <si>
    <t>裂缚魔杖</t>
  </si>
  <si>
    <t>Lightseeker Staff</t>
  </si>
  <si>
    <t>光寻法杖</t>
  </si>
  <si>
    <t>Thornveil Rod</t>
  </si>
  <si>
    <t>棘纱法杖</t>
  </si>
  <si>
    <t>Oblivionspire Wand</t>
  </si>
  <si>
    <t>灭塔魔杖</t>
  </si>
  <si>
    <t>Frostreign Staff</t>
  </si>
  <si>
    <t>霜冕法杖</t>
  </si>
  <si>
    <t>Emberforge Rod</t>
  </si>
  <si>
    <t>灰铸法杖</t>
  </si>
  <si>
    <t>Flamepiercer Staff</t>
  </si>
  <si>
    <t>炽穿法杖</t>
  </si>
  <si>
    <t>Astralwarden Rod</t>
  </si>
  <si>
    <t>星守法杖</t>
  </si>
  <si>
    <t>Celestial Bow</t>
  </si>
  <si>
    <t>天穹长弓</t>
  </si>
  <si>
    <t>Voidbound Bow</t>
  </si>
  <si>
    <t>虚缚之弓</t>
  </si>
  <si>
    <t>Soulpiercer Bow</t>
  </si>
  <si>
    <t>刺魂之弓</t>
  </si>
  <si>
    <t>Dawnbreaker Bow</t>
  </si>
  <si>
    <t>曙光之弓</t>
  </si>
  <si>
    <t>Abyssfire Bow</t>
  </si>
  <si>
    <t>渊焰长弓</t>
  </si>
  <si>
    <t>Radiantfang Bow</t>
  </si>
  <si>
    <t>辉牙长弓</t>
  </si>
  <si>
    <t>Eclipsewoven Bow</t>
  </si>
  <si>
    <t>蚀织长弓</t>
  </si>
  <si>
    <t>Netherstrike Bow</t>
  </si>
  <si>
    <t>幽击长弓</t>
  </si>
  <si>
    <t>Stormreign Bow</t>
  </si>
  <si>
    <t>雷冕长弓</t>
  </si>
  <si>
    <t>Eternalbound Bow</t>
  </si>
  <si>
    <t>永缚之弓</t>
  </si>
  <si>
    <t>Blightspike Bow</t>
  </si>
  <si>
    <t>衰刺长弓</t>
  </si>
  <si>
    <t>Skyforged Bow</t>
  </si>
  <si>
    <t>天铸长弓</t>
  </si>
  <si>
    <t>Shadowreaver Bow</t>
  </si>
  <si>
    <t>影掠之弓</t>
  </si>
  <si>
    <t>Starfall Bow</t>
  </si>
  <si>
    <t>星坠长弓</t>
  </si>
  <si>
    <t>Deathwhisper Bow</t>
  </si>
  <si>
    <t>死语长弓</t>
  </si>
  <si>
    <t>Infernalpierce Bow</t>
  </si>
  <si>
    <t>狱刺长弓</t>
  </si>
  <si>
    <t>Wraithflame Bow</t>
  </si>
  <si>
    <t>魂焰之弓</t>
  </si>
  <si>
    <t>Riftshard Bow</t>
  </si>
  <si>
    <t>裂碎之弓</t>
  </si>
  <si>
    <t>Lightbane Bow</t>
  </si>
  <si>
    <t>灭光长弓</t>
  </si>
  <si>
    <t>Thornforged Bow</t>
  </si>
  <si>
    <t>棘铸长弓</t>
  </si>
  <si>
    <t>Oblivionflare Bow</t>
  </si>
  <si>
    <t>灭焰长弓</t>
  </si>
  <si>
    <t>霜刺长弓</t>
  </si>
  <si>
    <t>Emberstrike Bow</t>
  </si>
  <si>
    <t>灰击长弓</t>
  </si>
  <si>
    <t>Flamebound Bow</t>
  </si>
  <si>
    <t>炽缚长弓</t>
  </si>
  <si>
    <t>Astralshard Bow</t>
  </si>
  <si>
    <t>星碎长弓</t>
  </si>
  <si>
    <t>Celestial Reaper</t>
  </si>
  <si>
    <t>天穹收割</t>
  </si>
  <si>
    <t>Voidfang Scythe</t>
  </si>
  <si>
    <t>虚牙之镰</t>
  </si>
  <si>
    <t>Soulreaver Scythe</t>
  </si>
  <si>
    <t>掠魂之镰</t>
  </si>
  <si>
    <t>Dawnbreaker Scythe</t>
  </si>
  <si>
    <t>曙光破镰</t>
  </si>
  <si>
    <t>Abyssforged Scythe</t>
  </si>
  <si>
    <t>渊铸巨镰</t>
  </si>
  <si>
    <t>Radiantflare Scythe</t>
  </si>
  <si>
    <t>辉焰之镰</t>
  </si>
  <si>
    <t>Eclipsebound Scythe</t>
  </si>
  <si>
    <t>蚀缚之镰</t>
  </si>
  <si>
    <t>Netherpierce Scythe</t>
  </si>
  <si>
    <t>幽刺巨镰</t>
  </si>
  <si>
    <t>Stormbound Reaper</t>
  </si>
  <si>
    <t>雷缚收割</t>
  </si>
  <si>
    <t>Eternalshard Scythe</t>
  </si>
  <si>
    <t>永裂之镰</t>
  </si>
  <si>
    <t>Blightspike Reaper</t>
  </si>
  <si>
    <t>衰刺镰刀</t>
  </si>
  <si>
    <t>Skyforge Scythe</t>
  </si>
  <si>
    <t>天铸巨镰</t>
  </si>
  <si>
    <t>Shadowwhisper Reaper</t>
  </si>
  <si>
    <t>影语收割</t>
  </si>
  <si>
    <t>Starshard Scythe</t>
  </si>
  <si>
    <t>星碎之镰</t>
  </si>
  <si>
    <t>Deathhowl Scythe</t>
  </si>
  <si>
    <t>死嚎之镰</t>
  </si>
  <si>
    <t>Infernalflare Scythe</t>
  </si>
  <si>
    <t>狱焰巨镰</t>
  </si>
  <si>
    <t>Wraithbound Scythe</t>
  </si>
  <si>
    <t>魂缚之镰</t>
  </si>
  <si>
    <t>Riftpierce Reaper</t>
  </si>
  <si>
    <t>裂刺收割</t>
  </si>
  <si>
    <t>Lightbringer Scythe</t>
  </si>
  <si>
    <t>光引之镰</t>
  </si>
  <si>
    <t>Thornveil Scythe</t>
  </si>
  <si>
    <t>棘纱巨镰</t>
  </si>
  <si>
    <t>Oblivionspike Scythe</t>
  </si>
  <si>
    <t>灭刺之镰</t>
  </si>
  <si>
    <t>Frostwarden Reaper</t>
  </si>
  <si>
    <t>霜守收割</t>
  </si>
  <si>
    <t>Emberflame Scythe</t>
  </si>
  <si>
    <t>灰焰巨镰</t>
  </si>
  <si>
    <t>Flameforged Scythe</t>
  </si>
  <si>
    <t>炽铸巨镰</t>
  </si>
  <si>
    <t>Astralwarden Scythe</t>
  </si>
  <si>
    <t>星守之镰</t>
  </si>
  <si>
    <t>Celestial Aegis</t>
  </si>
  <si>
    <t>天穹之庇</t>
  </si>
  <si>
    <t>Voidbound Shield</t>
  </si>
  <si>
    <t>虚缚之盾</t>
  </si>
  <si>
    <t>Soulforge Barrier</t>
  </si>
  <si>
    <t>铸魂壁垒</t>
  </si>
  <si>
    <t>Dawnbreaker Wall</t>
  </si>
  <si>
    <t>曙光之墙</t>
  </si>
  <si>
    <t>Abysswarden Aegis</t>
  </si>
  <si>
    <t>渊守之庇</t>
  </si>
  <si>
    <t>Radiantspire Shield</t>
  </si>
  <si>
    <t>辉塔之盾</t>
  </si>
  <si>
    <t>Eclipseveil Guard</t>
  </si>
  <si>
    <t>蚀纱之护</t>
  </si>
  <si>
    <t>Stormpiercer Wall</t>
  </si>
  <si>
    <t>雷刺之墙</t>
  </si>
  <si>
    <t>Eternalbloom Aegis</t>
  </si>
  <si>
    <t>永花之庇</t>
  </si>
  <si>
    <t>Lightshard Barrier</t>
  </si>
  <si>
    <t>光碎壁垒</t>
  </si>
  <si>
    <t>Celestial Crown</t>
  </si>
  <si>
    <t>天穹之冠</t>
  </si>
  <si>
    <t>Voidscar Helm</t>
  </si>
  <si>
    <t>虚痕战盔</t>
  </si>
  <si>
    <t>Soulpiercer Visor</t>
  </si>
  <si>
    <t>刺魂面盔</t>
  </si>
  <si>
    <t>Dawnbreaker Helm</t>
  </si>
  <si>
    <t>曙光战盔</t>
  </si>
  <si>
    <t>Abysswarden Crown</t>
  </si>
  <si>
    <t>渊守之冠</t>
  </si>
  <si>
    <t>Radiantflare Helm</t>
  </si>
  <si>
    <t>辉焰战盔</t>
  </si>
  <si>
    <t>Eclipseveil Visor</t>
  </si>
  <si>
    <t>蚀纱面盔</t>
  </si>
  <si>
    <t>Netherflare Helm</t>
  </si>
  <si>
    <t>幽焰头盔</t>
  </si>
  <si>
    <t>Stormbound Crown</t>
  </si>
  <si>
    <t>雷缚头冠</t>
  </si>
  <si>
    <t>Eternalhowl Helm</t>
  </si>
  <si>
    <t>永嚎战盔</t>
  </si>
  <si>
    <t>Blightthorn Visor</t>
  </si>
  <si>
    <t>衰棘面盔</t>
  </si>
  <si>
    <t>Skyforged Helm</t>
  </si>
  <si>
    <t>天铸战盔</t>
  </si>
  <si>
    <t>Shadowbane Crown</t>
  </si>
  <si>
    <t>影灭之冠</t>
  </si>
  <si>
    <t>Starshard Visor</t>
  </si>
  <si>
    <t>星碎面盔</t>
  </si>
  <si>
    <t>Deathwhisper Helm</t>
  </si>
  <si>
    <t>死语头盔</t>
  </si>
  <si>
    <t>Infernalflare Crown</t>
  </si>
  <si>
    <t>狱焰头冠</t>
  </si>
  <si>
    <t>Wraithbound Helm</t>
  </si>
  <si>
    <t>魂缚战盔</t>
  </si>
  <si>
    <t>Riftpiercer Visor</t>
  </si>
  <si>
    <t>裂刺面盔</t>
  </si>
  <si>
    <t>Lightbane Crown</t>
  </si>
  <si>
    <t>灭光头冠</t>
  </si>
  <si>
    <t>Thornveil Helm</t>
  </si>
  <si>
    <t>棘纱头盔</t>
  </si>
  <si>
    <t>Oblivionshard Visor</t>
  </si>
  <si>
    <t>灭裂面盔</t>
  </si>
  <si>
    <t>Frostwarden Helm</t>
  </si>
  <si>
    <t>霜守头盔</t>
  </si>
  <si>
    <t>Emberflame Crown</t>
  </si>
  <si>
    <t>灰焰头冠</t>
  </si>
  <si>
    <t>Flameforged Helm</t>
  </si>
  <si>
    <t>炽铸战盔</t>
  </si>
  <si>
    <t>Astralwarden Crown</t>
  </si>
  <si>
    <t>星守之冠</t>
  </si>
  <si>
    <t>Celestial Robe</t>
  </si>
  <si>
    <t>天穹法袍</t>
  </si>
  <si>
    <t>Voidwoven Vestment</t>
  </si>
  <si>
    <t>虚织法衣</t>
  </si>
  <si>
    <t>Soulpiercer Cloak</t>
  </si>
  <si>
    <t>刺魂披风</t>
  </si>
  <si>
    <t>Dawnbreaker Mantle</t>
  </si>
  <si>
    <t>曙光披肩</t>
  </si>
  <si>
    <t>Abyssbound Garb</t>
  </si>
  <si>
    <t>渊缚外衣</t>
  </si>
  <si>
    <t>Radiantveil Robe</t>
  </si>
  <si>
    <t>辉纱长袍</t>
  </si>
  <si>
    <t>Eclipseflare Cloak</t>
  </si>
  <si>
    <t>蚀焰披风</t>
  </si>
  <si>
    <t>Netherwoven Vestment</t>
  </si>
  <si>
    <t>幽织法衣</t>
  </si>
  <si>
    <t>Stormbound Garb</t>
  </si>
  <si>
    <t>雷缚战袍</t>
  </si>
  <si>
    <t>Eternalbloom Robe</t>
  </si>
  <si>
    <t>永花长袍</t>
  </si>
  <si>
    <t>Blightthorn Mantle</t>
  </si>
  <si>
    <t>衰棘披肩</t>
  </si>
  <si>
    <t>Skyforged Vestment</t>
  </si>
  <si>
    <t>天铸法衣</t>
  </si>
  <si>
    <t>Shadowbloom Cloak</t>
  </si>
  <si>
    <t>影花披风</t>
  </si>
  <si>
    <t>Starshard Garb</t>
  </si>
  <si>
    <t>星碎战袍</t>
  </si>
  <si>
    <t>Deathweave Mantle</t>
  </si>
  <si>
    <t>死织披肩</t>
  </si>
  <si>
    <t>Infernalflare Robe</t>
  </si>
  <si>
    <t>狱焰法袍</t>
  </si>
  <si>
    <t>Wraithbound Garb</t>
  </si>
  <si>
    <t>魂缚战袍</t>
  </si>
  <si>
    <t>Riftwoven Cloak</t>
  </si>
  <si>
    <t>裂织披风</t>
  </si>
  <si>
    <t>Celestial Grips</t>
  </si>
  <si>
    <t>天穹之握</t>
  </si>
  <si>
    <t>Voidbound Gauntlets</t>
  </si>
  <si>
    <t>虚缚护手</t>
  </si>
  <si>
    <t>Soulpiercer Gloves</t>
  </si>
  <si>
    <t>刺魂手套</t>
  </si>
  <si>
    <t>Dawnbreaker Grips</t>
  </si>
  <si>
    <t>曙光之握</t>
  </si>
  <si>
    <t>Abysswoven Gauntlets</t>
  </si>
  <si>
    <t>渊织护手</t>
  </si>
  <si>
    <t>Radiantflare Gloves</t>
  </si>
  <si>
    <t>辉焰手套</t>
  </si>
  <si>
    <t>Eclipsebound Grips</t>
  </si>
  <si>
    <t>蚀缚之握</t>
  </si>
  <si>
    <t>Netherflame Gloves</t>
  </si>
  <si>
    <t>幽焰手套</t>
  </si>
  <si>
    <t>Stormshard Gauntlets</t>
  </si>
  <si>
    <t>雷裂护手</t>
  </si>
  <si>
    <t>Eternalwoven Grips</t>
  </si>
  <si>
    <t>永织之握</t>
  </si>
  <si>
    <t>Blightspike Gloves</t>
  </si>
  <si>
    <t>衰刺手套</t>
  </si>
  <si>
    <t>Skyforged Gauntlets</t>
  </si>
  <si>
    <t>天铸护手</t>
  </si>
  <si>
    <t>Shadowveil Grips</t>
  </si>
  <si>
    <t>影纱之握</t>
  </si>
  <si>
    <t>Starshard Gloves</t>
  </si>
  <si>
    <t>星碎手套</t>
  </si>
  <si>
    <t>Deathbound Gauntlets</t>
  </si>
  <si>
    <t>死缚护手</t>
  </si>
  <si>
    <t>Infernalflare Grips</t>
  </si>
  <si>
    <t>狱焰之握</t>
  </si>
  <si>
    <t>Wraithwoven Gloves</t>
  </si>
  <si>
    <t>魂织手套</t>
  </si>
  <si>
    <t>Riftpiercer Gauntlets</t>
  </si>
  <si>
    <t>裂刺护手</t>
  </si>
  <si>
    <t>Lightwarden Grips</t>
  </si>
  <si>
    <t>光守之握</t>
  </si>
  <si>
    <t>Thornbloom Gloves</t>
  </si>
  <si>
    <t>棘花手套</t>
  </si>
  <si>
    <t>Oblivionspike Grips</t>
  </si>
  <si>
    <t>灭刺之握</t>
  </si>
  <si>
    <t>Frostwoven Gauntlets</t>
  </si>
  <si>
    <t>霜织护手</t>
  </si>
  <si>
    <t>Emberflame Gloves</t>
  </si>
  <si>
    <t>Flameforged Grips</t>
  </si>
  <si>
    <t>炽铸之握</t>
  </si>
  <si>
    <t>Astralwarden Gauntlets</t>
  </si>
  <si>
    <t>星守护手</t>
  </si>
  <si>
    <t>Celestial Treads</t>
  </si>
  <si>
    <t>天穹履靴</t>
  </si>
  <si>
    <t>Voidbound Boots</t>
  </si>
  <si>
    <t>虚缚之靴</t>
  </si>
  <si>
    <t>Radiantstride Shoes</t>
  </si>
  <si>
    <t>辉耀行履</t>
  </si>
  <si>
    <t>Netherflame Treads</t>
  </si>
  <si>
    <t>幽焰履靴</t>
  </si>
  <si>
    <t>Celestial Girdle</t>
  </si>
  <si>
    <t>天穹束带</t>
  </si>
  <si>
    <t>Voidwoven Sash</t>
  </si>
  <si>
    <t>虚织腰带</t>
  </si>
  <si>
    <t>Soulbound Cinch</t>
  </si>
  <si>
    <t>缚魂束腰</t>
  </si>
  <si>
    <t>Dawnbreaker Belt</t>
  </si>
  <si>
    <t>曙光腰带</t>
  </si>
  <si>
    <t>Abyssflare Sash</t>
  </si>
  <si>
    <t>渊焰腰带</t>
  </si>
  <si>
    <t>Radiantveil Cinch</t>
  </si>
  <si>
    <t>辉纱束腰</t>
  </si>
  <si>
    <t>Eclipsebound Girdle</t>
  </si>
  <si>
    <t>蚀缚束带</t>
  </si>
  <si>
    <t>Netherwoven Belt</t>
  </si>
  <si>
    <t>幽织腰带</t>
  </si>
  <si>
    <t>Stormpiercer Sash</t>
  </si>
  <si>
    <t>雷刺腰带</t>
  </si>
  <si>
    <t>Eternalflare Belt</t>
  </si>
  <si>
    <t>永焰束腰</t>
  </si>
  <si>
    <t>Blightthorn Girdle</t>
  </si>
  <si>
    <t>衰棘束带</t>
  </si>
  <si>
    <t>Shadowbloom Sash</t>
  </si>
  <si>
    <t>影花腰带</t>
  </si>
  <si>
    <t>Starwoven Belt</t>
  </si>
  <si>
    <t>星织腰带</t>
  </si>
  <si>
    <t>Lightwarden Cinch</t>
  </si>
  <si>
    <t>光守束腰</t>
  </si>
  <si>
    <t>Infernalbound Sash</t>
  </si>
  <si>
    <t>狱缚腰带</t>
  </si>
  <si>
    <t>Celestial Pendant</t>
  </si>
  <si>
    <t>天穹吊坠</t>
  </si>
  <si>
    <t>Voidflare Necklace</t>
  </si>
  <si>
    <t>虚焰项链</t>
  </si>
  <si>
    <t>Soulwoven Locket</t>
  </si>
  <si>
    <t>缚魂锁链</t>
  </si>
  <si>
    <t>Dawnbreaker Charm</t>
  </si>
  <si>
    <t>曙光饰坠</t>
  </si>
  <si>
    <t>Abysswarden Amulet</t>
  </si>
  <si>
    <t>渊守护符</t>
  </si>
  <si>
    <t>Radiantspire Pendant</t>
  </si>
  <si>
    <t>辉耀吊坠</t>
  </si>
  <si>
    <t>Eclipsebound Necklace</t>
  </si>
  <si>
    <t>蚀缚项链</t>
  </si>
  <si>
    <t>Netherpierce Locket</t>
  </si>
  <si>
    <t>幽刺锁链</t>
  </si>
  <si>
    <t>Stormbound Amulet</t>
  </si>
  <si>
    <t>雷缚护符</t>
  </si>
  <si>
    <t>Eternalflare Pendant</t>
  </si>
  <si>
    <t>永焰吊坠</t>
  </si>
  <si>
    <t>Blightthorn Necklace</t>
  </si>
  <si>
    <t>衰棘项链</t>
  </si>
  <si>
    <t>Skyforged Locket</t>
  </si>
  <si>
    <t>天铸锁链</t>
  </si>
  <si>
    <t>Shadowveil Pendant</t>
  </si>
  <si>
    <t>影纱吊坠</t>
  </si>
  <si>
    <t>Starwoven Necklace</t>
  </si>
  <si>
    <t>星织项链</t>
  </si>
  <si>
    <t>Deathwhisper Amulet</t>
  </si>
  <si>
    <t>死语护符</t>
  </si>
  <si>
    <t>Infernalflare Pendant</t>
  </si>
  <si>
    <t>狱焰吊坠</t>
  </si>
  <si>
    <t>Wraithbound Necklace</t>
  </si>
  <si>
    <t>魂缚项链</t>
  </si>
  <si>
    <t>Riftpierce Locket</t>
  </si>
  <si>
    <t>裂刺锁链</t>
  </si>
  <si>
    <t>Lightwarden Charm</t>
  </si>
  <si>
    <t>光守饰坠</t>
  </si>
  <si>
    <t>Thornveil Pendant</t>
  </si>
  <si>
    <t>棘纱吊坠</t>
  </si>
  <si>
    <t>Oblivionbloom Amulet</t>
  </si>
  <si>
    <t>灭花护符</t>
  </si>
  <si>
    <t>Frostwarden Necklace</t>
  </si>
  <si>
    <t>霜守项链</t>
  </si>
  <si>
    <t>Emberflame Pendant</t>
  </si>
  <si>
    <t>Flamebound Charm</t>
  </si>
  <si>
    <t>炽缚饰坠</t>
  </si>
  <si>
    <t>Astralwarden Locket</t>
  </si>
  <si>
    <t>星守锁链</t>
  </si>
  <si>
    <t>Celestial Band</t>
  </si>
  <si>
    <t>天穹指环</t>
  </si>
  <si>
    <t>Voidbound Ring</t>
  </si>
  <si>
    <t>虚缚之戒</t>
  </si>
  <si>
    <t>Soulpierce Circle</t>
  </si>
  <si>
    <t>刺魂圆戒</t>
  </si>
  <si>
    <t>Dawnbreaker Ring</t>
  </si>
  <si>
    <t>曙光之戒</t>
  </si>
  <si>
    <t>Abyssflare Band</t>
  </si>
  <si>
    <t>渊焰指环</t>
  </si>
  <si>
    <t>Radiantspire Ring</t>
  </si>
  <si>
    <t>辉耀之戒</t>
  </si>
  <si>
    <t>Eclipsewoven Circle</t>
  </si>
  <si>
    <t>蚀织圆戒</t>
  </si>
  <si>
    <t>Netherflame Ring</t>
  </si>
  <si>
    <t>幽焰之戒</t>
  </si>
  <si>
    <t>Stormbound Band</t>
  </si>
  <si>
    <t>雷缚指环</t>
  </si>
  <si>
    <t>Eternalshard Ring</t>
  </si>
  <si>
    <t>永碎之戒</t>
  </si>
  <si>
    <t>Blightthorn Band</t>
  </si>
  <si>
    <t>衰棘指环</t>
  </si>
  <si>
    <t>Skyforged Ring</t>
  </si>
  <si>
    <t>天铸之戒</t>
  </si>
  <si>
    <t>Shadowveil Circle</t>
  </si>
  <si>
    <t>影纱圆戒</t>
  </si>
  <si>
    <t>Starwoven Ring</t>
  </si>
  <si>
    <t>星织之戒</t>
  </si>
  <si>
    <t>Deathwhisper Band</t>
  </si>
  <si>
    <t>死语指环</t>
  </si>
  <si>
    <t>Infernalflare Ring</t>
  </si>
  <si>
    <t>狱焰之戒</t>
  </si>
  <si>
    <t>Wraithbound Circle</t>
  </si>
  <si>
    <t>魂缚圆戒</t>
  </si>
  <si>
    <t>Riftpierce Band</t>
  </si>
  <si>
    <t>裂刺指环</t>
  </si>
  <si>
    <t>Lightwarden Ring</t>
  </si>
  <si>
    <t>光守之戒</t>
  </si>
  <si>
    <t>Thornveil Circle</t>
  </si>
  <si>
    <t>棘纱圆戒</t>
  </si>
  <si>
    <t>Oblivionbloom Band</t>
  </si>
  <si>
    <t>灭花指环</t>
  </si>
  <si>
    <t>Frostwarden Ring</t>
  </si>
  <si>
    <t>霜守之戒</t>
  </si>
  <si>
    <t>Emberflame Circle</t>
  </si>
  <si>
    <t>灰焰圆戒</t>
  </si>
  <si>
    <t>Flameforged Ring</t>
  </si>
  <si>
    <t>炽铸之戒</t>
  </si>
  <si>
    <t>Astralwarden Band</t>
  </si>
  <si>
    <t>星守指环</t>
  </si>
  <si>
    <t>Dusk Blade</t>
  </si>
  <si>
    <t>黄昏之刃</t>
  </si>
  <si>
    <t>Hewing Hatchet</t>
  </si>
  <si>
    <t>劈砍战斧</t>
  </si>
  <si>
    <t>Ember Mace</t>
  </si>
  <si>
    <t>余烬战锤</t>
  </si>
  <si>
    <t>Shade Fang</t>
  </si>
  <si>
    <t>暗影之牙</t>
  </si>
  <si>
    <t>Ironbound Greatsword</t>
  </si>
  <si>
    <t>铁缚巨剑</t>
  </si>
  <si>
    <t>Timber Cleaver</t>
  </si>
  <si>
    <t>木纹劈斧</t>
  </si>
  <si>
    <t>Earthshaker Maul</t>
  </si>
  <si>
    <t>震地重锤</t>
  </si>
  <si>
    <t>Twilight Staff</t>
  </si>
  <si>
    <t>暮光法杖</t>
  </si>
  <si>
    <t>Ashen Bow</t>
  </si>
  <si>
    <t>灰烬之弓</t>
  </si>
  <si>
    <t>Longreach Spear</t>
  </si>
  <si>
    <t>长途之矛</t>
  </si>
  <si>
    <t>Bulwark Shield</t>
  </si>
  <si>
    <t>壁垒之盾</t>
  </si>
  <si>
    <t>Dustveil Helm</t>
  </si>
  <si>
    <t>尘纱头盔</t>
  </si>
  <si>
    <t>Wanderer's Garb</t>
  </si>
  <si>
    <t>流浪者外衣</t>
  </si>
  <si>
    <t>Shadowgrip Gloves</t>
  </si>
  <si>
    <t>影握手套</t>
  </si>
  <si>
    <t>Silent Treads</t>
  </si>
  <si>
    <t>静步之靴</t>
  </si>
  <si>
    <t>Frayed Belt</t>
  </si>
  <si>
    <t>缠绳腰带</t>
  </si>
  <si>
    <t>Tethered Pendant</t>
  </si>
  <si>
    <t>系绳吊坠</t>
  </si>
  <si>
    <t>Hollow Circle</t>
  </si>
  <si>
    <t>空心戒指</t>
  </si>
  <si>
    <t>闪光碎刃</t>
  </si>
  <si>
    <t>Glinting Shard</t>
  </si>
  <si>
    <t>坚毅之锋</t>
  </si>
  <si>
    <t>Stalwart Edge</t>
  </si>
  <si>
    <t>灰痕剑</t>
  </si>
  <si>
    <t>Ashen Blade</t>
  </si>
  <si>
    <t>碎裂之牙</t>
  </si>
  <si>
    <t>Splinter Fang</t>
  </si>
  <si>
    <t>微光之剑</t>
  </si>
  <si>
    <t>Dimlight Saber</t>
  </si>
  <si>
    <t>霜寒之刃</t>
  </si>
  <si>
    <t>Frostbite</t>
  </si>
  <si>
    <t>暗影尖刃</t>
  </si>
  <si>
    <t>Shadowspike</t>
  </si>
  <si>
    <t>暮影之牙</t>
  </si>
  <si>
    <t>Duskhollow Fang</t>
  </si>
  <si>
    <t>灰烬钢刃</t>
  </si>
  <si>
    <t>Embersteel Blade</t>
  </si>
  <si>
    <t>裂纹军刀</t>
  </si>
  <si>
    <t>Cracked Saber</t>
  </si>
  <si>
    <t>风蚀之锋</t>
  </si>
  <si>
    <t>Weathered Edge</t>
  </si>
  <si>
    <t>铁牙之剑</t>
  </si>
  <si>
    <t>Ironfang</t>
  </si>
  <si>
    <t>锈蚀之刃</t>
  </si>
  <si>
    <t>Rusted Blade</t>
  </si>
  <si>
    <t>weapon_skill_i</t>
  </si>
  <si>
    <t>weapon_buff_l</t>
  </si>
  <si>
    <t>pickupsound_i</t>
  </si>
  <si>
    <t>Soul of Ember</t>
    <phoneticPr fontId="1" type="noConversion"/>
  </si>
  <si>
    <t>Blade of the Blood Pact</t>
    <phoneticPr fontId="1" type="noConversion"/>
  </si>
  <si>
    <t>Axe of Thunder Wrath</t>
    <phoneticPr fontId="1" type="noConversion"/>
  </si>
  <si>
    <t>Slaughter of the Brainless Giant</t>
    <phoneticPr fontId="1" type="noConversion"/>
  </si>
  <si>
    <t>Axe of Frostfire</t>
    <phoneticPr fontId="1" type="noConversion"/>
  </si>
  <si>
    <t xml:space="preserve">Axe of Twilight </t>
    <phoneticPr fontId="1" type="noConversion"/>
  </si>
  <si>
    <t>Skull Splitter</t>
    <phoneticPr fontId="1" type="noConversion"/>
  </si>
  <si>
    <t>Broken ice Hammer</t>
    <phoneticPr fontId="1" type="noConversion"/>
  </si>
  <si>
    <t>Titan Slayer</t>
    <phoneticPr fontId="1" type="noConversion"/>
  </si>
  <si>
    <t>Infernal Greatsword</t>
    <phoneticPr fontId="1" type="noConversion"/>
  </si>
  <si>
    <t>Sickle of Devastation</t>
    <phoneticPr fontId="1" type="noConversion"/>
  </si>
  <si>
    <t>Wall of Eternity</t>
    <phoneticPr fontId="1" type="noConversion"/>
  </si>
  <si>
    <t>Crown of Martyrdom</t>
    <phoneticPr fontId="1" type="noConversion"/>
  </si>
  <si>
    <t>Helm of Elemental Scorch</t>
    <phoneticPr fontId="1" type="noConversion"/>
  </si>
  <si>
    <t>Headless Horseman's Plate</t>
    <phoneticPr fontId="1" type="noConversion"/>
  </si>
  <si>
    <t>Wall of Silence</t>
    <phoneticPr fontId="1" type="noConversion"/>
  </si>
  <si>
    <t>Titan's Greaves</t>
    <phoneticPr fontId="1" type="noConversion"/>
  </si>
  <si>
    <t>Phantomstep Boots</t>
    <phoneticPr fontId="1" type="noConversion"/>
  </si>
  <si>
    <t>Giant's Grasp</t>
    <phoneticPr fontId="1" type="noConversion"/>
  </si>
  <si>
    <t>Titan's Grasp</t>
    <phoneticPr fontId="1" type="noConversion"/>
  </si>
  <si>
    <t>Guardian of Kings</t>
    <phoneticPr fontId="1" type="noConversion"/>
  </si>
  <si>
    <t>Ring of Omnipotence</t>
    <phoneticPr fontId="1" type="noConversion"/>
  </si>
  <si>
    <t>Blood Oath of the Fallen</t>
    <phoneticPr fontId="1" type="noConversion"/>
  </si>
  <si>
    <t>Ring of Fate</t>
    <phoneticPr fontId="1" type="noConversion"/>
  </si>
  <si>
    <t>Ring of the Eternal Balance</t>
    <phoneticPr fontId="1" type="noConversion"/>
  </si>
  <si>
    <t>Life Emblem</t>
  </si>
  <si>
    <t>Sun Emblem</t>
    <phoneticPr fontId="1" type="noConversion"/>
  </si>
  <si>
    <t>品质1</t>
    <phoneticPr fontId="1" type="noConversion"/>
  </si>
  <si>
    <t>品质2</t>
    <phoneticPr fontId="1" type="noConversion"/>
  </si>
  <si>
    <t>品质3</t>
  </si>
  <si>
    <t>品质4</t>
  </si>
  <si>
    <t>品质5</t>
  </si>
  <si>
    <t>合计权重</t>
    <phoneticPr fontId="1" type="noConversion"/>
  </si>
  <si>
    <t>单个权重</t>
    <phoneticPr fontId="1" type="noConversion"/>
  </si>
  <si>
    <t>调整系数</t>
    <phoneticPr fontId="1" type="noConversion"/>
  </si>
  <si>
    <t>单手剑</t>
  </si>
  <si>
    <t>长柄</t>
  </si>
  <si>
    <t>盾牌</t>
  </si>
  <si>
    <t>头盔</t>
  </si>
  <si>
    <t>衣服</t>
  </si>
  <si>
    <t>手套</t>
  </si>
  <si>
    <t>鞋子</t>
  </si>
  <si>
    <t>腰带</t>
  </si>
  <si>
    <t>项链</t>
  </si>
  <si>
    <t>戒指</t>
  </si>
  <si>
    <t>饰品</t>
    <phoneticPr fontId="1" type="noConversion"/>
  </si>
  <si>
    <t>赌博权重
当前：0/60/30/8/2</t>
    <phoneticPr fontId="1" type="noConversion"/>
  </si>
  <si>
    <t>商店随机权重
当前：3/5/1</t>
    <phoneticPr fontId="1" type="noConversion"/>
  </si>
  <si>
    <t>icon_l</t>
  </si>
  <si>
    <t>6501,6502,6503,6504,6505</t>
  </si>
  <si>
    <t>6561,6562,6563,6564,6565</t>
  </si>
  <si>
    <t>6541,6542,6543,6544,6545</t>
  </si>
  <si>
    <t>6521,6522,6523,6524,6525</t>
  </si>
  <si>
    <t>6681,6682,6683,6684,6685</t>
  </si>
  <si>
    <t>6661,6662,6663,6664,6665</t>
  </si>
  <si>
    <t>6641,6642,6643,6644,6645</t>
  </si>
  <si>
    <t>6601,6602,6603,6604,6605</t>
  </si>
  <si>
    <t>6621,6622,6623,6624,6625</t>
  </si>
  <si>
    <t>6701,6702,6703,6704,6705</t>
  </si>
  <si>
    <t>6581,6582,6583,6584,6585</t>
  </si>
  <si>
    <t>5701,5716,5731</t>
    <phoneticPr fontId="1" type="noConversion"/>
  </si>
  <si>
    <t>5301,5316,5331</t>
    <phoneticPr fontId="1" type="noConversion"/>
  </si>
  <si>
    <t>5801,5816,5831</t>
    <phoneticPr fontId="1" type="noConversion"/>
  </si>
  <si>
    <t>5401,5416,5431</t>
    <phoneticPr fontId="1" type="noConversion"/>
  </si>
  <si>
    <t>5501,5502,5503</t>
    <phoneticPr fontId="1" type="noConversion"/>
  </si>
  <si>
    <t>5516,5517,5518</t>
    <phoneticPr fontId="1" type="noConversion"/>
  </si>
  <si>
    <t>5402,5417,5432</t>
    <phoneticPr fontId="1" type="noConversion"/>
  </si>
  <si>
    <t>5802,5817,5832</t>
    <phoneticPr fontId="1" type="noConversion"/>
  </si>
  <si>
    <t>5302,5317,5332</t>
    <phoneticPr fontId="1" type="noConversion"/>
  </si>
  <si>
    <t>5702,5717,5732</t>
    <phoneticPr fontId="1" type="noConversion"/>
  </si>
  <si>
    <t>5504,5505</t>
    <phoneticPr fontId="1" type="noConversion"/>
  </si>
  <si>
    <t>5519,5520</t>
    <phoneticPr fontId="1" type="noConversion"/>
  </si>
  <si>
    <t>5601,5616,5631</t>
    <phoneticPr fontId="1" type="noConversion"/>
  </si>
  <si>
    <t>5602,5617,5632</t>
    <phoneticPr fontId="1" type="noConversion"/>
  </si>
  <si>
    <t>武器攻速</t>
    <phoneticPr fontId="1" type="noConversion"/>
  </si>
  <si>
    <t>装备类型</t>
  </si>
  <si>
    <t>装备类型</t>
    <phoneticPr fontId="1" type="noConversion"/>
  </si>
  <si>
    <t>装备品质</t>
    <phoneticPr fontId="1" type="noConversion"/>
  </si>
  <si>
    <t>火炬</t>
  </si>
  <si>
    <t>名称</t>
    <phoneticPr fontId="1" type="noConversion"/>
  </si>
  <si>
    <t>伤害最小值</t>
    <phoneticPr fontId="1" type="noConversion"/>
  </si>
  <si>
    <t>伤害最大值</t>
    <phoneticPr fontId="1" type="noConversion"/>
  </si>
  <si>
    <t>品质修正系数</t>
    <phoneticPr fontId="1" type="noConversion"/>
  </si>
  <si>
    <t>护甲</t>
    <phoneticPr fontId="1" type="noConversion"/>
  </si>
  <si>
    <t>伤害DPS</t>
    <phoneticPr fontId="1" type="noConversion"/>
  </si>
  <si>
    <t>品质3</t>
    <phoneticPr fontId="1" type="noConversion"/>
  </si>
  <si>
    <t>品质4</t>
    <phoneticPr fontId="1" type="noConversion"/>
  </si>
  <si>
    <t>品质5</t>
    <phoneticPr fontId="1" type="noConversion"/>
  </si>
  <si>
    <t>配置</t>
    <phoneticPr fontId="1" type="noConversion"/>
  </si>
  <si>
    <t>305:30</t>
  </si>
  <si>
    <t>305:38</t>
  </si>
  <si>
    <t>305:47</t>
  </si>
  <si>
    <t>305:59</t>
  </si>
  <si>
    <t>305:73</t>
  </si>
  <si>
    <r>
      <rPr>
        <b/>
        <sz val="11"/>
        <color theme="1"/>
        <rFont val="等线"/>
        <family val="3"/>
        <charset val="134"/>
        <scheme val="minor"/>
      </rPr>
      <t>基础属性</t>
    </r>
    <r>
      <rPr>
        <sz val="11"/>
        <color theme="1"/>
        <rFont val="等线"/>
        <family val="2"/>
        <scheme val="minor"/>
      </rPr>
      <t xml:space="preserve">
武器基础属性：最小攻击力-最大攻击力
防具基础属性：护甲值
火炬基础照亮范围和时间
</t>
    </r>
    <phoneticPr fontId="1" type="noConversion"/>
  </si>
  <si>
    <t>14202</t>
    <phoneticPr fontId="1" type="noConversion"/>
  </si>
  <si>
    <t>14212</t>
    <phoneticPr fontId="1" type="noConversion"/>
  </si>
  <si>
    <t>14220</t>
    <phoneticPr fontId="1" type="noConversion"/>
  </si>
  <si>
    <t>14224</t>
    <phoneticPr fontId="1" type="noConversion"/>
  </si>
  <si>
    <t>14236</t>
    <phoneticPr fontId="1" type="noConversion"/>
  </si>
  <si>
    <t>14247</t>
    <phoneticPr fontId="1" type="noConversion"/>
  </si>
  <si>
    <t>14267</t>
    <phoneticPr fontId="1" type="noConversion"/>
  </si>
  <si>
    <t>14289</t>
    <phoneticPr fontId="1" type="noConversion"/>
  </si>
  <si>
    <t>14294</t>
    <phoneticPr fontId="1" type="noConversion"/>
  </si>
  <si>
    <t>14303</t>
    <phoneticPr fontId="1" type="noConversion"/>
  </si>
  <si>
    <t>14319</t>
    <phoneticPr fontId="1" type="noConversion"/>
  </si>
  <si>
    <t>14322</t>
    <phoneticPr fontId="1" type="noConversion"/>
  </si>
  <si>
    <t>14325</t>
    <phoneticPr fontId="1" type="noConversion"/>
  </si>
  <si>
    <t>14328</t>
    <phoneticPr fontId="1" type="noConversion"/>
  </si>
  <si>
    <t>14353</t>
    <phoneticPr fontId="1" type="noConversion"/>
  </si>
  <si>
    <t>14359</t>
    <phoneticPr fontId="1" type="noConversion"/>
  </si>
  <si>
    <t>20009,20014</t>
    <phoneticPr fontId="1" type="noConversion"/>
  </si>
  <si>
    <t>20010,20014</t>
    <phoneticPr fontId="1" type="noConversion"/>
  </si>
  <si>
    <t>20011,20014</t>
    <phoneticPr fontId="1" type="noConversion"/>
  </si>
  <si>
    <t>20012,20014</t>
    <phoneticPr fontId="1" type="noConversion"/>
  </si>
  <si>
    <t>20013,20014</t>
    <phoneticPr fontId="1" type="noConversion"/>
  </si>
  <si>
    <t>14215</t>
    <phoneticPr fontId="1" type="noConversion"/>
  </si>
  <si>
    <t>14218</t>
    <phoneticPr fontId="1" type="noConversion"/>
  </si>
  <si>
    <t>掉落权重
当前：3/5/1
这个字段不生效，全靠掉落表参数</t>
    <phoneticPr fontId="1" type="noConversion"/>
  </si>
  <si>
    <t>305:40</t>
  </si>
  <si>
    <t>305:60</t>
  </si>
  <si>
    <t>305:75</t>
  </si>
  <si>
    <t>305:50</t>
  </si>
  <si>
    <t>305:94</t>
  </si>
  <si>
    <t>305:63</t>
  </si>
  <si>
    <t>305:88</t>
  </si>
  <si>
    <t>305:117</t>
  </si>
  <si>
    <t>305:78</t>
  </si>
  <si>
    <t>305:146</t>
  </si>
  <si>
    <t>305:98</t>
  </si>
  <si>
    <t>14204</t>
    <phoneticPr fontId="1" type="noConversion"/>
  </si>
  <si>
    <t>14216</t>
    <phoneticPr fontId="1" type="noConversion"/>
  </si>
  <si>
    <t>14248</t>
    <phoneticPr fontId="1" type="noConversion"/>
  </si>
  <si>
    <t>测试装备:三骰子,血量,幸运</t>
    <phoneticPr fontId="1" type="noConversion"/>
  </si>
  <si>
    <t>1:501,999,999,502,999,999,517,999,999,300,999999,999999,104,9999,9999</t>
    <phoneticPr fontId="1" type="noConversion"/>
  </si>
  <si>
    <t>id_i</t>
    <phoneticPr fontId="1" type="noConversion"/>
  </si>
  <si>
    <t>流水ID</t>
    <phoneticPr fontId="1" type="noConversion"/>
  </si>
  <si>
    <t>set_id_i</t>
    <phoneticPr fontId="1" type="noConversion"/>
  </si>
  <si>
    <t>套装ID</t>
    <phoneticPr fontId="1" type="noConversion"/>
  </si>
  <si>
    <t>套装名称</t>
    <phoneticPr fontId="1" type="noConversion"/>
  </si>
  <si>
    <t>set_name_i</t>
    <phoneticPr fontId="1" type="noConversion"/>
  </si>
  <si>
    <t>desc_l</t>
    <phoneticPr fontId="1" type="noConversion"/>
  </si>
  <si>
    <t>效果描述
(中文ID1,中文ID2）</t>
    <phoneticPr fontId="1" type="noConversion"/>
  </si>
  <si>
    <t>套装ID
能够激活哪个套装</t>
    <phoneticPr fontId="1" type="noConversion"/>
  </si>
  <si>
    <t>set_equip.xml</t>
    <phoneticPr fontId="1" type="noConversion"/>
  </si>
  <si>
    <t>task_id_i</t>
  </si>
  <si>
    <r>
      <t xml:space="preserve">任务道具关联的任务ID
</t>
    </r>
    <r>
      <rPr>
        <sz val="11"/>
        <color theme="1"/>
        <rFont val="等线"/>
        <family val="3"/>
        <charset val="134"/>
        <scheme val="minor"/>
      </rPr>
      <t>(控制道具是否继续掉落）</t>
    </r>
    <phoneticPr fontId="1" type="noConversion"/>
  </si>
  <si>
    <t>set_id_i</t>
  </si>
  <si>
    <t>激活套装件数</t>
    <phoneticPr fontId="1" type="noConversion"/>
  </si>
  <si>
    <t>2,4,6</t>
    <phoneticPr fontId="1" type="noConversion"/>
  </si>
  <si>
    <t>activate_num_l</t>
    <phoneticPr fontId="1" type="noConversion"/>
  </si>
  <si>
    <t>0,1</t>
    <phoneticPr fontId="1" type="noConversion"/>
  </si>
  <si>
    <t>set_attri_fir_n</t>
    <phoneticPr fontId="1" type="noConversion"/>
  </si>
  <si>
    <t>set_attri_sec_n</t>
    <phoneticPr fontId="1" type="noConversion"/>
  </si>
  <si>
    <t>set_attri_thi_n</t>
    <phoneticPr fontId="1" type="noConversion"/>
  </si>
  <si>
    <t>set_attri_fou_n</t>
    <phoneticPr fontId="1" type="noConversion"/>
  </si>
  <si>
    <t>set_attri_fif_n</t>
    <phoneticPr fontId="1" type="noConversion"/>
  </si>
  <si>
    <t>set_attri_six_n</t>
    <phoneticPr fontId="1" type="noConversion"/>
  </si>
  <si>
    <t>第二个</t>
    <phoneticPr fontId="1" type="noConversion"/>
  </si>
  <si>
    <t>第三个</t>
    <phoneticPr fontId="1" type="noConversion"/>
  </si>
  <si>
    <t>第四个</t>
    <phoneticPr fontId="1" type="noConversion"/>
  </si>
  <si>
    <t>第五个</t>
    <phoneticPr fontId="1" type="noConversion"/>
  </si>
  <si>
    <t>第六个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</si>
  <si>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稀有度</t>
    </r>
    <r>
      <rPr>
        <sz val="11"/>
        <color theme="1"/>
        <rFont val="等线"/>
        <family val="2"/>
        <scheme val="minor"/>
      </rPr>
      <t xml:space="preserve">
1-普通
</t>
    </r>
    <r>
      <rPr>
        <sz val="11"/>
        <color rgb="FF00B050"/>
        <rFont val="等线"/>
        <family val="3"/>
        <charset val="134"/>
        <scheme val="minor"/>
      </rPr>
      <t>2-精良</t>
    </r>
    <r>
      <rPr>
        <sz val="11"/>
        <color theme="1"/>
        <rFont val="等线"/>
        <family val="2"/>
        <scheme val="minor"/>
      </rPr>
      <t xml:space="preserve">
</t>
    </r>
    <r>
      <rPr>
        <sz val="11"/>
        <color rgb="FF00B0F0"/>
        <rFont val="等线"/>
        <family val="3"/>
        <charset val="134"/>
        <scheme val="minor"/>
      </rPr>
      <t>3-稀有</t>
    </r>
    <r>
      <rPr>
        <sz val="11"/>
        <color theme="1"/>
        <rFont val="等线"/>
        <family val="2"/>
        <scheme val="minor"/>
      </rPr>
      <t xml:space="preserve">
</t>
    </r>
    <r>
      <rPr>
        <sz val="11"/>
        <color rgb="FFCC66FF"/>
        <rFont val="等线"/>
        <family val="3"/>
        <charset val="134"/>
        <scheme val="minor"/>
      </rPr>
      <t>4-史诗</t>
    </r>
    <r>
      <rPr>
        <sz val="11"/>
        <color theme="1"/>
        <rFont val="等线"/>
        <family val="2"/>
        <scheme val="minor"/>
      </rPr>
      <t xml:space="preserve">
</t>
    </r>
    <r>
      <rPr>
        <sz val="11"/>
        <color theme="5" tint="-0.249977111117893"/>
        <rFont val="等线"/>
        <family val="3"/>
        <charset val="134"/>
        <scheme val="minor"/>
      </rPr>
      <t xml:space="preserve">5-传奇
</t>
    </r>
    <r>
      <rPr>
        <sz val="11"/>
        <color rgb="FF00FFFF"/>
        <rFont val="等线"/>
        <family val="3"/>
        <charset val="134"/>
        <scheme val="minor"/>
      </rPr>
      <t>6-套装</t>
    </r>
  </si>
  <si>
    <t>法师套装
马卡多的教诲
基础型
异常状态</t>
    <phoneticPr fontId="1" type="noConversion"/>
  </si>
  <si>
    <t>蛮子套装
先祖庇护
基础型
防御反击</t>
    <phoneticPr fontId="1" type="noConversion"/>
  </si>
  <si>
    <t>马卡多的智慧</t>
  </si>
  <si>
    <t>马卡多的魔纹长袍</t>
  </si>
  <si>
    <t>马卡多的掌握</t>
  </si>
  <si>
    <t>马卡多的足迹</t>
  </si>
  <si>
    <t>马卡多的支配玺戒</t>
  </si>
  <si>
    <t>凝视必灭</t>
  </si>
  <si>
    <t>不动堡垒</t>
  </si>
  <si>
    <t>钢拳</t>
  </si>
  <si>
    <t>山峦攀登者</t>
  </si>
  <si>
    <t>鲜血网织</t>
  </si>
  <si>
    <t>1:252,40</t>
    <phoneticPr fontId="1" type="noConversion"/>
  </si>
  <si>
    <t>马卡多的教诲</t>
  </si>
  <si>
    <t>先祖庇护</t>
    <phoneticPr fontId="1" type="noConversion"/>
  </si>
  <si>
    <t>1:305,500,247,30</t>
    <phoneticPr fontId="1" type="noConversion"/>
  </si>
  <si>
    <r>
      <t>3:</t>
    </r>
    <r>
      <rPr>
        <sz val="11"/>
        <color theme="1"/>
        <rFont val="等线"/>
        <family val="3"/>
        <charset val="134"/>
        <scheme val="minor"/>
      </rPr>
      <t>10003</t>
    </r>
  </si>
  <si>
    <t>4:40013</t>
    <phoneticPr fontId="1" type="noConversion"/>
  </si>
  <si>
    <t>2:41006</t>
    <phoneticPr fontId="1" type="noConversion"/>
  </si>
  <si>
    <r>
      <t>3:</t>
    </r>
    <r>
      <rPr>
        <sz val="11"/>
        <color theme="1"/>
        <rFont val="等线"/>
        <family val="3"/>
        <charset val="134"/>
        <scheme val="minor"/>
      </rPr>
      <t>10004</t>
    </r>
    <phoneticPr fontId="1" type="noConversion"/>
  </si>
  <si>
    <t>火法杖</t>
  </si>
  <si>
    <t>火法杖</t>
    <phoneticPr fontId="1" type="noConversion"/>
  </si>
  <si>
    <t>冰法杖</t>
  </si>
  <si>
    <t>冰法杖</t>
    <phoneticPr fontId="1" type="noConversion"/>
  </si>
  <si>
    <t>雷法杖</t>
  </si>
  <si>
    <t>雷法杖</t>
    <phoneticPr fontId="1" type="noConversion"/>
  </si>
  <si>
    <t>马卡多的手杖</t>
    <phoneticPr fontId="1" type="noConversion"/>
  </si>
  <si>
    <t>610007,610008,610009</t>
    <phoneticPr fontId="1" type="noConversion"/>
  </si>
  <si>
    <t>610001</t>
    <phoneticPr fontId="1" type="noConversion"/>
  </si>
  <si>
    <t>610002</t>
  </si>
  <si>
    <t>610003</t>
  </si>
  <si>
    <t>610004</t>
  </si>
  <si>
    <t>610005</t>
  </si>
  <si>
    <t>610010</t>
    <phoneticPr fontId="1" type="noConversion"/>
  </si>
  <si>
    <t>610012</t>
  </si>
  <si>
    <t>610013</t>
  </si>
  <si>
    <t>610014</t>
  </si>
  <si>
    <t>610015</t>
  </si>
  <si>
    <t>610016,610017,610018</t>
    <phoneticPr fontId="1" type="noConversion"/>
  </si>
  <si>
    <t>装备中文名</t>
  </si>
  <si>
    <t>属性1名称</t>
  </si>
  <si>
    <t>属性1值</t>
  </si>
  <si>
    <t>属性2名称</t>
  </si>
  <si>
    <t>属性2值</t>
  </si>
  <si>
    <t>属性3名称</t>
  </si>
  <si>
    <t>属性3值</t>
  </si>
  <si>
    <t>属性4名称</t>
  </si>
  <si>
    <t>属性4值</t>
  </si>
  <si>
    <t>属性5名称</t>
  </si>
  <si>
    <t>属性5值</t>
  </si>
  <si>
    <t>属性6名称</t>
  </si>
  <si>
    <t>属性6值</t>
  </si>
  <si>
    <t>最终属性配置</t>
  </si>
  <si>
    <t>火焰伤害%</t>
  </si>
  <si>
    <t>元素伤害%</t>
  </si>
  <si>
    <t>火焰减抗%</t>
  </si>
  <si>
    <t>智力</t>
  </si>
  <si>
    <t>所有伤害增加%</t>
  </si>
  <si>
    <t>物理伤害%</t>
  </si>
  <si>
    <t>暴击伤害%</t>
  </si>
  <si>
    <t>攻击速度%</t>
  </si>
  <si>
    <t>召唤物生命值</t>
  </si>
  <si>
    <t>召唤物物理伤害%</t>
  </si>
  <si>
    <t>召唤物移动速度%</t>
  </si>
  <si>
    <t>混沌伤害%</t>
  </si>
  <si>
    <t>闪电伤害%</t>
  </si>
  <si>
    <t>闪电减抗%</t>
  </si>
  <si>
    <t>移动速度%</t>
  </si>
  <si>
    <t>力量</t>
  </si>
  <si>
    <t>敏捷</t>
  </si>
  <si>
    <t>命中率%</t>
  </si>
  <si>
    <t>火焰抗性%</t>
  </si>
  <si>
    <t>生命值%</t>
  </si>
  <si>
    <t>护甲值%</t>
  </si>
  <si>
    <t>元素抗性%</t>
  </si>
  <si>
    <t>冷却缩减%</t>
  </si>
  <si>
    <t>闪避几率%</t>
  </si>
  <si>
    <t>生命回复%</t>
  </si>
  <si>
    <t>护盾值%</t>
  </si>
  <si>
    <t>护盾回复%</t>
  </si>
  <si>
    <t>冰霜伤害%</t>
  </si>
  <si>
    <t>冰霜减抗%</t>
  </si>
  <si>
    <t>物理伤害</t>
  </si>
  <si>
    <t>混沌伤害</t>
  </si>
  <si>
    <t>护甲值</t>
  </si>
  <si>
    <t>所有伤害减免%</t>
  </si>
  <si>
    <t>格挡几率%</t>
  </si>
  <si>
    <t>强</t>
    <phoneticPr fontId="1" type="noConversion"/>
  </si>
  <si>
    <t>中</t>
    <phoneticPr fontId="1" type="noConversion"/>
  </si>
  <si>
    <t>冰霜抗性%</t>
  </si>
  <si>
    <t>荆棘</t>
  </si>
  <si>
    <t>强度总和</t>
    <phoneticPr fontId="1" type="noConversion"/>
  </si>
  <si>
    <t>固定值</t>
    <phoneticPr fontId="18" type="noConversion"/>
  </si>
  <si>
    <t>幸运</t>
  </si>
  <si>
    <t>攻击力</t>
  </si>
  <si>
    <t>百分比</t>
    <phoneticPr fontId="18" type="noConversion"/>
  </si>
  <si>
    <t>额外伤害增加%</t>
  </si>
  <si>
    <t>元素伤害</t>
  </si>
  <si>
    <t>冰霜伤害</t>
  </si>
  <si>
    <t>火焰伤害</t>
  </si>
  <si>
    <t>闪电伤害</t>
  </si>
  <si>
    <t>持续性伤害</t>
  </si>
  <si>
    <t>元素减抗%</t>
  </si>
  <si>
    <t>物理减抗%</t>
    <phoneticPr fontId="1" type="noConversion"/>
  </si>
  <si>
    <t>附加物理伤害</t>
    <phoneticPr fontId="1" type="noConversion"/>
  </si>
  <si>
    <t>附加冰霜伤害</t>
    <phoneticPr fontId="1" type="noConversion"/>
  </si>
  <si>
    <t>附加火焰伤害</t>
    <phoneticPr fontId="1" type="noConversion"/>
  </si>
  <si>
    <t>附加闪电伤害</t>
    <phoneticPr fontId="1" type="noConversion"/>
  </si>
  <si>
    <t>附加混沌伤害</t>
    <phoneticPr fontId="1" type="noConversion"/>
  </si>
  <si>
    <t>武器最小攻击力</t>
    <phoneticPr fontId="1" type="noConversion"/>
  </si>
  <si>
    <t>武器最大攻击力</t>
    <phoneticPr fontId="1" type="noConversion"/>
  </si>
  <si>
    <t>流血系数</t>
    <phoneticPr fontId="1" type="noConversion"/>
  </si>
  <si>
    <t>灼烧系数</t>
    <phoneticPr fontId="1" type="noConversion"/>
  </si>
  <si>
    <t>中毒系数</t>
    <phoneticPr fontId="1" type="noConversion"/>
  </si>
  <si>
    <t>感电系数</t>
    <phoneticPr fontId="1" type="noConversion"/>
  </si>
  <si>
    <t>百分比</t>
    <phoneticPr fontId="1" type="noConversion"/>
  </si>
  <si>
    <t>武器技能流血时长提升</t>
    <phoneticPr fontId="1" type="noConversion"/>
  </si>
  <si>
    <t>武器技能灼烧时长提升</t>
    <phoneticPr fontId="1" type="noConversion"/>
  </si>
  <si>
    <t>武器技能中毒时长提升</t>
    <phoneticPr fontId="1" type="noConversion"/>
  </si>
  <si>
    <t>施加感电时间提升</t>
    <phoneticPr fontId="1" type="noConversion"/>
  </si>
  <si>
    <t>施加流血时间提升</t>
    <phoneticPr fontId="1" type="noConversion"/>
  </si>
  <si>
    <t>施加中毒时间提升</t>
    <phoneticPr fontId="1" type="noConversion"/>
  </si>
  <si>
    <t>施加灼烧时间提升</t>
    <phoneticPr fontId="1" type="noConversion"/>
  </si>
  <si>
    <t>施加诅咒时间提升</t>
    <phoneticPr fontId="1" type="noConversion"/>
  </si>
  <si>
    <t>每件传奇装备增加1力量</t>
    <phoneticPr fontId="1" type="noConversion"/>
  </si>
  <si>
    <t>每件传奇装备增加1敏捷</t>
    <phoneticPr fontId="1" type="noConversion"/>
  </si>
  <si>
    <t>每件传奇装备增加1智力</t>
    <phoneticPr fontId="1" type="noConversion"/>
  </si>
  <si>
    <t>暴击率增幅</t>
    <phoneticPr fontId="1" type="noConversion"/>
  </si>
  <si>
    <t>257</t>
    <phoneticPr fontId="1" type="noConversion"/>
  </si>
  <si>
    <t>最大生命值</t>
    <phoneticPr fontId="1" type="noConversion"/>
  </si>
  <si>
    <t>当前生命值</t>
    <phoneticPr fontId="1" type="noConversion"/>
  </si>
  <si>
    <t>生命回复</t>
    <phoneticPr fontId="1" type="noConversion"/>
  </si>
  <si>
    <t>护盾值（当前值 同301）</t>
    <phoneticPr fontId="1" type="noConversion"/>
  </si>
  <si>
    <t>默认护盾回复%</t>
    <phoneticPr fontId="1" type="noConversion"/>
  </si>
  <si>
    <t>闪避几率上限%</t>
  </si>
  <si>
    <t>格挡几率上限%</t>
  </si>
  <si>
    <t>闪电抗性%</t>
  </si>
  <si>
    <t>混沌抗性%</t>
  </si>
  <si>
    <t>物理抗性%</t>
    <phoneticPr fontId="1" type="noConversion"/>
  </si>
  <si>
    <t>添加生命上限护盾</t>
    <phoneticPr fontId="1" type="noConversion"/>
  </si>
  <si>
    <t>护盾最大值</t>
    <phoneticPr fontId="1" type="noConversion"/>
  </si>
  <si>
    <t>百分比回复最大生命值</t>
    <phoneticPr fontId="1" type="noConversion"/>
  </si>
  <si>
    <t>添加生命上限护盾并减少当前生命上限</t>
    <phoneticPr fontId="1" type="noConversion"/>
  </si>
  <si>
    <t>325</t>
    <phoneticPr fontId="1" type="noConversion"/>
  </si>
  <si>
    <t>受到感电时间提升</t>
  </si>
  <si>
    <t>受到流血时间提升</t>
  </si>
  <si>
    <t>受到中毒时间提升</t>
  </si>
  <si>
    <t>受到灼烧时间提升</t>
  </si>
  <si>
    <t>暴击抗性</t>
    <phoneticPr fontId="1" type="noConversion"/>
  </si>
  <si>
    <t>经验获取%</t>
  </si>
  <si>
    <t>物品掉落数量%</t>
  </si>
  <si>
    <t>珍稀物品掉率%</t>
  </si>
  <si>
    <t>子弹数量</t>
  </si>
  <si>
    <t>子弹穿刺</t>
    <phoneticPr fontId="1" type="noConversion"/>
  </si>
  <si>
    <t>拾取范围</t>
  </si>
  <si>
    <t>拾取范围%</t>
  </si>
  <si>
    <t>冲刺次数</t>
  </si>
  <si>
    <t>冲刺冷却缩减%</t>
  </si>
  <si>
    <t>移动速度</t>
  </si>
  <si>
    <t>技能范围%</t>
    <phoneticPr fontId="1" type="noConversion"/>
  </si>
  <si>
    <t>持续时间%</t>
  </si>
  <si>
    <t>照亮范围</t>
  </si>
  <si>
    <t>模型大小</t>
    <phoneticPr fontId="1" type="noConversion"/>
  </si>
  <si>
    <t>冲刺距离</t>
    <phoneticPr fontId="1" type="noConversion"/>
  </si>
  <si>
    <t>冲刺时间</t>
    <phoneticPr fontId="1" type="noConversion"/>
  </si>
  <si>
    <t>金币获取%</t>
    <phoneticPr fontId="1" type="noConversion"/>
  </si>
  <si>
    <t>击杀掉落经验碎片</t>
    <phoneticPr fontId="1" type="noConversion"/>
  </si>
  <si>
    <t>概率重置冲刺CD</t>
    <phoneticPr fontId="1" type="noConversion"/>
  </si>
  <si>
    <t>复活</t>
    <phoneticPr fontId="1" type="noConversion"/>
  </si>
  <si>
    <t>固定值</t>
    <phoneticPr fontId="1" type="noConversion"/>
  </si>
  <si>
    <t>426</t>
    <phoneticPr fontId="1" type="noConversion"/>
  </si>
  <si>
    <t>经验碎片加攻速移速</t>
    <phoneticPr fontId="1" type="noConversion"/>
  </si>
  <si>
    <t>万分比</t>
    <phoneticPr fontId="1" type="noConversion"/>
  </si>
  <si>
    <t>428</t>
    <phoneticPr fontId="1" type="noConversion"/>
  </si>
  <si>
    <t>近战技能范围%</t>
    <phoneticPr fontId="1" type="noConversion"/>
  </si>
  <si>
    <t xml:space="preserve">区域技能范围% </t>
    <phoneticPr fontId="1" type="noConversion"/>
  </si>
  <si>
    <t>子弹技能范围%</t>
    <phoneticPr fontId="1" type="noConversion"/>
  </si>
  <si>
    <t>护盾CD秒</t>
    <phoneticPr fontId="1" type="noConversion"/>
  </si>
  <si>
    <t>435</t>
    <phoneticPr fontId="1" type="noConversion"/>
  </si>
  <si>
    <t>点金骰子</t>
    <phoneticPr fontId="1" type="noConversion"/>
  </si>
  <si>
    <t>双重施法范围</t>
    <phoneticPr fontId="1" type="noConversion"/>
  </si>
  <si>
    <t>百分比</t>
  </si>
  <si>
    <t>双重施法近战</t>
    <phoneticPr fontId="1" type="noConversion"/>
  </si>
  <si>
    <t>攻击回血</t>
    <phoneticPr fontId="1" type="noConversion"/>
  </si>
  <si>
    <t>火把燃烧速率</t>
    <phoneticPr fontId="1" type="noConversion"/>
  </si>
  <si>
    <t>507</t>
    <phoneticPr fontId="1" type="noConversion"/>
  </si>
  <si>
    <t>刀刀致命</t>
    <phoneticPr fontId="1" type="noConversion"/>
  </si>
  <si>
    <t>品质底线</t>
    <phoneticPr fontId="1" type="noConversion"/>
  </si>
  <si>
    <t>san夜晚降低速率</t>
    <phoneticPr fontId="1" type="noConversion"/>
  </si>
  <si>
    <t>火炬独立光照属性</t>
    <phoneticPr fontId="1" type="noConversion"/>
  </si>
  <si>
    <t>火炬最大燃烧时间（秒）</t>
    <phoneticPr fontId="1" type="noConversion"/>
  </si>
  <si>
    <t>火炬当前剩余时间（秒）</t>
    <phoneticPr fontId="1" type="noConversion"/>
  </si>
  <si>
    <t>513</t>
    <phoneticPr fontId="1" type="noConversion"/>
  </si>
  <si>
    <t>san值最大值</t>
    <phoneticPr fontId="1" type="noConversion"/>
  </si>
  <si>
    <t>san值当前值</t>
    <phoneticPr fontId="1" type="noConversion"/>
  </si>
  <si>
    <t>根据标签增加技能等级</t>
  </si>
  <si>
    <t>固定值</t>
  </si>
  <si>
    <t>击杀加伤害</t>
    <phoneticPr fontId="1" type="noConversion"/>
  </si>
  <si>
    <t>击杀加范围</t>
    <phoneticPr fontId="1" type="noConversion"/>
  </si>
  <si>
    <t>升级加生命回复</t>
    <phoneticPr fontId="1" type="noConversion"/>
  </si>
  <si>
    <t>升级减CD</t>
    <phoneticPr fontId="1" type="noConversion"/>
  </si>
  <si>
    <t>击杀次数后给传奇装备</t>
    <phoneticPr fontId="1" type="noConversion"/>
  </si>
  <si>
    <t>下次属性选择必定3个5级属性</t>
    <phoneticPr fontId="1" type="noConversion"/>
  </si>
  <si>
    <t>击杀加生命值</t>
    <phoneticPr fontId="1" type="noConversion"/>
  </si>
  <si>
    <t>召唤物生命值%</t>
  </si>
  <si>
    <t>召唤物最小攻击力</t>
  </si>
  <si>
    <t>召唤物最大攻击力</t>
  </si>
  <si>
    <t>召唤物物理伤害%</t>
    <phoneticPr fontId="1" type="noConversion"/>
  </si>
  <si>
    <t>召唤物冰霜伤害%</t>
    <phoneticPr fontId="1" type="noConversion"/>
  </si>
  <si>
    <t>召唤物火焰伤害%</t>
    <phoneticPr fontId="1" type="noConversion"/>
  </si>
  <si>
    <t>召唤物闪电伤害%</t>
    <phoneticPr fontId="1" type="noConversion"/>
  </si>
  <si>
    <t>召唤物混沌伤害%</t>
    <phoneticPr fontId="1" type="noConversion"/>
  </si>
  <si>
    <t>召唤物闪电抗性%</t>
  </si>
  <si>
    <t>召唤物混沌抗性%</t>
  </si>
  <si>
    <t>召唤物物理抗性%</t>
  </si>
  <si>
    <t>召唤物暴击几率%</t>
  </si>
  <si>
    <t>召唤物暴击伤害%</t>
  </si>
  <si>
    <t>召唤物护甲</t>
    <phoneticPr fontId="1" type="noConversion"/>
  </si>
  <si>
    <t>召唤物百分比回血</t>
    <phoneticPr fontId="1" type="noConversion"/>
  </si>
  <si>
    <t>召唤物获得百分比最大生命值的护盾</t>
    <phoneticPr fontId="1" type="noConversion"/>
  </si>
  <si>
    <t>召唤物最终伤害</t>
  </si>
  <si>
    <t>721</t>
    <phoneticPr fontId="1" type="noConversion"/>
  </si>
  <si>
    <t>召唤物格挡几率</t>
    <phoneticPr fontId="1" type="noConversion"/>
  </si>
  <si>
    <t>722</t>
    <phoneticPr fontId="1" type="noConversion"/>
  </si>
  <si>
    <t>每点力量额外获得护甲</t>
    <phoneticPr fontId="1" type="noConversion"/>
  </si>
  <si>
    <t>每点敏捷提高物理伤害</t>
    <phoneticPr fontId="1" type="noConversion"/>
  </si>
  <si>
    <t>每移速额外提升攻速</t>
    <phoneticPr fontId="1" type="noConversion"/>
  </si>
  <si>
    <t>每点幸运额外提升攻击力</t>
    <phoneticPr fontId="1" type="noConversion"/>
  </si>
  <si>
    <t>每点力量提升物理伤害</t>
    <phoneticPr fontId="1" type="noConversion"/>
  </si>
  <si>
    <t>每点敏捷提升攻击速度</t>
    <phoneticPr fontId="1" type="noConversion"/>
  </si>
  <si>
    <t>每点智力提升元素伤害</t>
    <phoneticPr fontId="1" type="noConversion"/>
  </si>
  <si>
    <t>每点力量转化为最大血量</t>
    <phoneticPr fontId="1" type="noConversion"/>
  </si>
  <si>
    <t>每点力量提升元素伤害</t>
    <phoneticPr fontId="1" type="noConversion"/>
  </si>
  <si>
    <t>811</t>
    <phoneticPr fontId="1" type="noConversion"/>
  </si>
  <si>
    <t>每点力量提升元素抗性</t>
    <phoneticPr fontId="1" type="noConversion"/>
  </si>
  <si>
    <t>812</t>
    <phoneticPr fontId="1" type="noConversion"/>
  </si>
  <si>
    <t>每点暴击提升流血系数</t>
    <phoneticPr fontId="1" type="noConversion"/>
  </si>
  <si>
    <t>813</t>
    <phoneticPr fontId="1" type="noConversion"/>
  </si>
  <si>
    <t>全元素伤害转四抗</t>
    <phoneticPr fontId="1" type="noConversion"/>
  </si>
  <si>
    <t>814</t>
  </si>
  <si>
    <t>回血转回盾</t>
    <phoneticPr fontId="1" type="noConversion"/>
  </si>
  <si>
    <t>815</t>
  </si>
  <si>
    <t>回血百分比转回盾百分比</t>
    <phoneticPr fontId="1" type="noConversion"/>
  </si>
  <si>
    <t>816</t>
  </si>
  <si>
    <t>护甲转化荆棘</t>
    <phoneticPr fontId="1" type="noConversion"/>
  </si>
  <si>
    <t>817</t>
    <phoneticPr fontId="1" type="noConversion"/>
  </si>
  <si>
    <t>护甲转化物理伤害%</t>
    <phoneticPr fontId="1" type="noConversion"/>
  </si>
  <si>
    <t>818</t>
  </si>
  <si>
    <t>物理伤害转化元素伤害%</t>
    <phoneticPr fontId="1" type="noConversion"/>
  </si>
  <si>
    <t>819</t>
  </si>
  <si>
    <t>敏捷转化召唤物伤害</t>
    <phoneticPr fontId="1" type="noConversion"/>
  </si>
  <si>
    <t>820</t>
    <phoneticPr fontId="1" type="noConversion"/>
  </si>
  <si>
    <t>属性ID</t>
    <phoneticPr fontId="1" type="noConversion"/>
  </si>
  <si>
    <t>数值类型</t>
    <phoneticPr fontId="1" type="noConversion"/>
  </si>
  <si>
    <t>属性名称</t>
    <phoneticPr fontId="1" type="noConversion"/>
  </si>
  <si>
    <t>标准值</t>
    <phoneticPr fontId="1" type="noConversion"/>
  </si>
  <si>
    <t>频率</t>
    <phoneticPr fontId="1" type="noConversion"/>
  </si>
  <si>
    <t>装备ID</t>
    <phoneticPr fontId="1" type="noConversion"/>
  </si>
  <si>
    <t>最大偏差值</t>
    <phoneticPr fontId="1" type="noConversion"/>
  </si>
  <si>
    <t>随机空间</t>
  </si>
  <si>
    <t>随机空间</t>
    <phoneticPr fontId="1" type="noConversion"/>
  </si>
  <si>
    <t>低</t>
    <phoneticPr fontId="1" type="noConversion"/>
  </si>
  <si>
    <t>万分比</t>
  </si>
  <si>
    <t>火焰伤害</t>
    <phoneticPr fontId="1" type="noConversion"/>
  </si>
  <si>
    <t>智力</t>
    <phoneticPr fontId="1" type="noConversion"/>
  </si>
  <si>
    <t>火焰伤害%</t>
    <phoneticPr fontId="1" type="noConversion"/>
  </si>
  <si>
    <t>火焰减抗%</t>
    <phoneticPr fontId="1" type="noConversion"/>
  </si>
  <si>
    <t>附加物理伤害%</t>
    <phoneticPr fontId="1" type="noConversion"/>
  </si>
  <si>
    <t>附加冰霜伤害%</t>
    <phoneticPr fontId="1" type="noConversion"/>
  </si>
  <si>
    <t>附加火焰伤害%</t>
    <phoneticPr fontId="1" type="noConversion"/>
  </si>
  <si>
    <t>附加闪电伤害%</t>
    <phoneticPr fontId="1" type="noConversion"/>
  </si>
  <si>
    <t>附加混沌伤害%</t>
    <phoneticPr fontId="1" type="noConversion"/>
  </si>
  <si>
    <t>施加灼烧时间提升</t>
  </si>
  <si>
    <t>灼烧系数</t>
  </si>
  <si>
    <t>召唤物生命值%</t>
    <phoneticPr fontId="1" type="noConversion"/>
  </si>
  <si>
    <t>召唤物暴击几率%</t>
    <phoneticPr fontId="1" type="noConversion"/>
  </si>
  <si>
    <t>召唤物暴击伤害%</t>
    <phoneticPr fontId="1" type="noConversion"/>
  </si>
  <si>
    <t>召唤物物理抗性%</t>
    <phoneticPr fontId="1" type="noConversion"/>
  </si>
  <si>
    <t>混沌减抗%</t>
    <phoneticPr fontId="1" type="noConversion"/>
  </si>
  <si>
    <t>冷却缩减%</t>
    <phoneticPr fontId="1" type="noConversion"/>
  </si>
  <si>
    <t>冰霜伤害</t>
    <phoneticPr fontId="1" type="noConversion"/>
  </si>
  <si>
    <t>冰霜伤害%</t>
    <phoneticPr fontId="1" type="noConversion"/>
  </si>
  <si>
    <t>子弹数量</t>
    <phoneticPr fontId="1" type="noConversion"/>
  </si>
  <si>
    <t>攻击速度%</t>
    <phoneticPr fontId="1" type="noConversion"/>
  </si>
  <si>
    <t>施加流血时间提升</t>
  </si>
  <si>
    <t>流血系数</t>
  </si>
  <si>
    <t>击杀加伤害</t>
  </si>
  <si>
    <t>击杀加生命值</t>
  </si>
  <si>
    <t>附加闪电伤害%</t>
  </si>
  <si>
    <t>闪电伤害</t>
    <phoneticPr fontId="1" type="noConversion"/>
  </si>
  <si>
    <t>部位</t>
    <phoneticPr fontId="1" type="noConversion"/>
  </si>
  <si>
    <t>附加混沌伤害</t>
  </si>
  <si>
    <t>施加中毒时间提升</t>
  </si>
  <si>
    <t>中毒系数</t>
  </si>
  <si>
    <t>敏捷</t>
    <phoneticPr fontId="1" type="noConversion"/>
  </si>
  <si>
    <t>召唤物火焰抗性%</t>
    <phoneticPr fontId="1" type="noConversion"/>
  </si>
  <si>
    <t>元素抗性%</t>
    <phoneticPr fontId="1" type="noConversion"/>
  </si>
  <si>
    <t>闪避几率%</t>
    <phoneticPr fontId="1" type="noConversion"/>
  </si>
  <si>
    <t>每点敏捷额外提升移速</t>
    <phoneticPr fontId="1" type="noConversion"/>
  </si>
  <si>
    <t>荆棘</t>
    <phoneticPr fontId="1" type="noConversion"/>
  </si>
  <si>
    <t>附加火焰伤害</t>
  </si>
  <si>
    <t>火焰抗性%</t>
    <phoneticPr fontId="1" type="noConversion"/>
  </si>
  <si>
    <t>护甲值%</t>
    <phoneticPr fontId="1" type="noConversion"/>
  </si>
  <si>
    <t>施加感电时间提升</t>
  </si>
  <si>
    <t>附加闪电伤害</t>
  </si>
  <si>
    <t>每点力量提升物理伤害</t>
  </si>
  <si>
    <t>每点力量额外获得护甲</t>
  </si>
  <si>
    <t>最大生命值</t>
  </si>
  <si>
    <t>移动速度%</t>
    <phoneticPr fontId="1" type="noConversion"/>
  </si>
  <si>
    <t>每点暴击提升流血系数</t>
  </si>
  <si>
    <t>命中率%</t>
    <phoneticPr fontId="1" type="noConversion"/>
  </si>
  <si>
    <t>珍稀物品掉率%</t>
    <phoneticPr fontId="1" type="noConversion"/>
  </si>
  <si>
    <t>拾取范围%</t>
    <phoneticPr fontId="1" type="noConversion"/>
  </si>
  <si>
    <t>经验获取%</t>
    <phoneticPr fontId="1" type="noConversion"/>
  </si>
  <si>
    <t>敏捷转化召唤物伤害</t>
  </si>
  <si>
    <t>召唤物百分比回血</t>
  </si>
  <si>
    <t>每点智力提升元素伤害</t>
  </si>
  <si>
    <t>召唤物混沌伤害%</t>
  </si>
  <si>
    <t>每件传奇装备增加1智力</t>
  </si>
  <si>
    <t>闪电伤害%</t>
    <phoneticPr fontId="1" type="noConversion"/>
  </si>
  <si>
    <t>感电系数</t>
  </si>
  <si>
    <t>召唤物获得百分比最大生命值的护盾</t>
  </si>
  <si>
    <t>召唤物格挡几率</t>
  </si>
  <si>
    <t>元素伤害%</t>
    <phoneticPr fontId="1" type="noConversion"/>
  </si>
  <si>
    <t>所有伤害减免%</t>
    <phoneticPr fontId="1" type="noConversion"/>
  </si>
  <si>
    <t>护甲转化荆棘</t>
  </si>
  <si>
    <t>幸运</t>
    <phoneticPr fontId="1" type="noConversion"/>
  </si>
  <si>
    <t>所有伤害增加%</t>
    <phoneticPr fontId="1" type="noConversion"/>
  </si>
  <si>
    <t>物理伤害%</t>
    <phoneticPr fontId="1" type="noConversion"/>
  </si>
  <si>
    <t>近战技能范围%</t>
  </si>
  <si>
    <t>物理伤害</t>
    <phoneticPr fontId="1" type="noConversion"/>
  </si>
  <si>
    <t>受到异常时间提升</t>
  </si>
  <si>
    <t>受到异常时间提升</t>
    <phoneticPr fontId="1" type="noConversion"/>
  </si>
  <si>
    <t>控制时间%</t>
    <phoneticPr fontId="1" type="noConversion"/>
  </si>
  <si>
    <t>金币获取%</t>
  </si>
  <si>
    <t>san夜晚降低速率</t>
  </si>
  <si>
    <t xml:space="preserve">区域技能范围% </t>
  </si>
  <si>
    <t>冰霜减抗%</t>
    <phoneticPr fontId="1" type="noConversion"/>
  </si>
  <si>
    <t>每点幸运额外提升攻击力</t>
  </si>
  <si>
    <t>攻击回血</t>
  </si>
  <si>
    <t>升级加生命回复</t>
  </si>
  <si>
    <t>召唤物移动速度%</t>
    <phoneticPr fontId="1" type="noConversion"/>
  </si>
  <si>
    <t>升级减CD</t>
  </si>
  <si>
    <t>添加生命上限护盾并减少当前生命上限</t>
  </si>
  <si>
    <t>生命值%</t>
    <phoneticPr fontId="1" type="noConversion"/>
  </si>
  <si>
    <t>冰霜抗性%</t>
    <phoneticPr fontId="1" type="noConversion"/>
  </si>
  <si>
    <t>护盾最大值</t>
  </si>
  <si>
    <t>额外伤害增加%</t>
    <phoneticPr fontId="1" type="noConversion"/>
  </si>
  <si>
    <t>格挡几率%</t>
    <phoneticPr fontId="1" type="noConversion"/>
  </si>
  <si>
    <t>施加异常时间提升</t>
  </si>
  <si>
    <t>施加异常时间提升</t>
    <phoneticPr fontId="1" type="noConversion"/>
  </si>
  <si>
    <t>暴击率增幅</t>
  </si>
  <si>
    <t>百分比回复最大生命值</t>
  </si>
  <si>
    <t>双重施法范围</t>
  </si>
  <si>
    <t>复活</t>
  </si>
  <si>
    <t>每点智力额外提升护盾回复</t>
    <phoneticPr fontId="1" type="noConversion"/>
  </si>
  <si>
    <t>冲刺冷却缩减%</t>
    <phoneticPr fontId="1" type="noConversion"/>
  </si>
  <si>
    <t>暴击抗性</t>
  </si>
  <si>
    <t>力量</t>
    <phoneticPr fontId="1" type="noConversion"/>
  </si>
  <si>
    <t>附加冰霜伤害%</t>
  </si>
  <si>
    <t>召唤物混沌抗性%</t>
    <phoneticPr fontId="1" type="noConversion"/>
  </si>
  <si>
    <t>召唤物冰霜抗性%</t>
    <phoneticPr fontId="1" type="noConversion"/>
  </si>
  <si>
    <t>召唤物冰霜伤害%</t>
  </si>
  <si>
    <t>每点敏捷提高物理伤害</t>
  </si>
  <si>
    <t>武器攻击吸血</t>
  </si>
  <si>
    <t>武器攻击吸血</t>
    <phoneticPr fontId="1" type="noConversion"/>
  </si>
  <si>
    <t>双重施法近战</t>
  </si>
  <si>
    <t>子弹技能范围%</t>
  </si>
  <si>
    <t>召唤物火焰伤害%</t>
  </si>
  <si>
    <t>召唤物火焰抗性%</t>
  </si>
  <si>
    <t>冲刺距离</t>
  </si>
  <si>
    <t>每移速额外提升攻速</t>
  </si>
  <si>
    <t>混沌减抗%</t>
  </si>
  <si>
    <t>每点敏捷额外提升移速</t>
  </si>
  <si>
    <t>召唤物护甲</t>
  </si>
  <si>
    <t>物理抗性%</t>
  </si>
  <si>
    <t>每点敏捷提升攻击速度</t>
  </si>
  <si>
    <t>生命回复</t>
  </si>
  <si>
    <t>施加诅咒时间提升</t>
  </si>
  <si>
    <t>附加冰霜伤害</t>
  </si>
  <si>
    <t>附加火焰伤害%</t>
  </si>
  <si>
    <t>技能范围%</t>
  </si>
  <si>
    <t>每点力量提升元素伤害</t>
  </si>
  <si>
    <t>召唤物冰霜抗性%</t>
  </si>
  <si>
    <t>每点力量转化为最大血量</t>
  </si>
  <si>
    <t>每点智力额外提升护盾回复</t>
  </si>
  <si>
    <t>冲刺时间</t>
  </si>
  <si>
    <t>控制时间%</t>
  </si>
  <si>
    <t>物理伤害转化元素伤害%</t>
  </si>
  <si>
    <t>每点力量提升元素抗性</t>
  </si>
  <si>
    <t>1:101,10,15,102,10,15,103,10,15,220,35,50,320,-40,-50</t>
  </si>
  <si>
    <t>1:101,10,15,102,10,15,103,10,15,213,30,40,214,30,40,215,30,40,315,-40,-50</t>
  </si>
  <si>
    <t>1:306,100,120</t>
  </si>
  <si>
    <t>1:101,10,20,103,10,20,316,50,75;2:2008,41008</t>
  </si>
  <si>
    <t>1:412,-20,-20,300,50,100;2:2008</t>
  </si>
  <si>
    <t>1:403,20,40,317,40,50,412,10,10</t>
  </si>
  <si>
    <t>1:101,10,20,102,10,20,300,20,30;4:40010</t>
  </si>
  <si>
    <t>1:101,10,20,102,10,20,103,10,20,202,10,30,315,10,30</t>
  </si>
  <si>
    <t>1:206,20,30,207,20,30;3:10005,10006</t>
  </si>
  <si>
    <t>1:300,50,100,304,20,35</t>
  </si>
  <si>
    <t>1:214,20,35,317,20,20;2:41004</t>
  </si>
  <si>
    <t>1:316,24,36,323,24,36,300,32,48</t>
  </si>
  <si>
    <t>1:300,160,240</t>
  </si>
  <si>
    <t>1:317,48,72,502,8,8</t>
  </si>
  <si>
    <t>1:226,24,36,203,15,25,252,15,25,502,4,4,104,24,36</t>
  </si>
  <si>
    <t>1:421,80,120,501,4,4,502,4,4,517,4,4</t>
  </si>
  <si>
    <t>1:413,30,90,311,15,25,211,15,25</t>
  </si>
  <si>
    <t>1:253,45,75,714,30,50,501,2,2,502,2,2,517,2,2</t>
  </si>
  <si>
    <t>1:315,16,24,212,15,25,248,10,30,250,10,30,251,10,30</t>
  </si>
  <si>
    <t>1:323,45,75,410,15,25,434,20,20</t>
  </si>
  <si>
    <t>1:317,75,75,230,40,60</t>
  </si>
  <si>
    <t>1:257,60,100,313,15,25,306,15,25</t>
  </si>
  <si>
    <t>1:430,40,60,302,20,20,257,40,60</t>
  </si>
  <si>
    <t>1:215,30,70,409,15,25,501,6,6</t>
  </si>
  <si>
    <t>1:224,30,30,223,30,30,222,30,30,225,30,30,315,-60,-60</t>
  </si>
  <si>
    <t>1:212,30,50,103,30,50,501,2,2,502,2,2,517,2,2</t>
  </si>
  <si>
    <t>1:412,-8,-12,241,32,48,214,24,36,223,8,12,305,240,360,306,16,24</t>
  </si>
  <si>
    <t>1:402,24,36,403,16,24,421,48,72,407,32,48,401,24,36</t>
  </si>
  <si>
    <t>1:209,24,36,242,40,60,250,16,24,319,16,24</t>
  </si>
  <si>
    <t>1:207,24,36,241,32,48,103,16,24,317,12,18,223,6,9,300,24,36</t>
  </si>
  <si>
    <t>1:104,32,48,202,24,36,401,16,24,403,20,30</t>
  </si>
  <si>
    <t>1:103,24,36,205,8,12,409,8,12,315,8,12,310,120,180</t>
  </si>
  <si>
    <t>1:242,48,72,250,16,24,209,16,24,225,8,12</t>
  </si>
  <si>
    <t>1:209,32,48,225,12,18,315,8,12,232,12,18,103,16,24</t>
  </si>
  <si>
    <t>1:705,48,72,701,140,210,715,16,24,712,16,24,710,16,24</t>
  </si>
  <si>
    <t>1:205,12,18,315,10,15,426,1,1,415,8,12</t>
  </si>
  <si>
    <t>1:321,12,18,409,-6,-9,308,40,60,323,24,36,310,200,300</t>
  </si>
  <si>
    <t>1:208,32,48,248,24,36,224,8,12,217,12,18,318,12,18</t>
  </si>
  <si>
    <t>暴击率</t>
    <phoneticPr fontId="1" type="noConversion"/>
  </si>
  <si>
    <t>中文描述</t>
    <phoneticPr fontId="1" type="noConversion"/>
  </si>
  <si>
    <t>CHAR(10)</t>
  </si>
  <si>
    <t>火焰伤害提升（20%~30%）
灼烧对精英和首领的伤害提升（30%~50%）
每击杀一名灼烧中的敌人（25%~35%）概率回复1点生命</t>
  </si>
  <si>
    <t>智力+（10~20）
对灼烧中的敌人伤害提高（15%~30%）
击杀灼烧中的敌人时有（25%~35%）的几率触发 3 级的【召唤灰烬之灵】</t>
  </si>
  <si>
    <t>元素伤害提高 +{0}%
技能冷却缩减 {1}%
技能范围 +{2}%</t>
  </si>
  <si>
    <t>骷髅伤害+（30%~45%）
骷髅移动速度+（30%~45%）
骷髅上限+1</t>
  </si>
  <si>
    <t>混沌伤害提高（20%~30%）
中毒的持续时间+（20%~30%）
对中毒状态的敌人伤害提高（15%~25%）</t>
  </si>
  <si>
    <t>投射物数量 +{0}
投射物大小 +{1}%
投射物穿透 +1</t>
  </si>
  <si>
    <t>冰霜伤害+（15-25）
对冻结敌人的伤害+（20%~35%）
击败冻结状态的敌人时，（25%~35%）的几率触发【冰霜爆炸】</t>
  </si>
  <si>
    <t>暴击率+{0}%
对流血敌人造成的暴击伤害+40% 
武器攻击对流血敌人吸血+1</t>
  </si>
  <si>
    <t>武器攻击命中时有（25%~35%）的概率造成流血
对流血敌人造成的伤害+（30%~40%）
受到流血敌人的伤害减少（20%~30%）</t>
  </si>
  <si>
    <t>力量+{0}
敏捷+{1}
智力+{2}
元素伤害+{3}%
元素抗性+{4}%</t>
  </si>
  <si>
    <t>暴击率+（5%~15%）
暴击时有（35%-45%）的概率释放 5 级的【陨石术】
陨石术冷却时间减少（40%~50%）</t>
  </si>
  <si>
    <t>对满血敌人的暴击率提升（35%~50%）
暴击时，回复1点生命值
每次暴击可叠加一层[鲜血渴望]，每层提升（1%-5%）暴击伤害，持续5秒，最多叠加5层</t>
  </si>
  <si>
    <t>元素伤害提升（20%~30%）
你的元素伤害可以秒杀生命值低于（15%~30%）的敌人
每秒获得一层[元素汇聚]，每层提升（1%-5%）技能元素伤害，叠加到10层后会消耗层数，释放一次范围性的元素爆发</t>
  </si>
  <si>
    <t>暴击率+（5%~15%）
暴击时有（35%- 50% ）的几率造成流血
暴击时有 （35%- 50% ）的几率造成中毒</t>
  </si>
  <si>
    <t>敏捷+（20~30）
灼烧伤害提高（40%~60%）
流血伤害提高（40%~60%）</t>
  </si>
  <si>
    <t>攻击速度提升（20%-35%）
攻击无法被闪避
每次攻击有（15%~25%）几率提升2%攻击速度，最多叠加10层，持续5秒</t>
  </si>
  <si>
    <t>获得等同物理伤害（25%~35%）的混沌伤害
武器攻击造成的中毒伤害提升（50%~100%）
武器攻击命中后，有（1%~5%）几率让你中毒</t>
  </si>
  <si>
    <t>附加{0}闪电伤害
造成伤害时附加额外{1}%闪电伤害
攻击时30%概率触发【落雷】</t>
  </si>
  <si>
    <t>物理伤害提高{0}%
智力永远为0</t>
  </si>
  <si>
    <t>附加{0}冰霜伤害
武器攻击命中时，有30%的几率造成灼烧
灼烧伤害对冰缓敌人提高70%</t>
  </si>
  <si>
    <t>武器攻击命中时必定造成灼烧、冻结和感电中的一种
对异常状态敌人造成的物理伤害提升50%</t>
  </si>
  <si>
    <t>物理伤害+{0}%
暴击率+{1}%
流血伤害提高50%</t>
  </si>
  <si>
    <t>暴击率+（15%~25%）
近战攻击范围+50%
暴击时触发范围爆炸，对周围敌人造成（50%~100%）物理伤害</t>
  </si>
  <si>
    <t>冰霜伤害提升{0}%
击中冻结状态敌人时，触发【冰封碎片】</t>
  </si>
  <si>
    <t>力量+{0}
暴击伤害+{1}%
对精英和首领怪物的暴击率+40%</t>
  </si>
  <si>
    <t>武器攻击有 20% 的几率施加灼烧
武器攻击造成灼烧时，获得[狂暴]，持续2秒
自身火焰抗性减少{0}%
武器攻击有斩杀灼烧中生命低于20%敌人</t>
  </si>
  <si>
    <t>武器攻击有 20% 的几率施加冻结
武器攻击造成冻结时，获得[狂暴]，持续2秒
自身冰霜抗性减少（25%~35%）
有（15%~25%）几率斩杀冻结中的敌人</t>
  </si>
  <si>
    <t>近战伤害对流血的敌人提高 50%
武器攻击吸血+1
暴击无法吸血
暴击时有 30% 的几率致盲敌人
暴击时有 50% 的几率造成流血</t>
  </si>
  <si>
    <t>召唤生物的最大生命提高 (30–40)%
召唤物的持续时间延长 (50–100)%
召唤物的伤害提高 (30–40)%
+1 【召唤骷髅】数量上限</t>
  </si>
  <si>
    <t>自身元素抗性减少{0}%
元素伤害提升{1}%</t>
  </si>
  <si>
    <t>魔像的数量上限+1
魔像的攻击力+50%~100%</t>
  </si>
  <si>
    <t>暴击率+（8%~15%）
暴击伤害+（30%~50%）
弓类攻击发射 2 支额外箭矢</t>
  </si>
  <si>
    <t>武器攻击的物理伤害+（30%~50%）
武器攻击的元素伤害+（30%~50%）
武器攻击的投射物 连锁弹射+2</t>
  </si>
  <si>
    <t>敏捷+（10~20）
生命值+（30~50）
箭矢投射物贯穿所有目标</t>
  </si>
  <si>
    <t>图腾的生命提高 (20~40)%
每有 2 点敏捷， +1 【火力弩炮】召唤图腾数量上限
每 2 点敏捷可以提升1%物理伤害</t>
  </si>
  <si>
    <t>获得额外火焰伤害， 其数值等同于物理伤害的 （20%~30%）
武器攻击有（10%~15%）几率造成灼烧
每击杀一名灼烧中的敌人，（30%~50%）概率恢复1点生命值</t>
  </si>
  <si>
    <t>混沌伤害+（10~30）
攻击速度+（20%~30%）
每 2 点敏捷使召唤生物的伤害提高 （1%~3%）</t>
  </si>
  <si>
    <t>暴击伤害+（25%~40%）
近距离时，弓类攻击暴击率+（20%~35%）
近距离时，弓类攻击会击退敌人</t>
  </si>
  <si>
    <t>武器攻击暴击时，有（35%~50%）概率造成流血
武器攻击暴击时，有（35%~50%）概率造成瘫痪
对流血敌人造成的物理伤害提高（35%~50%）</t>
  </si>
  <si>
    <t>若你近期内没有施放过冲刺，则弓类攻击发射 2 枚额外箭矢
若你近期内没有施放过冲刺，则攻击速度加快 (20~30)%
若你近期施放过冲刺，则闪避值提高 (10~26)%
若你近期施放过冲刺，则移动速度加快 (20~30)%</t>
  </si>
  <si>
    <t>冰霜伤害+（25%~40%）
闪电伤害+（25%~40%）
对冻结敌人造成的伤害提高（25%~40%）
每击杀一名感电中的敌人，恢复（1~3）点护盾值</t>
  </si>
  <si>
    <t>格挡率+{0}%
格挡时恢复1点生命值</t>
  </si>
  <si>
    <t>图腾伤害+（25~40%）
召唤图腾数量上限+1
图腾护甲值+（200~300）</t>
  </si>
  <si>
    <t>图腾生命值+100
每存在一个图腾，你和图腾都获得每秒（0.2~0.5）的生命回复</t>
  </si>
  <si>
    <t>格挡率+{1}
格挡时对目标施加[冻结]</t>
  </si>
  <si>
    <t>荆棘+（10~20）
触发荆棘伤害时，向四周发射钢针</t>
  </si>
  <si>
    <t>护甲值+100
战吼的冷却缩减+（35%~50%）</t>
  </si>
  <si>
    <t>护盾值永远为0
每10点生命值获得（3~6）点火焰伤害</t>
  </si>
  <si>
    <t>元素抗性+（20%~30%）
生命值低于30%时，格挡率+（20%~30%）</t>
  </si>
  <si>
    <t>生命回复+2
生命值低于30%时，生命回复+5</t>
  </si>
  <si>
    <t>生命回复+2
火焰抗性+（20%~30%）
生命值低于30%时，火焰抗性+（25%~35%）
生命值低于30%时，移动速度+（25%~35%）</t>
  </si>
  <si>
    <t>护甲值+100
生命值+50
无法闪避
无法被眩晕和冻结</t>
  </si>
  <si>
    <t>力量 +{0}
敏捷 +{1}
智力 +{2}
暴击伤害 +{3}%
物理抗性 {4}%</t>
  </si>
  <si>
    <t>力量+{0}
敏捷+{1}
智力+{2}
火焰伤害+{3}%
冰霜伤害+{4}%
闪电伤害+{5}%
全元素抗性 {6}%</t>
  </si>
  <si>
    <t>敏捷+（10~20）
闪避率+（15%~25%）
生命值低于30%时，闪避率+（15%~25%）</t>
  </si>
  <si>
    <t>闪避率+（10%~20%）
移动速度+（20%~30%）
冲刺时释放5级[龙卷风]</t>
  </si>
  <si>
    <t>物品稀有度+（20%~30%）
元素抗性+（20%~30%）
重随次数+3</t>
  </si>
  <si>
    <t>冰霜抗性+(20~30)% 
无法被冰缓、减速</t>
  </si>
  <si>
    <t>荆棘+（8~14）
受到的物理伤害减少（10%~15%）</t>
  </si>
  <si>
    <t>命中率+（40%~60%）
闪避率+（10%~20%）
每1%命中率可以使投射物伤害提升1%</t>
  </si>
  <si>
    <t>能量护盾+50
诅咒的持续时间+（35~50%）
对诅咒中敌人造成的伤害+（20%~35%）</t>
  </si>
  <si>
    <t>力量+(10~20) 
经验值获取提高 （5%~10%）
所有元素抗性+10% 
元素伤害+ (10–20)%</t>
  </si>
  <si>
    <t>火焰抗性 +{0}% 
元素伤害 +{1}%
无法受到灼烧</t>
  </si>
  <si>
    <t>冰霜抗性+{0}% 
元素伤害 +{1}% 
无法受到冰缓、冻结</t>
  </si>
  <si>
    <t>对攻击者造成等同荆棘伤害的冰霜伤害
对攻击者造成等同荆棘伤害的火焰伤害
对攻击者造成等同荆棘伤害的闪电伤害</t>
  </si>
  <si>
    <t>力量+（10~20）
敏捷+（10~20）
护甲+（100~200）</t>
  </si>
  <si>
    <t>召唤物格挡率+（15%~25%）
召唤物格挡时，回复（5%~10%）生命值</t>
  </si>
  <si>
    <t>火焰抗性+(20~30)% 
冰霜抗性+(20~30)% 
闪电抗性+(20~30)% 
混沌抗性+(20~30)%</t>
  </si>
  <si>
    <t>生命值+（30~50）
静止时护甲+（200~300）</t>
  </si>
  <si>
    <t>能量护盾+（30~50）
每 1 点敏捷提升1%元素伤害提高 
每 1 点智力 +1 最大生命</t>
  </si>
  <si>
    <t>生命值+（30~50）
荆棘伤害+（100%~200%）</t>
  </si>
  <si>
    <t>物品稀有度+100% 
元素抗性减少（20%~30%）
移动速度减少（20%~30%）</t>
  </si>
  <si>
    <t>生命值+{0}</t>
  </si>
  <si>
    <t>敏捷+(10~20) 
闪避率提高 (10–20)%
满血时闪避率提高 +20%
满血时移动速度加快 30%</t>
  </si>
  <si>
    <t>若你近期内未被击中，则受到的伤害减少 （25~35%）
若你近期内被击中，则闪避率提高 （20%~30%）</t>
  </si>
  <si>
    <t>闪避率+25%
移动速度减慢 25%
每 1%闪避率提高 1% 移动速度</t>
  </si>
  <si>
    <t>护甲+{0}%</t>
  </si>
  <si>
    <t>火焰抗性+(50~75)% 
敌人灼烧的持续时间延长 (40~75)%
对自身造成（5~10）火焰伤害每秒
对周围敌人造成（20~40）火焰伤害每秒</t>
  </si>
  <si>
    <t>能量护盾+（30~60）
混沌抗性+50% 
（40%~50%） 的最大生命转化为能量护盾</t>
  </si>
  <si>
    <t>能量护盾+（20~40）
图腾的生命提高 (20~30)%
你的图腾死亡时使你回复1~2点生命值</t>
  </si>
  <si>
    <t>召唤物吸血+1
召唤物击中时有 15% 的几率使敌人致盲</t>
  </si>
  <si>
    <t>召唤生物的最大生命降低 20%
召唤生物的伤害提高 （15%~25%）
召唤生物获得额外混沌伤害，其数值等同于物理伤害的 (15~20)%</t>
  </si>
  <si>
    <t>能量护盾+（20~40）
能量护盾回复速度+（30%~40%）
受到的混沌伤害无法穿透能量护盾</t>
  </si>
  <si>
    <t>召唤物生命值的40%转化为能量护盾
召唤物的能量回盾回复速度+（30%~40%）</t>
  </si>
  <si>
    <t>力量 +{0}
智力 +{1}
冰霜抗性 +{2}% 
无法被冰缓
有20%的几率使攻击你的敌人冻结2秒</t>
  </si>
  <si>
    <t>最大能量护盾+(30~40) 
所有元素抗性+(14~18)%
每 2 点力量使最大能量护盾 +（1~2）</t>
  </si>
  <si>
    <t>若你近期内感电任意敌人，则伤害提高 (20~50)%
感电效果提高 (15~25)%
感电的敌人被你击败时会爆炸，造成敌人生命 5% 的闪电伤害</t>
  </si>
  <si>
    <t>陷阱冷却回复速度加快 (10–20)%
你的陷阱被敌人触发时回复 1 生命
你的陷阱被敌人触发时回复 2 能量护盾</t>
  </si>
  <si>
    <t>所有元素抗性+(9~12)%
技能效果区域扩大 (40–50)%
技能范围伤害提高 (40–50)%</t>
  </si>
  <si>
    <t>最大生命提高 (5–10)%
对冰缓敌人造成的伤害提升（25%~35%）
周围敌人被【冰缓】</t>
  </si>
  <si>
    <t>闪电抗性+(1~50)% 
移动速度加快 (1~40)%
敌人感电状态持续时间延长 (1~100)%</t>
  </si>
  <si>
    <t>图腾的生命提高 (20–30)%
移动速度+ 25%
图腾被击中时对周围敌人反射火焰伤害，等同它们 （50%~100%） 的最大生命</t>
  </si>
  <si>
    <t>移动速度+50%</t>
  </si>
  <si>
    <t>移动速度+ 20%
被攻击击中时，有 50% 的几率流血
流血状态下移动不再承受额外的伤害
流血时不会被中毒、冻结、眩晕
流血时移动速度加快 20%</t>
  </si>
  <si>
    <t>移动速度减少{0}%
生命值+{1}
无法被减速</t>
  </si>
  <si>
    <t>若你近期施放过冲刺，则闪避率提高 (10–16)%
若你近期施放过冲刺，则移动速度加快 (20–30)%</t>
  </si>
  <si>
    <t>当你击败 1 名灼烧中的敌人，对周围敌人造成相同的灼烧效果
每 2 点力量可使火焰伤害提高 1%
移动时生成火焰路径（造成火焰伤害），持续2秒</t>
  </si>
  <si>
    <t>敏捷+（10~20）
移动时每秒回复 1 点生命
每 2 点敏捷提高 1点最大生命值</t>
  </si>
  <si>
    <t>移动速度+15%
投掷陷阱后5秒内移动速度+（15%~20%）</t>
  </si>
  <si>
    <t>物品稀有度提高{0}%
火焰抗性+{1}%
移动速度+{2}%</t>
  </si>
  <si>
    <t>混沌抗性+(15~25)% 
你身上每层中毒效果都使伤害+ 15%，最大提升至 75%
你身上每层中毒效果都使移动速度+ 10%，最大 50%</t>
  </si>
  <si>
    <t>敏捷+（10~15）
智力+（10~15）
幸运+（10~15）
生命值低于30%时，物品稀有度+（50%~100%）</t>
  </si>
  <si>
    <t>智力+(10–20) 
移动速度+ 15%
满血时移动速度+ 20%</t>
  </si>
  <si>
    <t>在感电地面上的移动速度加快 （15~25%）
在燃烧地面上的伤害提高 （40%~50%）
在冰缓地面上每秒回复 （1~2）点 生命</t>
  </si>
  <si>
    <t>力量+（10~20）
敏捷+（10~20）
移动速度加快 20%
生命值低于50%时移动速度减慢 40%</t>
  </si>
  <si>
    <t>移动速度+30%
受到火焰伤害时，使自身获得灼烧
自身处于灼烧状态时，获得[狂暴]
无法被冰缓、冻结</t>
  </si>
  <si>
    <t>火焰抗性+(50~60)% 
移动速度加快 25%
武器攻击有 (10~15)% 的几率点燃
对灼烧的敌人造成伤害提高 (25~40)%</t>
  </si>
  <si>
    <t>闪电伤害+（20%~30%）
移动速度加快 （15%~20%）
移动时留下闪电路径（使敌人感电），持续 2 秒</t>
  </si>
  <si>
    <t>力量+（15~20）
攻击速度减少10%
箭矢投射物穿透+2
每2点力量提升1%投射物伤害</t>
  </si>
  <si>
    <t>近战攻击范围+25%
力量+（15~20）
近战武器攻击总能造成击退
击退距离+100%</t>
  </si>
  <si>
    <t>投射物速度+30%
投射物伤害+（30%~50%）
武器攻击有10%几率击退敌人
移动速度减少（10%~20%）</t>
  </si>
  <si>
    <t>生命值+（10~20）
命中率+（15%~20%）
每2%命中率提升1%暴击率</t>
  </si>
  <si>
    <t>幸运+（10~20）
拾取范围+（30%~50%）
物品稀有度+（20%~30%）
击杀精英怪和首领有10%几率额外掉落一个宝箱</t>
  </si>
  <si>
    <t>暴击率减少（10%~20%）
暴击伤害+（100%~150%）</t>
  </si>
  <si>
    <t>混沌伤害+（20%~30%）
武器攻击有（10%~20%）几率施加中毒
击杀中毒敌人时 召唤触手</t>
  </si>
  <si>
    <t>攻击有 25% 的几率导致流血
攻击伤害对流血的敌人提高 (25~40)%
击杀流血的敌人时产生爆炸，造成等同其 5% 最大生命的物理伤害</t>
  </si>
  <si>
    <t>每5点力量提高2点能量护盾
每5点智力提高1%闪避率
每5点敏捷提高2%物理伤害</t>
  </si>
  <si>
    <t>陷阱的技能范围+20%
陷阱被触发时，2秒内暴击率（+10%~20%）
陷阱被触发时，2秒内护盾回复+2</t>
  </si>
  <si>
    <t>敏捷+（15~20）
有（10%~20%）几率投掷2个额外陷阱
有（3%~6%）几率投掷4个额外陷阱</t>
  </si>
  <si>
    <t>击杀精英或者首领怪物时，使你的最大生命值+20
击杀精英或者首领怪物时，使你的攻击速度+（20%~30%）</t>
  </si>
  <si>
    <t>闪电伤害+30%
攻击速度+15%
感电效果提升100%</t>
  </si>
  <si>
    <t>武器攻击投射物伤害+50%
武器攻击投射物+3
武器攻击投射物变为环状投射物</t>
  </si>
  <si>
    <t>智力+(15–25) 
所有伤害+ 10%
能量护盾+(20~30) 
能量护盾回复速度提高 50%</t>
  </si>
  <si>
    <t>生命值+（20~30）
荆棘+（15~20）
每处于1种异常状态，获得1点生命回复</t>
  </si>
  <si>
    <t>力量+{0}
敏捷+{1}
生命值+{2}
对精英和首领怪物的武器攻击伤害+25%</t>
  </si>
  <si>
    <t>能量护盾上限+ (6~10)%
生命上限+ (6~10)%
你的召唤生物死亡时产生燃烧地面，每秒造成等同它们最大生命 20% 的火焰伤害
召唤生物的攻击击中有 5% 的几率瘫痪敌人</t>
  </si>
  <si>
    <t>生命+（20~30）
每隔5秒随机获得以下效果之一，持续5秒：
你造成的始终暴击
你受到的伤害始终为暴击
你闪避所有攻击
你无法闪避</t>
  </si>
  <si>
    <t>力量+{0}
敏捷+{1}
智力+{2}
所有伤害+{3}%
所有元素抗性+{4}%</t>
  </si>
  <si>
    <t>智力+（10~20）
能量护盾上限+（3%~6%）
生命上限+（3%~6%）</t>
  </si>
  <si>
    <t>武器攻击有 25% 的几率使目标中毒
中毒伤害提高 (30~50)%
你对敌人造成中毒时，也会对其造成冰缓</t>
  </si>
  <si>
    <t>武器攻击有 25% 的几率使目标流血
流血伤害提高 40%
你对敌人造成流血时，也会对其造成冰缓</t>
  </si>
  <si>
    <t>智力+（15~30）
你每装备一个传奇装备，智力+ 2%
击杀怪物有5%的几率额外掉落1个经验水晶</t>
  </si>
  <si>
    <t>敏捷+10
物品稀有度+（50%~70%)
所有元素抗性-20%</t>
  </si>
  <si>
    <t>生命值+{0}
物品稀有度+{1}%
火焰抗性+{2}%
冰霜抗性+{3}%
闪电抗性+{4}%</t>
  </si>
  <si>
    <t>力量+{0}
敏捷+{1}
智力+{2}
暴击伤害+{3}%
护甲+{4}
闪避率+{5}%
生命+{6}
能量护盾+{7}%
所有元素抗性+{8}%
攻击速度+{9}%</t>
  </si>
  <si>
    <t>闪电伤害+（20%~30%）
闪电伤害有（10%~15%）的几率使敌人感电
造成感电时，生成一个龙卷风（内置CD）</t>
  </si>
  <si>
    <t>敏捷+（15~20）
投射物伤害+25%
投射物归返
投射物轨迹不可预测（用闪电弹弹道逻辑）</t>
  </si>
  <si>
    <t>冰霜抗性+(30%~40% )
护盾回复速度+（20%~30%）
无法被冰缓
无法被冻结</t>
  </si>
  <si>
    <t>冰霜抗性+(25~35)% 
火焰抗性+(25~35)% 
冰霜伤害对灼烧敌人有（10%~20%）几率冻结
对冰缓敌人的灼烧伤害提高 (60~80)%</t>
  </si>
  <si>
    <t>冰霜伤害+（25%~35%）
你的冰霜伤害无法造成冻结
对冰缓敌人造成的冰霜伤害+（40%~60%）</t>
  </si>
  <si>
    <t>生命值低于50%时，移动速度+（5%~10%）
生命值低于50%时，混沌抗性+（20%~25%）
生命值低于50%时，幸运+（10~20）</t>
  </si>
  <si>
    <t>冰霜抗性+（20%~30%）
造成任意伤害都会使得敌人冰缓
受到任意伤害都会使你冰缓
冰缓敌人对你造成的伤害减少（15%~30%）</t>
  </si>
  <si>
    <t>火焰抗性+（20%~30%）
受到任意伤害都会使你被灼烧
被灼烧时攻击速度加快 (25%~40%)</t>
  </si>
  <si>
    <t>火焰伤害+（20%~30%）
灼烧的持续时间减少（50%~80%）
灼烧的伤害提升（30%~50%）</t>
  </si>
  <si>
    <t>生命回复+2
召唤物生命值+（15%~25%）
召唤物技能范围+（10%~20%）
召唤物死亡时，自身受到10点物理伤害</t>
  </si>
  <si>
    <t>能量护盾上限降低 25%
生命上限降低 25%
混沌抗性+(40~50)% 
获得额外混沌伤害，其数值等同于物理伤害的 (40~60)%</t>
  </si>
  <si>
    <t>暴击率+（10%~15%）
暴击时生成奉献（内置CD）
处于奉献地面上时，所有伤害+50%
处于奉献地面上时，格挡率+20%</t>
  </si>
  <si>
    <t>攻击速度+（10%~20%）
生命值+（20~30）
暴击时对敌人造成恐惧，持续4秒</t>
  </si>
  <si>
    <t>护盾回复速度+（20%~30%）
消灭敌人时触发5级 召唤腐化猎犬（内置CD）</t>
  </si>
  <si>
    <t>智力+{0}
闪电伤害+{1}%
闪电法术有100%概率对冻结敌人造成感电</t>
  </si>
  <si>
    <t>火焰伤害+{0}%
冰霜伤害+{1}%
被灼烧时所有伤害+30%
被冻结时护甲+500</t>
  </si>
  <si>
    <t>力量+（10~20）
生命+（20~40）
魔像召唤物每秒回复2%最大生命值</t>
  </si>
  <si>
    <t>获得装备槽的另一枚戒指的属性</t>
  </si>
  <si>
    <t>闪避率+（5%~15%）
闪避率每提高1%，造成的伤害提高1%</t>
  </si>
  <si>
    <t>护甲值+（50~100）
护甲值每提高10点，造成的伤害提高1%</t>
  </si>
  <si>
    <t>在白天时，全属性提升（20~30%）
在夜晚时，全属性降低（20~30%）</t>
  </si>
  <si>
    <t>在白天时，全属性降低（20~30%）
在夜晚时，全属性提升（20~30%）</t>
  </si>
  <si>
    <t>死亡时复活（每局仅可触发1次）</t>
  </si>
  <si>
    <t>生命值+{0}
生命回复速度+{1}%</t>
  </si>
  <si>
    <t>召唤魔像的数量上限+2
无法再拥有魔像之外的其他召唤物
魔像的伤害降低（35~45%）
魔像的生命降低（35~45%）</t>
  </si>
  <si>
    <t>投射物速度+ 30%
移动速度+ 10%
投射物伤害+ 30%</t>
  </si>
  <si>
    <t>敌人被冻结的持续时间延长 30%
冰霜伤害有 10% 的几率造成冻结
你造成的冻结会扩散给 1.5 米内的其他敌人
若你近期内有冻结敌人，则伤害提高 60%</t>
  </si>
  <si>
    <t>敏捷+（20~30）
暴击伤害+（25%~50%）
弓类攻击会秒杀生命值低于30%的小怪</t>
  </si>
  <si>
    <t xml:space="preserve">全属性+(10–20) 
最大生命+(20–30) 
所有元素抗性+(5–10)% </t>
  </si>
  <si>
    <t>火焰伤害+{0}%
火焰抗性+{1}%
周围敌人总被致盲</t>
  </si>
  <si>
    <t>物品稀有度提高 30%
混沌抗性+60% 
20% 的最大生命转化为能量护盾</t>
  </si>
  <si>
    <t>闪避率+ (10–15)%
所有元素抗性+(15~20)% 
投射物数量+2
投射物速度加快 (20~30)%</t>
  </si>
  <si>
    <t>能量护盾上限降低 50%
火焰抗性+(30~40)% 
冰霜抗性+(30~40)% 
近战攻击范围+20%
满血时近战伤害提高 60%</t>
  </si>
  <si>
    <t>物理伤害提高 (10–15)%
火焰伤害提高 (25–30)%
冰霜伤害提高 (20–25)%
闪电伤害提高 (15–20)%
混沌伤害提高 (30–35)%</t>
  </si>
  <si>
    <t>混沌抗性+25%
处于中毒状态时，每一层中毒都能使护盾值每秒恢复（3~5）点
你身上的中毒效果持续时间提升50%</t>
  </si>
  <si>
    <t>中文最终输出</t>
    <phoneticPr fontId="1" type="noConversion"/>
  </si>
  <si>
    <t>毒法杖</t>
    <phoneticPr fontId="1" type="noConversion"/>
  </si>
  <si>
    <t>骨魂法杖</t>
    <phoneticPr fontId="1" type="noConversion"/>
  </si>
  <si>
    <t>毒法杖</t>
  </si>
  <si>
    <t>骨魂法杖</t>
  </si>
  <si>
    <t>610006</t>
    <phoneticPr fontId="1" type="noConversion"/>
  </si>
  <si>
    <t>秘火阿诺
火系套装</t>
    <phoneticPr fontId="1" type="noConversion"/>
  </si>
  <si>
    <t>永燃树枝</t>
  </si>
  <si>
    <t>610019</t>
    <phoneticPr fontId="1" type="noConversion"/>
  </si>
  <si>
    <t>火焰王冠</t>
  </si>
  <si>
    <t>610020</t>
  </si>
  <si>
    <t>凤凰华服</t>
  </si>
  <si>
    <t>610021</t>
  </si>
  <si>
    <t>熔岩之握</t>
  </si>
  <si>
    <t>610022</t>
  </si>
  <si>
    <t>烈焰行走</t>
  </si>
  <si>
    <t>610023</t>
  </si>
  <si>
    <t>精灵火焰之束</t>
  </si>
  <si>
    <t>610024</t>
  </si>
  <si>
    <t>奔腾行者</t>
    <phoneticPr fontId="1" type="noConversion"/>
  </si>
  <si>
    <t>行者的平衡剑</t>
  </si>
  <si>
    <t>行者的平衡斧</t>
  </si>
  <si>
    <t>610028</t>
    <phoneticPr fontId="1" type="noConversion"/>
  </si>
  <si>
    <t>行者的护目镜</t>
  </si>
  <si>
    <t>610029</t>
  </si>
  <si>
    <t>行者的旅行服</t>
  </si>
  <si>
    <t>610030</t>
  </si>
  <si>
    <t>行者的腰缠</t>
  </si>
  <si>
    <t>610031</t>
  </si>
  <si>
    <t>行者的攀岩护手</t>
  </si>
  <si>
    <t>610032</t>
  </si>
  <si>
    <t>猎神门徒</t>
  </si>
  <si>
    <t>苍穹射手</t>
  </si>
  <si>
    <t>必中透镜</t>
  </si>
  <si>
    <t>伪装者大氅</t>
  </si>
  <si>
    <t>610038</t>
  </si>
  <si>
    <t>速射护臂</t>
  </si>
  <si>
    <t>610039</t>
  </si>
  <si>
    <t>逐风者缠足</t>
  </si>
  <si>
    <t>610040</t>
  </si>
  <si>
    <t>神狩扳指</t>
  </si>
  <si>
    <t>610041</t>
  </si>
  <si>
    <t>荒原生存者</t>
  </si>
  <si>
    <t>秃鹫之喙</t>
  </si>
  <si>
    <t>疤痕兽皮</t>
  </si>
  <si>
    <t>剥皮手套</t>
  </si>
  <si>
    <t>610047</t>
  </si>
  <si>
    <t>缠骨绑腿</t>
  </si>
  <si>
    <t>610048</t>
  </si>
  <si>
    <t>龙筋束腰</t>
  </si>
  <si>
    <t>610049</t>
  </si>
  <si>
    <t>兽齿护符</t>
  </si>
  <si>
    <t>610050</t>
  </si>
  <si>
    <t>混沌伟力</t>
  </si>
  <si>
    <t>混沌骨杖</t>
  </si>
  <si>
    <t>瘟疫面容</t>
  </si>
  <si>
    <t>黑寡妇长袍</t>
  </si>
  <si>
    <t>610056</t>
  </si>
  <si>
    <t>无尽腐败之链</t>
  </si>
  <si>
    <t>610057</t>
  </si>
  <si>
    <t>白骨之环</t>
  </si>
  <si>
    <t>610058</t>
  </si>
  <si>
    <t>奥西里斯之死</t>
  </si>
  <si>
    <t>610059</t>
  </si>
  <si>
    <t>死者永生</t>
  </si>
  <si>
    <t>御魂师</t>
    <phoneticPr fontId="1" type="noConversion"/>
  </si>
  <si>
    <t>灵魂统御</t>
  </si>
  <si>
    <t>不朽裹尸布</t>
  </si>
  <si>
    <t>610065</t>
  </si>
  <si>
    <t>墓穴编织者</t>
  </si>
  <si>
    <t>610066</t>
  </si>
  <si>
    <t>无尽奴役束带</t>
  </si>
  <si>
    <t>610067</t>
  </si>
  <si>
    <t>踏骨者</t>
  </si>
  <si>
    <t>610068</t>
  </si>
  <si>
    <t>秘火阿诺</t>
    <phoneticPr fontId="1" type="noConversion"/>
  </si>
  <si>
    <t>奔腾行者</t>
  </si>
  <si>
    <t>2,4,6</t>
  </si>
  <si>
    <t>610025,610026,610027</t>
    <phoneticPr fontId="1" type="noConversion"/>
  </si>
  <si>
    <t>610034,610035,610036</t>
    <phoneticPr fontId="1" type="noConversion"/>
  </si>
  <si>
    <t>610043,610044,610045</t>
    <phoneticPr fontId="1" type="noConversion"/>
  </si>
  <si>
    <t>610052,610053,610054</t>
    <phoneticPr fontId="1" type="noConversion"/>
  </si>
  <si>
    <t>610061,610062,610063</t>
    <phoneticPr fontId="1" type="noConversion"/>
  </si>
  <si>
    <t>610070,610071,610072</t>
    <phoneticPr fontId="1" type="noConversion"/>
  </si>
  <si>
    <t>610033</t>
  </si>
  <si>
    <t>610037</t>
    <phoneticPr fontId="1" type="noConversion"/>
  </si>
  <si>
    <t>610046</t>
    <phoneticPr fontId="1" type="noConversion"/>
  </si>
  <si>
    <t>610051</t>
  </si>
  <si>
    <t>610055</t>
    <phoneticPr fontId="1" type="noConversion"/>
  </si>
  <si>
    <t>610064</t>
    <phoneticPr fontId="1" type="noConversion"/>
  </si>
  <si>
    <t>610069</t>
  </si>
  <si>
    <t>1:241,10</t>
    <phoneticPr fontId="1" type="noConversion"/>
  </si>
  <si>
    <t>4:40016</t>
    <phoneticPr fontId="1" type="noConversion"/>
  </si>
  <si>
    <t>4:40017</t>
    <phoneticPr fontId="1" type="noConversion"/>
  </si>
  <si>
    <t>1:412,10</t>
    <phoneticPr fontId="1" type="noConversion"/>
  </si>
  <si>
    <t>2:41011</t>
    <phoneticPr fontId="1" type="noConversion"/>
  </si>
  <si>
    <t>2:41013</t>
    <phoneticPr fontId="1" type="noConversion"/>
  </si>
  <si>
    <t>4:40018</t>
    <phoneticPr fontId="1" type="noConversion"/>
  </si>
  <si>
    <t>4:40020</t>
    <phoneticPr fontId="1" type="noConversion"/>
  </si>
  <si>
    <t>4:40021</t>
    <phoneticPr fontId="1" type="noConversion"/>
  </si>
  <si>
    <t>2:41014;4:40019</t>
    <phoneticPr fontId="1" type="noConversion"/>
  </si>
  <si>
    <t>3:10009</t>
    <phoneticPr fontId="1" type="noConversion"/>
  </si>
  <si>
    <t>1:211,30,216,30</t>
    <phoneticPr fontId="1" type="noConversion"/>
  </si>
  <si>
    <t>3:10010</t>
    <phoneticPr fontId="1" type="noConversion"/>
  </si>
  <si>
    <t>1:702,30,721,30</t>
    <phoneticPr fontId="1" type="noConversion"/>
  </si>
  <si>
    <t>4:40022</t>
    <phoneticPr fontId="1" type="noConversion"/>
  </si>
  <si>
    <t>san值回复速度</t>
    <phoneticPr fontId="1" type="noConversion"/>
  </si>
  <si>
    <t>刷新次数</t>
  </si>
  <si>
    <t>刷新次数</t>
    <phoneticPr fontId="1" type="noConversion"/>
  </si>
  <si>
    <t>剔除次数</t>
  </si>
  <si>
    <t>剔除次数</t>
    <phoneticPr fontId="1" type="noConversion"/>
  </si>
  <si>
    <t>锁定次数</t>
  </si>
  <si>
    <t>锁定次数</t>
    <phoneticPr fontId="1" type="noConversion"/>
  </si>
  <si>
    <t xml:space="preserve">火焰伤害  + {1}
智力  + {2}
火焰伤害  + {3}%
火焰减抗  + {4}%
暴击率增幅  + 20%
刷新次数  + 2
</t>
  </si>
  <si>
    <t>1:101,10,15,102,10,15,103,10,15,220,10,15,305,50,100,311,10,15,300,10,20,307,15,30,315,5,10,217,5,10</t>
  </si>
  <si>
    <t>1:211,32,48,217,12,18,305,240,360,104,16,24,402,16,24</t>
  </si>
  <si>
    <t>1:212,15,25,409,20,30,414,20,30</t>
  </si>
  <si>
    <t>1:705,48,72,702,24,36,716,8,12,717,16,24,714,10,10</t>
  </si>
  <si>
    <t>1:232,24,36,250,30,30,409,10,10,209,24,36</t>
  </si>
  <si>
    <t>1:216,40,60,225,8,12,239,24,36,432,16,24</t>
  </si>
  <si>
    <t>1:206,16,24,213,16,24,222,4,6,404,1,1</t>
  </si>
  <si>
    <t>1:101,10,15,102,10,15,103,10,15,212,10,30,315,10,30</t>
  </si>
  <si>
    <t>1:215,16,24,224,4,6,217,16,24,208,16,24,238,10,10</t>
  </si>
  <si>
    <t>1:230,16,24,237,16,24,223,4,6,317,8,12,251,16,24</t>
  </si>
  <si>
    <t>1:208,10,20,238,15,40;3:10001</t>
  </si>
  <si>
    <t>1:211,48,72,227,16,24,300,64,96,430,20,20,217,-20,-20,412,-20,-20</t>
  </si>
  <si>
    <t>1:101,10,20,220,35,50;4:40006</t>
  </si>
  <si>
    <t>4:40007,40008,40009;1:317,-35,-25</t>
  </si>
  <si>
    <t>1:315,-70,-50,212,200,300</t>
  </si>
  <si>
    <t>1:702,16,24,719,4,6,706,40,40,707,40,40,708,40,40</t>
  </si>
  <si>
    <t>1:215,24,36,409,15,25,407,32,48,404,1,1,231,8,12</t>
  </si>
  <si>
    <t>1:217,24,36,405,1,1,404,1,1,211,8,12,227,8,12</t>
  </si>
  <si>
    <t>1:204,24,36,211,30,50,217,24,36,102,15,25</t>
  </si>
  <si>
    <t>1:230,24,36,237,24,36,223,12,18,241,21,39</t>
  </si>
  <si>
    <t>1:206,24,36,208,24,36,212,12,18,217,16,24,243,15,25,248,15,25</t>
  </si>
  <si>
    <t>4:40004,40005</t>
  </si>
  <si>
    <t>1:404,1,2,434,30,45,405,1,1</t>
  </si>
  <si>
    <t>1:421,80,120,402,16,24,412,8,12,257,12,18,220,24,36</t>
  </si>
  <si>
    <t>1:215,24,36,243,16,24,248,24,36,318,20,30,257,12,18</t>
  </si>
  <si>
    <t>1:208,24,36,257,16,24,224,8,12,248,32,48</t>
  </si>
  <si>
    <t>1:300,100,120</t>
    <phoneticPr fontId="1" type="noConversion"/>
  </si>
  <si>
    <t>任务合成</t>
    <phoneticPr fontId="1" type="noConversion"/>
  </si>
  <si>
    <t>1:428,200,200,421,60,60,401,16,24,403,16,24,330,20,20,510,20,20</t>
  </si>
  <si>
    <t>3:10007,10012</t>
    <phoneticPr fontId="1" type="noConversion"/>
  </si>
  <si>
    <t>10111</t>
    <phoneticPr fontId="1" type="noConversion"/>
  </si>
  <si>
    <t>10210</t>
    <phoneticPr fontId="1" type="noConversion"/>
  </si>
  <si>
    <t>10405</t>
    <phoneticPr fontId="1" type="noConversion"/>
  </si>
  <si>
    <t>10918</t>
    <phoneticPr fontId="1" type="noConversion"/>
  </si>
  <si>
    <t>10910</t>
    <phoneticPr fontId="1" type="noConversion"/>
  </si>
  <si>
    <t>10909</t>
    <phoneticPr fontId="1" type="noConversion"/>
  </si>
  <si>
    <t>11004</t>
    <phoneticPr fontId="1" type="noConversion"/>
  </si>
  <si>
    <t>233:3;234:9;219:10</t>
  </si>
  <si>
    <t>233:3;234:10;219:5</t>
  </si>
  <si>
    <t>233:3;234:5;219:8</t>
  </si>
  <si>
    <t>233:6;234:13;219:15</t>
  </si>
  <si>
    <t>233:6;234:15;219:20</t>
  </si>
  <si>
    <t>233:4;234:20;219:12</t>
  </si>
  <si>
    <t>233:5;234:10;219:15</t>
  </si>
  <si>
    <t>233:6;234:12;219:20</t>
  </si>
  <si>
    <t>233:8;234:15;219:15</t>
  </si>
  <si>
    <t>233:5;234:10;219:8</t>
  </si>
  <si>
    <t>233:4;234:12;219:10</t>
  </si>
  <si>
    <t>233:4;234:13;219:5</t>
  </si>
  <si>
    <t>233:4;234:6;219:8</t>
  </si>
  <si>
    <t>233:8;234:18;219:15</t>
  </si>
  <si>
    <t>233:8;234:21;219:20</t>
  </si>
  <si>
    <t>233:6;234:29;219:12</t>
  </si>
  <si>
    <t>233:7;234:14;219:15</t>
  </si>
  <si>
    <t>233:8;234:17;219:20</t>
  </si>
  <si>
    <t>233:11;234:21;219:15</t>
  </si>
  <si>
    <t>233:7;234:14;219:8</t>
  </si>
  <si>
    <t>233:5;234:15;219:10</t>
  </si>
  <si>
    <t>233:5;234:17;219:5</t>
  </si>
  <si>
    <t>233:5;234:8;219:8</t>
  </si>
  <si>
    <t>233:11;234:25;219:15</t>
  </si>
  <si>
    <t>233:12;234:29;219:20</t>
  </si>
  <si>
    <t>233:8;234:41;219:12</t>
  </si>
  <si>
    <t>233:9;234:19;219:15</t>
  </si>
  <si>
    <t>233:12;234:24;219:20</t>
  </si>
  <si>
    <t>233:16;234:30;219:15</t>
  </si>
  <si>
    <t>233:9;234:18;219:8</t>
  </si>
  <si>
    <t>233:7;234:20;219:10</t>
  </si>
  <si>
    <t>233:7;234:22;219:5</t>
  </si>
  <si>
    <t>233:6;234:10;219:8</t>
  </si>
  <si>
    <t>233:16;234:34;219:15</t>
  </si>
  <si>
    <t>233:16;234:41;219:20</t>
  </si>
  <si>
    <t>233:12;234:58;219:12</t>
  </si>
  <si>
    <t>233:13;234:26;219:15</t>
  </si>
  <si>
    <t>233:17;234:34;219:20</t>
  </si>
  <si>
    <t>233:23;234:42;219:15</t>
  </si>
  <si>
    <t>233:18;234:36;219:15</t>
  </si>
  <si>
    <t>233:11;234:23;219:8</t>
  </si>
  <si>
    <t>233:7;234:12;219:8</t>
  </si>
  <si>
    <t>233:9;234:26;219:10</t>
  </si>
  <si>
    <t>233:23;234:58;219:20</t>
  </si>
  <si>
    <t>233:21;234:46;219:15</t>
  </si>
  <si>
    <t>233:32;234:60;219:15</t>
  </si>
  <si>
    <t>233:24;234:48;219:20</t>
  </si>
  <si>
    <t>233:4;234:8;219:8</t>
    <phoneticPr fontId="1" type="noConversion"/>
  </si>
  <si>
    <t>3:10008,10013</t>
    <phoneticPr fontId="1" type="noConversion"/>
  </si>
  <si>
    <t>233:5;234:10;219:6</t>
    <phoneticPr fontId="1" type="noConversion"/>
  </si>
  <si>
    <t>233:5;234:10;219:11</t>
    <phoneticPr fontId="1" type="noConversion"/>
  </si>
  <si>
    <t>233:7;234:14;219:6</t>
    <phoneticPr fontId="1" type="noConversion"/>
  </si>
  <si>
    <t>233:7;234:14;219:11</t>
    <phoneticPr fontId="1" type="noConversion"/>
  </si>
  <si>
    <t>233:9;234:19;219:11</t>
    <phoneticPr fontId="1" type="noConversion"/>
  </si>
  <si>
    <t>233:9;234:19;219:6</t>
    <phoneticPr fontId="1" type="noConversion"/>
  </si>
  <si>
    <t>233:13;234:26;219:6</t>
    <phoneticPr fontId="1" type="noConversion"/>
  </si>
  <si>
    <t>233:13;234:26;219:11</t>
    <phoneticPr fontId="1" type="noConversion"/>
  </si>
  <si>
    <t>3:10011,10014</t>
    <phoneticPr fontId="1" type="noConversion"/>
  </si>
  <si>
    <t>任务投放</t>
    <phoneticPr fontId="1" type="noConversion"/>
  </si>
  <si>
    <t>610042</t>
    <phoneticPr fontId="1" type="noConversion"/>
  </si>
  <si>
    <t>610060</t>
    <phoneticPr fontId="1" type="noConversion"/>
  </si>
  <si>
    <t>专属掉落地图</t>
    <phoneticPr fontId="1" type="noConversion"/>
  </si>
  <si>
    <t>雷</t>
    <phoneticPr fontId="1" type="noConversion"/>
  </si>
  <si>
    <t>腐</t>
    <phoneticPr fontId="1" type="noConversion"/>
  </si>
  <si>
    <t>冰</t>
    <phoneticPr fontId="1" type="noConversion"/>
  </si>
  <si>
    <t>炎</t>
    <phoneticPr fontId="1" type="noConversion"/>
  </si>
  <si>
    <t>死</t>
    <phoneticPr fontId="1" type="noConversion"/>
  </si>
  <si>
    <t>暮光之斧</t>
  </si>
  <si>
    <t>碎冰锤</t>
  </si>
  <si>
    <t>摧残之镰</t>
  </si>
  <si>
    <t>星辰追猎者</t>
  </si>
  <si>
    <t>闪电风暴</t>
  </si>
  <si>
    <t>疾风掠影</t>
  </si>
  <si>
    <t>暗影疾靴</t>
  </si>
  <si>
    <t>银河足迹</t>
  </si>
  <si>
    <t>战争步伐</t>
  </si>
  <si>
    <t>炎铠战靴</t>
  </si>
  <si>
    <t>雷霆幻影</t>
  </si>
  <si>
    <t>瘟疫手套</t>
  </si>
  <si>
    <t>王者守护</t>
  </si>
  <si>
    <t>生命圣徽</t>
  </si>
  <si>
    <t>太阳圣徽</t>
  </si>
  <si>
    <t>凛风之息</t>
  </si>
  <si>
    <t>第2幕专属暗金</t>
    <phoneticPr fontId="1" type="noConversion"/>
  </si>
  <si>
    <t>第1幕专属暗金</t>
    <phoneticPr fontId="1" type="noConversion"/>
  </si>
  <si>
    <t>第3幕专属暗金</t>
  </si>
  <si>
    <t>第4幕专属暗金</t>
  </si>
  <si>
    <t>第5幕专属暗金</t>
  </si>
  <si>
    <t>通用暗金包</t>
    <phoneticPr fontId="1" type="noConversion"/>
  </si>
  <si>
    <t>最终暗金包</t>
    <phoneticPr fontId="1" type="noConversion"/>
  </si>
  <si>
    <t>荆棘王冠</t>
  </si>
  <si>
    <t>玫瑰藤甲</t>
  </si>
  <si>
    <t>黑暗学者的知识兜帽</t>
  </si>
  <si>
    <t>黑暗学者的暮色长袍</t>
  </si>
  <si>
    <t>黑暗学者的星辰足迹</t>
  </si>
  <si>
    <t>幽魂宝冠</t>
  </si>
  <si>
    <t>古墓守护胸甲</t>
  </si>
  <si>
    <t>掘墓者之靴</t>
  </si>
  <si>
    <t>缠腰钱串</t>
  </si>
  <si>
    <t>窃贼之手</t>
  </si>
  <si>
    <t>寻宝指环</t>
  </si>
  <si>
    <t>荆棘之王的非难</t>
    <phoneticPr fontId="1" type="noConversion"/>
  </si>
  <si>
    <t>黑暗学者</t>
    <phoneticPr fontId="1" type="noConversion"/>
  </si>
  <si>
    <t>盗墓者的遗志</t>
    <phoneticPr fontId="1" type="noConversion"/>
  </si>
  <si>
    <t>盗宝地精之赐</t>
    <phoneticPr fontId="1" type="noConversion"/>
  </si>
  <si>
    <t>1:413,100</t>
    <phoneticPr fontId="1" type="noConversion"/>
  </si>
  <si>
    <t>1:401,50</t>
    <phoneticPr fontId="1" type="noConversion"/>
  </si>
  <si>
    <t>1:403,50</t>
    <phoneticPr fontId="1" type="noConversion"/>
  </si>
  <si>
    <t>法杖</t>
    <phoneticPr fontId="1" type="noConversion"/>
  </si>
  <si>
    <t>单手斧</t>
    <phoneticPr fontId="1" type="noConversion"/>
  </si>
  <si>
    <t>弓</t>
    <phoneticPr fontId="1" type="noConversion"/>
  </si>
  <si>
    <t>233:15;234:30;219:18</t>
  </si>
  <si>
    <t>305:145</t>
  </si>
  <si>
    <t>305:235</t>
  </si>
  <si>
    <t>233:17;234:38;219:18</t>
  </si>
  <si>
    <t>233:9;234:19;219:12</t>
  </si>
  <si>
    <t>233:8;234:22;219:12</t>
  </si>
  <si>
    <t>233:20;234:40;219:18</t>
  </si>
  <si>
    <t>305:118</t>
  </si>
  <si>
    <t>305:292</t>
  </si>
  <si>
    <t>305:196</t>
  </si>
  <si>
    <t>305:175</t>
  </si>
  <si>
    <t>305:350</t>
  </si>
  <si>
    <t>远程</t>
    <phoneticPr fontId="1" type="noConversion"/>
  </si>
  <si>
    <t>战士</t>
    <phoneticPr fontId="1" type="noConversion"/>
  </si>
  <si>
    <t>双手</t>
    <phoneticPr fontId="1" type="noConversion"/>
  </si>
  <si>
    <t>305:420</t>
  </si>
  <si>
    <t>概率重置冲刺CD</t>
  </si>
  <si>
    <t>先祖屠刀</t>
    <phoneticPr fontId="1" type="noConversion"/>
  </si>
  <si>
    <t xml:space="preserve">亡魂战铠  </t>
    <phoneticPr fontId="1" type="noConversion"/>
  </si>
  <si>
    <t>攻击力</t>
    <phoneticPr fontId="1" type="noConversion"/>
  </si>
  <si>
    <t>暴击几率%</t>
    <phoneticPr fontId="1" type="noConversion"/>
  </si>
  <si>
    <t>暴击伤害%</t>
    <phoneticPr fontId="1" type="noConversion"/>
  </si>
  <si>
    <t>1:409,12,18,416,8,12,407,32,48,401,16,24,219,12,18</t>
  </si>
  <si>
    <t>1:214,16,24,241,16,24,215,16,24,243,16,24,213,24,36,252,16,24</t>
  </si>
  <si>
    <t>1:207,24,36,208,24,36,206,16,24,101,16,24,102,12,18,103,16,24</t>
  </si>
  <si>
    <t>1:229,24,36,230,24,36,231,24,36,321,6,9,409,6,9</t>
  </si>
  <si>
    <t>1:207,24,36,215,24,36,213,24,36,409,8,12</t>
  </si>
  <si>
    <t>1:211,24,36,217,24,36,101,16,24,201,4,6,219,8,12</t>
  </si>
  <si>
    <t>卡恩的求知法杖</t>
    <phoneticPr fontId="1" type="noConversion"/>
  </si>
  <si>
    <t>混沌抗性+25%
处于中毒状态时，每一层中毒都能使护盾值每秒恢复（3~5）点
你身上的中毒效果持续时间提升51%</t>
  </si>
  <si>
    <t>混沌抗性+25%
处于中毒状态时，每一层中毒都能使护盾值每秒恢复（3~5）点
你身上的中毒效果持续时间提升52%</t>
  </si>
  <si>
    <t>混沌抗性+25%
处于中毒状态时，每一层中毒都能使护盾值每秒恢复（3~5）点
你身上的中毒效果持续时间提升53%</t>
  </si>
  <si>
    <t>混沌抗性+25%
处于中毒状态时，每一层中毒都能使护盾值每秒恢复（3~5）点
你身上的中毒效果持续时间提升54%</t>
  </si>
  <si>
    <t>混沌抗性+25%
处于中毒状态时，每一层中毒都能使护盾值每秒恢复（3~5）点
你身上的中毒效果持续时间提升55%</t>
  </si>
  <si>
    <t>混沌抗性+25%
处于中毒状态时，每一层中毒都能使护盾值每秒恢复（3~5）点
你身上的中毒效果持续时间提升56%</t>
  </si>
  <si>
    <t>混沌抗性+25%
处于中毒状态时，每一层中毒都能使护盾值每秒恢复（3~5）点
你身上的中毒效果持续时间提升57%</t>
  </si>
  <si>
    <t>混沌抗性+25%
处于中毒状态时，每一层中毒都能使护盾值每秒恢复（3~5）点
你身上的中毒效果持续时间提升58%</t>
  </si>
  <si>
    <t>混沌抗性+25%
处于中毒状态时，每一层中毒都能使护盾值每秒恢复（3~5）点
你身上的中毒效果持续时间提升59%</t>
  </si>
  <si>
    <t>610011</t>
    <phoneticPr fontId="1" type="noConversion"/>
  </si>
  <si>
    <t>蛮子套装
先祖庇护
基础型
续航战士</t>
    <phoneticPr fontId="1" type="noConversion"/>
  </si>
  <si>
    <t>法师套装
马卡多的教诲
基础型
法师异常</t>
    <phoneticPr fontId="1" type="noConversion"/>
  </si>
  <si>
    <t>召唤物生命值</t>
    <phoneticPr fontId="1" type="noConversion"/>
  </si>
  <si>
    <t>生命回复%</t>
    <phoneticPr fontId="1" type="noConversion"/>
  </si>
  <si>
    <t>混沌伤害%</t>
    <phoneticPr fontId="1" type="noConversion"/>
  </si>
  <si>
    <t>混沌抗性%</t>
    <phoneticPr fontId="1" type="noConversion"/>
  </si>
  <si>
    <t>持续性伤害%</t>
    <phoneticPr fontId="1" type="noConversion"/>
  </si>
  <si>
    <t>物品掉落数量%</t>
    <phoneticPr fontId="1" type="noConversion"/>
  </si>
  <si>
    <t>混沌抗性+25%
处于中毒状态时，每一层中毒都能使护盾值每秒恢复（3~5）点
你身上的中毒效果持续时间提升60%</t>
  </si>
  <si>
    <t>混沌抗性+25%
处于中毒状态时，每一层中毒都能使护盾值每秒恢复（3~5）点
你身上的中毒效果持续时间提升61%</t>
  </si>
  <si>
    <t>混沌抗性+25%
处于中毒状态时，每一层中毒都能使护盾值每秒恢复（3~5）点
你身上的中毒效果持续时间提升62%</t>
  </si>
  <si>
    <t>混沌抗性+25%
处于中毒状态时，每一层中毒都能使护盾值每秒恢复（3~5）点
你身上的中毒效果持续时间提升63%</t>
  </si>
  <si>
    <t>混沌抗性+25%
处于中毒状态时，每一层中毒都能使护盾值每秒恢复（3~5）点
你身上的中毒效果持续时间提升64%</t>
  </si>
  <si>
    <t>混沌抗性+25%
处于中毒状态时，每一层中毒都能使护盾值每秒恢复（3~5）点
你身上的中毒效果持续时间提升65%</t>
  </si>
  <si>
    <t>混沌抗性+25%
处于中毒状态时，每一层中毒都能使护盾值每秒恢复（3~5）点
你身上的中毒效果持续时间提升66%</t>
  </si>
  <si>
    <t>混沌抗性+25%
处于中毒状态时，每一层中毒都能使护盾值每秒恢复（3~5）点
你身上的中毒效果持续时间提升67%</t>
  </si>
  <si>
    <t>混沌抗性+25%
处于中毒状态时，每一层中毒都能使护盾值每秒恢复（3~5）点
你身上的中毒效果持续时间提升68%</t>
  </si>
  <si>
    <t>混沌抗性+25%
处于中毒状态时，每一层中毒都能使护盾值每秒恢复（3~5）点
你身上的中毒效果持续时间提升69%</t>
  </si>
  <si>
    <t>混沌抗性+25%
处于中毒状态时，每一层中毒都能使护盾值每秒恢复（3~5）点
你身上的中毒效果持续时间提升70%</t>
  </si>
  <si>
    <t>混沌抗性+25%
处于中毒状态时，每一层中毒都能使护盾值每秒恢复（3~5）点
你身上的中毒效果持续时间提升71%</t>
  </si>
  <si>
    <t>混沌抗性+25%
处于中毒状态时，每一层中毒都能使护盾值每秒恢复（3~5）点
你身上的中毒效果持续时间提升72%</t>
  </si>
  <si>
    <t>混沌抗性+25%
处于中毒状态时，每一层中毒都能使护盾值每秒恢复（3~5）点
你身上的中毒效果持续时间提升73%</t>
  </si>
  <si>
    <t>混沌抗性+25%
处于中毒状态时，每一层中毒都能使护盾值每秒恢复（3~5）点
你身上的中毒效果持续时间提升74%</t>
  </si>
  <si>
    <t>混沌抗性+25%
处于中毒状态时，每一层中毒都能使护盾值每秒恢复（3~5）点
你身上的中毒效果持续时间提升75%</t>
  </si>
  <si>
    <t>混沌抗性+25%
处于中毒状态时，每一层中毒都能使护盾值每秒恢复（3~5）点
你身上的中毒效果持续时间提升76%</t>
  </si>
  <si>
    <t>混沌抗性+25%
处于中毒状态时，每一层中毒都能使护盾值每秒恢复（3~5）点
你身上的中毒效果持续时间提升77%</t>
  </si>
  <si>
    <t>混沌抗性+25%
处于中毒状态时，每一层中毒都能使护盾值每秒恢复（3~5）点
你身上的中毒效果持续时间提升78%</t>
  </si>
  <si>
    <t>混沌抗性+25%
处于中毒状态时，每一层中毒都能使护盾值每秒恢复（3~5）点
你身上的中毒效果持续时间提升79%</t>
  </si>
  <si>
    <t>混沌抗性+25%
处于中毒状态时，每一层中毒都能使护盾值每秒恢复（3~5）点
你身上的中毒效果持续时间提升80%</t>
  </si>
  <si>
    <t>混沌抗性+25%
处于中毒状态时，每一层中毒都能使护盾值每秒恢复（3~5）点
你身上的中毒效果持续时间提升81%</t>
  </si>
  <si>
    <t>混沌抗性+25%
处于中毒状态时，每一层中毒都能使护盾值每秒恢复（3~5）点
你身上的中毒效果持续时间提升82%</t>
  </si>
  <si>
    <t>混沌抗性+25%
处于中毒状态时，每一层中毒都能使护盾值每秒恢复（3~5）点
你身上的中毒效果持续时间提升83%</t>
  </si>
  <si>
    <t>混沌抗性+25%
处于中毒状态时，每一层中毒都能使护盾值每秒恢复（3~5）点
你身上的中毒效果持续时间提升84%</t>
  </si>
  <si>
    <t>混沌抗性+25%
处于中毒状态时，每一层中毒都能使护盾值每秒恢复（3~5）点
你身上的中毒效果持续时间提升85%</t>
  </si>
  <si>
    <t>混沌抗性+25%
处于中毒状态时，每一层中毒都能使护盾值每秒恢复（3~5）点
你身上的中毒效果持续时间提升86%</t>
  </si>
  <si>
    <t>混沌抗性+25%
处于中毒状态时，每一层中毒都能使护盾值每秒恢复（3~5）点
你身上的中毒效果持续时间提升87%</t>
  </si>
  <si>
    <t>混沌抗性+25%
处于中毒状态时，每一层中毒都能使护盾值每秒恢复（3~5）点
你身上的中毒效果持续时间提升88%</t>
  </si>
  <si>
    <t>混沌抗性+25%
处于中毒状态时，每一层中毒都能使护盾值每秒恢复（3~5）点
你身上的中毒效果持续时间提升89%</t>
  </si>
  <si>
    <t>混沌抗性+25%
处于中毒状态时，每一层中毒都能使护盾值每秒恢复（3~5）点
你身上的中毒效果持续时间提升90%</t>
  </si>
  <si>
    <t>混沌抗性+25%
处于中毒状态时，每一层中毒都能使护盾值每秒恢复（3~5）点
你身上的中毒效果持续时间提升91%</t>
  </si>
  <si>
    <t>混沌抗性+25%
处于中毒状态时，每一层中毒都能使护盾值每秒恢复（3~5）点
你身上的中毒效果持续时间提升92%</t>
  </si>
  <si>
    <t>混沌抗性+25%
处于中毒状态时，每一层中毒都能使护盾值每秒恢复（3~5）点
你身上的中毒效果持续时间提升93%</t>
  </si>
  <si>
    <t>混沌抗性+25%
处于中毒状态时，每一层中毒都能使护盾值每秒恢复（3~5）点
你身上的中毒效果持续时间提升94%</t>
  </si>
  <si>
    <t>混沌抗性+25%
处于中毒状态时，每一层中毒都能使护盾值每秒恢复（3~5）点
你身上的中毒效果持续时间提升95%</t>
  </si>
  <si>
    <t>混沌抗性+25%
处于中毒状态时，每一层中毒都能使护盾值每秒恢复（3~5）点
你身上的中毒效果持续时间提升96%</t>
  </si>
  <si>
    <t>混沌抗性+25%
处于中毒状态时，每一层中毒都能使护盾值每秒恢复（3~5）点
你身上的中毒效果持续时间提升97%</t>
  </si>
  <si>
    <t>混沌抗性+25%
处于中毒状态时，每一层中毒都能使护盾值每秒恢复（3~5）点
你身上的中毒效果持续时间提升98%</t>
  </si>
  <si>
    <t>混沌抗性+25%
处于中毒状态时，每一层中毒都能使护盾值每秒恢复（3~5）点
你身上的中毒效果持续时间提升99%</t>
  </si>
  <si>
    <t>混沌抗性+25%
处于中毒状态时，每一层中毒都能使护盾值每秒恢复（3~5）点
你身上的中毒效果持续时间提升100%</t>
  </si>
  <si>
    <t>混沌抗性+25%
处于中毒状态时，每一层中毒都能使护盾值每秒恢复（3~5）点
你身上的中毒效果持续时间提升101%</t>
  </si>
  <si>
    <t>混沌抗性+25%
处于中毒状态时，每一层中毒都能使护盾值每秒恢复（3~5）点
你身上的中毒效果持续时间提升102%</t>
  </si>
  <si>
    <t>混沌抗性+25%
处于中毒状态时，每一层中毒都能使护盾值每秒恢复（3~5）点
你身上的中毒效果持续时间提升103%</t>
  </si>
  <si>
    <t>混沌抗性+25%
处于中毒状态时，每一层中毒都能使护盾值每秒恢复（3~5）点
你身上的中毒效果持续时间提升104%</t>
  </si>
  <si>
    <t>混沌抗性+25%
处于中毒状态时，每一层中毒都能使护盾值每秒恢复（3~5）点
你身上的中毒效果持续时间提升105%</t>
  </si>
  <si>
    <t>混沌抗性+25%
处于中毒状态时，每一层中毒都能使护盾值每秒恢复（3~5）点
你身上的中毒效果持续时间提升106%</t>
  </si>
  <si>
    <t>混沌抗性+25%
处于中毒状态时，每一层中毒都能使护盾值每秒恢复（3~5）点
你身上的中毒效果持续时间提升107%</t>
  </si>
  <si>
    <t>混沌抗性+25%
处于中毒状态时，每一层中毒都能使护盾值每秒恢复（3~5）点
你身上的中毒效果持续时间提升108%</t>
  </si>
  <si>
    <t>混沌抗性+25%
处于中毒状态时，每一层中毒都能使护盾值每秒恢复（3~5）点
你身上的中毒效果持续时间提升109%</t>
  </si>
  <si>
    <t>混沌抗性+25%
处于中毒状态时，每一层中毒都能使护盾值每秒恢复（3~5）点
你身上的中毒效果持续时间提升110%</t>
  </si>
  <si>
    <t>1:103,24,36,207,16,24,223,8,12,401,16,24,321,4,6</t>
  </si>
  <si>
    <t>1:237,24,36,207,32,48,409,8,12</t>
  </si>
  <si>
    <t>1:315,8,12,317,24,36,308,16,24,207,12,18</t>
  </si>
  <si>
    <t>1:330,16,24,401,16,24,410,8,12,428,32,48</t>
  </si>
  <si>
    <t>1:217,24,36,201,8,12,219,16,24,226,16,24,227,8,12</t>
  </si>
  <si>
    <t>1:701,120,180,407,48,72,401,16,24</t>
  </si>
  <si>
    <t>305:88</t>
    <phoneticPr fontId="1" type="noConversion"/>
  </si>
  <si>
    <t>305:175</t>
    <phoneticPr fontId="1" type="noConversion"/>
  </si>
  <si>
    <t>1:103,32,48,202,24,36,212,8,12</t>
  </si>
  <si>
    <t>1:302,24,36,402,24,36,403,16,24,101,16,24</t>
  </si>
  <si>
    <t>1:421,64,96,226,40,60,402,16,24</t>
  </si>
  <si>
    <t>610006</t>
  </si>
  <si>
    <t>610010</t>
  </si>
  <si>
    <t>610011</t>
  </si>
  <si>
    <t>610019</t>
  </si>
  <si>
    <t>610028</t>
  </si>
  <si>
    <t>610037</t>
  </si>
  <si>
    <t>610042</t>
  </si>
  <si>
    <t>610046</t>
  </si>
  <si>
    <t>610055</t>
  </si>
  <si>
    <t>610060</t>
  </si>
  <si>
    <t>610064</t>
  </si>
  <si>
    <t>寻宝指环</t>
    <phoneticPr fontId="1" type="noConversion"/>
  </si>
  <si>
    <t>1:219,16,24,214,40,60,241,16,24,251,16,24,219,16,24</t>
  </si>
  <si>
    <t>1:219,16,24,220,48,72,226,16,24</t>
  </si>
  <si>
    <t>5309</t>
    <phoneticPr fontId="1" type="noConversion"/>
  </si>
  <si>
    <t>5302</t>
    <phoneticPr fontId="1" type="noConversion"/>
  </si>
  <si>
    <t>5335</t>
    <phoneticPr fontId="1" type="noConversion"/>
  </si>
  <si>
    <t>5327</t>
    <phoneticPr fontId="1" type="noConversion"/>
  </si>
  <si>
    <t>5339</t>
    <phoneticPr fontId="1" type="noConversion"/>
  </si>
  <si>
    <t>5323</t>
    <phoneticPr fontId="1" type="noConversion"/>
  </si>
  <si>
    <t>5318</t>
    <phoneticPr fontId="1" type="noConversion"/>
  </si>
  <si>
    <t>5403</t>
    <phoneticPr fontId="1" type="noConversion"/>
  </si>
  <si>
    <t>5422</t>
    <phoneticPr fontId="1" type="noConversion"/>
  </si>
  <si>
    <t>5415</t>
    <phoneticPr fontId="1" type="noConversion"/>
  </si>
  <si>
    <t>5429</t>
    <phoneticPr fontId="1" type="noConversion"/>
  </si>
  <si>
    <t>5420</t>
    <phoneticPr fontId="1" type="noConversion"/>
  </si>
  <si>
    <t>5442</t>
    <phoneticPr fontId="1" type="noConversion"/>
  </si>
  <si>
    <t>5414</t>
    <phoneticPr fontId="1" type="noConversion"/>
  </si>
  <si>
    <t>5406</t>
    <phoneticPr fontId="1" type="noConversion"/>
  </si>
  <si>
    <t>5423</t>
    <phoneticPr fontId="1" type="noConversion"/>
  </si>
  <si>
    <t>5408</t>
    <phoneticPr fontId="1" type="noConversion"/>
  </si>
  <si>
    <t>5418</t>
    <phoneticPr fontId="1" type="noConversion"/>
  </si>
  <si>
    <t>5808</t>
    <phoneticPr fontId="1" type="noConversion"/>
  </si>
  <si>
    <t>5826</t>
    <phoneticPr fontId="1" type="noConversion"/>
  </si>
  <si>
    <t>5805</t>
    <phoneticPr fontId="1" type="noConversion"/>
  </si>
  <si>
    <t>5827</t>
    <phoneticPr fontId="1" type="noConversion"/>
  </si>
  <si>
    <t>5834</t>
    <phoneticPr fontId="1" type="noConversion"/>
  </si>
  <si>
    <t>5835</t>
    <phoneticPr fontId="1" type="noConversion"/>
  </si>
  <si>
    <t>5811</t>
    <phoneticPr fontId="1" type="noConversion"/>
  </si>
  <si>
    <t>5810</t>
    <phoneticPr fontId="1" type="noConversion"/>
  </si>
  <si>
    <t>5839</t>
    <phoneticPr fontId="1" type="noConversion"/>
  </si>
  <si>
    <t>5831</t>
    <phoneticPr fontId="1" type="noConversion"/>
  </si>
  <si>
    <t>5807</t>
    <phoneticPr fontId="1" type="noConversion"/>
  </si>
  <si>
    <t>5603</t>
    <phoneticPr fontId="1" type="noConversion"/>
  </si>
  <si>
    <t>5644</t>
    <phoneticPr fontId="1" type="noConversion"/>
  </si>
  <si>
    <t>5642</t>
    <phoneticPr fontId="1" type="noConversion"/>
  </si>
  <si>
    <t>5623</t>
    <phoneticPr fontId="1" type="noConversion"/>
  </si>
  <si>
    <t>5618</t>
    <phoneticPr fontId="1" type="noConversion"/>
  </si>
  <si>
    <t>5612</t>
    <phoneticPr fontId="1" type="noConversion"/>
  </si>
  <si>
    <t>5634</t>
    <phoneticPr fontId="1" type="noConversion"/>
  </si>
  <si>
    <t>5611</t>
    <phoneticPr fontId="1" type="noConversion"/>
  </si>
  <si>
    <t>5626</t>
    <phoneticPr fontId="1" type="noConversion"/>
  </si>
  <si>
    <t>5615</t>
    <phoneticPr fontId="1" type="noConversion"/>
  </si>
  <si>
    <t>5633</t>
    <phoneticPr fontId="1" type="noConversion"/>
  </si>
  <si>
    <t>5636</t>
    <phoneticPr fontId="1" type="noConversion"/>
  </si>
  <si>
    <t>5637</t>
    <phoneticPr fontId="1" type="noConversion"/>
  </si>
  <si>
    <t>5608</t>
    <phoneticPr fontId="1" type="noConversion"/>
  </si>
  <si>
    <t>5638</t>
    <phoneticPr fontId="1" type="noConversion"/>
  </si>
  <si>
    <t>5639</t>
    <phoneticPr fontId="1" type="noConversion"/>
  </si>
  <si>
    <t>5632</t>
    <phoneticPr fontId="1" type="noConversion"/>
  </si>
  <si>
    <t>5627</t>
    <phoneticPr fontId="1" type="noConversion"/>
  </si>
  <si>
    <t>5628</t>
    <phoneticPr fontId="1" type="noConversion"/>
  </si>
  <si>
    <t>5613</t>
    <phoneticPr fontId="1" type="noConversion"/>
  </si>
  <si>
    <t>5607</t>
    <phoneticPr fontId="1" type="noConversion"/>
  </si>
  <si>
    <t>5604</t>
    <phoneticPr fontId="1" type="noConversion"/>
  </si>
  <si>
    <t>5617</t>
    <phoneticPr fontId="1" type="noConversion"/>
  </si>
  <si>
    <t>5609</t>
    <phoneticPr fontId="1" type="noConversion"/>
  </si>
  <si>
    <t>5631</t>
    <phoneticPr fontId="1" type="noConversion"/>
  </si>
  <si>
    <t>5739</t>
    <phoneticPr fontId="1" type="noConversion"/>
  </si>
  <si>
    <t>5720</t>
    <phoneticPr fontId="1" type="noConversion"/>
  </si>
  <si>
    <t>5719</t>
    <phoneticPr fontId="1" type="noConversion"/>
  </si>
  <si>
    <t>5745</t>
    <phoneticPr fontId="1" type="noConversion"/>
  </si>
  <si>
    <t>5740</t>
    <phoneticPr fontId="1" type="noConversion"/>
  </si>
  <si>
    <t>5725</t>
    <phoneticPr fontId="1" type="noConversion"/>
  </si>
  <si>
    <t>5724</t>
    <phoneticPr fontId="1" type="noConversion"/>
  </si>
  <si>
    <t>5513</t>
    <phoneticPr fontId="1" type="noConversion"/>
  </si>
  <si>
    <t>5515</t>
    <phoneticPr fontId="1" type="noConversion"/>
  </si>
  <si>
    <t>5523</t>
    <phoneticPr fontId="1" type="noConversion"/>
  </si>
  <si>
    <t>5528</t>
    <phoneticPr fontId="1" type="noConversion"/>
  </si>
  <si>
    <t>5516</t>
    <phoneticPr fontId="1" type="noConversion"/>
  </si>
  <si>
    <t>5517</t>
    <phoneticPr fontId="1" type="noConversion"/>
  </si>
  <si>
    <t>1:211,16,24,104,16,24,226,16,24,407,32,48</t>
  </si>
  <si>
    <t>1:407,48,72,219,32,48,220,48,72</t>
  </si>
  <si>
    <t>1:232,16,24,250,16,24,225,7,13,242,16,24</t>
    <phoneticPr fontId="1" type="noConversion"/>
  </si>
  <si>
    <t>5343</t>
    <phoneticPr fontId="1" type="noConversion"/>
  </si>
  <si>
    <t>Stellar Robes</t>
    <phoneticPr fontId="1" type="noConversion"/>
  </si>
  <si>
    <t>1:501,4,4,502,4,4,517,4,4,601,2,4</t>
    <phoneticPr fontId="1" type="noConversion"/>
  </si>
  <si>
    <t>1:232,24,36,225,24,36,404,1,1,405,1,1</t>
    <phoneticPr fontId="1" type="noConversion"/>
  </si>
  <si>
    <t>1:702,24,36,715,8,12,720,2,4,721,24,36,722,6,9</t>
    <phoneticPr fontId="1" type="noConversion"/>
  </si>
  <si>
    <t>1:701,120,180,702,16,24,705,32,48,718,80,120,720,2,3</t>
    <phoneticPr fontId="1" type="noConversion"/>
  </si>
  <si>
    <t>1:103,24,36,212,12,18,809,40,60,300,24,36,310,120,180,221,2,4</t>
    <phoneticPr fontId="1" type="noConversion"/>
  </si>
  <si>
    <t>14366</t>
    <phoneticPr fontId="1" type="noConversion"/>
  </si>
  <si>
    <t>14367</t>
    <phoneticPr fontId="1" type="noConversion"/>
  </si>
  <si>
    <t>14368</t>
    <phoneticPr fontId="1" type="noConversion"/>
  </si>
  <si>
    <t>14369</t>
    <phoneticPr fontId="1" type="noConversion"/>
  </si>
  <si>
    <t>14370</t>
    <phoneticPr fontId="1" type="noConversion"/>
  </si>
  <si>
    <t>血誓盟约</t>
  </si>
  <si>
    <t>雷霆束缚</t>
  </si>
  <si>
    <t>寒渊之核</t>
  </si>
  <si>
    <t>盖亚之怒</t>
  </si>
  <si>
    <t>异界门扉</t>
  </si>
  <si>
    <t>1:208,32,48,215,16,24,224,8,12,231,16,24,243,16,24</t>
  </si>
  <si>
    <t>1:205,16,24,206,32,48,207,32,48,208,32,48,330,32,48</t>
  </si>
  <si>
    <t>1:212,8,12,213,16,24,214,16,24,215,16,24,216,16,24</t>
  </si>
  <si>
    <t>萨恩格林的凝滞法杖</t>
  </si>
  <si>
    <t>黑沼的低语</t>
  </si>
  <si>
    <t>虚空碎裂之杖</t>
  </si>
  <si>
    <t>寒殇之刃</t>
  </si>
  <si>
    <t>受刑者的私语</t>
  </si>
  <si>
    <t>残光之刃</t>
  </si>
  <si>
    <t>裂隙之刃</t>
  </si>
  <si>
    <t>腐烂亲吻</t>
  </si>
  <si>
    <t>雾行者之刺</t>
  </si>
  <si>
    <t>紫电狂斧</t>
  </si>
  <si>
    <t>矛盾憎恶</t>
  </si>
  <si>
    <t>食尸鬼的裂颅者</t>
  </si>
  <si>
    <t>哀恸之锤</t>
  </si>
  <si>
    <t>憎恶屠夫</t>
  </si>
  <si>
    <t>背誓者之刃</t>
  </si>
  <si>
    <t>构装体支配者</t>
  </si>
  <si>
    <t>悲痛传递者</t>
  </si>
  <si>
    <t>无尽悲鸣之弓</t>
  </si>
  <si>
    <t>虚空追猎者</t>
  </si>
  <si>
    <t>困兽之斗</t>
  </si>
  <si>
    <t>雾中残影</t>
  </si>
  <si>
    <t>霜兆与雷罚之眼</t>
  </si>
  <si>
    <t>无妄之壁</t>
  </si>
  <si>
    <t>缚魂符文壁</t>
  </si>
  <si>
    <t>血肉共鸣之盾</t>
  </si>
  <si>
    <t>死寂冰壁</t>
  </si>
  <si>
    <t>荆棘苦修</t>
  </si>
  <si>
    <t>绝望战吼之墙</t>
  </si>
  <si>
    <t>燃灵献祭之盾</t>
  </si>
  <si>
    <t>破碎之誓</t>
  </si>
  <si>
    <t>苟延残喘之盾</t>
  </si>
  <si>
    <t>灰烬庇护</t>
  </si>
  <si>
    <t>石化之视</t>
  </si>
  <si>
    <t>无名者之冠</t>
  </si>
  <si>
    <t>元素折磨</t>
  </si>
  <si>
    <t>暮色行者兜帽</t>
  </si>
  <si>
    <t>虚空之冠</t>
  </si>
  <si>
    <t>贪婪者的金面</t>
  </si>
  <si>
    <t>永冻者的皮帽</t>
  </si>
  <si>
    <t>食腐鸦之冕</t>
  </si>
  <si>
    <t>失控元素之冠</t>
  </si>
  <si>
    <t>献祭假面</t>
  </si>
  <si>
    <t>寒寂之盔</t>
  </si>
  <si>
    <t>三重苦痛面具</t>
  </si>
  <si>
    <t>钢铁囚笼</t>
  </si>
  <si>
    <t>亡骸守护之盔</t>
  </si>
  <si>
    <t>无面者假面</t>
  </si>
  <si>
    <t>石像鬼之盔</t>
  </si>
  <si>
    <t>窃魂者面具</t>
  </si>
  <si>
    <t>自残者的荆棘甲</t>
  </si>
  <si>
    <t>贪婪的拥抱</t>
  </si>
  <si>
    <t>断头骑士的战铠</t>
  </si>
  <si>
    <t>逐影者之甲</t>
  </si>
  <si>
    <t>死寂壁垒</t>
  </si>
  <si>
    <t>蚀风外袍</t>
  </si>
  <si>
    <t>隔绝之墙</t>
  </si>
  <si>
    <t>永燃者之袍</t>
  </si>
  <si>
    <t>虚空编织之袍</t>
  </si>
  <si>
    <t>先祖哀嚎之袍</t>
  </si>
  <si>
    <t>堕影奴仆披风</t>
  </si>
  <si>
    <t>缚魂甲</t>
  </si>
  <si>
    <t>冰息之拥</t>
  </si>
  <si>
    <t>异变风暴咏叹</t>
  </si>
  <si>
    <t>元素献祭者</t>
  </si>
  <si>
    <t>深渊湮灭外袍</t>
  </si>
  <si>
    <t>冻土之心</t>
  </si>
  <si>
    <t>雷鸣幻影</t>
  </si>
  <si>
    <t>魂火之途</t>
  </si>
  <si>
    <t>掠影之靴</t>
  </si>
  <si>
    <t>血痕足迹</t>
  </si>
  <si>
    <t>石卫胫甲</t>
  </si>
  <si>
    <t>暗影疾步</t>
  </si>
  <si>
    <t>灰烬足迹</t>
  </si>
  <si>
    <t>无声步履</t>
  </si>
  <si>
    <t>陷阱师的舞步</t>
  </si>
  <si>
    <t>狱火行者</t>
  </si>
  <si>
    <t>瘟疫行者的足履</t>
  </si>
  <si>
    <t>幻步短靴</t>
  </si>
  <si>
    <t>绝境求生</t>
  </si>
  <si>
    <t>狂乱步伐</t>
  </si>
  <si>
    <t>自焚者战靴</t>
  </si>
  <si>
    <t>熔岩重靴</t>
  </si>
  <si>
    <t>闪电残影</t>
  </si>
  <si>
    <t>食尸鬼之爪</t>
  </si>
  <si>
    <t>盗墓贼的幸运手</t>
  </si>
  <si>
    <t>瘟疫传播者</t>
  </si>
  <si>
    <t>缚魂者之手</t>
  </si>
  <si>
    <t>黑石工匠的手套</t>
  </si>
  <si>
    <t>收尸人的酬劳</t>
  </si>
  <si>
    <t>雷罚意志</t>
  </si>
  <si>
    <t>虚空投影</t>
  </si>
  <si>
    <t>失落贤者的腰带</t>
  </si>
  <si>
    <t>荆棘之缚</t>
  </si>
  <si>
    <t>失落君王的守护</t>
  </si>
  <si>
    <t>魂火之索</t>
  </si>
  <si>
    <t>悖论之戒</t>
  </si>
  <si>
    <t>学者的愚行</t>
  </si>
  <si>
    <t>毒蛇的低语</t>
  </si>
  <si>
    <t>血誓</t>
  </si>
  <si>
    <t>知识的洪流</t>
  </si>
  <si>
    <t>贪欲之戒</t>
  </si>
  <si>
    <t>万相之戒</t>
  </si>
  <si>
    <t>风暴之眼</t>
  </si>
  <si>
    <t>诡计之戒</t>
  </si>
  <si>
    <t>寒鸦之戒</t>
  </si>
  <si>
    <t>冰缚之戒</t>
  </si>
  <si>
    <t>最后的怜悯</t>
  </si>
  <si>
    <t>奴役契约</t>
  </si>
  <si>
    <t>伪王之戒</t>
  </si>
  <si>
    <t>腐犬之戒</t>
  </si>
  <si>
    <t>古神悲鸣</t>
  </si>
  <si>
    <t>冰火同源</t>
  </si>
  <si>
    <t>构装体核心</t>
  </si>
  <si>
    <t>夜视者之眼</t>
  </si>
  <si>
    <t>壁垒之力</t>
  </si>
  <si>
    <t>残光圣符</t>
  </si>
  <si>
    <t>暮色信物</t>
  </si>
  <si>
    <t>残喘圣徽</t>
  </si>
  <si>
    <t>伪晨之拥</t>
  </si>
  <si>
    <t>风行者的遗物</t>
  </si>
  <si>
    <t>虚空之泪</t>
  </si>
  <si>
    <t>纯净的太阳圣徽</t>
  </si>
  <si>
    <t>穹顶之息</t>
  </si>
  <si>
    <t>残星之拥</t>
  </si>
  <si>
    <t>1:317,40,60,432,16,24,434,16,24,220,32,48</t>
  </si>
  <si>
    <t>1:226,24,36,220,48,72,404,2,2</t>
  </si>
  <si>
    <t>1:703,3,7;4:40015</t>
  </si>
  <si>
    <t>1:705,20,35,709,20,35,323,10,18,409,5,10</t>
  </si>
  <si>
    <t>1:702,15,30,306,20,35,311,1,4,321,2,6</t>
  </si>
  <si>
    <t>1:300,16,24,701,120,180,705,64,96,716,12,18,717,24,36,718,60,90</t>
  </si>
  <si>
    <t>1:103,24,36,203,24,36,218,16,24,225,8,12</t>
  </si>
  <si>
    <t>1:226,24,36,306,24,36,257,16,24,302,16,24</t>
  </si>
  <si>
    <t>1:319,24,36,250,24,36,407,32,48,217,16,24</t>
  </si>
  <si>
    <t>1:723,10,20,217,12,25,501,2,2</t>
    <phoneticPr fontId="1" type="noConversion"/>
  </si>
  <si>
    <t>1:716,3,7,300,15,25,501,2,2</t>
    <phoneticPr fontId="1" type="noConversion"/>
  </si>
  <si>
    <t>1:421,48,72,104,24,36,501,4,6</t>
    <phoneticPr fontId="1" type="noConversion"/>
  </si>
  <si>
    <t>4:40001;1:219,16,24,240,16,24,218,16,24</t>
  </si>
  <si>
    <t>511:80;512:300</t>
    <phoneticPr fontId="1" type="noConversion"/>
  </si>
  <si>
    <t>511:100;512:480</t>
    <phoneticPr fontId="1" type="noConversion"/>
  </si>
  <si>
    <t>511:60;512:420</t>
    <phoneticPr fontId="1" type="noConversion"/>
  </si>
  <si>
    <t>511:70;512:360</t>
    <phoneticPr fontId="1" type="noConversion"/>
  </si>
  <si>
    <t>511:50;512:900</t>
    <phoneticPr fontId="1" type="noConversion"/>
  </si>
  <si>
    <t>511:60;512:480</t>
    <phoneticPr fontId="1" type="noConversion"/>
  </si>
  <si>
    <t xml:space="preserve">  </t>
    <phoneticPr fontId="1" type="noConversion"/>
  </si>
  <si>
    <t>1:303,80,120,321,12,18,413,32,48,306,16,24</t>
    <phoneticPr fontId="1" type="noConversion"/>
  </si>
  <si>
    <t>1:300,48,72,302,16,24,306,16,24,303,80,120</t>
    <phoneticPr fontId="1" type="noConversion"/>
  </si>
  <si>
    <t>1:251,48,72,214,48,72,316,-40,-40,409,4,6,241,8,12,303,-100,-100</t>
    <phoneticPr fontId="1" type="noConversion"/>
  </si>
  <si>
    <t>1:413,48,72,306,24,36,302,24,36,303,100,200</t>
    <phoneticPr fontId="1" type="noConversion"/>
  </si>
  <si>
    <t>1:101,45,75,303,100,100,505,12,18</t>
    <phoneticPr fontId="1" type="noConversion"/>
  </si>
  <si>
    <t>1:303,160,240,308,24,36,321,8,12,310,160,240</t>
    <phoneticPr fontId="1" type="noConversion"/>
  </si>
  <si>
    <t>1:300,48,72,308,24,36,303,100,150,315,8,12,321,8,12</t>
    <phoneticPr fontId="1" type="noConversion"/>
  </si>
  <si>
    <t>1:300,64,96,303,100,150,308,24,36,315,10,10</t>
    <phoneticPr fontId="1" type="noConversion"/>
  </si>
  <si>
    <t>1:413,16,24,101,24,36,300,32,48,303,80,120</t>
    <phoneticPr fontId="1" type="noConversion"/>
  </si>
  <si>
    <t>1:207,24,36,230,24,36,317,20,30,303,120,180,257,16,24</t>
    <phoneticPr fontId="1" type="noConversion"/>
  </si>
  <si>
    <t>1:302,24,36,303,120,180,304,16,24,409,8,12,311,6,9</t>
    <phoneticPr fontId="1" type="noConversion"/>
  </si>
  <si>
    <t>1:315,16,24,205,15,25,504,15,25</t>
    <phoneticPr fontId="1" type="noConversion"/>
  </si>
  <si>
    <t>1:321,15,25,514,30,30,202,30,50,330,30,30,426,1,1</t>
    <phoneticPr fontId="1" type="noConversion"/>
  </si>
  <si>
    <t>1:813,15,25,236,30,50,706,60,100</t>
    <phoneticPr fontId="1" type="noConversion"/>
  </si>
  <si>
    <t>裂地行者套装</t>
    <phoneticPr fontId="1" type="noConversion"/>
  </si>
  <si>
    <t>1:257,24,36,220,48,72,813,80,120,226,12,18</t>
    <phoneticPr fontId="1" type="noConversion"/>
  </si>
  <si>
    <t>1:421,200</t>
    <phoneticPr fontId="1" type="noConversion"/>
  </si>
  <si>
    <t>冰晶法杖</t>
  </si>
  <si>
    <t>冰霜之怒</t>
  </si>
  <si>
    <t>14371</t>
    <phoneticPr fontId="1" type="noConversion"/>
  </si>
  <si>
    <t>14372</t>
    <phoneticPr fontId="1" type="noConversion"/>
  </si>
  <si>
    <t>10914</t>
    <phoneticPr fontId="1" type="noConversion"/>
  </si>
  <si>
    <t>10916</t>
    <phoneticPr fontId="1" type="noConversion"/>
  </si>
  <si>
    <t>10913</t>
    <phoneticPr fontId="1" type="noConversion"/>
  </si>
  <si>
    <t>任务</t>
    <phoneticPr fontId="1" type="noConversion"/>
  </si>
  <si>
    <t>1:101,24,36,204,28,42,801,16,24,300,48,72,305,120,180</t>
    <phoneticPr fontId="1" type="noConversion"/>
  </si>
  <si>
    <t>14206</t>
    <phoneticPr fontId="1" type="noConversion"/>
  </si>
  <si>
    <t>1:607,3,5,603,10,10,217,10,10</t>
    <phoneticPr fontId="1" type="noConversion"/>
  </si>
  <si>
    <t>1:315,14,21,321,12,18,300,32,48,221,8,15,308,20,30</t>
    <phoneticPr fontId="1" type="noConversion"/>
  </si>
  <si>
    <t>1:702,24,36,705,32,48,720,20,35,409,8,12</t>
    <phoneticPr fontId="1" type="noConversion"/>
  </si>
  <si>
    <t>1:302,24,36,306,30,55,311,8,12</t>
    <phoneticPr fontId="1" type="noConversion"/>
  </si>
  <si>
    <t>1:217,24,36,404,1,2,405,1,1</t>
    <phoneticPr fontId="1" type="noConversion"/>
  </si>
  <si>
    <t>1:204,24,36,220,64,96,242,16,24,319,24,36,302,20,30,816,50,100</t>
    <phoneticPr fontId="1" type="noConversion"/>
  </si>
  <si>
    <t>1:601,1,3,602,3,5,501,2,2,502,2,2,517,2,2</t>
    <phoneticPr fontId="1" type="noConversion"/>
  </si>
  <si>
    <t>1:101,24,36,302,24,36,415,8,12,421,32,48,601,2,4</t>
    <phoneticPr fontId="1" type="noConversion"/>
  </si>
  <si>
    <t>1:821,1,1,413,30,50</t>
    <phoneticPr fontId="1" type="noConversion"/>
  </si>
  <si>
    <t>崩山之握</t>
    <phoneticPr fontId="1" type="noConversion"/>
  </si>
  <si>
    <t>1:419,150,250,311,15,25,802,30,50</t>
    <phoneticPr fontId="1" type="noConversion"/>
  </si>
  <si>
    <t>1:206,16,24,213,16,24,103,16,24,229,16,24,416,8,12</t>
  </si>
  <si>
    <t>1:206,12,18,213,20,30,222,8,12,404,1,1,434,20,20,405,1,1</t>
  </si>
  <si>
    <t>1:207,16,24,103,16,24,214,16,24,223,8,12,257,20,20,501,2,2</t>
    <phoneticPr fontId="1" type="noConversion"/>
  </si>
  <si>
    <t>1:214,32,48,223,8,12,251,10,10,241,5,15,237,20,20</t>
    <phoneticPr fontId="1" type="noConversion"/>
  </si>
  <si>
    <t>233:23;234:58;219:20</t>
    <phoneticPr fontId="1" type="noConversion"/>
  </si>
  <si>
    <t>1:209,32,48,103,16,24,225,8,12,501,4,4,819,30,45</t>
    <phoneticPr fontId="1" type="noConversion"/>
  </si>
  <si>
    <t>1:103,12,24,215,20,30;4:40014</t>
    <phoneticPr fontId="1" type="noConversion"/>
  </si>
  <si>
    <t>1:101,24,36,811,32,48,103,12,18,812,32,48,300,48,72</t>
    <phoneticPr fontId="1" type="noConversion"/>
  </si>
  <si>
    <t>附加混沌伤害%</t>
  </si>
  <si>
    <t>附加物理伤害</t>
  </si>
  <si>
    <t>物理减抗%</t>
  </si>
  <si>
    <t>子弹穿刺</t>
  </si>
  <si>
    <t>击杀掉落经验碎片</t>
  </si>
  <si>
    <t>召唤物闪电伤害%</t>
  </si>
  <si>
    <t>san值回复速度</t>
  </si>
  <si>
    <t>san值最大值</t>
  </si>
  <si>
    <t>击杀加范围</t>
  </si>
  <si>
    <t>经验碎片加攻速移速</t>
  </si>
  <si>
    <t>虚空变质之袍</t>
  </si>
  <si>
    <t>学者的愈行</t>
  </si>
  <si>
    <t>蚀风之手</t>
    <phoneticPr fontId="1" type="noConversion"/>
  </si>
  <si>
    <t>1:103,18,24,205,12,18,221,10,20,217,16,24,257,12,18</t>
    <phoneticPr fontId="1" type="noConversion"/>
  </si>
  <si>
    <t>1:207,24,36,241,30,50,317,30,50</t>
    <phoneticPr fontId="1" type="noConversion"/>
  </si>
  <si>
    <t>1:206,24,36,207,24,36,236,8,12,237,12,18,205,8,12</t>
  </si>
  <si>
    <t>1:207,16,24,241,24,36,230,16,24,223,8,12</t>
  </si>
  <si>
    <t>1:206,24,36,222,8,12,300,32,48,414,6,9,306,16,24</t>
  </si>
  <si>
    <t>1:206,16,24,213,16,24,222,6,9,229,12,18,257,12,18</t>
  </si>
  <si>
    <t>1:206,16,24,213,16,24,222,8,12,229,16,24,316,16,24</t>
  </si>
  <si>
    <t>1:206,16,24,229,24,36,236,16,24,416,12,18,414,6,9</t>
  </si>
  <si>
    <t>1:206,20,30,323,30,50,316,20,20</t>
  </si>
  <si>
    <t>1:311,15,25,312,3,7,257,30,50</t>
    <phoneticPr fontId="1" type="noConversion"/>
  </si>
  <si>
    <t>1:311,20,30,312,3,7,412,10,10,253,24,36,330,12,18</t>
    <phoneticPr fontId="1" type="noConversion"/>
  </si>
  <si>
    <t xml:space="preserve">    </t>
    <phoneticPr fontId="1" type="noConversion"/>
  </si>
  <si>
    <t>1:516,10,10,407,30,50,302,15,25,514,10,10</t>
    <phoneticPr fontId="1" type="noConversion"/>
  </si>
  <si>
    <t>1:516,5,5,306,45,75,514,30,30</t>
    <phoneticPr fontId="1" type="noConversion"/>
  </si>
  <si>
    <t>14293</t>
    <phoneticPr fontId="1" type="noConversion"/>
  </si>
  <si>
    <t>1:211,40,60,240,6,10</t>
    <phoneticPr fontId="1" type="noConversion"/>
  </si>
  <si>
    <t>1:217,8,12,249,16,24,240,5,10,601,2,2,607,1,1</t>
    <phoneticPr fontId="1" type="noConversion"/>
  </si>
  <si>
    <t>4:40011,40012;1:240,6,12</t>
    <phoneticPr fontId="1" type="noConversion"/>
  </si>
  <si>
    <t>1:101,24,36,217,40,60,226,16,24,240,3,7</t>
    <phoneticPr fontId="1" type="noConversion"/>
  </si>
  <si>
    <t>炎魔掌控</t>
  </si>
  <si>
    <t>ea后版本更新装备</t>
  </si>
  <si>
    <t>5324</t>
  </si>
  <si>
    <t>14373</t>
  </si>
  <si>
    <t>1:214,18,42,219,12,28,501,4,4,415,8,12,414,6,9</t>
  </si>
  <si>
    <t>灰烬执掌</t>
  </si>
  <si>
    <t>14374</t>
  </si>
  <si>
    <t>1:241,16,24,223,6,14,230,18,42,304,16,24,317,24,56</t>
  </si>
  <si>
    <t>炼狱之握</t>
  </si>
  <si>
    <t>5310</t>
  </si>
  <si>
    <t>14375</t>
  </si>
  <si>
    <t>1:201,9,21,214,18,42,210,16,24,329,24,56,300,24,56</t>
  </si>
  <si>
    <t>永冻之握</t>
  </si>
  <si>
    <t>5341</t>
  </si>
  <si>
    <t>14376</t>
  </si>
  <si>
    <t>1:206,18,42,316,9,21,229,12,28,501,4,4,414,6,9</t>
  </si>
  <si>
    <t xml:space="preserve"> 寒噬之爪</t>
  </si>
  <si>
    <t>5308</t>
  </si>
  <si>
    <t>14377</t>
  </si>
  <si>
    <t>1:206,12,28,213,12,18,316,18,42,313,8,12,310,160,240</t>
  </si>
  <si>
    <t>风暴之拳</t>
  </si>
  <si>
    <t>5329</t>
  </si>
  <si>
    <t>14378</t>
  </si>
  <si>
    <t>1:208,18,42,248,16,24,238,16,24,318,12,28,300,18,42</t>
  </si>
  <si>
    <t>雷电爪击</t>
  </si>
  <si>
    <t>5321</t>
  </si>
  <si>
    <t>14379</t>
  </si>
  <si>
    <t>1:101,16,24,204,16,24,208,18,42,304,16,24,306,18,42</t>
  </si>
  <si>
    <t>元素交汇</t>
  </si>
  <si>
    <t>5304</t>
  </si>
  <si>
    <t>14380</t>
  </si>
  <si>
    <t>1:205,6,14,212,8,12,218,16,24,300,32,48,501,4,4</t>
  </si>
  <si>
    <t>元素诅咒</t>
  </si>
  <si>
    <t>5342</t>
  </si>
  <si>
    <t>14381</t>
  </si>
  <si>
    <t>1:214,12,48,213,12,48,215,12,48,501,4,4,502,4,4</t>
  </si>
  <si>
    <t>腐化之爪</t>
  </si>
  <si>
    <t>5336</t>
  </si>
  <si>
    <t>14382</t>
  </si>
  <si>
    <t>诅咒编织者</t>
  </si>
  <si>
    <t>5313</t>
  </si>
  <si>
    <t>14383</t>
  </si>
  <si>
    <t>1:209,24,56,219,12,28,253,16,24,330,24,36,504,8,12</t>
  </si>
  <si>
    <t>寒噬环带</t>
  </si>
  <si>
    <t>5708</t>
  </si>
  <si>
    <t>14384</t>
  </si>
  <si>
    <t>腐脉之索</t>
  </si>
  <si>
    <t>5744</t>
  </si>
  <si>
    <t>14385</t>
  </si>
  <si>
    <t>风暴脉环</t>
  </si>
  <si>
    <t>5702</t>
  </si>
  <si>
    <t>14386</t>
  </si>
  <si>
    <t>堕落星环</t>
  </si>
  <si>
    <t>5718</t>
  </si>
  <si>
    <t>14387</t>
  </si>
  <si>
    <t>1:321,9,21,104,24,36,426,1,1,501,4,4,502,4,4</t>
  </si>
  <si>
    <t>裂颅之环</t>
  </si>
  <si>
    <t>5743</t>
  </si>
  <si>
    <t>14388</t>
  </si>
  <si>
    <t>1:101,16,24,204,16,24,240,16,24,304,16,24,308,18,42</t>
  </si>
  <si>
    <t>迅羽腰饰</t>
  </si>
  <si>
    <t>5734</t>
  </si>
  <si>
    <t>14389</t>
  </si>
  <si>
    <t>猎鹰之缚</t>
  </si>
  <si>
    <t>5712</t>
  </si>
  <si>
    <t>14390</t>
  </si>
  <si>
    <t>战痕锁带</t>
  </si>
  <si>
    <t>5733</t>
  </si>
  <si>
    <t>14391</t>
  </si>
  <si>
    <t>雷鸣之心</t>
  </si>
  <si>
    <t>5513</t>
  </si>
  <si>
    <t>14392</t>
  </si>
  <si>
    <t>1:201,6,14,208,12,28,203,8,12,220,32,48,231,16,24</t>
  </si>
  <si>
    <t>炽焰信仰</t>
  </si>
  <si>
    <t>5509</t>
  </si>
  <si>
    <t>14393</t>
  </si>
  <si>
    <t>冰魂之链</t>
  </si>
  <si>
    <t>5507</t>
  </si>
  <si>
    <t>14394</t>
  </si>
  <si>
    <t>虚蚀吊坠</t>
  </si>
  <si>
    <t>5511</t>
  </si>
  <si>
    <t>14395</t>
  </si>
  <si>
    <t>血誓战铠</t>
  </si>
  <si>
    <t>巨岩之躯</t>
  </si>
  <si>
    <t>星辉法袍</t>
  </si>
  <si>
    <t>1:316,16,24,317,16,24,318,16,24,319,16,24,212,8,12,409,5,5</t>
  </si>
  <si>
    <t>风暴律袍</t>
  </si>
  <si>
    <t>1:215,24,36,101,24,36,217,16,24,220,32,48,300,-20,-20</t>
  </si>
  <si>
    <t>焚誓之袍</t>
  </si>
  <si>
    <t>永冻法裳</t>
  </si>
  <si>
    <t>冥骨外袍</t>
  </si>
  <si>
    <t>魂疫裳</t>
  </si>
  <si>
    <t>猎影胸甲</t>
  </si>
  <si>
    <t>鹰击护甲</t>
  </si>
  <si>
    <t>ea版本更新</t>
  </si>
  <si>
    <t>暴击几率%</t>
  </si>
  <si>
    <t>持续性伤害%</t>
  </si>
  <si>
    <t>5823</t>
    <phoneticPr fontId="1" type="noConversion"/>
  </si>
  <si>
    <t>5829</t>
    <phoneticPr fontId="1" type="noConversion"/>
  </si>
  <si>
    <t>5840</t>
    <phoneticPr fontId="1" type="noConversion"/>
  </si>
  <si>
    <t>5844</t>
    <phoneticPr fontId="1" type="noConversion"/>
  </si>
  <si>
    <t>5821</t>
    <phoneticPr fontId="1" type="noConversion"/>
  </si>
  <si>
    <t>5843</t>
    <phoneticPr fontId="1" type="noConversion"/>
  </si>
  <si>
    <t>5819</t>
    <phoneticPr fontId="1" type="noConversion"/>
  </si>
  <si>
    <t>5832</t>
    <phoneticPr fontId="1" type="noConversion"/>
  </si>
  <si>
    <t>5816</t>
    <phoneticPr fontId="1" type="noConversion"/>
  </si>
  <si>
    <t>5836</t>
    <phoneticPr fontId="1" type="noConversion"/>
  </si>
  <si>
    <t>手</t>
    <phoneticPr fontId="1" type="noConversion"/>
  </si>
  <si>
    <t>5326</t>
    <phoneticPr fontId="1" type="noConversion"/>
  </si>
  <si>
    <t>1:222,20,30,331,15,25,706,30,50,722,10,10</t>
    <phoneticPr fontId="1" type="noConversion"/>
  </si>
  <si>
    <t>14396</t>
    <phoneticPr fontId="1" type="noConversion"/>
  </si>
  <si>
    <t>14397</t>
    <phoneticPr fontId="1" type="noConversion"/>
  </si>
  <si>
    <t>1:217,16,24,405,1,2,504,8,12,305,80,160</t>
    <phoneticPr fontId="1" type="noConversion"/>
  </si>
  <si>
    <t>1:209,16,24,204,16,24,409,12,18,718,80,120,311,8,8</t>
    <phoneticPr fontId="1" type="noConversion"/>
  </si>
  <si>
    <t>1:213,16,28,229,16,28,316,24,36,321,8,12,411,-16,-24</t>
    <phoneticPr fontId="1" type="noConversion"/>
  </si>
  <si>
    <t>1:207,18,42,317,12,28,230,8,12,300,16,24,305,80,120</t>
    <phoneticPr fontId="1" type="noConversion"/>
  </si>
  <si>
    <t>1:300,24,56,305,240,360,321,8,8,313,8,12</t>
    <phoneticPr fontId="1" type="noConversion"/>
  </si>
  <si>
    <t>1:300,24,48,304,18,42,413,16,24,411,-10,-10</t>
    <phoneticPr fontId="1" type="noConversion"/>
  </si>
  <si>
    <t>1:202,24,36,218,24,36,242,24,56,330,12,24,514,-10,-10</t>
    <phoneticPr fontId="1" type="noConversion"/>
  </si>
  <si>
    <t>1:101,24,36,300,48,72,229,12,18,316,-16,-24</t>
    <phoneticPr fontId="1" type="noConversion"/>
  </si>
  <si>
    <t>1:414,12,18,416,12,18,300,32,48,305,80,120,812,24,36</t>
    <phoneticPr fontId="1" type="noConversion"/>
  </si>
  <si>
    <t>1:203,12,18,209,16,24,216,16,24,250,10,10,218,24,36</t>
    <phoneticPr fontId="1" type="noConversion"/>
  </si>
  <si>
    <t>1:412,16,24,701,160,240,718,80,120,719,1,3,722,8,12</t>
    <phoneticPr fontId="1" type="noConversion"/>
  </si>
  <si>
    <t>1:701,120,180,820,2,4,719,1,2,809,40,60,709,24,36,713,12,18</t>
    <phoneticPr fontId="1" type="noConversion"/>
  </si>
  <si>
    <t>1:321,14,21,721,16,24,722,8,12,719,1,3,717,12,18</t>
    <phoneticPr fontId="1" type="noConversion"/>
  </si>
  <si>
    <t>1:103,24,36,202,16,24,809,40,60,308,16,24,409,8,12</t>
    <phoneticPr fontId="1" type="noConversion"/>
  </si>
  <si>
    <t>1:209,18,42,216,18,42,218,12,28,212,-6,-14,514,5,5</t>
    <phoneticPr fontId="1" type="noConversion"/>
  </si>
  <si>
    <t>1:217,24,36,219,24,36,311,12,18,330,10,10,300,-10,-10</t>
    <phoneticPr fontId="1" type="noConversion"/>
  </si>
  <si>
    <t>1:204,48,72,202,32,48,226,32,48,217,-16,-24</t>
    <phoneticPr fontId="1" type="noConversion"/>
  </si>
  <si>
    <t>1:300,1,50,403,1,40,317,-40,50,316,-40,50,318,-40,50</t>
    <phoneticPr fontId="1" type="noConversion"/>
  </si>
  <si>
    <t>1:421,96,144,104,16,24,412,8,12,402,12,18,403,12,18</t>
    <phoneticPr fontId="1" type="noConversion"/>
  </si>
  <si>
    <t>1:214,16,24,241,12,18,426,1,1,501,2,2</t>
    <phoneticPr fontId="1" type="noConversion"/>
  </si>
  <si>
    <t>1:201,9,21,434,12,18,410,10,10,311,6,14,501,2,2</t>
    <phoneticPr fontId="1" type="noConversion"/>
  </si>
  <si>
    <t>1:213,12,18,226,12,28,321,9,16,411,-10,-10</t>
    <phoneticPr fontId="1" type="noConversion"/>
  </si>
  <si>
    <t>1:216,16,24,204,16,24,300,32,48,305,120,180,250,16,24</t>
    <phoneticPr fontId="1" type="noConversion"/>
  </si>
  <si>
    <t>魂灯</t>
    <phoneticPr fontId="1" type="noConversion"/>
  </si>
  <si>
    <t>基础魂灯</t>
    <phoneticPr fontId="1" type="noConversion"/>
  </si>
  <si>
    <t>烈焰魂灯</t>
    <phoneticPr fontId="1" type="noConversion"/>
  </si>
  <si>
    <t>冰魂灯</t>
    <phoneticPr fontId="1" type="noConversion"/>
  </si>
  <si>
    <t>雷魂灯</t>
    <phoneticPr fontId="1" type="noConversion"/>
  </si>
  <si>
    <t>暗影魂灯</t>
    <phoneticPr fontId="1" type="noConversion"/>
  </si>
  <si>
    <t>毒魂灯</t>
    <phoneticPr fontId="1" type="noConversion"/>
  </si>
  <si>
    <r>
      <t xml:space="preserve">装备类型
</t>
    </r>
    <r>
      <rPr>
        <sz val="11"/>
        <color theme="1"/>
        <rFont val="等线"/>
        <family val="3"/>
        <charset val="134"/>
        <scheme val="minor"/>
      </rPr>
      <t>1-单手剑
2-单手斧
3-单手锤
4-匕首
5-双手剑
6-双手斧
7-双手锤
8-法杖
9-弓
10-长柄
11-盾牌
21-头盔
22-衣服
23-手套
24-鞋子
25-腰带
31-项链
32-戒指
98-魂灯
99-火炬</t>
    </r>
    <phoneticPr fontId="1" type="noConversion"/>
  </si>
  <si>
    <t>98-魂灯</t>
    <phoneticPr fontId="1" type="noConversion"/>
  </si>
  <si>
    <t>燃血胸甲</t>
  </si>
  <si>
    <t>5823</t>
  </si>
  <si>
    <t>腐蚀之杖</t>
    <phoneticPr fontId="1" type="noConversion"/>
  </si>
  <si>
    <t>溃烂之牙</t>
    <phoneticPr fontId="1" type="noConversion"/>
  </si>
  <si>
    <t>霜噬之弓</t>
    <phoneticPr fontId="1" type="noConversion"/>
  </si>
  <si>
    <t>极寒裂斧</t>
    <phoneticPr fontId="1" type="noConversion"/>
  </si>
  <si>
    <t>狂涌之杖</t>
    <phoneticPr fontId="1" type="noConversion"/>
  </si>
  <si>
    <t>风暴引者</t>
    <phoneticPr fontId="1" type="noConversion"/>
  </si>
  <si>
    <t>永冻权杖</t>
    <phoneticPr fontId="1" type="noConversion"/>
  </si>
  <si>
    <t>腐蚀之杖</t>
  </si>
  <si>
    <t>溃烂之牙</t>
  </si>
  <si>
    <t>霜噬之弓</t>
  </si>
  <si>
    <t>永冻权杖</t>
  </si>
  <si>
    <t>极寒裂斧</t>
  </si>
  <si>
    <t>狂涌之杖</t>
  </si>
  <si>
    <t>风暴引者</t>
  </si>
  <si>
    <t>1:225,8,12,242,12,28,250,16,24;4:40023</t>
    <phoneticPr fontId="1" type="noConversion"/>
  </si>
  <si>
    <t>1:203,16,24,226,12,28,311,8,12;4:40023</t>
    <phoneticPr fontId="1" type="noConversion"/>
  </si>
  <si>
    <t>1:206,16,24,213,24,56,222,8,12,217,-8,-12;4:40024</t>
    <phoneticPr fontId="1" type="noConversion"/>
  </si>
  <si>
    <t>1:208,16,24,215,12,28,220,32,48,217,16,24;4:40026</t>
    <phoneticPr fontId="1" type="noConversion"/>
  </si>
  <si>
    <t>1:208,24,36,220,32,48,219,16,24,217,16,24,315,-10,-10;4:40026</t>
    <phoneticPr fontId="1" type="noConversion"/>
  </si>
  <si>
    <t>10911</t>
    <phoneticPr fontId="1" type="noConversion"/>
  </si>
  <si>
    <t>10912</t>
    <phoneticPr fontId="1" type="noConversion"/>
  </si>
  <si>
    <t>10904</t>
    <phoneticPr fontId="1" type="noConversion"/>
  </si>
  <si>
    <t>10707</t>
    <phoneticPr fontId="1" type="noConversion"/>
  </si>
  <si>
    <t>11005</t>
    <phoneticPr fontId="1" type="noConversion"/>
  </si>
  <si>
    <t>434</t>
    <phoneticPr fontId="1" type="noConversion"/>
  </si>
  <si>
    <t>1:213,32,48,226,16,24,405,1,1,434,30,45;4:40025</t>
    <phoneticPr fontId="1" type="noConversion"/>
  </si>
  <si>
    <t>1:202,24,36,103,16,24,205,8,12,221,12,24,315,6,9</t>
    <phoneticPr fontId="1" type="noConversion"/>
  </si>
  <si>
    <t>1:717,24,36,306,24,36,401,16,24,300,12,24</t>
    <phoneticPr fontId="1" type="noConversion"/>
  </si>
  <si>
    <t>绿</t>
    <phoneticPr fontId="1" type="noConversion"/>
  </si>
  <si>
    <t>橙</t>
    <phoneticPr fontId="1" type="noConversion"/>
  </si>
  <si>
    <t>3105</t>
    <phoneticPr fontId="1" type="noConversion"/>
  </si>
  <si>
    <t>3106</t>
    <phoneticPr fontId="1" type="noConversion"/>
  </si>
  <si>
    <t>1:206,32,48,801,1,2,219,16,24;4:40025</t>
    <phoneticPr fontId="1" type="noConversion"/>
  </si>
  <si>
    <t>14410</t>
    <phoneticPr fontId="1" type="noConversion"/>
  </si>
  <si>
    <t>1:209,24,36,103,12,18,225,10,15,217,16,24,804,12,20</t>
    <phoneticPr fontId="1" type="noConversion"/>
  </si>
  <si>
    <t>1:207,24,36,230,16,24,241,16,24,223,4,6,303,100,150</t>
    <phoneticPr fontId="1" type="noConversion"/>
  </si>
  <si>
    <t>T2暗金</t>
    <phoneticPr fontId="1" type="noConversion"/>
  </si>
  <si>
    <t>风暴之剑</t>
  </si>
  <si>
    <t>640001</t>
    <phoneticPr fontId="1" type="noConversion"/>
  </si>
  <si>
    <t>日炙</t>
  </si>
  <si>
    <t>640002</t>
  </si>
  <si>
    <t>天雷降魔杵</t>
  </si>
  <si>
    <t>640003</t>
  </si>
  <si>
    <t>1:101,10,20,103,10,20,208,5,10;4:40029</t>
    <phoneticPr fontId="1" type="noConversion"/>
  </si>
  <si>
    <t>死亡工艺</t>
  </si>
  <si>
    <t>640004</t>
  </si>
  <si>
    <t>身首分离</t>
  </si>
  <si>
    <t>640005</t>
  </si>
  <si>
    <t>神之锤</t>
  </si>
  <si>
    <t>640006</t>
  </si>
  <si>
    <t>极寒之焰</t>
  </si>
  <si>
    <t>冰杖</t>
  </si>
  <si>
    <t>640007</t>
  </si>
  <si>
    <t>陨星</t>
  </si>
  <si>
    <t>火杖</t>
  </si>
  <si>
    <t>640008</t>
  </si>
  <si>
    <t>1:214,20,40,432,30,50;4:40033</t>
    <phoneticPr fontId="1" type="noConversion"/>
  </si>
  <si>
    <t>电容长杆</t>
  </si>
  <si>
    <t>雷杖</t>
  </si>
  <si>
    <t>640009</t>
  </si>
  <si>
    <t>黄杨树枝</t>
  </si>
  <si>
    <t>毒杖</t>
  </si>
  <si>
    <t>640010</t>
  </si>
  <si>
    <t>缚魂者</t>
  </si>
  <si>
    <t>魂杖</t>
  </si>
  <si>
    <t>640011</t>
  </si>
  <si>
    <t>1:721,30,50,702,50,100,718,500,1000;4:40036</t>
    <phoneticPr fontId="1" type="noConversion"/>
  </si>
  <si>
    <t>机关弓</t>
  </si>
  <si>
    <t>640012</t>
  </si>
  <si>
    <t>光之雨</t>
  </si>
  <si>
    <t>640013</t>
  </si>
  <si>
    <t>熔岩之甲</t>
  </si>
  <si>
    <t>640014</t>
  </si>
  <si>
    <t>焰舞</t>
  </si>
  <si>
    <t>640015</t>
  </si>
  <si>
    <t>寒冰行走</t>
  </si>
  <si>
    <t>640016</t>
  </si>
  <si>
    <t>极地庇护</t>
  </si>
  <si>
    <t>640017</t>
  </si>
  <si>
    <t>驯兽师手套</t>
  </si>
  <si>
    <t>640018</t>
  </si>
  <si>
    <t>扩音器</t>
  </si>
  <si>
    <t>640019</t>
  </si>
  <si>
    <t>蚀骨之毒</t>
  </si>
  <si>
    <t>640020</t>
  </si>
  <si>
    <t>团结</t>
    <phoneticPr fontId="1" type="noConversion"/>
  </si>
  <si>
    <t>640021</t>
  </si>
  <si>
    <t>1:718,1000,1500,710,30,60,711,30,60,712,30,60,713,30,60</t>
    <phoneticPr fontId="1" type="noConversion"/>
  </si>
  <si>
    <t>10308</t>
    <phoneticPr fontId="1" type="noConversion"/>
  </si>
  <si>
    <t>10905</t>
    <phoneticPr fontId="1" type="noConversion"/>
  </si>
  <si>
    <t>10908</t>
    <phoneticPr fontId="1" type="noConversion"/>
  </si>
  <si>
    <t>11002</t>
    <phoneticPr fontId="1" type="noConversion"/>
  </si>
  <si>
    <t>11008</t>
    <phoneticPr fontId="1" type="noConversion"/>
  </si>
  <si>
    <t>5445</t>
    <phoneticPr fontId="1" type="noConversion"/>
  </si>
  <si>
    <t>5842</t>
  </si>
  <si>
    <t>5337</t>
    <phoneticPr fontId="1" type="noConversion"/>
  </si>
  <si>
    <t>5507</t>
    <phoneticPr fontId="1" type="noConversion"/>
  </si>
  <si>
    <t>团结</t>
  </si>
  <si>
    <t>混沌抗性+25%
处于中毒状态时，每一层中毒都能使护盾值每秒恢复（3~5）点
你身上的中毒效果持续时间提升111%</t>
  </si>
  <si>
    <t>混沌抗性+25%
处于中毒状态时，每一层中毒都能使护盾值每秒恢复（3~5）点
你身上的中毒效果持续时间提升112%</t>
  </si>
  <si>
    <t>混沌抗性+25%
处于中毒状态时，每一层中毒都能使护盾值每秒恢复（3~5）点
你身上的中毒效果持续时间提升113%</t>
  </si>
  <si>
    <t>混沌抗性+25%
处于中毒状态时，每一层中毒都能使护盾值每秒恢复（3~5）点
你身上的中毒效果持续时间提升114%</t>
  </si>
  <si>
    <t>混沌抗性+25%
处于中毒状态时，每一层中毒都能使护盾值每秒恢复（3~5）点
你身上的中毒效果持续时间提升115%</t>
  </si>
  <si>
    <t>混沌抗性+25%
处于中毒状态时，每一层中毒都能使护盾值每秒恢复（3~5）点
你身上的中毒效果持续时间提升116%</t>
  </si>
  <si>
    <t>混沌抗性+25%
处于中毒状态时，每一层中毒都能使护盾值每秒恢复（3~5）点
你身上的中毒效果持续时间提升117%</t>
  </si>
  <si>
    <t>混沌抗性+25%
处于中毒状态时，每一层中毒都能使护盾值每秒恢复（3~5）点
你身上的中毒效果持续时间提升118%</t>
  </si>
  <si>
    <t>混沌抗性+25%
处于中毒状态时，每一层中毒都能使护盾值每秒恢复（3~5）点
你身上的中毒效果持续时间提升119%</t>
  </si>
  <si>
    <t>混沌抗性+25%
处于中毒状态时，每一层中毒都能使护盾值每秒恢复（3~5）点
你身上的中毒效果持续时间提升120%</t>
  </si>
  <si>
    <t>召唤物攻击力</t>
    <phoneticPr fontId="1" type="noConversion"/>
  </si>
  <si>
    <t>召唤物暴击率%</t>
    <phoneticPr fontId="1" type="noConversion"/>
  </si>
  <si>
    <t>生命值</t>
    <phoneticPr fontId="1" type="noConversion"/>
  </si>
  <si>
    <t>护盾值%</t>
    <phoneticPr fontId="1" type="noConversion"/>
  </si>
  <si>
    <t>混沌伤害</t>
    <phoneticPr fontId="1" type="noConversion"/>
  </si>
  <si>
    <t>召唤物最终伤害</t>
    <phoneticPr fontId="1" type="noConversion"/>
  </si>
  <si>
    <t>护甲值</t>
    <phoneticPr fontId="1" type="noConversion"/>
  </si>
  <si>
    <t>召唤物攻击力%</t>
    <phoneticPr fontId="1" type="noConversion"/>
  </si>
  <si>
    <t>召唤物攻击速度</t>
    <phoneticPr fontId="1" type="noConversion"/>
  </si>
  <si>
    <t>召唤物闪电抗性%</t>
    <phoneticPr fontId="1" type="noConversion"/>
  </si>
  <si>
    <t>233:11;234:23;219:8</t>
    <phoneticPr fontId="1" type="noConversion"/>
  </si>
  <si>
    <t>1:217,8,16,214,16,24;4:40028</t>
    <phoneticPr fontId="1" type="noConversion"/>
  </si>
  <si>
    <t>233:8;234:23;219:18</t>
    <phoneticPr fontId="1" type="noConversion"/>
  </si>
  <si>
    <t>1:703,20,40,716,12,24,300,24,36;4:40030</t>
    <phoneticPr fontId="1" type="noConversion"/>
  </si>
  <si>
    <t>1:302,24,36,304,16,24,817,10,20,220,32,48</t>
    <phoneticPr fontId="1" type="noConversion"/>
  </si>
  <si>
    <t>1:412,-8,-12,305,400,600,413,24,36,817,5,10,300,48,72</t>
    <phoneticPr fontId="1" type="noConversion"/>
  </si>
  <si>
    <t>1:101,12,24,211,12,24,404,1,1;4:40031</t>
    <phoneticPr fontId="1" type="noConversion"/>
  </si>
  <si>
    <t>1:101,8,16,217,12,24;3:10015</t>
    <phoneticPr fontId="1" type="noConversion"/>
  </si>
  <si>
    <t>1:103,16,24,206,12,24,308,20,30;4:40032</t>
    <phoneticPr fontId="1" type="noConversion"/>
  </si>
  <si>
    <t>1:103,16,24,208,8,16,217,16,24;4:40034</t>
    <phoneticPr fontId="1" type="noConversion"/>
  </si>
  <si>
    <t>1:209,12,24,242,8,12,409,10,20;4:40035</t>
    <phoneticPr fontId="1" type="noConversion"/>
  </si>
  <si>
    <t>1:217,-12,-24,202,12,24,405,1,2;3:10016</t>
    <phoneticPr fontId="1" type="noConversion"/>
  </si>
  <si>
    <t>1:102,8,16,211,12,24,404,1,1;4:40037</t>
    <phoneticPr fontId="1" type="noConversion"/>
  </si>
  <si>
    <t>1:211,12,24,214,8,12,413,20,30,316,20,50,103,-8,-16;2:41026</t>
    <phoneticPr fontId="1" type="noConversion"/>
  </si>
  <si>
    <t>1:217,12,24,214,8,12;3:10017</t>
    <phoneticPr fontId="1" type="noConversion"/>
  </si>
  <si>
    <t>1:412,12,24,103,8,12,213,12,24;2:41027</t>
    <phoneticPr fontId="1" type="noConversion"/>
  </si>
  <si>
    <t>1:703,12,24,723,12,24,711,18,32,713,18,32;4:40040;2:41029</t>
    <phoneticPr fontId="1" type="noConversion"/>
  </si>
  <si>
    <t>1:101,20,40,306,12,24,409,8,12;4:40039</t>
    <phoneticPr fontId="1" type="noConversion"/>
  </si>
  <si>
    <t>1:300,20,40,242,8,12,211,24,48;4:40041</t>
    <phoneticPr fontId="1" type="noConversion"/>
  </si>
  <si>
    <t>305:98</t>
    <phoneticPr fontId="1" type="noConversion"/>
  </si>
  <si>
    <t>305:73</t>
    <phoneticPr fontId="1" type="noConversion"/>
  </si>
  <si>
    <t>233:18;234:36;219:18</t>
    <phoneticPr fontId="1" type="noConversion"/>
  </si>
  <si>
    <t>233:18;234:36;219:15</t>
    <phoneticPr fontId="1" type="noConversion"/>
  </si>
  <si>
    <t>233:18;234:36;219:12</t>
    <phoneticPr fontId="1" type="noConversion"/>
  </si>
  <si>
    <t>233:12;234:36;219:18</t>
    <phoneticPr fontId="1" type="noConversion"/>
  </si>
  <si>
    <t>233:24;234:48;219:20</t>
    <phoneticPr fontId="1" type="noConversion"/>
  </si>
  <si>
    <t>233:21;234:37;219:15</t>
    <phoneticPr fontId="1" type="noConversion"/>
  </si>
  <si>
    <t>233:16;234:64;219:12</t>
    <phoneticPr fontId="1" type="noConversion"/>
  </si>
  <si>
    <t>233:9;234:26;219:10</t>
    <phoneticPr fontId="1" type="noConversion"/>
  </si>
  <si>
    <t>1:601,1,3,226,24,36,422,24,36,257,8,12</t>
    <phoneticPr fontId="1" type="noConversion"/>
  </si>
  <si>
    <t>1:411,5,8,204,18,42,311,6,14,805,20,40</t>
    <phoneticPr fontId="1" type="noConversion"/>
  </si>
  <si>
    <t>1:311,6,8,312,8,12,215,24,56,217,16,24,411,5,8</t>
    <phoneticPr fontId="1" type="noConversion"/>
  </si>
  <si>
    <t>1:217,24,36,102,8,12,228,8,12,226,8,12,412,5,8,715,5,15</t>
    <phoneticPr fontId="1" type="noConversion"/>
  </si>
  <si>
    <t>1:806,1,1,604,24,56,412,12,24</t>
    <phoneticPr fontId="1" type="noConversion"/>
  </si>
  <si>
    <t>1:315,12,18,212,4,6,409,4,6,412,8,12,205,8,12</t>
    <phoneticPr fontId="1" type="noConversion"/>
  </si>
  <si>
    <t>1:412,12,24,217,24,36,226,16,24</t>
    <phoneticPr fontId="1" type="noConversion"/>
  </si>
  <si>
    <t>1:817,5,10,412,8,15,315,15,25</t>
    <phoneticPr fontId="1" type="noConversion"/>
  </si>
  <si>
    <t>1:405,1,3,412,12,21,217,15,25,311,10,10,211,-20,-20</t>
    <phoneticPr fontId="1" type="noConversion"/>
  </si>
  <si>
    <t>1:412,12,21,208,24,36,224,8,12,220,32,48,257,16,24</t>
    <phoneticPr fontId="1" type="noConversion"/>
  </si>
  <si>
    <t>1:412,12,24,305,240,360,707,32,48,711,16,24,715,24,36</t>
    <phoneticPr fontId="1" type="noConversion"/>
  </si>
  <si>
    <t>1:412,12,24,408,2,2,410,6,9,419,80,120,311,6,9,312,3,7</t>
    <phoneticPr fontId="1" type="noConversion"/>
  </si>
  <si>
    <t>1:412,12,24,240,4,8,217,24,36,220,32,48,813,50,50</t>
    <phoneticPr fontId="1" type="noConversion"/>
  </si>
  <si>
    <t>1:412,12,24,209,24,36,319,24,36,232,16,24</t>
    <phoneticPr fontId="1" type="noConversion"/>
  </si>
  <si>
    <t>1:412,12,24,315,12,18,205,12,18,221,10,20,809,40,60</t>
    <phoneticPr fontId="1" type="noConversion"/>
  </si>
  <si>
    <t>1:412,12,24,405,1,3,217,16,24,434,16,24</t>
    <phoneticPr fontId="1" type="noConversion"/>
  </si>
  <si>
    <t>1:412,12,24,242,40,60,209,24,36,225,8,12</t>
    <phoneticPr fontId="1" type="noConversion"/>
  </si>
  <si>
    <t>1:412,12,24,207,40,60,230,24,36,317,16,24</t>
    <phoneticPr fontId="1" type="noConversion"/>
  </si>
  <si>
    <t>1:412,12,24,208,24,36,248,16,24,231,16,24,318,16,24</t>
    <phoneticPr fontId="1" type="noConversion"/>
  </si>
  <si>
    <t>1:209,24,36,319,28,42,303,120,180,412,8,15</t>
    <phoneticPr fontId="1" type="noConversion"/>
  </si>
  <si>
    <t>1:202,28,42,409,-6,-9,205,12,18,103,12,18,315,12,18,412,8,15</t>
    <phoneticPr fontId="1" type="noConversion"/>
  </si>
  <si>
    <t>1:412,12,24,311,8,12,312,5,8,410,16,20</t>
    <phoneticPr fontId="1" type="noConversion"/>
  </si>
  <si>
    <t>1:409,12,18,412,10,20,220,32,48,423,8,12,419,40,60</t>
    <phoneticPr fontId="1" type="noConversion"/>
  </si>
  <si>
    <t>1:321,8,12,821,1,2,331,8,12,330,16,24,412,9,15,313,16,24</t>
    <phoneticPr fontId="1" type="noConversion"/>
  </si>
  <si>
    <t>1:412,12,24,409,12,18,102,16,24,237,16,24</t>
    <phoneticPr fontId="1" type="noConversion"/>
  </si>
  <si>
    <t>1:719,2,4,820,8,15,412,9,15</t>
    <phoneticPr fontId="1" type="noConversion"/>
  </si>
  <si>
    <t>1:225,12,18,232,24,36,412,9,15,103,16,24,216,16,24</t>
    <phoneticPr fontId="1" type="noConversion"/>
  </si>
  <si>
    <t>1:412,12,24,407,48,72,501,4,4</t>
    <phoneticPr fontId="1" type="noConversion"/>
  </si>
  <si>
    <t>1:715,10,20,412,12,24,311,2,5</t>
    <phoneticPr fontId="1" type="noConversion"/>
  </si>
  <si>
    <t>1:412,12,24,102,24,36,428,32,48</t>
    <phoneticPr fontId="1" type="noConversion"/>
  </si>
  <si>
    <t>1:403,32,48,412,16,25,104,16,24</t>
    <phoneticPr fontId="1" type="noConversion"/>
  </si>
  <si>
    <t>1:102,18,32,217,24,36,226,24,36,721,24,36</t>
    <phoneticPr fontId="1" type="noConversion"/>
  </si>
  <si>
    <t>1:217,24,36,211,32,48,102,32,48</t>
    <phoneticPr fontId="1" type="noConversion"/>
  </si>
  <si>
    <t>1:102,30,50,226,20,30,501,2,6,502,2,2,517,2,2</t>
    <phoneticPr fontId="1" type="noConversion"/>
  </si>
  <si>
    <t>1:104,45,75,516,5,5,101,5,15,103,12,18,102,10,15,432,10,10</t>
    <phoneticPr fontId="1" type="noConversion"/>
  </si>
  <si>
    <t>1:412,12,24,311,12,18,410,6,9,419,80,120,102,10,15</t>
    <phoneticPr fontId="1" type="noConversion"/>
  </si>
  <si>
    <t>1:412,10,25,102,20,30,311,8,12,803,50,50</t>
    <phoneticPr fontId="1" type="noConversion"/>
  </si>
  <si>
    <t>1:102,18,36,808,40,60,217,12,18,412,12,18,311,8,12</t>
    <phoneticPr fontId="1" type="noConversion"/>
  </si>
  <si>
    <t>1:227,12,18,102,18,36,412,8,15,311,8,12,257,16,24</t>
    <phoneticPr fontId="1" type="noConversion"/>
  </si>
  <si>
    <t>1:227,8,12,102,16,24,412,12,24</t>
    <phoneticPr fontId="1" type="noConversion"/>
  </si>
  <si>
    <t>1:102,10,15,808,60,90,227,8,12</t>
    <phoneticPr fontId="1" type="noConversion"/>
  </si>
  <si>
    <t>1:102,10,15,802,60,90,211,16,24</t>
    <phoneticPr fontId="1" type="noConversion"/>
  </si>
  <si>
    <t>1:102,12,24,201,8,12,819,30,45,412,12,24,303,60,90</t>
    <phoneticPr fontId="1" type="noConversion"/>
  </si>
  <si>
    <t>1:102,10,15,302,16,24,311,8,12,219,16,24,201,16,24</t>
    <phoneticPr fontId="1" type="noConversion"/>
  </si>
  <si>
    <t>1:412,15,28,102,18,36,601,2,4,219,20,20</t>
    <phoneticPr fontId="1" type="noConversion"/>
  </si>
  <si>
    <t>1:412,21,36,715,24,36,102,12,24</t>
    <phoneticPr fontId="1" type="noConversion"/>
  </si>
  <si>
    <t>1:101,10,15,102,8,12;4:40027</t>
    <phoneticPr fontId="1" type="noConversion"/>
  </si>
  <si>
    <t>是否可分解
1-不可分解
0或不填可分解</t>
    <phoneticPr fontId="1" type="noConversion"/>
  </si>
  <si>
    <t>disassemble_i</t>
  </si>
  <si>
    <t>是否地图专属掉落
1-是
0-不填不是</t>
    <phoneticPr fontId="1" type="noConversion"/>
  </si>
  <si>
    <t>exclusive_i</t>
  </si>
  <si>
    <t>1:206,10,20;4:40002,40003</t>
    <phoneticPr fontId="1" type="noConversion"/>
  </si>
  <si>
    <t>1:213,20,30;3:10002</t>
    <phoneticPr fontId="1" type="noConversion"/>
  </si>
  <si>
    <t>1:211,60,120;2:41031</t>
    <phoneticPr fontId="1" type="noConversion"/>
  </si>
  <si>
    <t>1:305,500,1000,315,8,16,206,8,12;4:40038</t>
    <phoneticPr fontId="1" type="noConversion"/>
  </si>
  <si>
    <t>特殊奖励</t>
    <phoneticPr fontId="1" type="noConversion"/>
  </si>
  <si>
    <t>堕落使者之刃</t>
  </si>
  <si>
    <t>世界树树枝</t>
  </si>
  <si>
    <t>仙女剑</t>
  </si>
  <si>
    <t>1:101,-50,-50,102,-50,-50,103,-50,-50;3:10018</t>
    <phoneticPr fontId="1" type="noConversion"/>
  </si>
  <si>
    <t>1:103,30,30,216,50,50,242,10,10;3:10019</t>
    <phoneticPr fontId="1" type="noConversion"/>
  </si>
  <si>
    <t>660001</t>
    <phoneticPr fontId="1" type="noConversion"/>
  </si>
  <si>
    <t>660002</t>
  </si>
  <si>
    <t>660003</t>
  </si>
  <si>
    <t>1:236,50,50,721,50,50,702,50,50;2:41035;4:40042</t>
    <phoneticPr fontId="1" type="noConversion"/>
  </si>
  <si>
    <t>14252</t>
    <phoneticPr fontId="1" type="noConversion"/>
  </si>
  <si>
    <t>1:206,24,36,213,24,36,404,1,1,434,16,24</t>
    <phoneticPr fontId="1" type="noConversion"/>
  </si>
  <si>
    <t>冰冻山巅</t>
    <phoneticPr fontId="1" type="noConversion"/>
  </si>
  <si>
    <t>寒冷之心</t>
    <phoneticPr fontId="1" type="noConversion"/>
  </si>
  <si>
    <t>霜冻王冠</t>
    <phoneticPr fontId="1" type="noConversion"/>
  </si>
  <si>
    <t>斯卡蒂的守护</t>
    <phoneticPr fontId="1" type="noConversion"/>
  </si>
  <si>
    <t>凛冽之握</t>
    <phoneticPr fontId="1" type="noConversion"/>
  </si>
  <si>
    <t>冰雪行者</t>
    <phoneticPr fontId="1" type="noConversion"/>
  </si>
  <si>
    <t>寂静冰芒</t>
    <phoneticPr fontId="1" type="noConversion"/>
  </si>
  <si>
    <t>狂怒</t>
    <phoneticPr fontId="1" type="noConversion"/>
  </si>
  <si>
    <t>愤怒</t>
    <phoneticPr fontId="1" type="noConversion"/>
  </si>
  <si>
    <t>暴虐</t>
    <phoneticPr fontId="1" type="noConversion"/>
  </si>
  <si>
    <t>扼杀</t>
    <phoneticPr fontId="1" type="noConversion"/>
  </si>
  <si>
    <t>凶残</t>
    <phoneticPr fontId="1" type="noConversion"/>
  </si>
  <si>
    <t>疯狂</t>
    <phoneticPr fontId="1" type="noConversion"/>
  </si>
  <si>
    <t>嗜血</t>
    <phoneticPr fontId="1" type="noConversion"/>
  </si>
  <si>
    <t>雷光彼岸花</t>
    <phoneticPr fontId="1" type="noConversion"/>
  </si>
  <si>
    <t>闪电之翼</t>
    <phoneticPr fontId="1" type="noConversion"/>
  </si>
  <si>
    <t>雷霆护心甲</t>
    <phoneticPr fontId="1" type="noConversion"/>
  </si>
  <si>
    <t>雷击操控手套</t>
    <phoneticPr fontId="1" type="noConversion"/>
  </si>
  <si>
    <t>疾风雷步靴</t>
    <phoneticPr fontId="1" type="noConversion"/>
  </si>
  <si>
    <t>雷光之束</t>
    <phoneticPr fontId="1" type="noConversion"/>
  </si>
  <si>
    <t>雷鸣使者</t>
    <phoneticPr fontId="1" type="noConversion"/>
  </si>
  <si>
    <t>诅咒师的阴谋</t>
    <phoneticPr fontId="1" type="noConversion"/>
  </si>
  <si>
    <t>诅咒师的视野</t>
    <phoneticPr fontId="1" type="noConversion"/>
  </si>
  <si>
    <t>诅咒师的稻草躯壳</t>
    <phoneticPr fontId="1" type="noConversion"/>
  </si>
  <si>
    <t>下咒之手</t>
    <phoneticPr fontId="1" type="noConversion"/>
  </si>
  <si>
    <t>咒物缠腰</t>
    <phoneticPr fontId="1" type="noConversion"/>
  </si>
  <si>
    <t>制骸师顶针</t>
    <phoneticPr fontId="1" type="noConversion"/>
  </si>
  <si>
    <t>死咒稻草人</t>
    <phoneticPr fontId="1" type="noConversion"/>
  </si>
  <si>
    <t>诅咒师的阴谋</t>
  </si>
  <si>
    <t>头</t>
  </si>
  <si>
    <t>胸</t>
  </si>
  <si>
    <t>手</t>
  </si>
  <si>
    <t>鞋</t>
  </si>
  <si>
    <t>护符</t>
  </si>
  <si>
    <t>胸</t>
    <phoneticPr fontId="1" type="noConversion"/>
  </si>
  <si>
    <t>610088</t>
    <phoneticPr fontId="1" type="noConversion"/>
  </si>
  <si>
    <t>610089</t>
  </si>
  <si>
    <t>610090</t>
  </si>
  <si>
    <t>610091</t>
  </si>
  <si>
    <t>610092</t>
  </si>
  <si>
    <t>610093</t>
  </si>
  <si>
    <t>610094,610095,610096</t>
    <phoneticPr fontId="1" type="noConversion"/>
  </si>
  <si>
    <t>610097</t>
    <phoneticPr fontId="1" type="noConversion"/>
  </si>
  <si>
    <t>610098</t>
  </si>
  <si>
    <t>610099</t>
  </si>
  <si>
    <t>610100</t>
  </si>
  <si>
    <t>610101</t>
  </si>
  <si>
    <t>610102</t>
    <phoneticPr fontId="1" type="noConversion"/>
  </si>
  <si>
    <t>610103,610104,610105</t>
    <phoneticPr fontId="1" type="noConversion"/>
  </si>
  <si>
    <t>610106</t>
    <phoneticPr fontId="1" type="noConversion"/>
  </si>
  <si>
    <t>610107</t>
  </si>
  <si>
    <t>610108</t>
  </si>
  <si>
    <t>610109</t>
  </si>
  <si>
    <t>610110</t>
  </si>
  <si>
    <t>610111</t>
  </si>
  <si>
    <t>610112,610113,610114</t>
    <phoneticPr fontId="1" type="noConversion"/>
  </si>
  <si>
    <t>610115</t>
    <phoneticPr fontId="1" type="noConversion"/>
  </si>
  <si>
    <t>610116</t>
  </si>
  <si>
    <t>610117</t>
  </si>
  <si>
    <t>610118</t>
  </si>
  <si>
    <t>610119</t>
  </si>
  <si>
    <t>610120</t>
  </si>
  <si>
    <t>610121,610122,610123</t>
    <phoneticPr fontId="1" type="noConversion"/>
  </si>
  <si>
    <t>305:132</t>
    <phoneticPr fontId="1" type="noConversion"/>
  </si>
  <si>
    <t>4:40048</t>
    <phoneticPr fontId="1" type="noConversion"/>
  </si>
  <si>
    <t>4:40049</t>
  </si>
  <si>
    <t>4:40050</t>
  </si>
  <si>
    <t>3:10020</t>
    <phoneticPr fontId="1" type="noConversion"/>
  </si>
  <si>
    <t>3:10021</t>
    <phoneticPr fontId="1" type="noConversion"/>
  </si>
  <si>
    <t>4:40055</t>
    <phoneticPr fontId="1" type="noConversion"/>
  </si>
  <si>
    <t>4:40058</t>
    <phoneticPr fontId="1" type="noConversion"/>
  </si>
  <si>
    <t>4:40059</t>
  </si>
  <si>
    <t>4:40060</t>
  </si>
  <si>
    <t>4:40067,40068</t>
    <phoneticPr fontId="1" type="noConversion"/>
  </si>
  <si>
    <t>3:10023</t>
    <phoneticPr fontId="1" type="noConversion"/>
  </si>
  <si>
    <t>3:10024</t>
  </si>
  <si>
    <t>5813</t>
    <phoneticPr fontId="1" type="noConversion"/>
  </si>
  <si>
    <t>5308</t>
    <phoneticPr fontId="1" type="noConversion"/>
  </si>
  <si>
    <t>5334</t>
    <phoneticPr fontId="1" type="noConversion"/>
  </si>
  <si>
    <t>5344</t>
    <phoneticPr fontId="1" type="noConversion"/>
  </si>
  <si>
    <t>5723</t>
    <phoneticPr fontId="1" type="noConversion"/>
  </si>
  <si>
    <t>5706</t>
    <phoneticPr fontId="1" type="noConversion"/>
  </si>
  <si>
    <t>5711</t>
    <phoneticPr fontId="1" type="noConversion"/>
  </si>
  <si>
    <t>5525</t>
    <phoneticPr fontId="1" type="noConversion"/>
  </si>
  <si>
    <t>5522</t>
    <phoneticPr fontId="1" type="noConversion"/>
  </si>
  <si>
    <t>5518</t>
    <phoneticPr fontId="1" type="noConversion"/>
  </si>
  <si>
    <t>5504</t>
    <phoneticPr fontId="1" type="noConversion"/>
  </si>
  <si>
    <t>233:15;234:30;219:12</t>
    <phoneticPr fontId="1" type="noConversion"/>
  </si>
  <si>
    <t>233:9;234:36;219:18</t>
    <phoneticPr fontId="1" type="noConversion"/>
  </si>
  <si>
    <t>305:263</t>
    <phoneticPr fontId="1" type="noConversion"/>
  </si>
  <si>
    <t>1:213,18,32,306,20,40;4:40044</t>
    <phoneticPr fontId="1" type="noConversion"/>
  </si>
  <si>
    <t>1:217,12,24,213,24,36;4:40046</t>
    <phoneticPr fontId="1" type="noConversion"/>
  </si>
  <si>
    <t>1:103,12,24,220,12,24,213,12,24;4:40047</t>
    <phoneticPr fontId="1" type="noConversion"/>
  </si>
  <si>
    <t>1:101,16,32,211,16,24;4:40051</t>
    <phoneticPr fontId="1" type="noConversion"/>
  </si>
  <si>
    <t>1:300,24,40,101,16,32,306,24,48;4:40052</t>
    <phoneticPr fontId="1" type="noConversion"/>
  </si>
  <si>
    <t>1:101,20,40,217,16,32;4:40053</t>
    <phoneticPr fontId="1" type="noConversion"/>
  </si>
  <si>
    <t>1:102,12,24,103,16,32,404,1,1;4:40056</t>
    <phoneticPr fontId="1" type="noConversion"/>
  </si>
  <si>
    <t>1:101,12,24,102,16,32,215,25,50;3:10022</t>
    <phoneticPr fontId="1" type="noConversion"/>
  </si>
  <si>
    <t>1:217,12,24,211,24,36,215,24,36</t>
    <phoneticPr fontId="1" type="noConversion"/>
  </si>
  <si>
    <t>1:102,12,18,311,5,8,323,24,36</t>
    <phoneticPr fontId="1" type="noConversion"/>
  </si>
  <si>
    <t>1:102,12,18,103,12,24,238,20,40</t>
    <phoneticPr fontId="1" type="noConversion"/>
  </si>
  <si>
    <t>1:216,20,40,226,18,36,501,1,4;4:40061</t>
    <phoneticPr fontId="1" type="noConversion"/>
  </si>
  <si>
    <t>1:103,18,36,300,21,35,306,36,48;4:40062</t>
    <phoneticPr fontId="1" type="noConversion"/>
  </si>
  <si>
    <t>1:102,20,40,103,16,32,217,16,32;4:40063</t>
    <phoneticPr fontId="1" type="noConversion"/>
  </si>
  <si>
    <t>1:300,24,42,315,8,12,501,1,4;4:40064</t>
    <phoneticPr fontId="1" type="noConversion"/>
  </si>
  <si>
    <t>1:220,20,50,323,20,40,216,24,36;4:40065</t>
    <phoneticPr fontId="1" type="noConversion"/>
  </si>
  <si>
    <t>1:702,32,48,305,300,500,715,16,24,517,6,10</t>
    <phoneticPr fontId="1" type="noConversion"/>
  </si>
  <si>
    <t>1:305,500,800,403,30,30,407,30,50</t>
    <phoneticPr fontId="1" type="noConversion"/>
  </si>
  <si>
    <t>1:413,40,60,321,12,18,817,5,10,303,80,120,305,600,900</t>
    <phoneticPr fontId="1" type="noConversion"/>
  </si>
  <si>
    <t>1:305,600,900,300,32,48,321,8,12,313,12,18,810,30,50</t>
    <phoneticPr fontId="1" type="noConversion"/>
  </si>
  <si>
    <t>装备特效
特效文件尾号</t>
    <phoneticPr fontId="1" type="noConversion"/>
  </si>
  <si>
    <t>effect_s</t>
  </si>
  <si>
    <t>_06</t>
    <phoneticPr fontId="1" type="noConversion"/>
  </si>
  <si>
    <t>_03</t>
    <phoneticPr fontId="1" type="noConversion"/>
  </si>
  <si>
    <t>_10</t>
    <phoneticPr fontId="1" type="noConversion"/>
  </si>
  <si>
    <t>_08</t>
    <phoneticPr fontId="1" type="noConversion"/>
  </si>
  <si>
    <t>_13</t>
    <phoneticPr fontId="1" type="noConversion"/>
  </si>
  <si>
    <t>_12</t>
    <phoneticPr fontId="1" type="noConversion"/>
  </si>
  <si>
    <t>1:702,24,36,716,12,18,202,16,24,717,24,36</t>
    <phoneticPr fontId="1" type="noConversion"/>
  </si>
  <si>
    <t>风暴之剑</t>
    <phoneticPr fontId="1" type="noConversion"/>
  </si>
  <si>
    <t>日炙</t>
    <phoneticPr fontId="1" type="noConversion"/>
  </si>
  <si>
    <t>圣山壁垒</t>
  </si>
  <si>
    <t>朝觐者胸甲</t>
  </si>
  <si>
    <t>圣光之影</t>
  </si>
  <si>
    <t>守护者之手</t>
  </si>
  <si>
    <t>朝圣行者</t>
  </si>
  <si>
    <t>祈愿之星</t>
  </si>
  <si>
    <t>魔门反噬盾</t>
  </si>
  <si>
    <t>不朽堡心甲</t>
  </si>
  <si>
    <t>壁垒瞭望冠</t>
  </si>
  <si>
    <t>城墙弩手</t>
  </si>
  <si>
    <t>壕沟地基靴</t>
  </si>
  <si>
    <t>护城河缠腰</t>
  </si>
  <si>
    <t>审判者·天堂圣刃</t>
  </si>
  <si>
    <t>圣誓板甲·十字神躯</t>
  </si>
  <si>
    <t>审判之握·羽翼铁拳</t>
  </si>
  <si>
    <t>圣行战靴·神恩践踏</t>
  </si>
  <si>
    <t>天堂誓约·惩戒圣戒</t>
  </si>
  <si>
    <t>盾</t>
  </si>
  <si>
    <t>靴子</t>
  </si>
  <si>
    <t>阴影裁决</t>
  </si>
  <si>
    <t>断魂之刺</t>
  </si>
  <si>
    <t>幽冥面纱</t>
  </si>
  <si>
    <t>裁决胸甲</t>
  </si>
  <si>
    <t>暗影之握</t>
  </si>
  <si>
    <t>血誓之环</t>
  </si>
  <si>
    <t>死煞</t>
  </si>
  <si>
    <t>影煞</t>
  </si>
  <si>
    <t>冥煞</t>
  </si>
  <si>
    <t>血煞</t>
  </si>
  <si>
    <t>邪煞</t>
  </si>
  <si>
    <t>幽煞</t>
  </si>
  <si>
    <t>精密发条瞄准镜</t>
  </si>
  <si>
    <t>弹簧爆破装束</t>
  </si>
  <si>
    <t>机关布线指套</t>
  </si>
  <si>
    <t>电容蓄能腰带</t>
  </si>
  <si>
    <t>腐蚀齿轮</t>
  </si>
  <si>
    <t>瞬时触发指环</t>
  </si>
  <si>
    <t>圣山朝拜</t>
    <phoneticPr fontId="1" type="noConversion"/>
  </si>
  <si>
    <t>不朽堡垒</t>
    <phoneticPr fontId="1" type="noConversion"/>
  </si>
  <si>
    <t>天使联盟</t>
    <phoneticPr fontId="1" type="noConversion"/>
  </si>
  <si>
    <t>刺客庭的审判</t>
    <phoneticPr fontId="1" type="noConversion"/>
  </si>
  <si>
    <t>暗杀纲领</t>
    <phoneticPr fontId="1" type="noConversion"/>
  </si>
  <si>
    <t>陷阱大师的教诲</t>
    <phoneticPr fontId="1" type="noConversion"/>
  </si>
  <si>
    <t>610124</t>
    <phoneticPr fontId="1" type="noConversion"/>
  </si>
  <si>
    <t>610125</t>
  </si>
  <si>
    <t>610126</t>
  </si>
  <si>
    <t>610127</t>
  </si>
  <si>
    <t>610128</t>
  </si>
  <si>
    <t>610129</t>
  </si>
  <si>
    <t>610134</t>
  </si>
  <si>
    <t>610135</t>
  </si>
  <si>
    <t>610136</t>
  </si>
  <si>
    <t>610137</t>
  </si>
  <si>
    <t>610143</t>
  </si>
  <si>
    <t>610144</t>
  </si>
  <si>
    <t>610145</t>
  </si>
  <si>
    <t>610146</t>
  </si>
  <si>
    <t>610152</t>
  </si>
  <si>
    <t>610153</t>
  </si>
  <si>
    <t>610154</t>
  </si>
  <si>
    <t>610155</t>
  </si>
  <si>
    <t>610161</t>
  </si>
  <si>
    <t>610162</t>
  </si>
  <si>
    <t>610163</t>
  </si>
  <si>
    <t>610164</t>
  </si>
  <si>
    <t>610170</t>
  </si>
  <si>
    <t>610171</t>
  </si>
  <si>
    <t>610172</t>
  </si>
  <si>
    <t>610173</t>
  </si>
  <si>
    <t>610130,610131,610132</t>
    <phoneticPr fontId="1" type="noConversion"/>
  </si>
  <si>
    <t>610133</t>
    <phoneticPr fontId="1" type="noConversion"/>
  </si>
  <si>
    <t>610138</t>
  </si>
  <si>
    <t>610142</t>
    <phoneticPr fontId="1" type="noConversion"/>
  </si>
  <si>
    <t>610147</t>
  </si>
  <si>
    <t>610151</t>
    <phoneticPr fontId="1" type="noConversion"/>
  </si>
  <si>
    <t>610156</t>
  </si>
  <si>
    <t>610160</t>
    <phoneticPr fontId="1" type="noConversion"/>
  </si>
  <si>
    <t>610165</t>
  </si>
  <si>
    <t>610169</t>
    <phoneticPr fontId="1" type="noConversion"/>
  </si>
  <si>
    <t>610174</t>
  </si>
  <si>
    <t>610139,610140,610141</t>
    <phoneticPr fontId="1" type="noConversion"/>
  </si>
  <si>
    <t>610148,610149,610150</t>
    <phoneticPr fontId="1" type="noConversion"/>
  </si>
  <si>
    <t>610157,610148,610159</t>
    <phoneticPr fontId="1" type="noConversion"/>
  </si>
  <si>
    <t>610166,610167,610168</t>
    <phoneticPr fontId="1" type="noConversion"/>
  </si>
  <si>
    <t>610175,610176,610177</t>
    <phoneticPr fontId="1" type="noConversion"/>
  </si>
  <si>
    <t>305:267</t>
    <phoneticPr fontId="1" type="noConversion"/>
  </si>
  <si>
    <t>305:451</t>
    <phoneticPr fontId="1" type="noConversion"/>
  </si>
  <si>
    <t>305:167</t>
    <phoneticPr fontId="1" type="noConversion"/>
  </si>
  <si>
    <t>305:173</t>
    <phoneticPr fontId="1" type="noConversion"/>
  </si>
  <si>
    <t>233:27;234:52;219:10</t>
    <phoneticPr fontId="1" type="noConversion"/>
  </si>
  <si>
    <t>305:364</t>
    <phoneticPr fontId="1" type="noConversion"/>
  </si>
  <si>
    <t>305:712</t>
    <phoneticPr fontId="1" type="noConversion"/>
  </si>
  <si>
    <t>305:241</t>
    <phoneticPr fontId="1" type="noConversion"/>
  </si>
  <si>
    <t>305:186</t>
    <phoneticPr fontId="1" type="noConversion"/>
  </si>
  <si>
    <t>305:197</t>
    <phoneticPr fontId="1" type="noConversion"/>
  </si>
  <si>
    <t>305:316</t>
    <phoneticPr fontId="1" type="noConversion"/>
  </si>
  <si>
    <t>305:145</t>
    <phoneticPr fontId="1" type="noConversion"/>
  </si>
  <si>
    <t>305:116</t>
    <phoneticPr fontId="1" type="noConversion"/>
  </si>
  <si>
    <t>233:8;234:17;219:7</t>
    <phoneticPr fontId="1" type="noConversion"/>
  </si>
  <si>
    <t>233:6;234:14;219:5</t>
    <phoneticPr fontId="1" type="noConversion"/>
  </si>
  <si>
    <t>305:168</t>
    <phoneticPr fontId="1" type="noConversion"/>
  </si>
  <si>
    <t>305:317</t>
    <phoneticPr fontId="1" type="noConversion"/>
  </si>
  <si>
    <t>233:12;234:20;219:3</t>
    <phoneticPr fontId="1" type="noConversion"/>
  </si>
  <si>
    <t>305:106</t>
    <phoneticPr fontId="1" type="noConversion"/>
  </si>
  <si>
    <t>305:284</t>
    <phoneticPr fontId="1" type="noConversion"/>
  </si>
  <si>
    <t>305:84</t>
    <phoneticPr fontId="1" type="noConversion"/>
  </si>
  <si>
    <t>305:69</t>
    <phoneticPr fontId="1" type="noConversion"/>
  </si>
  <si>
    <t>305:482</t>
    <phoneticPr fontId="1" type="noConversion"/>
  </si>
  <si>
    <t>305:99</t>
    <phoneticPr fontId="1" type="noConversion"/>
  </si>
  <si>
    <t>1:306,10,20,211,20,35,300,30,50</t>
    <phoneticPr fontId="1" type="noConversion"/>
  </si>
  <si>
    <t>1:101,20,35,102,15,25,319,15,25</t>
    <phoneticPr fontId="1" type="noConversion"/>
  </si>
  <si>
    <t>1:314,10,20,300,30,60,321,3,8</t>
    <phoneticPr fontId="1" type="noConversion"/>
  </si>
  <si>
    <t>1:314,7,15,101,20,50,413,30,50</t>
    <phoneticPr fontId="1" type="noConversion"/>
  </si>
  <si>
    <t>1:101,30,50,306,20,35,413,30,50</t>
    <phoneticPr fontId="1" type="noConversion"/>
  </si>
  <si>
    <t>1:101,18,35,303,100,200,309,100,200,409,3,8</t>
    <phoneticPr fontId="1" type="noConversion"/>
  </si>
  <si>
    <t>庄严冠冕·天使之冠</t>
    <phoneticPr fontId="1" type="noConversion"/>
  </si>
  <si>
    <t>1:317,15,25,300,30,50,514,10,25;4:40069</t>
    <phoneticPr fontId="1" type="noConversion"/>
  </si>
  <si>
    <t>1:102,15,30,104,10,20,403,15,30;3:10026</t>
    <phoneticPr fontId="1" type="noConversion"/>
  </si>
  <si>
    <t>4:40076</t>
    <phoneticPr fontId="1" type="noConversion"/>
  </si>
  <si>
    <t>4:40077,40078</t>
    <phoneticPr fontId="1" type="noConversion"/>
  </si>
  <si>
    <t>3:10028</t>
    <phoneticPr fontId="1" type="noConversion"/>
  </si>
  <si>
    <t>3:10029</t>
    <phoneticPr fontId="1" type="noConversion"/>
  </si>
  <si>
    <t>3:10030</t>
    <phoneticPr fontId="1" type="noConversion"/>
  </si>
  <si>
    <t>4:40079</t>
    <phoneticPr fontId="1" type="noConversion"/>
  </si>
  <si>
    <t>套装属性( 类型：值）
1:属性表--id,x
2:buff--id
3:passive--id
4:bd--id</t>
    <phoneticPr fontId="1" type="noConversion"/>
  </si>
  <si>
    <t>1:211,30,215,30</t>
    <phoneticPr fontId="1" type="noConversion"/>
  </si>
  <si>
    <t>3:10031</t>
    <phoneticPr fontId="1" type="noConversion"/>
  </si>
  <si>
    <t>3:10032</t>
    <phoneticPr fontId="1" type="noConversion"/>
  </si>
  <si>
    <t>1:404,1,1,211,20,40,215,20,40;3:10027</t>
    <phoneticPr fontId="1" type="noConversion"/>
  </si>
  <si>
    <t>1:300,30,50,204,9,18;4:40072</t>
    <phoneticPr fontId="1" type="noConversion"/>
  </si>
  <si>
    <t>1:102,12,25,412,11,22,311,4,7;4:40074</t>
    <phoneticPr fontId="1" type="noConversion"/>
  </si>
  <si>
    <t>1:101,20,45,221,8,17,226,10,25;4:40071</t>
    <phoneticPr fontId="1" type="noConversion"/>
  </si>
  <si>
    <t>1:240,5,10,242,5,10,315,5,10,404,1,1</t>
    <phoneticPr fontId="1" type="noConversion"/>
  </si>
  <si>
    <t>1:102,16,31,311,3,6,316,12,24,318,12,24;4:40083</t>
    <phoneticPr fontId="1" type="noConversion"/>
  </si>
  <si>
    <t>1:217,18,35,216,18,35,240,4,8,242,4,8;4:40084</t>
    <phoneticPr fontId="1" type="noConversion"/>
  </si>
  <si>
    <t>1:102,12,24,217,15,30,225,20,45;4:40087</t>
    <phoneticPr fontId="1" type="noConversion"/>
  </si>
  <si>
    <t>1:101,18,40,300,24,45,703,12,25;4:40088</t>
    <phoneticPr fontId="1" type="noConversion"/>
  </si>
  <si>
    <t>1:306,12,25,321,5,10,707,30,60;4:40089</t>
    <phoneticPr fontId="1" type="noConversion"/>
  </si>
  <si>
    <t>1:102,20,45,430,25,50,708,30,60;4:40090</t>
    <phoneticPr fontId="1" type="noConversion"/>
  </si>
  <si>
    <t>1:300,30,70,315,8,15,705,30,60;4:40091</t>
    <phoneticPr fontId="1" type="noConversion"/>
  </si>
  <si>
    <t>1:409,5,10,407,20,35,709,30,60;4:40092</t>
    <phoneticPr fontId="1" type="noConversion"/>
  </si>
  <si>
    <t>1:716,12,25,717,30,50,706,30,60;4:40093</t>
    <phoneticPr fontId="1" type="noConversion"/>
  </si>
  <si>
    <t>1:412,10,15,311,3,7,317,15,32;3:10033</t>
    <phoneticPr fontId="1" type="noConversion"/>
  </si>
  <si>
    <t>3:10034</t>
    <phoneticPr fontId="1" type="noConversion"/>
  </si>
  <si>
    <t>4:40094</t>
    <phoneticPr fontId="1" type="noConversion"/>
  </si>
  <si>
    <t>4:40095</t>
    <phoneticPr fontId="1" type="noConversion"/>
  </si>
  <si>
    <t>4:40096</t>
    <phoneticPr fontId="1" type="noConversion"/>
  </si>
  <si>
    <t>4:40097</t>
    <phoneticPr fontId="1" type="noConversion"/>
  </si>
  <si>
    <t>4:40098</t>
    <phoneticPr fontId="1" type="noConversion"/>
  </si>
  <si>
    <t>4:40099</t>
    <phoneticPr fontId="1" type="noConversion"/>
  </si>
  <si>
    <t>4:40100,40101,40102</t>
    <phoneticPr fontId="1" type="noConversion"/>
  </si>
  <si>
    <t>3:10035</t>
    <phoneticPr fontId="1" type="noConversion"/>
  </si>
  <si>
    <t>10705</t>
    <phoneticPr fontId="1" type="noConversion"/>
  </si>
  <si>
    <t>10703</t>
    <phoneticPr fontId="1" type="noConversion"/>
  </si>
  <si>
    <t>10709</t>
    <phoneticPr fontId="1" type="noConversion"/>
  </si>
  <si>
    <t>11102</t>
    <phoneticPr fontId="1" type="noConversion"/>
  </si>
  <si>
    <t>11106</t>
    <phoneticPr fontId="1" type="noConversion"/>
  </si>
  <si>
    <t>5427</t>
    <phoneticPr fontId="1" type="noConversion"/>
  </si>
  <si>
    <t>5434</t>
    <phoneticPr fontId="1" type="noConversion"/>
  </si>
  <si>
    <t>5435</t>
    <phoneticPr fontId="1" type="noConversion"/>
  </si>
  <si>
    <t>5437</t>
    <phoneticPr fontId="1" type="noConversion"/>
  </si>
  <si>
    <t>5421</t>
    <phoneticPr fontId="1" type="noConversion"/>
  </si>
  <si>
    <t>5812</t>
    <phoneticPr fontId="1" type="noConversion"/>
  </si>
  <si>
    <t>5845</t>
    <phoneticPr fontId="1" type="noConversion"/>
  </si>
  <si>
    <t>5837</t>
    <phoneticPr fontId="1" type="noConversion"/>
  </si>
  <si>
    <t>5315</t>
    <phoneticPr fontId="1" type="noConversion"/>
  </si>
  <si>
    <t>5345</t>
    <phoneticPr fontId="1" type="noConversion"/>
  </si>
  <si>
    <t>5336</t>
    <phoneticPr fontId="1" type="noConversion"/>
  </si>
  <si>
    <t>5645</t>
    <phoneticPr fontId="1" type="noConversion"/>
  </si>
  <si>
    <t>5635</t>
    <phoneticPr fontId="1" type="noConversion"/>
  </si>
  <si>
    <t>5708</t>
    <phoneticPr fontId="1" type="noConversion"/>
  </si>
  <si>
    <t>5510</t>
    <phoneticPr fontId="1" type="noConversion"/>
  </si>
  <si>
    <t>5520</t>
    <phoneticPr fontId="1" type="noConversion"/>
  </si>
  <si>
    <t>305:612;313:17</t>
    <phoneticPr fontId="1" type="noConversion"/>
  </si>
  <si>
    <t>305:1064;313:12</t>
    <phoneticPr fontId="1" type="noConversion"/>
  </si>
  <si>
    <t>14233</t>
    <phoneticPr fontId="1" type="noConversion"/>
  </si>
  <si>
    <t>1:506,20,40,325,15,25,240,5,10,249,15,25</t>
    <phoneticPr fontId="1" type="noConversion"/>
  </si>
  <si>
    <t>1:412,8,15,217,15,25,311,24,36,506,15,30</t>
    <phoneticPr fontId="1" type="noConversion"/>
  </si>
  <si>
    <t>1:237,16,24,241,12,28,303,-200,-200,506,40,40,217,16,24</t>
    <phoneticPr fontId="1" type="noConversion"/>
  </si>
  <si>
    <t>1:430,16,24,506,20,40,202,16,24</t>
    <phoneticPr fontId="1" type="noConversion"/>
  </si>
  <si>
    <t>1:101,18,42,300,80,120,303,-200,-200,506,30,60</t>
    <phoneticPr fontId="1" type="noConversion"/>
  </si>
  <si>
    <t>1:211,24,36,216,32,48,242,24,36,506,22,45</t>
    <phoneticPr fontId="1" type="noConversion"/>
  </si>
  <si>
    <t>1:209,5,12,300,24,48,506,15,30,323,50,100</t>
    <phoneticPr fontId="1" type="noConversion"/>
  </si>
  <si>
    <t>610013</t>
    <phoneticPr fontId="1" type="noConversion"/>
  </si>
  <si>
    <t>305:102;313:10</t>
    <phoneticPr fontId="1" type="noConversion"/>
  </si>
  <si>
    <t>305:186;313:12</t>
    <phoneticPr fontId="1" type="noConversion"/>
  </si>
  <si>
    <t>305:279;313:14</t>
    <phoneticPr fontId="1" type="noConversion"/>
  </si>
  <si>
    <t>1:314,6,12;2:41003</t>
    <phoneticPr fontId="1" type="noConversion"/>
  </si>
  <si>
    <t>305:368;313:16</t>
    <phoneticPr fontId="1" type="noConversion"/>
  </si>
  <si>
    <t>305:484;313:20</t>
    <phoneticPr fontId="1" type="noConversion"/>
  </si>
  <si>
    <t>305:341;313:13</t>
    <phoneticPr fontId="1" type="noConversion"/>
  </si>
  <si>
    <t>14240</t>
    <phoneticPr fontId="1" type="noConversion"/>
  </si>
  <si>
    <t>1:413,64,96,305,240,360,412,-40,-40,314,10,15</t>
    <phoneticPr fontId="1" type="noConversion"/>
  </si>
  <si>
    <t>305:416;313:20</t>
    <phoneticPr fontId="1" type="noConversion"/>
  </si>
  <si>
    <t>305:514;313:15</t>
    <phoneticPr fontId="1" type="noConversion"/>
  </si>
  <si>
    <t>305:588;313:16</t>
    <phoneticPr fontId="1" type="noConversion"/>
  </si>
  <si>
    <t>14243</t>
    <phoneticPr fontId="1" type="noConversion"/>
  </si>
  <si>
    <t>1:305,300,500,314,8,12,311,8,12,253,16,24,330,20,20,407,40,40</t>
    <phoneticPr fontId="1" type="noConversion"/>
  </si>
  <si>
    <t>305:489;313:16</t>
    <phoneticPr fontId="1" type="noConversion"/>
  </si>
  <si>
    <t>14241</t>
    <phoneticPr fontId="1" type="noConversion"/>
  </si>
  <si>
    <t>305:314;313:12</t>
    <phoneticPr fontId="1" type="noConversion"/>
  </si>
  <si>
    <t>305:431;313:14</t>
    <phoneticPr fontId="1" type="noConversion"/>
  </si>
  <si>
    <t>305:843;313:10</t>
    <phoneticPr fontId="1" type="noConversion"/>
  </si>
  <si>
    <t>305:594;313:15</t>
    <phoneticPr fontId="1" type="noConversion"/>
  </si>
  <si>
    <t>1:103,15,30,516,2,5,306,15,30</t>
    <phoneticPr fontId="1" type="noConversion"/>
  </si>
  <si>
    <t>1:220,20,40,303,100,200,302,15,25,317,15,30;4:40085</t>
    <phoneticPr fontId="1" type="noConversion"/>
  </si>
  <si>
    <t>猎神门徒</t>
    <phoneticPr fontId="1" type="noConversion"/>
  </si>
  <si>
    <t>荒原生存者</t>
    <phoneticPr fontId="1" type="noConversion"/>
  </si>
  <si>
    <t>混沌伟力</t>
    <phoneticPr fontId="1" type="noConversion"/>
  </si>
  <si>
    <t>死者永生</t>
    <phoneticPr fontId="1" type="noConversion"/>
  </si>
  <si>
    <t>1:101,16,24,102,16,24,103,16,24,306,40,60;4:40045</t>
    <phoneticPr fontId="1" type="noConversion"/>
  </si>
  <si>
    <t>1:412,8,16,323,12,24,315,12,24</t>
    <phoneticPr fontId="1" type="noConversion"/>
  </si>
  <si>
    <t>1:102,12,24,412,8,15,211,24,36</t>
    <phoneticPr fontId="1" type="noConversion"/>
  </si>
  <si>
    <t>1:101,24,48,104,12,18,300,24,48</t>
    <phoneticPr fontId="1" type="noConversion"/>
  </si>
  <si>
    <t>1:102,16,32,432,25,50,211,25,50;4:40054</t>
    <phoneticPr fontId="1" type="noConversion"/>
  </si>
  <si>
    <t>1:220,12,48,215,24,36,308,24,36;4:40057</t>
    <phoneticPr fontId="1" type="noConversion"/>
  </si>
  <si>
    <t>1:300,18,36,202,16,32,409,12,24;4:40066</t>
    <phoneticPr fontId="1" type="noConversion"/>
  </si>
  <si>
    <t>1:204,12,18,208,12,18,211,16,24,215,15,30;3:10025</t>
    <phoneticPr fontId="1" type="noConversion"/>
  </si>
  <si>
    <t>1:412,-20,-20,413,24,36,306,16,32,321,3,7</t>
    <phoneticPr fontId="1" type="noConversion"/>
  </si>
  <si>
    <t>1:204,8,16,505,36,52;4:40070</t>
    <phoneticPr fontId="1" type="noConversion"/>
  </si>
  <si>
    <t>1:102,16,32,215,20,40,504,22,45;4:40073</t>
    <phoneticPr fontId="1" type="noConversion"/>
  </si>
  <si>
    <t>1:220,24,48,315,12,18,243,16,24;4:40075</t>
    <phoneticPr fontId="1" type="noConversion"/>
  </si>
  <si>
    <t>1:101,16,32,102,15,32,240,5,10;4:40080</t>
    <phoneticPr fontId="1" type="noConversion"/>
  </si>
  <si>
    <t>1:103,16,32,216,25,50,242,5,10;4:40081</t>
    <phoneticPr fontId="1" type="noConversion"/>
  </si>
  <si>
    <t>1:101,18,36,211,25,50,319,12,24;4:40082</t>
    <phoneticPr fontId="1" type="noConversion"/>
  </si>
  <si>
    <t>1:101,12,24,102,24,48,103,12,25,405,1,2</t>
    <phoneticPr fontId="1" type="noConversion"/>
  </si>
  <si>
    <t>1:204,8,16,226,10,25,311,4,8;4:40086</t>
    <phoneticPr fontId="1" type="noConversion"/>
  </si>
  <si>
    <t>1:206,16,24,213,18,36,323,24,36;4:40043</t>
    <phoneticPr fontId="1" type="noConversion"/>
  </si>
  <si>
    <t>正义使者</t>
  </si>
  <si>
    <t>血罗</t>
  </si>
  <si>
    <t>远古诸王之锤</t>
  </si>
  <si>
    <t>剧毒之血</t>
  </si>
  <si>
    <t>青牙</t>
  </si>
  <si>
    <t>多功能刀</t>
  </si>
  <si>
    <t>雷霆结晶</t>
  </si>
  <si>
    <t>古神绷带</t>
  </si>
  <si>
    <t>黑水之赐</t>
  </si>
  <si>
    <t>脓汁之母</t>
  </si>
  <si>
    <t>233:40;234:65;219:25</t>
    <phoneticPr fontId="1" type="noConversion"/>
  </si>
  <si>
    <t>233:15;234:18;219:10</t>
    <phoneticPr fontId="1" type="noConversion"/>
  </si>
  <si>
    <t>233:23;234:30;219:-50</t>
    <phoneticPr fontId="1" type="noConversion"/>
  </si>
  <si>
    <t>233:12;234:30;219:12</t>
    <phoneticPr fontId="1" type="noConversion"/>
  </si>
  <si>
    <t>233:15;234:23;219:11</t>
    <phoneticPr fontId="1" type="noConversion"/>
  </si>
  <si>
    <t>233:16;234:34;219:3</t>
    <phoneticPr fontId="1" type="noConversion"/>
  </si>
  <si>
    <t>233:8;234:15;219:8</t>
    <phoneticPr fontId="1" type="noConversion"/>
  </si>
  <si>
    <t>233:11;234:15;219:18</t>
    <phoneticPr fontId="1" type="noConversion"/>
  </si>
  <si>
    <t>640022</t>
  </si>
  <si>
    <t>640023</t>
  </si>
  <si>
    <t>640024</t>
  </si>
  <si>
    <t>640025</t>
  </si>
  <si>
    <t>640026</t>
  </si>
  <si>
    <t>640027</t>
  </si>
  <si>
    <t>640028</t>
  </si>
  <si>
    <t>640029</t>
  </si>
  <si>
    <t>640030</t>
  </si>
  <si>
    <t>640031</t>
  </si>
  <si>
    <t>1:101,25,50,217,12,25,211,20,45,215,20,45;4:40103</t>
    <phoneticPr fontId="1" type="noConversion"/>
  </si>
  <si>
    <t>1:101,15,30,300,50,100,413,30,50;4:40104</t>
    <phoneticPr fontId="1" type="noConversion"/>
  </si>
  <si>
    <t>1:102,15,25,240,5,10,242,5,10;4:40106</t>
    <phoneticPr fontId="1" type="noConversion"/>
  </si>
  <si>
    <t>1:211,30,50,216,30,50,404,1,1,405,1,3</t>
    <phoneticPr fontId="1" type="noConversion"/>
  </si>
  <si>
    <t>1:102,20,35,300,30,55,313,5,8,721,25,50;4:40107</t>
    <phoneticPr fontId="1" type="noConversion"/>
  </si>
  <si>
    <t>1:215,25,50,318,25,50,213,10,20;2:1009;3:10036</t>
    <phoneticPr fontId="1" type="noConversion"/>
  </si>
  <si>
    <t>1:303,100,200;2:2001;3:10037</t>
    <phoneticPr fontId="1" type="noConversion"/>
  </si>
  <si>
    <t>1:103,20,45,104,-15,-10,213,20,40,317,20,40;2:2002</t>
    <phoneticPr fontId="1" type="noConversion"/>
  </si>
  <si>
    <t>1:101,-15,-10,216,20,40,319,20,40,242,5,10;2:2003</t>
    <phoneticPr fontId="1" type="noConversion"/>
  </si>
  <si>
    <t>10310</t>
    <phoneticPr fontId="1" type="noConversion"/>
  </si>
  <si>
    <t>10704</t>
    <phoneticPr fontId="1" type="noConversion"/>
  </si>
  <si>
    <t>10701</t>
    <phoneticPr fontId="1" type="noConversion"/>
  </si>
  <si>
    <t>5508</t>
    <phoneticPr fontId="1" type="noConversion"/>
  </si>
  <si>
    <t>233:22;234:53;219:25</t>
    <phoneticPr fontId="1" type="noConversion"/>
  </si>
  <si>
    <t>1:101,20,35,304,20,35,432,20,35;4:40105</t>
    <phoneticPr fontId="1" type="noConversion"/>
  </si>
  <si>
    <t>1:101,32,48,807,30,70,201,8,12,305,160,240,235,16,24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</si>
</sst>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0.0000"/>
    <numFmt numFmtId="178" formatCode="0_);[Red]\(0\)"/>
    <numFmt numFmtId="179" formatCode="0_ "/>
  </numFmts>
  <fonts count="2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5" tint="-0.249977111117893"/>
      <name val="等线"/>
      <family val="3"/>
      <charset val="134"/>
      <scheme val="minor"/>
    </font>
    <font>
      <sz val="11"/>
      <color rgb="FFCC66FF"/>
      <name val="等线"/>
      <family val="3"/>
      <charset val="134"/>
      <scheme val="minor"/>
    </font>
    <font>
      <sz val="11"/>
      <color rgb="FF00B0F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1"/>
      <color rgb="FF006100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00FFFF"/>
      <name val="等线"/>
      <family val="3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sz val="9"/>
      <color theme="1"/>
      <name val="Microsoft YaHei Light"/>
      <family val="2"/>
      <charset val="134"/>
    </font>
    <font>
      <sz val="9"/>
      <name val="等线"/>
      <family val="2"/>
      <charset val="134"/>
      <scheme val="minor"/>
    </font>
    <font>
      <sz val="9"/>
      <name val="微软雅黑"/>
      <family val="2"/>
      <charset val="134"/>
    </font>
    <font>
      <sz val="11"/>
      <color theme="1"/>
      <name val="等线"/>
      <family val="2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F0000"/>
      <name val="等线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9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6" fillId="14" borderId="8" applyNumberFormat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21" fillId="14" borderId="7" applyNumberFormat="0" applyAlignment="0" applyProtection="0">
      <alignment vertical="center"/>
    </xf>
  </cellStyleXfs>
  <cellXfs count="146">
    <xf numFmtId="0" fontId="0" fillId="0" borderId="0" xfId="0"/>
    <xf numFmtId="49" fontId="0" fillId="0" borderId="0" xfId="0" applyNumberForma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0" fillId="2" borderId="0" xfId="0" applyFill="1"/>
    <xf numFmtId="0" fontId="7" fillId="2" borderId="0" xfId="0" applyFont="1" applyFill="1"/>
    <xf numFmtId="0" fontId="7" fillId="3" borderId="0" xfId="0" applyFont="1" applyFill="1"/>
    <xf numFmtId="0" fontId="0" fillId="3" borderId="0" xfId="0" applyFill="1"/>
    <xf numFmtId="0" fontId="7" fillId="4" borderId="0" xfId="0" applyFont="1" applyFill="1"/>
    <xf numFmtId="0" fontId="0" fillId="4" borderId="0" xfId="0" applyFill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7" fillId="0" borderId="0" xfId="0" applyFont="1" applyAlignment="1">
      <alignment horizontal="left" wrapText="1"/>
    </xf>
    <xf numFmtId="0" fontId="0" fillId="0" borderId="0" xfId="0" applyAlignment="1">
      <alignment horizontal="center" wrapText="1"/>
    </xf>
    <xf numFmtId="0" fontId="7" fillId="5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0" fontId="0" fillId="6" borderId="1" xfId="0" applyFill="1" applyBorder="1"/>
    <xf numFmtId="0" fontId="0" fillId="0" borderId="1" xfId="0" applyBorder="1"/>
    <xf numFmtId="0" fontId="0" fillId="6" borderId="2" xfId="0" applyFill="1" applyBorder="1"/>
    <xf numFmtId="0" fontId="0" fillId="0" borderId="0" xfId="0" applyAlignment="1">
      <alignment vertical="center" wrapText="1"/>
    </xf>
    <xf numFmtId="0" fontId="0" fillId="0" borderId="2" xfId="0" applyBorder="1"/>
    <xf numFmtId="0" fontId="9" fillId="8" borderId="0" xfId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76" fontId="0" fillId="0" borderId="0" xfId="0" applyNumberFormat="1"/>
    <xf numFmtId="176" fontId="10" fillId="9" borderId="4" xfId="2" applyNumberFormat="1" applyBorder="1" applyAlignment="1">
      <alignment horizontal="center"/>
    </xf>
    <xf numFmtId="0" fontId="0" fillId="10" borderId="3" xfId="0" applyFill="1" applyBorder="1"/>
    <xf numFmtId="0" fontId="0" fillId="11" borderId="3" xfId="0" applyFill="1" applyBorder="1"/>
    <xf numFmtId="0" fontId="0" fillId="4" borderId="3" xfId="0" applyFill="1" applyBorder="1"/>
    <xf numFmtId="49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77" fontId="0" fillId="0" borderId="0" xfId="0" applyNumberFormat="1"/>
    <xf numFmtId="0" fontId="11" fillId="0" borderId="0" xfId="0" applyFo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9" fontId="0" fillId="0" borderId="3" xfId="0" applyNumberFormat="1" applyBorder="1" applyAlignment="1">
      <alignment horizontal="center"/>
    </xf>
    <xf numFmtId="49" fontId="8" fillId="0" borderId="3" xfId="0" applyNumberFormat="1" applyFont="1" applyBorder="1" applyAlignment="1">
      <alignment horizontal="center"/>
    </xf>
    <xf numFmtId="0" fontId="17" fillId="15" borderId="3" xfId="0" applyFont="1" applyFill="1" applyBorder="1" applyAlignment="1">
      <alignment horizontal="center" vertical="center"/>
    </xf>
    <xf numFmtId="0" fontId="17" fillId="16" borderId="3" xfId="0" applyFont="1" applyFill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/>
    </xf>
    <xf numFmtId="0" fontId="17" fillId="15" borderId="9" xfId="0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/>
    </xf>
    <xf numFmtId="49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center"/>
    </xf>
    <xf numFmtId="0" fontId="13" fillId="0" borderId="6" xfId="3" applyAlignment="1">
      <alignment horizontal="center" vertical="center"/>
    </xf>
    <xf numFmtId="0" fontId="13" fillId="0" borderId="0" xfId="3" applyFill="1" applyBorder="1" applyAlignment="1">
      <alignment horizontal="center" vertical="center"/>
    </xf>
    <xf numFmtId="0" fontId="13" fillId="0" borderId="0" xfId="3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0" borderId="0" xfId="0" applyFill="1"/>
    <xf numFmtId="0" fontId="0" fillId="11" borderId="0" xfId="0" applyFill="1"/>
    <xf numFmtId="0" fontId="0" fillId="17" borderId="3" xfId="0" applyFill="1" applyBorder="1" applyAlignment="1">
      <alignment horizontal="center" vertical="center"/>
    </xf>
    <xf numFmtId="9" fontId="0" fillId="17" borderId="3" xfId="0" applyNumberFormat="1" applyFill="1" applyBorder="1" applyAlignment="1">
      <alignment horizontal="center" vertical="center"/>
    </xf>
    <xf numFmtId="9" fontId="0" fillId="17" borderId="3" xfId="7" applyFont="1" applyFill="1" applyBorder="1" applyAlignment="1">
      <alignment horizontal="center" vertical="center"/>
    </xf>
    <xf numFmtId="9" fontId="0" fillId="18" borderId="3" xfId="7" applyFont="1" applyFill="1" applyBorder="1" applyAlignment="1">
      <alignment horizontal="center" vertical="center"/>
    </xf>
    <xf numFmtId="9" fontId="0" fillId="10" borderId="3" xfId="7" applyFont="1" applyFill="1" applyBorder="1" applyAlignment="1">
      <alignment horizontal="center" vertical="center"/>
    </xf>
    <xf numFmtId="0" fontId="14" fillId="0" borderId="3" xfId="4" applyBorder="1" applyAlignment="1">
      <alignment horizontal="center" vertical="center"/>
    </xf>
    <xf numFmtId="0" fontId="14" fillId="17" borderId="3" xfId="4" applyFill="1" applyBorder="1" applyAlignment="1">
      <alignment horizontal="center" vertical="center"/>
    </xf>
    <xf numFmtId="0" fontId="14" fillId="18" borderId="3" xfId="4" applyFill="1" applyBorder="1" applyAlignment="1">
      <alignment horizontal="center" vertical="center"/>
    </xf>
    <xf numFmtId="0" fontId="14" fillId="10" borderId="3" xfId="4" applyFill="1" applyBorder="1" applyAlignment="1">
      <alignment horizontal="center" vertical="center"/>
    </xf>
    <xf numFmtId="0" fontId="16" fillId="14" borderId="8" xfId="6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9" fontId="15" fillId="13" borderId="7" xfId="5" applyNumberFormat="1" applyAlignment="1">
      <alignment horizontal="left" vertical="center"/>
    </xf>
    <xf numFmtId="0" fontId="14" fillId="10" borderId="0" xfId="4" applyFill="1" applyBorder="1" applyAlignment="1">
      <alignment horizontal="center" vertical="center"/>
    </xf>
    <xf numFmtId="0" fontId="0" fillId="19" borderId="0" xfId="0" applyFill="1"/>
    <xf numFmtId="0" fontId="21" fillId="14" borderId="7" xfId="8" applyAlignment="1"/>
    <xf numFmtId="0" fontId="7" fillId="4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0" fillId="15" borderId="0" xfId="0" applyFill="1"/>
    <xf numFmtId="0" fontId="0" fillId="6" borderId="2" xfId="0" applyFill="1" applyBorder="1" applyAlignment="1">
      <alignment horizontal="center"/>
    </xf>
    <xf numFmtId="49" fontId="0" fillId="6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6" borderId="2" xfId="0" applyNumberForma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15" borderId="3" xfId="0" applyFill="1" applyBorder="1"/>
    <xf numFmtId="0" fontId="0" fillId="19" borderId="0" xfId="0" applyFill="1" applyAlignment="1">
      <alignment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21" borderId="0" xfId="0" applyFill="1"/>
    <xf numFmtId="0" fontId="0" fillId="5" borderId="3" xfId="0" applyFill="1" applyBorder="1"/>
    <xf numFmtId="0" fontId="0" fillId="21" borderId="0" xfId="0" applyFill="1" applyAlignment="1">
      <alignment horizontal="center"/>
    </xf>
    <xf numFmtId="49" fontId="0" fillId="21" borderId="0" xfId="0" applyNumberFormat="1" applyFill="1" applyAlignment="1">
      <alignment horizontal="center"/>
    </xf>
    <xf numFmtId="9" fontId="0" fillId="20" borderId="3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178" fontId="0" fillId="0" borderId="0" xfId="0" applyNumberFormat="1"/>
    <xf numFmtId="179" fontId="0" fillId="0" borderId="0" xfId="0" applyNumberFormat="1"/>
    <xf numFmtId="0" fontId="0" fillId="3" borderId="3" xfId="0" applyFill="1" applyBorder="1" applyAlignment="1">
      <alignment horizontal="center" vertical="center"/>
    </xf>
    <xf numFmtId="9" fontId="0" fillId="3" borderId="3" xfId="0" applyNumberFormat="1" applyFill="1" applyBorder="1" applyAlignment="1">
      <alignment horizontal="center" vertical="center"/>
    </xf>
    <xf numFmtId="9" fontId="0" fillId="3" borderId="3" xfId="7" applyFont="1" applyFill="1" applyBorder="1" applyAlignment="1">
      <alignment horizontal="center" vertical="center"/>
    </xf>
    <xf numFmtId="0" fontId="16" fillId="3" borderId="8" xfId="6" applyFill="1" applyAlignment="1">
      <alignment horizontal="center" vertical="center"/>
    </xf>
    <xf numFmtId="9" fontId="15" fillId="3" borderId="7" xfId="5" applyNumberFormat="1" applyFill="1" applyAlignment="1">
      <alignment horizontal="left" vertical="center"/>
    </xf>
    <xf numFmtId="0" fontId="21" fillId="3" borderId="7" xfId="8" applyFill="1" applyAlignment="1"/>
    <xf numFmtId="20" fontId="0" fillId="23" borderId="0" xfId="0" applyNumberFormat="1" applyFill="1" applyAlignment="1">
      <alignment horizontal="left"/>
    </xf>
    <xf numFmtId="10" fontId="0" fillId="0" borderId="3" xfId="0" applyNumberFormat="1" applyBorder="1" applyAlignment="1">
      <alignment horizontal="center" vertical="center"/>
    </xf>
    <xf numFmtId="0" fontId="7" fillId="24" borderId="0" xfId="0" applyFont="1" applyFill="1"/>
    <xf numFmtId="0" fontId="0" fillId="24" borderId="0" xfId="0" applyFill="1"/>
    <xf numFmtId="0" fontId="22" fillId="0" borderId="0" xfId="0" applyFont="1" applyAlignment="1">
      <alignment horizontal="center"/>
    </xf>
    <xf numFmtId="0" fontId="0" fillId="25" borderId="0" xfId="0" applyFill="1"/>
    <xf numFmtId="49" fontId="0" fillId="21" borderId="0" xfId="0" applyNumberFormat="1" applyFill="1" applyAlignment="1">
      <alignment horizontal="left"/>
    </xf>
    <xf numFmtId="49" fontId="0" fillId="22" borderId="0" xfId="0" applyNumberFormat="1" applyFill="1" applyAlignment="1">
      <alignment horizontal="left"/>
    </xf>
    <xf numFmtId="0" fontId="0" fillId="1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15" borderId="12" xfId="0" applyFill="1" applyBorder="1"/>
    <xf numFmtId="0" fontId="0" fillId="5" borderId="12" xfId="0" applyFill="1" applyBorder="1"/>
    <xf numFmtId="0" fontId="0" fillId="15" borderId="12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15" borderId="9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15" borderId="10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 wrapText="1"/>
    </xf>
    <xf numFmtId="0" fontId="0" fillId="15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0" fillId="15" borderId="0" xfId="0" applyFill="1" applyAlignment="1">
      <alignment horizontal="center" vertical="center" wrapText="1"/>
    </xf>
    <xf numFmtId="0" fontId="0" fillId="15" borderId="0" xfId="0" applyFill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</cellXfs>
  <cellStyles count="9">
    <cellStyle name="百分比" xfId="7" builtinId="5"/>
    <cellStyle name="标题 2" xfId="3" builtinId="17"/>
    <cellStyle name="标题 4" xfId="4" builtinId="19"/>
    <cellStyle name="常规" xfId="0" builtinId="0"/>
    <cellStyle name="好" xfId="1" builtinId="26"/>
    <cellStyle name="计算" xfId="8" builtinId="22"/>
    <cellStyle name="适中" xfId="2" builtinId="28"/>
    <cellStyle name="输出" xfId="6" builtinId="21"/>
    <cellStyle name="输入" xfId="5" builtinId="20"/>
  </cellStyles>
  <dxfs count="77">
    <dxf>
      <font>
        <color rgb="FF9C0006"/>
      </font>
      <fill>
        <patternFill>
          <bgColor rgb="FFFFC7CE"/>
        </patternFill>
      </fill>
    </dxf>
    <dxf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C80"/>
      <color rgb="FFCC99FF"/>
      <color rgb="FFCC66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4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equip_i" form="unqualified"/>
                  <xsd:element minOccurs="0" nillable="true" type="xsd:integer" name="hands_i" form="unqualified"/>
                  <xsd:element minOccurs="0" nillable="true" type="xsd:integer" name="slot_l" form="unqualified"/>
                </xsd:sequence>
              </xsd:complexType>
            </xsd:element>
          </xsd:sequence>
        </xsd:complexType>
      </xsd:element>
    </xsd:schema>
  </Schema>
  <Schema ID="Schema3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name_i" form="unqualified"/>
                  <xsd:element minOccurs="0" nillable="true" type="xsd:integer" name="desc_i" form="unqualified"/>
                  <xsd:element minOccurs="0" nillable="true" type="xsd:integer" name="icon_l" form="unqualified"/>
                  <xsd:element minOccurs="0" nillable="true" type="xsd:integer" name="invwidth_i" form="unqualified"/>
                  <xsd:element minOccurs="0" nillable="true" type="xsd:integer" name="invheight_i" form="unqualified"/>
                  <xsd:element minOccurs="0" nillable="true" type="xsd:integer" name="type_i" form="unqualified"/>
                  <xsd:element minOccurs="0" nillable="true" type="xsd:integer" name="rarity_i" form="unqualified"/>
                  <xsd:element minOccurs="0" nillable="true" type="xsd:integer" name="set_id_i" form="unqualified"/>
                  <xsd:element minOccurs="0" nillable="true" type="xsd:integer" name="base_price_i" form="unqualified"/>
                  <xsd:element minOccurs="0" nillable="true" type="xsd:integer" name="chance_i" form="unqualified"/>
                  <xsd:element minOccurs="0" nillable="true" type="xsd:integer" name="shop_chance_i" form="unqualified"/>
                  <xsd:element minOccurs="0" nillable="true" type="xsd:integer" name="gamble_chance_i" form="unqualified"/>
                  <xsd:element minOccurs="0" nillable="true" type="xsd:integer" name="vocation_i" form="unqualified"/>
                  <xsd:element minOccurs="0" nillable="true" type="xsd:string" name="base_attri_m" form="unqualified"/>
                  <xsd:element minOccurs="0" nillable="true" type="xsd:integer" name="chinese_i" form="unqualified"/>
                  <xsd:element minOccurs="0" nillable="true" type="xsd:string" name="affix_attri_n" form="unqualified"/>
                  <xsd:element minOccurs="0" nillable="true" type="xsd:integer" name="item_affix_l" form="unqualified"/>
                  <xsd:element minOccurs="0" nillable="true" type="xsd:integer" name="weapon_skill_i" form="unqualified"/>
                  <xsd:element minOccurs="0" nillable="true" type="xsd:integer" name="weapon_buff_l" form="unqualified"/>
                  <xsd:element minOccurs="0" nillable="true" type="xsd:integer" name="weapon_atkspeed_i" form="unqualified"/>
                  <xsd:element minOccurs="0" nillable="true" type="xsd:integer" name="weight_i" form="unqualified"/>
                  <xsd:element minOccurs="0" nillable="true" type="xsd:integer" name="wearmodel_i" form="unqualified"/>
                  <xsd:element minOccurs="0" nillable="true" type="xsd:integer" name="dropmodel_i" form="unqualified"/>
                  <xsd:element minOccurs="0" nillable="true" type="xsd:integer" name="dropsound_i" form="unqualified"/>
                  <xsd:element minOccurs="0" nillable="true" type="xsd:integer" name="pickupsound_i" form="unqualified"/>
                  <xsd:element minOccurs="0" nillable="true" type="xsd:integer" name="discard_i" form="unqualified"/>
                </xsd:sequence>
              </xsd:complexType>
            </xsd:element>
          </xsd:sequence>
        </xsd:complexType>
      </xsd:element>
    </xsd:schema>
  </Schema>
  <Schema ID="Schema7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set_id_i" form="unqualified"/>
                  <xsd:element minOccurs="0" nillable="true" type="xsd:integer" name="set_name_i" form="unqualified"/>
                  <xsd:element minOccurs="0" nillable="true" type="xsd:string" name="activate_num_l" form="unqualified"/>
                  <xsd:element minOccurs="0" nillable="true" type="xsd:integer" name="desc_l" form="unqualified"/>
                  <xsd:element minOccurs="0" nillable="true" type="xsd:string" name="set_attri_fir_n" form="unqualified"/>
                  <xsd:element minOccurs="0" nillable="true" type="xsd:string" name="set_attri_sec_n" form="unqualified"/>
                  <xsd:element minOccurs="0" nillable="true" type="xsd:string" name="set_attri_thi_n" form="unqualified"/>
                  <xsd:element minOccurs="0" nillable="true" type="xsd:string" name="set_attri_fou_n" form="unqualified"/>
                  <xsd:element minOccurs="0" nillable="true" type="xsd:string" name="set_attri_fif_n" form="unqualified"/>
                  <xsd:element minOccurs="0" nillable="true" type="xsd:string" name="set_attri_six_n" form="unqualified"/>
                </xsd:sequence>
              </xsd:complexType>
            </xsd:element>
          </xsd:sequence>
        </xsd:complexType>
      </xsd:element>
    </xsd:schema>
  </Schema>
  <Schema ID="Schema5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name_i" form="unqualified"/>
                  <xsd:element minOccurs="0" nillable="true" type="xsd:integer" name="desc_i" form="unqualified"/>
                  <xsd:element minOccurs="0" nillable="true" type="xsd:integer" name="icon_l" form="unqualified"/>
                  <xsd:element minOccurs="0" nillable="true" type="xsd:integer" name="invwidth_i" form="unqualified"/>
                  <xsd:element minOccurs="0" nillable="true" type="xsd:integer" name="invheight_i" form="unqualified"/>
                  <xsd:element minOccurs="0" nillable="true" type="xsd:integer" name="type_i" form="unqualified"/>
                  <xsd:element minOccurs="0" nillable="true" type="xsd:integer" name="rarity_i" form="unqualified"/>
                  <xsd:element minOccurs="0" nillable="true" type="xsd:integer" name="set_id_i" form="unqualified"/>
                  <xsd:element minOccurs="0" nillable="true" type="xsd:integer" name="base_price_i" form="unqualified"/>
                  <xsd:element minOccurs="0" nillable="true" type="xsd:integer" name="chance_i" form="unqualified"/>
                  <xsd:element minOccurs="0" nillable="true" type="xsd:integer" name="shop_chance_i" form="unqualified"/>
                  <xsd:element minOccurs="0" nillable="true" type="xsd:integer" name="gamble_chance_i" form="unqualified"/>
                  <xsd:element minOccurs="0" nillable="true" type="xsd:integer" name="vocation_i" form="unqualified"/>
                  <xsd:element minOccurs="0" nillable="true" type="xsd:string" name="base_attri_m" form="unqualified"/>
                  <xsd:element minOccurs="0" nillable="true" type="xsd:integer" name="chinese_i" form="unqualified"/>
                  <xsd:element minOccurs="0" nillable="true" type="xsd:string" name="affix_attri_n" form="unqualified"/>
                  <xsd:element minOccurs="0" nillable="true" type="xsd:integer" name="item_affix_l" form="unqualified"/>
                  <xsd:element minOccurs="0" nillable="true" type="xsd:integer" name="weapon_skill_i" form="unqualified"/>
                  <xsd:element minOccurs="0" nillable="true" type="xsd:integer" name="weapon_buff_l" form="unqualified"/>
                  <xsd:element minOccurs="0" nillable="true" type="xsd:integer" name="weapon_atkspeed_i" form="unqualified"/>
                  <xsd:element minOccurs="0" nillable="true" type="xsd:integer" name="weight_i" form="unqualified"/>
                  <xsd:element minOccurs="0" nillable="true" type="xsd:integer" name="wearmodel_i" form="unqualified"/>
                  <xsd:element minOccurs="0" nillable="true" type="xsd:integer" name="effect_s" form="unqualified"/>
                  <xsd:element minOccurs="0" nillable="true" type="xsd:integer" name="dropmodel_i" form="unqualified"/>
                  <xsd:element minOccurs="0" nillable="true" type="xsd:integer" name="dropsound_i" form="unqualified"/>
                  <xsd:element minOccurs="0" nillable="true" type="xsd:integer" name="pickupsound_i" form="unqualified"/>
                  <xsd:element minOccurs="0" nillable="true" type="xsd:integer" name="exclusive_i" form="unqualified"/>
                  <xsd:element minOccurs="0" nillable="true" type="xsd:integer" name="discard_i" form="unqualified"/>
                  <xsd:element minOccurs="0" nillable="true" type="xsd:integer" name="disassemble_i" form="unqualified"/>
                  <xsd:element minOccurs="0" nillable="true" type="xsd:integer" name="task_id_i" form="unqualified"/>
                </xsd:sequence>
              </xsd:complexType>
            </xsd:element>
          </xsd:sequence>
        </xsd:complexType>
      </xsd:element>
    </xsd:schema>
  </Schema>
  <Map ID="45" Name="equipment" RootElement="root" SchemaID="Schema5" ShowImportExportValidationErrors="false" AutoFit="true" Append="false" PreserveSortAFLayout="true" PreserveFormat="true">
    <DataBinding FileBinding="true" ConnectionID="16" DataBindingLoadMode="1"/>
  </Map>
  <Map ID="6" Name="equipment_slot" RootElement="root" SchemaID="Schema4" ShowImportExportValidationErrors="false" AutoFit="true" Append="false" PreserveSortAFLayout="true" PreserveFormat="true">
    <DataBinding FileBinding="true" ConnectionID="3" DataBindingLoadMode="1"/>
  </Map>
  <Map ID="35" Name="set_equip" RootElement="root" SchemaID="Schema7" ShowImportExportValidationErrors="false" AutoFit="true" Append="false" PreserveSortAFLayout="true" PreserveFormat="true">
    <DataBinding FileBinding="true" ConnectionID="25" DataBindingLoadMode="1"/>
  </Map>
  <Map ID="28" Name="装备表" RootElement="root" SchemaID="Schema3" ShowImportExportValidationErrors="false" AutoFit="true" Append="false" PreserveSortAFLayout="true" PreserveFormat="true">
    <DataBinding FileBinding="true" ConnectionID="1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xmlMaps" Target="xmlMap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533400</xdr:colOff>
      <xdr:row>5</xdr:row>
      <xdr:rowOff>158751</xdr:rowOff>
    </xdr:from>
    <xdr:to>
      <xdr:col>8</xdr:col>
      <xdr:colOff>395778</xdr:colOff>
      <xdr:row>17</xdr:row>
      <xdr:rowOff>171451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D075BED-5035-4B4D-AC41-56DC84203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9950" y="1047751"/>
          <a:ext cx="1183178" cy="23241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93BD73-4E02-4E2F-96CF-DB54567237CD}" name="表1" displayName="表1" ref="E4:AI474" tableType="xml" totalsRowShown="0" dataDxfId="46" connectionId="16">
  <autoFilter ref="E4:AI474" xr:uid="{B659AF48-02A7-4ABB-84D4-0285A1C2CE4E}"/>
  <tableColumns count="31">
    <tableColumn id="1" xr3:uid="{75FA260E-D26F-4AD8-A590-0BA97429F5E5}" uniqueName="id_i" name="id_i" dataDxfId="45">
      <xmlColumnPr mapId="45" xpath="/root/data/id_i" xmlDataType="integer"/>
    </tableColumn>
    <tableColumn id="2" xr3:uid="{9FE09447-CFE3-451C-9C76-DA2F29CB6ED1}" uniqueName="name_i" name="name_i" dataDxfId="44">
      <xmlColumnPr mapId="45" xpath="/root/data/name_i" xmlDataType="integer"/>
    </tableColumn>
    <tableColumn id="4" xr3:uid="{BA8B9E20-2009-4F6F-A0E6-63F617C90BF0}" uniqueName="desc_i" name="desc_i" dataDxfId="43">
      <xmlColumnPr mapId="45" xpath="/root/data/desc_i" xmlDataType="integer"/>
    </tableColumn>
    <tableColumn id="3" xr3:uid="{1DB0BC22-79C9-4FAF-A95A-9808CAAB9225}" uniqueName="icon_l" name="icon_l" dataDxfId="42">
      <xmlColumnPr mapId="45" xpath="/root/data/icon_l" xmlDataType="integer"/>
    </tableColumn>
    <tableColumn id="17" xr3:uid="{FD1D0B9D-E9F0-49FF-A3E9-1CD673DFC8DC}" uniqueName="invwidth_i" name="invwidth_i" dataDxfId="41">
      <xmlColumnPr mapId="45" xpath="/root/data/invwidth_i" xmlDataType="integer"/>
    </tableColumn>
    <tableColumn id="18" xr3:uid="{1D194631-3A31-4370-81F7-AF52D6854753}" uniqueName="invheight_i" name="invheight_i" dataDxfId="40">
      <xmlColumnPr mapId="45" xpath="/root/data/invheight_i" xmlDataType="integer"/>
    </tableColumn>
    <tableColumn id="5" xr3:uid="{139C890F-8EB1-4E22-AB1A-3E1A2C525509}" uniqueName="type_i" name="type_i" dataDxfId="39">
      <xmlColumnPr mapId="45" xpath="/root/data/type_i" xmlDataType="integer"/>
    </tableColumn>
    <tableColumn id="6" xr3:uid="{65AF0B08-CAED-4DA9-8911-6B1705452F8F}" uniqueName="rarity_i" name="rarity_i" dataDxfId="38">
      <xmlColumnPr mapId="45" xpath="/root/data/rarity_i" xmlDataType="integer"/>
    </tableColumn>
    <tableColumn id="25" xr3:uid="{CA23DA89-659C-4002-8F92-D3CA8ABDE75C}" uniqueName="set_id_i" name="set_id_i" dataDxfId="37">
      <xmlColumnPr mapId="45" xpath="/root/data/set_id_i" xmlDataType="integer"/>
    </tableColumn>
    <tableColumn id="27" xr3:uid="{6842D13C-CD4B-45FA-A379-22DEFF646A5B}" uniqueName="base_price_i" name="base_price_i" dataDxfId="36">
      <xmlColumnPr mapId="45" xpath="/root/data/base_price_i" xmlDataType="integer"/>
    </tableColumn>
    <tableColumn id="20" xr3:uid="{190FCD46-FFCF-481B-9F8F-6EF9AF217695}" uniqueName="chance_i" name="chance_i" dataDxfId="35">
      <xmlColumnPr mapId="45" xpath="/root/data/chance_i" xmlDataType="integer"/>
    </tableColumn>
    <tableColumn id="24" xr3:uid="{192C56C9-A126-4548-9AE9-1E58D2B282BC}" uniqueName="shop_chance_i" name="shop_chance_i" dataDxfId="34">
      <xmlColumnPr mapId="45" xpath="/root/data/shop_chance_i" xmlDataType="integer"/>
    </tableColumn>
    <tableColumn id="28" xr3:uid="{ED3C92BB-B987-41B4-9109-6BAF42B310FC}" uniqueName="gamble_chance_i" name="gamble_chance_i" dataDxfId="33">
      <xmlColumnPr mapId="45" xpath="/root/data/gamble_chance_i" xmlDataType="integer"/>
    </tableColumn>
    <tableColumn id="7" xr3:uid="{62C0320A-1C2D-44EE-9A0F-2E5067F9F97E}" uniqueName="vocation_i" name="vocation_i" dataDxfId="32">
      <xmlColumnPr mapId="45" xpath="/root/data/vocation_i" xmlDataType="integer"/>
    </tableColumn>
    <tableColumn id="8" xr3:uid="{B632C43C-E7C0-4C84-9CDC-26EA93E7D8C9}" uniqueName="base_attri_m" name="base_attri_m" dataDxfId="31">
      <xmlColumnPr mapId="45" xpath="/root/data/base_attri_m" xmlDataType="string"/>
    </tableColumn>
    <tableColumn id="19" xr3:uid="{55E4A35A-36DB-4E4B-8084-37067731BB75}" uniqueName="chinese_i" name="chinese_i" dataDxfId="30">
      <xmlColumnPr mapId="45" xpath="/root/data/chinese_i" xmlDataType="integer"/>
    </tableColumn>
    <tableColumn id="9" xr3:uid="{F7AB4E5A-F61A-4E62-BEA9-E498B7BA1F4B}" uniqueName="affix_attri_n" name="affix_attri_n" dataDxfId="29">
      <xmlColumnPr mapId="45" xpath="/root/data/affix_attri_n" xmlDataType="string"/>
    </tableColumn>
    <tableColumn id="23" xr3:uid="{FA65570E-9FF0-47AF-AA88-4F4EF6835062}" uniqueName="item_affix_l" name="item_affix_l" dataDxfId="28">
      <xmlColumnPr mapId="45" xpath="/root/data/item_affix_l" xmlDataType="integer"/>
    </tableColumn>
    <tableColumn id="10" xr3:uid="{665D9F32-F5FE-4B10-A69E-CCA65208C478}" uniqueName="weapon_skill_i" name="weapon_skill_i" dataDxfId="27">
      <xmlColumnPr mapId="45" xpath="/root/data/weapon_skill_i" xmlDataType="integer"/>
    </tableColumn>
    <tableColumn id="22" xr3:uid="{E54C247B-8BF0-42ED-8E18-E57C52B31C6E}" uniqueName="weapon_buff_l" name="weapon_buff_l" dataDxfId="26">
      <xmlColumnPr mapId="45" xpath="/root/data/weapon_buff_l" xmlDataType="integer"/>
    </tableColumn>
    <tableColumn id="11" xr3:uid="{33CF30FE-9EFD-4AC1-96CA-C5D265E1DC3D}" uniqueName="weapon_atkspeed_i" name="weapon_atkspeed_i" dataDxfId="25">
      <xmlColumnPr mapId="45" xpath="/root/data/weapon_atkspeed_i" xmlDataType="integer"/>
    </tableColumn>
    <tableColumn id="12" xr3:uid="{B4FDC443-0396-4A5F-9515-C128F0F5EFC4}" uniqueName="weight_i" name="weight_i" dataDxfId="24">
      <xmlColumnPr mapId="45" xpath="/root/data/weight_i" xmlDataType="integer"/>
    </tableColumn>
    <tableColumn id="16" xr3:uid="{3ADF5470-7ADA-4DE7-A426-245B6E7AA1D1}" uniqueName="wearmodel_i" name="wearmodel_i" dataDxfId="23">
      <xmlColumnPr mapId="45" xpath="/root/data/wearmodel_i" xmlDataType="integer"/>
    </tableColumn>
    <tableColumn id="31" xr3:uid="{E7962719-36AB-4F47-A6FE-679C758965C8}" uniqueName="effect_s" name="effect_s" dataDxfId="22">
      <xmlColumnPr mapId="45" xpath="/root/data/effect_s" xmlDataType="integer"/>
    </tableColumn>
    <tableColumn id="13" xr3:uid="{551CE202-9C15-41E1-94D4-651E4F6CD420}" uniqueName="dropmodel_i" name="dropmodel_i" dataDxfId="21">
      <xmlColumnPr mapId="45" xpath="/root/data/dropmodel_i" xmlDataType="integer"/>
    </tableColumn>
    <tableColumn id="14" xr3:uid="{5E4A27DC-200F-4BC0-A12E-8C0AB4D8326E}" uniqueName="dropsound_i" name="dropsound_i" dataDxfId="20">
      <xmlColumnPr mapId="45" xpath="/root/data/dropsound_i" xmlDataType="integer"/>
    </tableColumn>
    <tableColumn id="15" xr3:uid="{0B5E9438-CEBE-4BC9-8DE8-70007BA2E383}" uniqueName="pickupsound_i" name="pickupsound_i" dataDxfId="19">
      <xmlColumnPr mapId="45" xpath="/root/data/pickupsound_i" xmlDataType="integer"/>
    </tableColumn>
    <tableColumn id="30" xr3:uid="{97458369-264F-47FD-BEC5-2A46FB277619}" uniqueName="exclusive_i" name="exclusive_i" dataDxfId="18">
      <xmlColumnPr mapId="45" xpath="/root/data/exclusive_i" xmlDataType="integer"/>
    </tableColumn>
    <tableColumn id="21" xr3:uid="{7E6F1476-214A-4B68-8BCB-C128D93A111C}" uniqueName="discard_i" name="discard_i" dataDxfId="17">
      <xmlColumnPr mapId="45" xpath="/root/data/discard_i" xmlDataType="integer"/>
    </tableColumn>
    <tableColumn id="29" xr3:uid="{F0EC3435-0D4C-499C-A5D5-B4FD5AED0262}" uniqueName="disassemble_i" name="disassemble_i" dataDxfId="16">
      <xmlColumnPr mapId="45" xpath="/root/data/disassemble_i" xmlDataType="integer"/>
    </tableColumn>
    <tableColumn id="26" xr3:uid="{DC19E8A3-80FB-4ADA-A415-C764A2357AA6}" uniqueName="task_id_i" name="task_id_i" dataDxfId="15">
      <xmlColumnPr mapId="45" xpath="/root/data/task_id_i" xmlDataType="integer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D4B24F-E80F-4706-8F1F-418CC4105A6E}" name="表3" displayName="表3" ref="C3:M26" tableType="xml" totalsRowShown="0" headerRowDxfId="14" dataDxfId="13" connectionId="25">
  <autoFilter ref="C3:M26" xr:uid="{A6D4B24F-E80F-4706-8F1F-418CC4105A6E}"/>
  <tableColumns count="11">
    <tableColumn id="1" xr3:uid="{FC470061-D19B-4840-ADB2-1770856B80B0}" uniqueName="id_i" name="id_i" dataDxfId="12">
      <xmlColumnPr mapId="35" xpath="/root/data/id_i" xmlDataType="integer"/>
    </tableColumn>
    <tableColumn id="2" xr3:uid="{FABB3FBE-5052-4C32-876A-20F4C3D8495F}" uniqueName="set_id_i" name="set_id_i" dataDxfId="11">
      <xmlColumnPr mapId="35" xpath="/root/data/set_id_i" xmlDataType="integer"/>
    </tableColumn>
    <tableColumn id="3" xr3:uid="{9C830E23-CA55-4792-A1E6-CE4D1E398020}" uniqueName="set_name_i" name="set_name_i" dataDxfId="10">
      <xmlColumnPr mapId="35" xpath="/root/data/set_name_i" xmlDataType="integer"/>
    </tableColumn>
    <tableColumn id="5" xr3:uid="{EF0F82EE-42E7-4863-AB6A-CFFB7CEB8FA3}" uniqueName="activate_num_l" name="activate_num_l" dataDxfId="9">
      <xmlColumnPr mapId="35" xpath="/root/data/activate_num_l" xmlDataType="string"/>
    </tableColumn>
    <tableColumn id="6" xr3:uid="{DAC21405-A0E4-44D8-BBDA-15127E45F674}" uniqueName="desc_l" name="desc_l" dataDxfId="8">
      <xmlColumnPr mapId="35" xpath="/root/data/desc_l" xmlDataType="integer"/>
    </tableColumn>
    <tableColumn id="4" xr3:uid="{D5E33D4A-300E-42A6-93FC-5B5DEC77CEF1}" uniqueName="set_attri_fir_n" name="set_attri_fir_n" dataDxfId="7">
      <xmlColumnPr mapId="35" xpath="/root/data/set_attri_fir_n" xmlDataType="string"/>
    </tableColumn>
    <tableColumn id="7" xr3:uid="{8D5D5AB8-C94A-402E-8C5B-21E55126806F}" uniqueName="set_attri_sec_n" name="set_attri_sec_n" dataDxfId="6">
      <xmlColumnPr mapId="35" xpath="/root/data/set_attri_sec_n" xmlDataType="string"/>
    </tableColumn>
    <tableColumn id="8" xr3:uid="{7BEC9460-AE61-4E59-8AAB-440E184CEECB}" uniqueName="set_attri_thi_n" name="set_attri_thi_n" dataDxfId="5">
      <xmlColumnPr mapId="35" xpath="/root/data/set_attri_thi_n" xmlDataType="string"/>
    </tableColumn>
    <tableColumn id="9" xr3:uid="{E59962D8-D761-40CD-B62E-382DCA70F412}" uniqueName="set_attri_fou_n" name="set_attri_fou_n" dataDxfId="4">
      <xmlColumnPr mapId="35" xpath="/root/data/set_attri_fou_n" xmlDataType="string"/>
    </tableColumn>
    <tableColumn id="10" xr3:uid="{97279E70-32C1-409B-9ADF-3E481E0ACB5C}" uniqueName="set_attri_fif_n" name="set_attri_fif_n" dataDxfId="3">
      <xmlColumnPr mapId="35" xpath="/root/data/set_attri_fif_n" xmlDataType="string"/>
    </tableColumn>
    <tableColumn id="11" xr3:uid="{A55FBC32-4B65-48FB-B63E-CAF466CDE120}" uniqueName="set_attri_six_n" name="set_attri_six_n" dataDxfId="2">
      <xmlColumnPr mapId="35" xpath="/root/data/set_attri_six_n" xmlDataType="string"/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F3DED6-72A6-40A8-9640-4C1D86A465C8}" name="表2" displayName="表2" ref="C7:F27" tableType="xml" totalsRowShown="0" connectionId="3">
  <autoFilter ref="C7:F27" xr:uid="{006737C0-639B-4390-9826-234F3A7DC215}"/>
  <tableColumns count="4">
    <tableColumn id="1" xr3:uid="{A9ACE4A8-14CA-4DEF-84D9-0513ED33DD4B}" uniqueName="id_i" name="id_i">
      <xmlColumnPr mapId="6" xpath="/root/data/id_i" xmlDataType="integer"/>
    </tableColumn>
    <tableColumn id="2" xr3:uid="{6DB568CA-C260-48F9-AD74-0547D3824751}" uniqueName="equip_i" name="equip_i">
      <xmlColumnPr mapId="6" xpath="/root/data/equip_i" xmlDataType="integer"/>
    </tableColumn>
    <tableColumn id="4" xr3:uid="{64E5F340-F8A3-436D-A370-AA62A407D939}" uniqueName="hands_i" name="hands_i">
      <xmlColumnPr mapId="6" xpath="/root/data/hands_i" xmlDataType="integer"/>
    </tableColumn>
    <tableColumn id="3" xr3:uid="{8ACE3A67-6E25-4F1F-B38A-C2614189B792}" uniqueName="slot_l" name="slot_l" dataDxfId="1">
      <xmlColumnPr mapId="6" xpath="/root/data/slot_l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474"/>
  <sheetViews>
    <sheetView tabSelected="1" zoomScale="110" zoomScaleNormal="110" workbookViewId="0">
      <pane xSplit="5" ySplit="5" topLeftCell="AA6" activePane="bottomRight" state="frozen"/>
      <selection pane="topRight" activeCell="D1" sqref="D1"/>
      <selection pane="bottomLeft" activeCell="A6" sqref="A6"/>
      <selection pane="bottomRight" activeCell="AF15" sqref="AF15"/>
    </sheetView>
  </sheetViews>
  <sheetFormatPr defaultRowHeight="14.25" x14ac:dyDescent="0.2"/>
  <cols>
    <col min="2" max="2" width="11.125" customWidth="1"/>
    <col min="3" max="3" width="15.75" customWidth="1"/>
    <col min="4" max="4" width="15" customWidth="1"/>
    <col min="5" max="5" width="9.375" customWidth="1"/>
    <col min="6" max="6" width="9.5" customWidth="1"/>
    <col min="7" max="7" width="8.5" customWidth="1"/>
    <col min="8" max="8" width="24.375" style="1" customWidth="1"/>
    <col min="9" max="9" width="10.875" customWidth="1"/>
    <col min="10" max="10" width="10.625" customWidth="1"/>
    <col min="11" max="11" width="13.625" customWidth="1"/>
    <col min="12" max="17" width="11.875" customWidth="1"/>
    <col min="18" max="18" width="11.125" customWidth="1"/>
    <col min="19" max="19" width="18.375" customWidth="1"/>
    <col min="20" max="20" width="9.75" customWidth="1"/>
    <col min="21" max="21" width="78.125" style="94" customWidth="1"/>
    <col min="22" max="22" width="18.75" customWidth="1"/>
    <col min="23" max="24" width="15.875" customWidth="1"/>
    <col min="25" max="25" width="20.75" customWidth="1"/>
    <col min="26" max="28" width="13.625" customWidth="1"/>
    <col min="29" max="29" width="14.5" bestFit="1" customWidth="1"/>
    <col min="30" max="30" width="14.375" bestFit="1" customWidth="1"/>
    <col min="31" max="31" width="16.125" bestFit="1" customWidth="1"/>
    <col min="32" max="32" width="16.125" customWidth="1"/>
    <col min="33" max="34" width="15" customWidth="1"/>
    <col min="35" max="35" width="13.875" customWidth="1"/>
  </cols>
  <sheetData>
    <row r="1" spans="2:35" x14ac:dyDescent="0.2">
      <c r="B1" t="s">
        <v>91</v>
      </c>
      <c r="H1" s="1" t="s">
        <v>91</v>
      </c>
      <c r="R1" t="s">
        <v>91</v>
      </c>
      <c r="W1" t="s">
        <v>91</v>
      </c>
      <c r="AD1" t="s">
        <v>91</v>
      </c>
    </row>
    <row r="3" spans="2:35" ht="132.75" customHeight="1" x14ac:dyDescent="0.2">
      <c r="E3" s="15" t="s">
        <v>82</v>
      </c>
      <c r="F3" s="2" t="s">
        <v>3</v>
      </c>
      <c r="G3" s="2" t="s">
        <v>5</v>
      </c>
      <c r="H3" s="32" t="s">
        <v>4</v>
      </c>
      <c r="I3" s="5" t="s">
        <v>18</v>
      </c>
      <c r="J3" s="5" t="s">
        <v>19</v>
      </c>
      <c r="K3" s="5" t="s">
        <v>4313</v>
      </c>
      <c r="L3" s="3" t="s">
        <v>2872</v>
      </c>
      <c r="M3" s="44" t="s">
        <v>2852</v>
      </c>
      <c r="N3" s="5" t="s">
        <v>95</v>
      </c>
      <c r="O3" s="5" t="s">
        <v>2827</v>
      </c>
      <c r="P3" s="5" t="s">
        <v>2756</v>
      </c>
      <c r="Q3" s="5" t="s">
        <v>2755</v>
      </c>
      <c r="R3" s="4" t="s">
        <v>17</v>
      </c>
      <c r="S3" s="3" t="s">
        <v>2803</v>
      </c>
      <c r="T3" s="5" t="s">
        <v>80</v>
      </c>
      <c r="U3" s="14" t="s">
        <v>81</v>
      </c>
      <c r="V3" s="14" t="s">
        <v>92</v>
      </c>
      <c r="W3" s="3" t="s">
        <v>16</v>
      </c>
      <c r="X3" s="3" t="s">
        <v>90</v>
      </c>
      <c r="Y3" s="5" t="s">
        <v>31</v>
      </c>
      <c r="Z3" s="5" t="s">
        <v>32</v>
      </c>
      <c r="AA3" s="5" t="s">
        <v>46</v>
      </c>
      <c r="AB3" s="5" t="s">
        <v>4641</v>
      </c>
      <c r="AC3" s="2" t="s">
        <v>6</v>
      </c>
      <c r="AD3" s="2" t="s">
        <v>7</v>
      </c>
      <c r="AE3" s="2" t="s">
        <v>8</v>
      </c>
      <c r="AF3" s="5" t="s">
        <v>4513</v>
      </c>
      <c r="AG3" s="5" t="s">
        <v>87</v>
      </c>
      <c r="AH3" s="5" t="s">
        <v>4511</v>
      </c>
      <c r="AI3" s="5" t="s">
        <v>2855</v>
      </c>
    </row>
    <row r="4" spans="2:35" x14ac:dyDescent="0.2">
      <c r="E4" t="s">
        <v>0</v>
      </c>
      <c r="F4" t="s">
        <v>1</v>
      </c>
      <c r="G4" t="s">
        <v>10</v>
      </c>
      <c r="H4" s="1" t="s">
        <v>2757</v>
      </c>
      <c r="I4" t="s">
        <v>20</v>
      </c>
      <c r="J4" t="s">
        <v>21</v>
      </c>
      <c r="K4" t="s">
        <v>9</v>
      </c>
      <c r="L4" t="s">
        <v>2</v>
      </c>
      <c r="M4" s="18" t="s">
        <v>2856</v>
      </c>
      <c r="N4" t="s">
        <v>96</v>
      </c>
      <c r="O4" t="s">
        <v>88</v>
      </c>
      <c r="P4" t="s">
        <v>98</v>
      </c>
      <c r="Q4" t="s">
        <v>97</v>
      </c>
      <c r="R4" t="s">
        <v>15</v>
      </c>
      <c r="S4" t="s">
        <v>11</v>
      </c>
      <c r="T4" t="s">
        <v>78</v>
      </c>
      <c r="U4" s="94" t="s">
        <v>79</v>
      </c>
      <c r="V4" t="s">
        <v>93</v>
      </c>
      <c r="W4" t="s">
        <v>2706</v>
      </c>
      <c r="X4" t="s">
        <v>2707</v>
      </c>
      <c r="Y4" t="s">
        <v>47</v>
      </c>
      <c r="Z4" t="s">
        <v>12</v>
      </c>
      <c r="AA4" t="s">
        <v>48</v>
      </c>
      <c r="AB4" t="s">
        <v>4642</v>
      </c>
      <c r="AC4" t="s">
        <v>14</v>
      </c>
      <c r="AD4" t="s">
        <v>13</v>
      </c>
      <c r="AE4" t="s">
        <v>2708</v>
      </c>
      <c r="AF4" t="s">
        <v>4514</v>
      </c>
      <c r="AG4" t="s">
        <v>89</v>
      </c>
      <c r="AH4" t="s">
        <v>4512</v>
      </c>
      <c r="AI4" t="s">
        <v>2854</v>
      </c>
    </row>
    <row r="5" spans="2:35" x14ac:dyDescent="0.2">
      <c r="E5" s="18">
        <v>0</v>
      </c>
      <c r="F5" s="18">
        <v>0</v>
      </c>
      <c r="G5" s="18">
        <v>0</v>
      </c>
      <c r="H5" s="39">
        <v>0</v>
      </c>
      <c r="I5" s="18">
        <v>0</v>
      </c>
      <c r="J5" s="18">
        <v>0</v>
      </c>
      <c r="K5" s="18">
        <v>0</v>
      </c>
      <c r="L5" s="18">
        <v>1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39" t="s">
        <v>45</v>
      </c>
      <c r="T5" s="39" t="s">
        <v>86</v>
      </c>
      <c r="U5" s="95" t="s">
        <v>45</v>
      </c>
      <c r="V5" s="39" t="s">
        <v>94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39">
        <v>0</v>
      </c>
      <c r="AF5" s="39">
        <v>0</v>
      </c>
      <c r="AG5" s="39">
        <v>0</v>
      </c>
      <c r="AH5" s="39">
        <v>0</v>
      </c>
      <c r="AI5" s="39">
        <v>0</v>
      </c>
    </row>
    <row r="6" spans="2:35" x14ac:dyDescent="0.2">
      <c r="B6" s="38" t="s">
        <v>2842</v>
      </c>
      <c r="E6" s="18">
        <v>90000</v>
      </c>
      <c r="F6" s="18">
        <v>11672</v>
      </c>
      <c r="G6" s="18">
        <v>12672</v>
      </c>
      <c r="H6" s="18">
        <v>5504</v>
      </c>
      <c r="I6" s="18">
        <v>1</v>
      </c>
      <c r="J6" s="18">
        <v>1</v>
      </c>
      <c r="K6" s="18">
        <v>32</v>
      </c>
      <c r="L6" s="18">
        <v>1</v>
      </c>
      <c r="M6" s="18">
        <v>0</v>
      </c>
      <c r="N6" s="18">
        <v>999999</v>
      </c>
      <c r="O6" s="18">
        <v>0</v>
      </c>
      <c r="P6" s="18">
        <v>0</v>
      </c>
      <c r="Q6" s="18">
        <v>0</v>
      </c>
      <c r="R6" s="18">
        <v>0</v>
      </c>
      <c r="S6" s="39" t="s">
        <v>85</v>
      </c>
      <c r="T6" s="18">
        <v>0</v>
      </c>
      <c r="U6" s="95" t="s">
        <v>2843</v>
      </c>
      <c r="V6" s="18">
        <v>9999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/>
      <c r="AC6" s="18">
        <v>1026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</row>
    <row r="7" spans="2:35" x14ac:dyDescent="0.2">
      <c r="B7" s="7" t="s">
        <v>33</v>
      </c>
      <c r="C7" s="6" t="s">
        <v>44</v>
      </c>
      <c r="D7" s="6"/>
      <c r="E7" s="18">
        <v>10001</v>
      </c>
      <c r="F7" s="18">
        <v>10001</v>
      </c>
      <c r="G7" s="18">
        <v>0</v>
      </c>
      <c r="H7" s="40" t="s">
        <v>2759</v>
      </c>
      <c r="I7" s="18">
        <v>1</v>
      </c>
      <c r="J7" s="18">
        <v>3</v>
      </c>
      <c r="K7" s="18">
        <v>1</v>
      </c>
      <c r="L7" s="18">
        <v>1</v>
      </c>
      <c r="M7" s="18">
        <v>0</v>
      </c>
      <c r="N7" s="18">
        <v>5</v>
      </c>
      <c r="O7" s="18">
        <v>100</v>
      </c>
      <c r="P7" s="18">
        <v>100</v>
      </c>
      <c r="Q7" s="18">
        <v>0</v>
      </c>
      <c r="R7" s="18">
        <v>0</v>
      </c>
      <c r="S7" s="39" t="s">
        <v>3672</v>
      </c>
      <c r="T7" s="18">
        <v>0</v>
      </c>
      <c r="U7" s="95" t="s">
        <v>85</v>
      </c>
      <c r="V7" s="18">
        <v>9999</v>
      </c>
      <c r="W7" s="18">
        <v>10049</v>
      </c>
      <c r="X7" s="18"/>
      <c r="Y7" s="18">
        <v>1200</v>
      </c>
      <c r="Z7" s="18">
        <v>0</v>
      </c>
      <c r="AA7" s="18">
        <v>1090101</v>
      </c>
      <c r="AB7" s="18" t="s">
        <v>4643</v>
      </c>
      <c r="AC7" s="18">
        <v>1001</v>
      </c>
      <c r="AD7" s="18">
        <v>0</v>
      </c>
      <c r="AE7" s="39">
        <v>0</v>
      </c>
      <c r="AF7" s="18">
        <v>0</v>
      </c>
      <c r="AG7" s="18">
        <v>0</v>
      </c>
      <c r="AH7" s="18">
        <v>0</v>
      </c>
      <c r="AI7" s="18">
        <v>0</v>
      </c>
    </row>
    <row r="8" spans="2:35" x14ac:dyDescent="0.2">
      <c r="C8" t="s">
        <v>22</v>
      </c>
      <c r="E8" s="18">
        <v>10201</v>
      </c>
      <c r="F8" s="18">
        <v>10002</v>
      </c>
      <c r="G8" s="18">
        <v>0</v>
      </c>
      <c r="H8" s="40" t="s">
        <v>2760</v>
      </c>
      <c r="I8" s="18">
        <v>2</v>
      </c>
      <c r="J8" s="18">
        <v>3</v>
      </c>
      <c r="K8" s="18">
        <v>2</v>
      </c>
      <c r="L8" s="18">
        <v>1</v>
      </c>
      <c r="M8" s="18">
        <v>0</v>
      </c>
      <c r="N8" s="18">
        <v>5</v>
      </c>
      <c r="O8" s="18">
        <v>100</v>
      </c>
      <c r="P8" s="18">
        <v>100</v>
      </c>
      <c r="Q8" s="18">
        <v>0</v>
      </c>
      <c r="R8" s="18">
        <v>0</v>
      </c>
      <c r="S8" s="39" t="s">
        <v>3625</v>
      </c>
      <c r="T8" s="18">
        <v>0</v>
      </c>
      <c r="U8" s="95" t="s">
        <v>85</v>
      </c>
      <c r="V8" s="18">
        <v>9999</v>
      </c>
      <c r="W8" s="18">
        <v>10008</v>
      </c>
      <c r="X8" s="18"/>
      <c r="Y8" s="18">
        <v>1100</v>
      </c>
      <c r="Z8" s="18">
        <v>0</v>
      </c>
      <c r="AA8" s="18">
        <v>1090401</v>
      </c>
      <c r="AB8" s="18" t="s">
        <v>4644</v>
      </c>
      <c r="AC8" s="18">
        <v>1003</v>
      </c>
      <c r="AD8" s="18">
        <v>0</v>
      </c>
      <c r="AE8" s="39">
        <v>0</v>
      </c>
      <c r="AF8" s="18">
        <v>0</v>
      </c>
      <c r="AG8" s="18">
        <v>0</v>
      </c>
      <c r="AH8" s="18">
        <v>0</v>
      </c>
      <c r="AI8" s="18">
        <v>0</v>
      </c>
    </row>
    <row r="9" spans="2:35" x14ac:dyDescent="0.2">
      <c r="C9" t="s">
        <v>23</v>
      </c>
      <c r="E9" s="18">
        <v>10301</v>
      </c>
      <c r="F9" s="18">
        <v>10003</v>
      </c>
      <c r="G9" s="18">
        <v>0</v>
      </c>
      <c r="H9" s="40" t="s">
        <v>2761</v>
      </c>
      <c r="I9" s="18">
        <v>1</v>
      </c>
      <c r="J9" s="18">
        <v>3</v>
      </c>
      <c r="K9" s="18">
        <v>3</v>
      </c>
      <c r="L9" s="18">
        <v>1</v>
      </c>
      <c r="M9" s="18">
        <v>0</v>
      </c>
      <c r="N9" s="18">
        <v>5</v>
      </c>
      <c r="O9" s="18">
        <v>100</v>
      </c>
      <c r="P9" s="18">
        <v>100</v>
      </c>
      <c r="Q9" s="18">
        <v>0</v>
      </c>
      <c r="R9" s="18">
        <v>0</v>
      </c>
      <c r="S9" s="39" t="s">
        <v>3626</v>
      </c>
      <c r="T9" s="18">
        <v>0</v>
      </c>
      <c r="U9" s="95" t="s">
        <v>85</v>
      </c>
      <c r="V9" s="18">
        <v>9999</v>
      </c>
      <c r="W9" s="18">
        <v>10051</v>
      </c>
      <c r="X9" s="18"/>
      <c r="Y9" s="18">
        <v>1100</v>
      </c>
      <c r="Z9" s="18">
        <v>0</v>
      </c>
      <c r="AA9" s="18">
        <v>1092001</v>
      </c>
      <c r="AB9" s="18" t="s">
        <v>4644</v>
      </c>
      <c r="AC9" s="18">
        <v>1007</v>
      </c>
      <c r="AD9" s="18">
        <v>0</v>
      </c>
      <c r="AE9" s="39">
        <v>0</v>
      </c>
      <c r="AF9" s="18">
        <v>0</v>
      </c>
      <c r="AG9" s="18">
        <v>0</v>
      </c>
      <c r="AH9" s="18">
        <v>0</v>
      </c>
      <c r="AI9" s="18">
        <v>0</v>
      </c>
    </row>
    <row r="10" spans="2:35" x14ac:dyDescent="0.2">
      <c r="C10" t="s">
        <v>24</v>
      </c>
      <c r="E10" s="18">
        <v>10401</v>
      </c>
      <c r="F10" s="18">
        <v>10004</v>
      </c>
      <c r="G10" s="18">
        <v>0</v>
      </c>
      <c r="H10" s="40" t="s">
        <v>2758</v>
      </c>
      <c r="I10" s="18">
        <v>1</v>
      </c>
      <c r="J10" s="18">
        <v>3</v>
      </c>
      <c r="K10" s="18">
        <v>4</v>
      </c>
      <c r="L10" s="18">
        <v>1</v>
      </c>
      <c r="M10" s="18">
        <v>0</v>
      </c>
      <c r="N10" s="18">
        <v>5</v>
      </c>
      <c r="O10" s="18">
        <v>100</v>
      </c>
      <c r="P10" s="18">
        <v>100</v>
      </c>
      <c r="Q10" s="18">
        <v>0</v>
      </c>
      <c r="R10" s="18">
        <v>0</v>
      </c>
      <c r="S10" s="39" t="s">
        <v>3627</v>
      </c>
      <c r="T10" s="18">
        <v>0</v>
      </c>
      <c r="U10" s="95" t="s">
        <v>85</v>
      </c>
      <c r="V10" s="18">
        <v>9999</v>
      </c>
      <c r="W10" s="18">
        <v>10024</v>
      </c>
      <c r="X10" s="18"/>
      <c r="Y10" s="18">
        <v>800</v>
      </c>
      <c r="Z10" s="18">
        <v>0</v>
      </c>
      <c r="AA10" s="18">
        <v>1090501</v>
      </c>
      <c r="AB10" s="18" t="s">
        <v>4644</v>
      </c>
      <c r="AC10" s="18">
        <v>1001</v>
      </c>
      <c r="AD10" s="18">
        <v>0</v>
      </c>
      <c r="AE10" s="39">
        <v>0</v>
      </c>
      <c r="AF10" s="18">
        <v>0</v>
      </c>
      <c r="AG10" s="18">
        <v>0</v>
      </c>
      <c r="AH10" s="18">
        <v>0</v>
      </c>
      <c r="AI10" s="18">
        <v>0</v>
      </c>
    </row>
    <row r="11" spans="2:35" x14ac:dyDescent="0.2">
      <c r="C11" t="s">
        <v>25</v>
      </c>
      <c r="E11" s="18">
        <v>10501</v>
      </c>
      <c r="F11" s="18">
        <v>10005</v>
      </c>
      <c r="G11" s="18">
        <v>0</v>
      </c>
      <c r="H11" s="40" t="s">
        <v>2762</v>
      </c>
      <c r="I11" s="18">
        <v>1</v>
      </c>
      <c r="J11" s="18">
        <v>4</v>
      </c>
      <c r="K11" s="18">
        <v>5</v>
      </c>
      <c r="L11" s="18">
        <v>1</v>
      </c>
      <c r="M11" s="18">
        <v>0</v>
      </c>
      <c r="N11" s="18">
        <v>5</v>
      </c>
      <c r="O11" s="18">
        <v>100</v>
      </c>
      <c r="P11" s="18">
        <v>100</v>
      </c>
      <c r="Q11" s="18">
        <v>0</v>
      </c>
      <c r="R11" s="18">
        <v>0</v>
      </c>
      <c r="S11" s="39" t="s">
        <v>3628</v>
      </c>
      <c r="T11" s="18">
        <v>0</v>
      </c>
      <c r="U11" s="95" t="s">
        <v>85</v>
      </c>
      <c r="V11" s="18">
        <v>9999</v>
      </c>
      <c r="W11" s="18">
        <v>10053</v>
      </c>
      <c r="X11" s="18"/>
      <c r="Y11" s="18">
        <v>1300</v>
      </c>
      <c r="Z11" s="18">
        <v>0</v>
      </c>
      <c r="AA11" s="18">
        <v>1090201</v>
      </c>
      <c r="AB11" s="18" t="s">
        <v>4645</v>
      </c>
      <c r="AC11" s="18">
        <v>1002</v>
      </c>
      <c r="AD11" s="18">
        <v>0</v>
      </c>
      <c r="AE11" s="39">
        <v>0</v>
      </c>
      <c r="AF11" s="18">
        <v>0</v>
      </c>
      <c r="AG11" s="18">
        <v>0</v>
      </c>
      <c r="AH11" s="18">
        <v>0</v>
      </c>
      <c r="AI11" s="18">
        <v>0</v>
      </c>
    </row>
    <row r="12" spans="2:35" x14ac:dyDescent="0.2">
      <c r="C12" t="s">
        <v>26</v>
      </c>
      <c r="E12" s="18">
        <v>10601</v>
      </c>
      <c r="F12" s="18">
        <v>10006</v>
      </c>
      <c r="G12" s="18">
        <v>0</v>
      </c>
      <c r="H12" s="40" t="s">
        <v>2763</v>
      </c>
      <c r="I12" s="18">
        <v>2</v>
      </c>
      <c r="J12" s="18">
        <v>3</v>
      </c>
      <c r="K12" s="18">
        <v>6</v>
      </c>
      <c r="L12" s="18">
        <v>1</v>
      </c>
      <c r="M12" s="18">
        <v>0</v>
      </c>
      <c r="N12" s="18">
        <v>5</v>
      </c>
      <c r="O12" s="18">
        <v>100</v>
      </c>
      <c r="P12" s="18">
        <v>100</v>
      </c>
      <c r="Q12" s="18">
        <v>0</v>
      </c>
      <c r="R12" s="18">
        <v>0</v>
      </c>
      <c r="S12" s="39" t="s">
        <v>3629</v>
      </c>
      <c r="T12" s="18">
        <v>0</v>
      </c>
      <c r="U12" s="95" t="s">
        <v>85</v>
      </c>
      <c r="V12" s="18">
        <v>9999</v>
      </c>
      <c r="W12" s="18">
        <v>10055</v>
      </c>
      <c r="X12" s="18"/>
      <c r="Y12" s="18">
        <v>1400</v>
      </c>
      <c r="Z12" s="18">
        <v>0</v>
      </c>
      <c r="AA12" s="18">
        <v>1091021</v>
      </c>
      <c r="AB12" s="18" t="s">
        <v>4645</v>
      </c>
      <c r="AC12" s="18">
        <v>1004</v>
      </c>
      <c r="AD12" s="18">
        <v>0</v>
      </c>
      <c r="AE12" s="39">
        <v>0</v>
      </c>
      <c r="AF12" s="18">
        <v>0</v>
      </c>
      <c r="AG12" s="18">
        <v>0</v>
      </c>
      <c r="AH12" s="18">
        <v>0</v>
      </c>
      <c r="AI12" s="18">
        <v>0</v>
      </c>
    </row>
    <row r="13" spans="2:35" x14ac:dyDescent="0.2">
      <c r="C13" t="s">
        <v>27</v>
      </c>
      <c r="E13" s="18">
        <v>10701</v>
      </c>
      <c r="F13" s="18">
        <v>10007</v>
      </c>
      <c r="G13" s="18">
        <v>0</v>
      </c>
      <c r="H13" s="40" t="s">
        <v>2764</v>
      </c>
      <c r="I13" s="18">
        <v>2</v>
      </c>
      <c r="J13" s="18">
        <v>4</v>
      </c>
      <c r="K13" s="18">
        <v>7</v>
      </c>
      <c r="L13" s="18">
        <v>1</v>
      </c>
      <c r="M13" s="18">
        <v>0</v>
      </c>
      <c r="N13" s="18">
        <v>5</v>
      </c>
      <c r="O13" s="18">
        <v>100</v>
      </c>
      <c r="P13" s="18">
        <v>100</v>
      </c>
      <c r="Q13" s="18">
        <v>0</v>
      </c>
      <c r="R13" s="18">
        <v>0</v>
      </c>
      <c r="S13" s="39" t="s">
        <v>3630</v>
      </c>
      <c r="T13" s="18">
        <v>0</v>
      </c>
      <c r="U13" s="95" t="s">
        <v>85</v>
      </c>
      <c r="V13" s="18">
        <v>9999</v>
      </c>
      <c r="W13" s="18">
        <v>10057</v>
      </c>
      <c r="X13" s="18"/>
      <c r="Y13" s="18">
        <v>1500</v>
      </c>
      <c r="Z13" s="18">
        <v>0</v>
      </c>
      <c r="AA13" s="18">
        <v>1092101</v>
      </c>
      <c r="AB13" s="18" t="s">
        <v>4645</v>
      </c>
      <c r="AC13" s="18">
        <v>1021</v>
      </c>
      <c r="AD13" s="18">
        <v>0</v>
      </c>
      <c r="AE13" s="39">
        <v>0</v>
      </c>
      <c r="AF13" s="18">
        <v>0</v>
      </c>
      <c r="AG13" s="18">
        <v>0</v>
      </c>
      <c r="AH13" s="18">
        <v>0</v>
      </c>
      <c r="AI13" s="18">
        <v>0</v>
      </c>
    </row>
    <row r="14" spans="2:35" x14ac:dyDescent="0.2">
      <c r="C14" t="s">
        <v>2893</v>
      </c>
      <c r="E14" s="18">
        <v>10801</v>
      </c>
      <c r="F14" s="18">
        <v>10008</v>
      </c>
      <c r="G14" s="18">
        <v>0</v>
      </c>
      <c r="H14" s="40" t="s">
        <v>2765</v>
      </c>
      <c r="I14" s="18">
        <v>1</v>
      </c>
      <c r="J14" s="18">
        <v>4</v>
      </c>
      <c r="K14" s="18">
        <v>8</v>
      </c>
      <c r="L14" s="18">
        <v>1</v>
      </c>
      <c r="M14" s="18">
        <v>0</v>
      </c>
      <c r="N14" s="18">
        <v>5</v>
      </c>
      <c r="O14" s="18">
        <v>100</v>
      </c>
      <c r="P14" s="18">
        <v>100</v>
      </c>
      <c r="Q14" s="18">
        <v>0</v>
      </c>
      <c r="R14" s="18">
        <v>0</v>
      </c>
      <c r="S14" s="39" t="s">
        <v>3631</v>
      </c>
      <c r="T14" s="18">
        <v>0</v>
      </c>
      <c r="U14" s="95" t="s">
        <v>85</v>
      </c>
      <c r="V14" s="18">
        <v>9999</v>
      </c>
      <c r="W14" s="18">
        <v>10001</v>
      </c>
      <c r="X14" s="18"/>
      <c r="Y14" s="18">
        <v>1000</v>
      </c>
      <c r="Z14" s="18">
        <v>0</v>
      </c>
      <c r="AA14" s="18">
        <v>1091302</v>
      </c>
      <c r="AB14" s="18" t="s">
        <v>4646</v>
      </c>
      <c r="AC14" s="18">
        <v>1013</v>
      </c>
      <c r="AD14" s="18">
        <v>0</v>
      </c>
      <c r="AE14" s="39">
        <v>0</v>
      </c>
      <c r="AF14" s="18">
        <v>0</v>
      </c>
      <c r="AG14" s="18">
        <v>0</v>
      </c>
      <c r="AH14" s="18">
        <v>0</v>
      </c>
      <c r="AI14" s="18">
        <v>0</v>
      </c>
    </row>
    <row r="15" spans="2:35" x14ac:dyDescent="0.2">
      <c r="C15" t="s">
        <v>29</v>
      </c>
      <c r="E15" s="18">
        <v>10901</v>
      </c>
      <c r="F15" s="18">
        <v>10009</v>
      </c>
      <c r="G15" s="18">
        <v>0</v>
      </c>
      <c r="H15" s="40" t="s">
        <v>2766</v>
      </c>
      <c r="I15" s="18">
        <v>2</v>
      </c>
      <c r="J15" s="18">
        <v>3</v>
      </c>
      <c r="K15" s="18">
        <v>9</v>
      </c>
      <c r="L15" s="18">
        <v>1</v>
      </c>
      <c r="M15" s="18">
        <v>0</v>
      </c>
      <c r="N15" s="18">
        <v>5</v>
      </c>
      <c r="O15" s="18">
        <v>100</v>
      </c>
      <c r="P15" s="18">
        <v>100</v>
      </c>
      <c r="Q15" s="18">
        <v>0</v>
      </c>
      <c r="R15" s="18">
        <v>0</v>
      </c>
      <c r="S15" s="39" t="s">
        <v>3632</v>
      </c>
      <c r="T15" s="18">
        <v>0</v>
      </c>
      <c r="U15" s="95" t="s">
        <v>85</v>
      </c>
      <c r="V15" s="18">
        <v>9999</v>
      </c>
      <c r="W15" s="18">
        <v>10026</v>
      </c>
      <c r="X15" s="18"/>
      <c r="Y15" s="18">
        <v>1400</v>
      </c>
      <c r="Z15" s="18">
        <v>0</v>
      </c>
      <c r="AA15" s="18">
        <v>1091701</v>
      </c>
      <c r="AB15" s="18" t="s">
        <v>4647</v>
      </c>
      <c r="AC15" s="18">
        <v>1017</v>
      </c>
      <c r="AD15" s="18">
        <v>0</v>
      </c>
      <c r="AE15" s="39">
        <v>0</v>
      </c>
      <c r="AF15" s="18">
        <v>0</v>
      </c>
      <c r="AG15" s="18">
        <v>0</v>
      </c>
      <c r="AH15" s="18">
        <v>0</v>
      </c>
      <c r="AI15" s="18">
        <v>0</v>
      </c>
    </row>
    <row r="16" spans="2:35" x14ac:dyDescent="0.2">
      <c r="C16" t="s">
        <v>30</v>
      </c>
      <c r="E16" s="18">
        <v>11001</v>
      </c>
      <c r="F16" s="18">
        <v>10010</v>
      </c>
      <c r="G16" s="18">
        <v>0</v>
      </c>
      <c r="H16" s="40" t="s">
        <v>2767</v>
      </c>
      <c r="I16" s="18">
        <v>2</v>
      </c>
      <c r="J16" s="18">
        <v>4</v>
      </c>
      <c r="K16" s="18">
        <v>10</v>
      </c>
      <c r="L16" s="18">
        <v>1</v>
      </c>
      <c r="M16" s="18">
        <v>0</v>
      </c>
      <c r="N16" s="18">
        <v>5</v>
      </c>
      <c r="O16" s="18">
        <v>100</v>
      </c>
      <c r="P16" s="18">
        <v>100</v>
      </c>
      <c r="Q16" s="18">
        <v>0</v>
      </c>
      <c r="R16" s="18">
        <v>0</v>
      </c>
      <c r="S16" s="39" t="s">
        <v>3633</v>
      </c>
      <c r="T16" s="18">
        <v>0</v>
      </c>
      <c r="U16" s="95" t="s">
        <v>85</v>
      </c>
      <c r="V16" s="18">
        <v>9999</v>
      </c>
      <c r="W16" s="18">
        <v>10048</v>
      </c>
      <c r="X16" s="18"/>
      <c r="Y16" s="18">
        <v>1650</v>
      </c>
      <c r="Z16" s="18">
        <v>0</v>
      </c>
      <c r="AA16" s="18">
        <v>1091002</v>
      </c>
      <c r="AB16" s="18" t="s">
        <v>4648</v>
      </c>
      <c r="AC16" s="18">
        <v>1010</v>
      </c>
      <c r="AD16" s="18">
        <v>0</v>
      </c>
      <c r="AE16" s="39">
        <v>0</v>
      </c>
      <c r="AF16" s="18">
        <v>0</v>
      </c>
      <c r="AG16" s="18">
        <v>0</v>
      </c>
      <c r="AH16" s="18">
        <v>0</v>
      </c>
      <c r="AI16" s="18">
        <v>0</v>
      </c>
    </row>
    <row r="17" spans="2:35" x14ac:dyDescent="0.2">
      <c r="C17" t="s">
        <v>36</v>
      </c>
      <c r="E17" s="18">
        <v>11101</v>
      </c>
      <c r="F17" s="18">
        <v>10011</v>
      </c>
      <c r="G17" s="18">
        <v>0</v>
      </c>
      <c r="H17" s="40" t="s">
        <v>2768</v>
      </c>
      <c r="I17" s="18">
        <v>2</v>
      </c>
      <c r="J17" s="18">
        <v>2</v>
      </c>
      <c r="K17" s="18">
        <v>11</v>
      </c>
      <c r="L17" s="18">
        <v>1</v>
      </c>
      <c r="M17" s="18">
        <v>0</v>
      </c>
      <c r="N17" s="18">
        <v>5</v>
      </c>
      <c r="O17" s="18">
        <v>100</v>
      </c>
      <c r="P17" s="18">
        <v>100</v>
      </c>
      <c r="Q17" s="18">
        <v>0</v>
      </c>
      <c r="R17" s="18">
        <v>0</v>
      </c>
      <c r="S17" s="39" t="s">
        <v>4836</v>
      </c>
      <c r="T17" s="18">
        <v>0</v>
      </c>
      <c r="U17" s="95" t="s">
        <v>85</v>
      </c>
      <c r="V17" s="18">
        <v>9999</v>
      </c>
      <c r="W17" s="18">
        <v>0</v>
      </c>
      <c r="X17" s="18"/>
      <c r="Y17" s="18">
        <v>0</v>
      </c>
      <c r="Z17" s="18">
        <v>0</v>
      </c>
      <c r="AA17" s="18">
        <v>1091901</v>
      </c>
      <c r="AB17" s="18"/>
      <c r="AC17" s="18">
        <v>1019</v>
      </c>
      <c r="AD17" s="18">
        <v>0</v>
      </c>
      <c r="AE17" s="39">
        <v>0</v>
      </c>
      <c r="AF17" s="18">
        <v>0</v>
      </c>
      <c r="AG17" s="18">
        <v>0</v>
      </c>
      <c r="AH17" s="18">
        <v>0</v>
      </c>
      <c r="AI17" s="18">
        <v>0</v>
      </c>
    </row>
    <row r="18" spans="2:35" x14ac:dyDescent="0.2">
      <c r="C18" t="s">
        <v>2895</v>
      </c>
      <c r="E18" s="18">
        <v>11201</v>
      </c>
      <c r="F18" s="18">
        <v>10008</v>
      </c>
      <c r="G18" s="18">
        <v>0</v>
      </c>
      <c r="H18" s="40" t="s">
        <v>2765</v>
      </c>
      <c r="I18" s="18">
        <v>1</v>
      </c>
      <c r="J18" s="18">
        <v>4</v>
      </c>
      <c r="K18" s="18">
        <v>8</v>
      </c>
      <c r="L18" s="18">
        <v>1</v>
      </c>
      <c r="M18" s="18">
        <v>0</v>
      </c>
      <c r="N18" s="18">
        <v>5</v>
      </c>
      <c r="O18" s="18">
        <v>100</v>
      </c>
      <c r="P18" s="18">
        <v>100</v>
      </c>
      <c r="Q18" s="18">
        <v>0</v>
      </c>
      <c r="R18" s="18">
        <v>0</v>
      </c>
      <c r="S18" s="39" t="s">
        <v>3631</v>
      </c>
      <c r="T18" s="18">
        <v>0</v>
      </c>
      <c r="U18" s="95" t="s">
        <v>85</v>
      </c>
      <c r="V18" s="18">
        <v>9999</v>
      </c>
      <c r="W18" s="18">
        <v>10003</v>
      </c>
      <c r="X18" s="18"/>
      <c r="Y18" s="18">
        <v>1200</v>
      </c>
      <c r="Z18" s="18">
        <v>0</v>
      </c>
      <c r="AA18" s="18">
        <v>1091302</v>
      </c>
      <c r="AB18" s="18" t="s">
        <v>4646</v>
      </c>
      <c r="AC18" s="18">
        <v>1013</v>
      </c>
      <c r="AD18" s="18">
        <v>0</v>
      </c>
      <c r="AE18" s="39">
        <v>0</v>
      </c>
      <c r="AF18" s="18">
        <v>0</v>
      </c>
      <c r="AG18" s="18">
        <v>0</v>
      </c>
      <c r="AH18" s="18">
        <v>0</v>
      </c>
      <c r="AI18" s="18">
        <v>0</v>
      </c>
    </row>
    <row r="19" spans="2:35" x14ac:dyDescent="0.2">
      <c r="C19" t="s">
        <v>2897</v>
      </c>
      <c r="E19" s="18">
        <v>11301</v>
      </c>
      <c r="F19" s="18">
        <v>10008</v>
      </c>
      <c r="G19" s="18">
        <v>0</v>
      </c>
      <c r="H19" s="40" t="s">
        <v>2765</v>
      </c>
      <c r="I19" s="18">
        <v>1</v>
      </c>
      <c r="J19" s="18">
        <v>4</v>
      </c>
      <c r="K19" s="18">
        <v>8</v>
      </c>
      <c r="L19" s="18">
        <v>1</v>
      </c>
      <c r="M19" s="18">
        <v>0</v>
      </c>
      <c r="N19" s="18">
        <v>5</v>
      </c>
      <c r="O19" s="18">
        <v>100</v>
      </c>
      <c r="P19" s="18">
        <v>100</v>
      </c>
      <c r="Q19" s="18">
        <v>0</v>
      </c>
      <c r="R19" s="18">
        <v>0</v>
      </c>
      <c r="S19" s="39" t="s">
        <v>3631</v>
      </c>
      <c r="T19" s="18">
        <v>0</v>
      </c>
      <c r="U19" s="95" t="s">
        <v>85</v>
      </c>
      <c r="V19" s="18">
        <v>9999</v>
      </c>
      <c r="W19" s="18">
        <v>10004</v>
      </c>
      <c r="X19" s="18"/>
      <c r="Y19" s="18">
        <v>1500</v>
      </c>
      <c r="Z19" s="18">
        <v>0</v>
      </c>
      <c r="AA19" s="18">
        <v>1091302</v>
      </c>
      <c r="AB19" s="18" t="s">
        <v>4646</v>
      </c>
      <c r="AC19" s="18">
        <v>1013</v>
      </c>
      <c r="AD19" s="18">
        <v>0</v>
      </c>
      <c r="AE19" s="39">
        <v>0</v>
      </c>
      <c r="AF19" s="18">
        <v>0</v>
      </c>
      <c r="AG19" s="18">
        <v>0</v>
      </c>
      <c r="AH19" s="18">
        <v>0</v>
      </c>
      <c r="AI19" s="18">
        <v>0</v>
      </c>
    </row>
    <row r="20" spans="2:35" x14ac:dyDescent="0.2">
      <c r="C20" t="s">
        <v>3475</v>
      </c>
      <c r="E20" s="18">
        <v>11401</v>
      </c>
      <c r="F20" s="18">
        <v>10008</v>
      </c>
      <c r="G20" s="18">
        <v>0</v>
      </c>
      <c r="H20" s="40" t="s">
        <v>2765</v>
      </c>
      <c r="I20" s="18">
        <v>1</v>
      </c>
      <c r="J20" s="18">
        <v>4</v>
      </c>
      <c r="K20" s="18">
        <v>8</v>
      </c>
      <c r="L20" s="18">
        <v>1</v>
      </c>
      <c r="M20" s="18">
        <v>0</v>
      </c>
      <c r="N20" s="18">
        <v>5</v>
      </c>
      <c r="O20" s="18">
        <v>100</v>
      </c>
      <c r="P20" s="18">
        <v>100</v>
      </c>
      <c r="Q20" s="18">
        <v>0</v>
      </c>
      <c r="R20" s="18">
        <v>0</v>
      </c>
      <c r="S20" s="39" t="s">
        <v>3675</v>
      </c>
      <c r="T20" s="18">
        <v>0</v>
      </c>
      <c r="U20" s="95" t="s">
        <v>85</v>
      </c>
      <c r="V20" s="18">
        <v>9999</v>
      </c>
      <c r="W20" s="18">
        <v>10006</v>
      </c>
      <c r="X20" s="18"/>
      <c r="Y20" s="18">
        <v>1200</v>
      </c>
      <c r="Z20" s="18">
        <v>0</v>
      </c>
      <c r="AA20" s="18">
        <v>1091302</v>
      </c>
      <c r="AB20" s="18" t="s">
        <v>4646</v>
      </c>
      <c r="AC20" s="18">
        <v>1013</v>
      </c>
      <c r="AD20" s="18">
        <v>0</v>
      </c>
      <c r="AE20" s="39">
        <v>0</v>
      </c>
      <c r="AF20" s="18">
        <v>0</v>
      </c>
      <c r="AG20" s="18">
        <v>0</v>
      </c>
      <c r="AH20" s="18">
        <v>0</v>
      </c>
      <c r="AI20" s="18">
        <v>0</v>
      </c>
    </row>
    <row r="21" spans="2:35" x14ac:dyDescent="0.2">
      <c r="C21" t="s">
        <v>3476</v>
      </c>
      <c r="E21" s="18">
        <v>11501</v>
      </c>
      <c r="F21" s="18">
        <v>10008</v>
      </c>
      <c r="G21" s="18">
        <v>0</v>
      </c>
      <c r="H21" s="40" t="s">
        <v>2765</v>
      </c>
      <c r="I21" s="18">
        <v>1</v>
      </c>
      <c r="J21" s="18">
        <v>4</v>
      </c>
      <c r="K21" s="18">
        <v>8</v>
      </c>
      <c r="L21" s="18">
        <v>1</v>
      </c>
      <c r="M21" s="18">
        <v>0</v>
      </c>
      <c r="N21" s="18">
        <v>5</v>
      </c>
      <c r="O21" s="18">
        <v>100</v>
      </c>
      <c r="P21" s="18">
        <v>100</v>
      </c>
      <c r="Q21" s="18">
        <v>0</v>
      </c>
      <c r="R21" s="18">
        <v>0</v>
      </c>
      <c r="S21" s="39" t="s">
        <v>3674</v>
      </c>
      <c r="T21" s="18">
        <v>0</v>
      </c>
      <c r="U21" s="95" t="s">
        <v>85</v>
      </c>
      <c r="V21" s="18">
        <v>9999</v>
      </c>
      <c r="W21" s="18">
        <v>10007</v>
      </c>
      <c r="X21" s="18"/>
      <c r="Y21" s="18">
        <v>1500</v>
      </c>
      <c r="Z21" s="18">
        <v>0</v>
      </c>
      <c r="AA21" s="18">
        <v>1091302</v>
      </c>
      <c r="AB21" s="18" t="s">
        <v>4646</v>
      </c>
      <c r="AC21" s="18">
        <v>1013</v>
      </c>
      <c r="AD21" s="18">
        <v>0</v>
      </c>
      <c r="AE21" s="39">
        <v>0</v>
      </c>
      <c r="AF21" s="18">
        <v>0</v>
      </c>
      <c r="AG21" s="18">
        <v>0</v>
      </c>
      <c r="AH21" s="18">
        <v>0</v>
      </c>
      <c r="AI21" s="18">
        <v>0</v>
      </c>
    </row>
    <row r="22" spans="2:35" x14ac:dyDescent="0.2">
      <c r="B22" s="8" t="s">
        <v>34</v>
      </c>
      <c r="C22" s="9" t="s">
        <v>37</v>
      </c>
      <c r="D22" s="9"/>
      <c r="E22" s="18">
        <v>12101</v>
      </c>
      <c r="F22" s="18">
        <v>10012</v>
      </c>
      <c r="G22" s="18">
        <v>0</v>
      </c>
      <c r="H22" s="39" t="s">
        <v>2772</v>
      </c>
      <c r="I22" s="18">
        <v>2</v>
      </c>
      <c r="J22" s="18">
        <v>2</v>
      </c>
      <c r="K22" s="18">
        <v>21</v>
      </c>
      <c r="L22" s="18">
        <v>1</v>
      </c>
      <c r="M22" s="18">
        <v>0</v>
      </c>
      <c r="N22" s="18">
        <v>5</v>
      </c>
      <c r="O22" s="18">
        <v>100</v>
      </c>
      <c r="P22" s="18">
        <v>100</v>
      </c>
      <c r="Q22" s="18">
        <v>0</v>
      </c>
      <c r="R22" s="18">
        <v>0</v>
      </c>
      <c r="S22" s="39" t="s">
        <v>2798</v>
      </c>
      <c r="T22" s="18">
        <v>0</v>
      </c>
      <c r="U22" s="95" t="s">
        <v>85</v>
      </c>
      <c r="V22" s="18">
        <v>9999</v>
      </c>
      <c r="W22" s="18">
        <v>0</v>
      </c>
      <c r="X22" s="18"/>
      <c r="Y22" s="18">
        <v>0</v>
      </c>
      <c r="Z22" s="18">
        <v>0</v>
      </c>
      <c r="AA22" s="18">
        <v>0</v>
      </c>
      <c r="AB22" s="18"/>
      <c r="AC22" s="18">
        <v>1023</v>
      </c>
      <c r="AD22" s="18">
        <v>0</v>
      </c>
      <c r="AE22" s="39">
        <v>0</v>
      </c>
      <c r="AF22" s="18">
        <v>0</v>
      </c>
      <c r="AG22" s="18">
        <v>0</v>
      </c>
      <c r="AH22" s="18">
        <v>0</v>
      </c>
      <c r="AI22" s="18">
        <v>0</v>
      </c>
    </row>
    <row r="23" spans="2:35" x14ac:dyDescent="0.2">
      <c r="C23" t="s">
        <v>38</v>
      </c>
      <c r="E23" s="18">
        <v>12201</v>
      </c>
      <c r="F23" s="18">
        <v>10013</v>
      </c>
      <c r="G23" s="18">
        <v>0</v>
      </c>
      <c r="H23" s="39" t="s">
        <v>2771</v>
      </c>
      <c r="I23" s="18">
        <v>2</v>
      </c>
      <c r="J23" s="18">
        <v>3</v>
      </c>
      <c r="K23" s="18">
        <v>22</v>
      </c>
      <c r="L23" s="18">
        <v>1</v>
      </c>
      <c r="M23" s="18">
        <v>0</v>
      </c>
      <c r="N23" s="18">
        <v>5</v>
      </c>
      <c r="O23" s="18">
        <v>100</v>
      </c>
      <c r="P23" s="18">
        <v>100</v>
      </c>
      <c r="Q23" s="18">
        <v>0</v>
      </c>
      <c r="R23" s="18">
        <v>0</v>
      </c>
      <c r="S23" s="39" t="s">
        <v>2829</v>
      </c>
      <c r="T23" s="18">
        <v>0</v>
      </c>
      <c r="U23" s="95" t="s">
        <v>85</v>
      </c>
      <c r="V23" s="18">
        <v>9999</v>
      </c>
      <c r="W23" s="18">
        <v>0</v>
      </c>
      <c r="X23" s="18"/>
      <c r="Y23" s="18">
        <v>0</v>
      </c>
      <c r="Z23" s="18">
        <v>0</v>
      </c>
      <c r="AA23" s="18">
        <v>0</v>
      </c>
      <c r="AB23" s="18"/>
      <c r="AC23" s="18">
        <v>1022</v>
      </c>
      <c r="AD23" s="18">
        <v>0</v>
      </c>
      <c r="AE23" s="39">
        <v>0</v>
      </c>
      <c r="AF23" s="18">
        <v>0</v>
      </c>
      <c r="AG23" s="18">
        <v>0</v>
      </c>
      <c r="AH23" s="18">
        <v>0</v>
      </c>
      <c r="AI23" s="18">
        <v>0</v>
      </c>
    </row>
    <row r="24" spans="2:35" x14ac:dyDescent="0.2">
      <c r="C24" t="s">
        <v>39</v>
      </c>
      <c r="E24" s="18">
        <v>12301</v>
      </c>
      <c r="F24" s="18">
        <v>10014</v>
      </c>
      <c r="G24" s="18">
        <v>0</v>
      </c>
      <c r="H24" s="39" t="s">
        <v>2770</v>
      </c>
      <c r="I24" s="18">
        <v>2</v>
      </c>
      <c r="J24" s="18">
        <v>2</v>
      </c>
      <c r="K24" s="18">
        <v>23</v>
      </c>
      <c r="L24" s="18">
        <v>1</v>
      </c>
      <c r="M24" s="18">
        <v>0</v>
      </c>
      <c r="N24" s="18">
        <v>5</v>
      </c>
      <c r="O24" s="18">
        <v>100</v>
      </c>
      <c r="P24" s="18">
        <v>100</v>
      </c>
      <c r="Q24" s="18">
        <v>0</v>
      </c>
      <c r="R24" s="18">
        <v>0</v>
      </c>
      <c r="S24" s="39" t="s">
        <v>2798</v>
      </c>
      <c r="T24" s="18">
        <v>0</v>
      </c>
      <c r="U24" s="95" t="s">
        <v>85</v>
      </c>
      <c r="V24" s="18">
        <v>9999</v>
      </c>
      <c r="W24" s="18">
        <v>0</v>
      </c>
      <c r="X24" s="18"/>
      <c r="Y24" s="18">
        <v>0</v>
      </c>
      <c r="Z24" s="18">
        <v>0</v>
      </c>
      <c r="AA24" s="18">
        <v>0</v>
      </c>
      <c r="AB24" s="18"/>
      <c r="AC24" s="18">
        <v>1028</v>
      </c>
      <c r="AD24" s="18">
        <v>0</v>
      </c>
      <c r="AE24" s="39">
        <v>0</v>
      </c>
      <c r="AF24" s="18">
        <v>0</v>
      </c>
      <c r="AG24" s="18">
        <v>0</v>
      </c>
      <c r="AH24" s="18">
        <v>0</v>
      </c>
      <c r="AI24" s="18">
        <v>0</v>
      </c>
    </row>
    <row r="25" spans="2:35" x14ac:dyDescent="0.2">
      <c r="C25" t="s">
        <v>40</v>
      </c>
      <c r="E25" s="18">
        <v>12401</v>
      </c>
      <c r="F25" s="18">
        <v>10015</v>
      </c>
      <c r="G25" s="18">
        <v>0</v>
      </c>
      <c r="H25" s="39" t="s">
        <v>2781</v>
      </c>
      <c r="I25" s="18">
        <v>2</v>
      </c>
      <c r="J25" s="18">
        <v>2</v>
      </c>
      <c r="K25" s="18">
        <v>24</v>
      </c>
      <c r="L25" s="18">
        <v>1</v>
      </c>
      <c r="M25" s="18">
        <v>0</v>
      </c>
      <c r="N25" s="18">
        <v>5</v>
      </c>
      <c r="O25" s="18">
        <v>100</v>
      </c>
      <c r="P25" s="18">
        <v>100</v>
      </c>
      <c r="Q25" s="18">
        <v>0</v>
      </c>
      <c r="R25" s="18">
        <v>0</v>
      </c>
      <c r="S25" s="39" t="s">
        <v>2828</v>
      </c>
      <c r="T25" s="18">
        <v>0</v>
      </c>
      <c r="U25" s="95" t="s">
        <v>85</v>
      </c>
      <c r="V25" s="18">
        <v>9999</v>
      </c>
      <c r="W25" s="18">
        <v>0</v>
      </c>
      <c r="X25" s="18"/>
      <c r="Y25" s="18">
        <v>0</v>
      </c>
      <c r="Z25" s="18">
        <v>0</v>
      </c>
      <c r="AA25" s="18">
        <v>0</v>
      </c>
      <c r="AB25" s="18"/>
      <c r="AC25" s="18">
        <v>1025</v>
      </c>
      <c r="AD25" s="18">
        <v>0</v>
      </c>
      <c r="AE25" s="39">
        <v>0</v>
      </c>
      <c r="AF25" s="18">
        <v>0</v>
      </c>
      <c r="AG25" s="18">
        <v>0</v>
      </c>
      <c r="AH25" s="18">
        <v>0</v>
      </c>
      <c r="AI25" s="18">
        <v>0</v>
      </c>
    </row>
    <row r="26" spans="2:35" x14ac:dyDescent="0.2">
      <c r="C26" t="s">
        <v>41</v>
      </c>
      <c r="E26" s="18">
        <v>12501</v>
      </c>
      <c r="F26" s="18">
        <v>10016</v>
      </c>
      <c r="G26" s="18">
        <v>0</v>
      </c>
      <c r="H26" s="39" t="s">
        <v>2769</v>
      </c>
      <c r="I26" s="18">
        <v>2</v>
      </c>
      <c r="J26" s="18">
        <v>1</v>
      </c>
      <c r="K26" s="18">
        <v>25</v>
      </c>
      <c r="L26" s="18">
        <v>1</v>
      </c>
      <c r="M26" s="18">
        <v>0</v>
      </c>
      <c r="N26" s="18">
        <v>5</v>
      </c>
      <c r="O26" s="18">
        <v>100</v>
      </c>
      <c r="P26" s="18">
        <v>100</v>
      </c>
      <c r="Q26" s="18">
        <v>0</v>
      </c>
      <c r="R26" s="18">
        <v>0</v>
      </c>
      <c r="S26" s="39" t="s">
        <v>2798</v>
      </c>
      <c r="T26" s="18">
        <v>0</v>
      </c>
      <c r="U26" s="95" t="s">
        <v>85</v>
      </c>
      <c r="V26" s="18">
        <v>9999</v>
      </c>
      <c r="W26" s="18">
        <v>0</v>
      </c>
      <c r="X26" s="18"/>
      <c r="Y26" s="18">
        <v>0</v>
      </c>
      <c r="Z26" s="18">
        <v>0</v>
      </c>
      <c r="AA26" s="18">
        <v>0</v>
      </c>
      <c r="AB26" s="18"/>
      <c r="AC26" s="18">
        <v>1024</v>
      </c>
      <c r="AD26" s="18">
        <v>0</v>
      </c>
      <c r="AE26" s="39">
        <v>0</v>
      </c>
      <c r="AF26" s="18">
        <v>0</v>
      </c>
      <c r="AG26" s="18">
        <v>0</v>
      </c>
      <c r="AH26" s="18">
        <v>0</v>
      </c>
      <c r="AI26" s="18">
        <v>0</v>
      </c>
    </row>
    <row r="27" spans="2:35" x14ac:dyDescent="0.2">
      <c r="B27" s="10" t="s">
        <v>35</v>
      </c>
      <c r="C27" s="11" t="s">
        <v>42</v>
      </c>
      <c r="D27" s="11"/>
      <c r="E27" s="18">
        <v>13101</v>
      </c>
      <c r="F27" s="18">
        <v>10017</v>
      </c>
      <c r="G27" s="18">
        <v>0</v>
      </c>
      <c r="H27" s="39" t="s">
        <v>2773</v>
      </c>
      <c r="I27" s="18">
        <v>1</v>
      </c>
      <c r="J27" s="18">
        <v>1</v>
      </c>
      <c r="K27" s="18">
        <v>31</v>
      </c>
      <c r="L27" s="18">
        <v>1</v>
      </c>
      <c r="M27" s="18">
        <v>0</v>
      </c>
      <c r="N27" s="18">
        <v>5</v>
      </c>
      <c r="O27" s="18">
        <v>0</v>
      </c>
      <c r="P27" s="18">
        <v>0</v>
      </c>
      <c r="Q27" s="18">
        <v>0</v>
      </c>
      <c r="R27" s="18">
        <v>0</v>
      </c>
      <c r="S27" s="39" t="s">
        <v>85</v>
      </c>
      <c r="T27" s="18">
        <v>0</v>
      </c>
      <c r="U27" s="95" t="s">
        <v>85</v>
      </c>
      <c r="V27" s="18">
        <v>9999</v>
      </c>
      <c r="W27" s="18">
        <v>0</v>
      </c>
      <c r="X27" s="18"/>
      <c r="Y27" s="18">
        <v>0</v>
      </c>
      <c r="Z27" s="18">
        <v>0</v>
      </c>
      <c r="AA27" s="18">
        <v>0</v>
      </c>
      <c r="AB27" s="18"/>
      <c r="AC27" s="18">
        <v>1026</v>
      </c>
      <c r="AD27" s="18">
        <v>0</v>
      </c>
      <c r="AE27" s="39">
        <v>0</v>
      </c>
      <c r="AF27" s="18">
        <v>0</v>
      </c>
      <c r="AG27" s="18">
        <v>0</v>
      </c>
      <c r="AH27" s="18">
        <v>0</v>
      </c>
      <c r="AI27" s="18">
        <v>0</v>
      </c>
    </row>
    <row r="28" spans="2:35" x14ac:dyDescent="0.2">
      <c r="C28" t="s">
        <v>43</v>
      </c>
      <c r="E28" s="18">
        <v>13201</v>
      </c>
      <c r="F28" s="18">
        <v>10018</v>
      </c>
      <c r="G28" s="18">
        <v>0</v>
      </c>
      <c r="H28" s="39" t="s">
        <v>2774</v>
      </c>
      <c r="I28" s="18">
        <v>1</v>
      </c>
      <c r="J28" s="18">
        <v>1</v>
      </c>
      <c r="K28" s="18">
        <v>32</v>
      </c>
      <c r="L28" s="18">
        <v>1</v>
      </c>
      <c r="M28" s="18">
        <v>0</v>
      </c>
      <c r="N28" s="18">
        <v>5</v>
      </c>
      <c r="O28" s="18">
        <v>0</v>
      </c>
      <c r="P28" s="18">
        <v>0</v>
      </c>
      <c r="Q28" s="18">
        <v>0</v>
      </c>
      <c r="R28" s="18">
        <v>0</v>
      </c>
      <c r="S28" s="39" t="s">
        <v>85</v>
      </c>
      <c r="T28" s="18">
        <v>0</v>
      </c>
      <c r="U28" s="95" t="s">
        <v>85</v>
      </c>
      <c r="V28" s="18">
        <v>9999</v>
      </c>
      <c r="W28" s="18">
        <v>0</v>
      </c>
      <c r="X28" s="18"/>
      <c r="Y28" s="18">
        <v>0</v>
      </c>
      <c r="Z28" s="18">
        <v>0</v>
      </c>
      <c r="AA28" s="18">
        <v>0</v>
      </c>
      <c r="AB28" s="18"/>
      <c r="AC28" s="18">
        <v>1027</v>
      </c>
      <c r="AD28" s="18">
        <v>0</v>
      </c>
      <c r="AE28" s="39">
        <v>0</v>
      </c>
      <c r="AF28" s="18">
        <v>0</v>
      </c>
      <c r="AG28" s="18">
        <v>0</v>
      </c>
      <c r="AH28" s="18">
        <v>0</v>
      </c>
      <c r="AI28" s="18">
        <v>0</v>
      </c>
    </row>
    <row r="29" spans="2:35" x14ac:dyDescent="0.2">
      <c r="B29" s="140" t="s">
        <v>33</v>
      </c>
      <c r="C29" s="29" t="s">
        <v>44</v>
      </c>
      <c r="D29" s="60"/>
      <c r="E29" s="18">
        <v>10002</v>
      </c>
      <c r="F29" s="18">
        <v>10019</v>
      </c>
      <c r="G29" s="18">
        <v>0</v>
      </c>
      <c r="H29" s="40" t="s">
        <v>2759</v>
      </c>
      <c r="I29" s="18">
        <v>1</v>
      </c>
      <c r="J29" s="18">
        <v>3</v>
      </c>
      <c r="K29" s="18">
        <v>1</v>
      </c>
      <c r="L29" s="18">
        <v>2</v>
      </c>
      <c r="M29" s="18">
        <v>0</v>
      </c>
      <c r="N29" s="18">
        <v>10</v>
      </c>
      <c r="O29" s="18">
        <v>34</v>
      </c>
      <c r="P29" s="18">
        <v>34</v>
      </c>
      <c r="Q29" s="18">
        <v>1289</v>
      </c>
      <c r="R29" s="18">
        <v>0</v>
      </c>
      <c r="S29" s="39" t="s">
        <v>3634</v>
      </c>
      <c r="T29" s="18">
        <v>0</v>
      </c>
      <c r="U29" s="95" t="s">
        <v>85</v>
      </c>
      <c r="V29" s="18">
        <v>101</v>
      </c>
      <c r="W29" s="18">
        <v>10049</v>
      </c>
      <c r="X29" s="18"/>
      <c r="Y29" s="18">
        <v>1200</v>
      </c>
      <c r="Z29" s="18">
        <v>0</v>
      </c>
      <c r="AA29" s="18">
        <v>1090101</v>
      </c>
      <c r="AB29" s="18" t="s">
        <v>4643</v>
      </c>
      <c r="AC29" s="18">
        <v>1001</v>
      </c>
      <c r="AD29" s="18">
        <v>0</v>
      </c>
      <c r="AE29" s="39">
        <v>0</v>
      </c>
      <c r="AF29" s="18">
        <v>0</v>
      </c>
      <c r="AG29" s="18">
        <v>0</v>
      </c>
      <c r="AH29" s="18">
        <v>0</v>
      </c>
      <c r="AI29" s="18">
        <v>0</v>
      </c>
    </row>
    <row r="30" spans="2:35" x14ac:dyDescent="0.2">
      <c r="B30" s="140"/>
      <c r="C30" s="29" t="s">
        <v>22</v>
      </c>
      <c r="D30" s="60"/>
      <c r="E30" s="18">
        <v>10202</v>
      </c>
      <c r="F30" s="18">
        <v>10020</v>
      </c>
      <c r="G30" s="18">
        <v>0</v>
      </c>
      <c r="H30" s="40" t="s">
        <v>2760</v>
      </c>
      <c r="I30" s="18">
        <v>2</v>
      </c>
      <c r="J30" s="18">
        <v>3</v>
      </c>
      <c r="K30" s="18">
        <v>2</v>
      </c>
      <c r="L30" s="18">
        <v>2</v>
      </c>
      <c r="M30" s="18">
        <v>0</v>
      </c>
      <c r="N30" s="18">
        <v>10</v>
      </c>
      <c r="O30" s="18">
        <v>34</v>
      </c>
      <c r="P30" s="18">
        <v>34</v>
      </c>
      <c r="Q30" s="18">
        <v>1289</v>
      </c>
      <c r="R30" s="18">
        <v>0</v>
      </c>
      <c r="S30" s="39" t="s">
        <v>3635</v>
      </c>
      <c r="T30" s="18">
        <v>0</v>
      </c>
      <c r="U30" s="95" t="s">
        <v>85</v>
      </c>
      <c r="V30" s="18">
        <v>201</v>
      </c>
      <c r="W30" s="18">
        <v>10008</v>
      </c>
      <c r="X30" s="18"/>
      <c r="Y30" s="18">
        <v>1100</v>
      </c>
      <c r="Z30" s="18">
        <v>0</v>
      </c>
      <c r="AA30" s="18">
        <v>1090401</v>
      </c>
      <c r="AB30" s="18" t="s">
        <v>4644</v>
      </c>
      <c r="AC30" s="18">
        <v>1003</v>
      </c>
      <c r="AD30" s="18">
        <v>0</v>
      </c>
      <c r="AE30" s="39">
        <v>0</v>
      </c>
      <c r="AF30" s="18">
        <v>0</v>
      </c>
      <c r="AG30" s="18">
        <v>0</v>
      </c>
      <c r="AH30" s="18">
        <v>0</v>
      </c>
      <c r="AI30" s="18">
        <v>0</v>
      </c>
    </row>
    <row r="31" spans="2:35" x14ac:dyDescent="0.2">
      <c r="B31" s="140"/>
      <c r="C31" s="29" t="s">
        <v>23</v>
      </c>
      <c r="D31" s="60"/>
      <c r="E31" s="18">
        <v>10302</v>
      </c>
      <c r="F31" s="18">
        <v>10021</v>
      </c>
      <c r="G31" s="18">
        <v>0</v>
      </c>
      <c r="H31" s="40" t="s">
        <v>2761</v>
      </c>
      <c r="I31" s="18">
        <v>1</v>
      </c>
      <c r="J31" s="18">
        <v>3</v>
      </c>
      <c r="K31" s="18">
        <v>3</v>
      </c>
      <c r="L31" s="18">
        <v>2</v>
      </c>
      <c r="M31" s="18">
        <v>0</v>
      </c>
      <c r="N31" s="18">
        <v>10</v>
      </c>
      <c r="O31" s="18">
        <v>34</v>
      </c>
      <c r="P31" s="18">
        <v>34</v>
      </c>
      <c r="Q31" s="18">
        <v>1289</v>
      </c>
      <c r="R31" s="18">
        <v>0</v>
      </c>
      <c r="S31" s="39" t="s">
        <v>3636</v>
      </c>
      <c r="T31" s="18">
        <v>0</v>
      </c>
      <c r="U31" s="95" t="s">
        <v>85</v>
      </c>
      <c r="V31" s="18">
        <v>301</v>
      </c>
      <c r="W31" s="18">
        <v>10051</v>
      </c>
      <c r="X31" s="18"/>
      <c r="Y31" s="18">
        <v>1100</v>
      </c>
      <c r="Z31" s="18">
        <v>0</v>
      </c>
      <c r="AA31" s="18">
        <v>1092001</v>
      </c>
      <c r="AB31" s="18" t="s">
        <v>4644</v>
      </c>
      <c r="AC31" s="18">
        <v>1007</v>
      </c>
      <c r="AD31" s="18">
        <v>0</v>
      </c>
      <c r="AE31" s="39">
        <v>0</v>
      </c>
      <c r="AF31" s="18">
        <v>0</v>
      </c>
      <c r="AG31" s="18">
        <v>0</v>
      </c>
      <c r="AH31" s="18">
        <v>0</v>
      </c>
      <c r="AI31" s="18">
        <v>0</v>
      </c>
    </row>
    <row r="32" spans="2:35" x14ac:dyDescent="0.2">
      <c r="B32" s="140"/>
      <c r="C32" s="29" t="s">
        <v>24</v>
      </c>
      <c r="D32" s="60"/>
      <c r="E32" s="18">
        <v>10402</v>
      </c>
      <c r="F32" s="18">
        <v>10022</v>
      </c>
      <c r="G32" s="18">
        <v>0</v>
      </c>
      <c r="H32" s="40" t="s">
        <v>2758</v>
      </c>
      <c r="I32" s="18">
        <v>1</v>
      </c>
      <c r="J32" s="18">
        <v>3</v>
      </c>
      <c r="K32" s="18">
        <v>4</v>
      </c>
      <c r="L32" s="18">
        <v>2</v>
      </c>
      <c r="M32" s="18">
        <v>0</v>
      </c>
      <c r="N32" s="18">
        <v>10</v>
      </c>
      <c r="O32" s="18">
        <v>34</v>
      </c>
      <c r="P32" s="18">
        <v>34</v>
      </c>
      <c r="Q32" s="18">
        <v>1289</v>
      </c>
      <c r="R32" s="18">
        <v>0</v>
      </c>
      <c r="S32" s="39" t="s">
        <v>3637</v>
      </c>
      <c r="T32" s="18">
        <v>0</v>
      </c>
      <c r="U32" s="95" t="s">
        <v>85</v>
      </c>
      <c r="V32" s="18">
        <v>401</v>
      </c>
      <c r="W32" s="18">
        <v>10024</v>
      </c>
      <c r="X32" s="18"/>
      <c r="Y32" s="18">
        <v>800</v>
      </c>
      <c r="Z32" s="18">
        <v>0</v>
      </c>
      <c r="AA32" s="18">
        <v>1090501</v>
      </c>
      <c r="AB32" s="18" t="s">
        <v>4644</v>
      </c>
      <c r="AC32" s="18">
        <v>1001</v>
      </c>
      <c r="AD32" s="18">
        <v>0</v>
      </c>
      <c r="AE32" s="39">
        <v>0</v>
      </c>
      <c r="AF32" s="18">
        <v>0</v>
      </c>
      <c r="AG32" s="18">
        <v>0</v>
      </c>
      <c r="AH32" s="18">
        <v>0</v>
      </c>
      <c r="AI32" s="18">
        <v>0</v>
      </c>
    </row>
    <row r="33" spans="2:35" x14ac:dyDescent="0.2">
      <c r="B33" s="140"/>
      <c r="C33" s="29" t="s">
        <v>25</v>
      </c>
      <c r="D33" s="60"/>
      <c r="E33" s="18">
        <v>10502</v>
      </c>
      <c r="F33" s="18">
        <v>10023</v>
      </c>
      <c r="G33" s="18">
        <v>0</v>
      </c>
      <c r="H33" s="40" t="s">
        <v>2762</v>
      </c>
      <c r="I33" s="18">
        <v>1</v>
      </c>
      <c r="J33" s="18">
        <v>4</v>
      </c>
      <c r="K33" s="18">
        <v>5</v>
      </c>
      <c r="L33" s="18">
        <v>2</v>
      </c>
      <c r="M33" s="18">
        <v>0</v>
      </c>
      <c r="N33" s="18">
        <v>10</v>
      </c>
      <c r="O33" s="18">
        <v>34</v>
      </c>
      <c r="P33" s="18">
        <v>34</v>
      </c>
      <c r="Q33" s="18">
        <v>1289</v>
      </c>
      <c r="R33" s="18">
        <v>0</v>
      </c>
      <c r="S33" s="39" t="s">
        <v>3638</v>
      </c>
      <c r="T33" s="18">
        <v>0</v>
      </c>
      <c r="U33" s="95" t="s">
        <v>85</v>
      </c>
      <c r="V33" s="18">
        <v>501</v>
      </c>
      <c r="W33" s="18">
        <v>10053</v>
      </c>
      <c r="X33" s="18"/>
      <c r="Y33" s="18">
        <v>1300</v>
      </c>
      <c r="Z33" s="18">
        <v>0</v>
      </c>
      <c r="AA33" s="18">
        <v>1090201</v>
      </c>
      <c r="AB33" s="18" t="s">
        <v>4645</v>
      </c>
      <c r="AC33" s="18">
        <v>1002</v>
      </c>
      <c r="AD33" s="18">
        <v>0</v>
      </c>
      <c r="AE33" s="39">
        <v>0</v>
      </c>
      <c r="AF33" s="18">
        <v>0</v>
      </c>
      <c r="AG33" s="18">
        <v>0</v>
      </c>
      <c r="AH33" s="18">
        <v>0</v>
      </c>
      <c r="AI33" s="18">
        <v>0</v>
      </c>
    </row>
    <row r="34" spans="2:35" x14ac:dyDescent="0.2">
      <c r="B34" s="140"/>
      <c r="C34" s="29" t="s">
        <v>26</v>
      </c>
      <c r="D34" s="60"/>
      <c r="E34" s="18">
        <v>10602</v>
      </c>
      <c r="F34" s="18">
        <v>10024</v>
      </c>
      <c r="G34" s="18">
        <v>0</v>
      </c>
      <c r="H34" s="40" t="s">
        <v>2763</v>
      </c>
      <c r="I34" s="18">
        <v>2</v>
      </c>
      <c r="J34" s="18">
        <v>3</v>
      </c>
      <c r="K34" s="18">
        <v>6</v>
      </c>
      <c r="L34" s="18">
        <v>2</v>
      </c>
      <c r="M34" s="18">
        <v>0</v>
      </c>
      <c r="N34" s="18">
        <v>10</v>
      </c>
      <c r="O34" s="18">
        <v>34</v>
      </c>
      <c r="P34" s="18">
        <v>34</v>
      </c>
      <c r="Q34" s="18">
        <v>1289</v>
      </c>
      <c r="R34" s="18">
        <v>0</v>
      </c>
      <c r="S34" s="39" t="s">
        <v>3639</v>
      </c>
      <c r="T34" s="18">
        <v>0</v>
      </c>
      <c r="U34" s="95" t="s">
        <v>85</v>
      </c>
      <c r="V34" s="18">
        <v>601</v>
      </c>
      <c r="W34" s="18">
        <v>10055</v>
      </c>
      <c r="X34" s="18"/>
      <c r="Y34" s="18">
        <v>1400</v>
      </c>
      <c r="Z34" s="18">
        <v>0</v>
      </c>
      <c r="AA34" s="18">
        <v>1091021</v>
      </c>
      <c r="AB34" s="18" t="s">
        <v>4645</v>
      </c>
      <c r="AC34" s="18">
        <v>1004</v>
      </c>
      <c r="AD34" s="18">
        <v>0</v>
      </c>
      <c r="AE34" s="39">
        <v>0</v>
      </c>
      <c r="AF34" s="18">
        <v>0</v>
      </c>
      <c r="AG34" s="18">
        <v>0</v>
      </c>
      <c r="AH34" s="18">
        <v>0</v>
      </c>
      <c r="AI34" s="18">
        <v>0</v>
      </c>
    </row>
    <row r="35" spans="2:35" x14ac:dyDescent="0.2">
      <c r="B35" s="140"/>
      <c r="C35" s="29" t="s">
        <v>27</v>
      </c>
      <c r="D35" s="60"/>
      <c r="E35" s="18">
        <v>10702</v>
      </c>
      <c r="F35" s="18">
        <v>10025</v>
      </c>
      <c r="G35" s="18">
        <v>0</v>
      </c>
      <c r="H35" s="40" t="s">
        <v>2764</v>
      </c>
      <c r="I35" s="18">
        <v>2</v>
      </c>
      <c r="J35" s="18">
        <v>4</v>
      </c>
      <c r="K35" s="18">
        <v>7</v>
      </c>
      <c r="L35" s="18">
        <v>2</v>
      </c>
      <c r="M35" s="18">
        <v>0</v>
      </c>
      <c r="N35" s="18">
        <v>10</v>
      </c>
      <c r="O35" s="18">
        <v>34</v>
      </c>
      <c r="P35" s="18">
        <v>34</v>
      </c>
      <c r="Q35" s="18">
        <v>1289</v>
      </c>
      <c r="R35" s="18">
        <v>0</v>
      </c>
      <c r="S35" s="39" t="s">
        <v>3640</v>
      </c>
      <c r="T35" s="18">
        <v>0</v>
      </c>
      <c r="U35" s="95" t="s">
        <v>85</v>
      </c>
      <c r="V35" s="18">
        <v>701</v>
      </c>
      <c r="W35" s="18">
        <v>10057</v>
      </c>
      <c r="X35" s="18"/>
      <c r="Y35" s="18">
        <v>1500</v>
      </c>
      <c r="Z35" s="18">
        <v>0</v>
      </c>
      <c r="AA35" s="18">
        <v>1092101</v>
      </c>
      <c r="AB35" s="18" t="s">
        <v>4645</v>
      </c>
      <c r="AC35" s="18">
        <v>1021</v>
      </c>
      <c r="AD35" s="18">
        <v>0</v>
      </c>
      <c r="AE35" s="39">
        <v>0</v>
      </c>
      <c r="AF35" s="18">
        <v>0</v>
      </c>
      <c r="AG35" s="18">
        <v>0</v>
      </c>
      <c r="AH35" s="18">
        <v>0</v>
      </c>
      <c r="AI35" s="18">
        <v>0</v>
      </c>
    </row>
    <row r="36" spans="2:35" x14ac:dyDescent="0.2">
      <c r="B36" s="140"/>
      <c r="C36" s="29" t="s">
        <v>2894</v>
      </c>
      <c r="D36" s="60"/>
      <c r="E36" s="18">
        <v>10802</v>
      </c>
      <c r="F36" s="18">
        <v>10026</v>
      </c>
      <c r="G36" s="18">
        <v>0</v>
      </c>
      <c r="H36" s="40" t="s">
        <v>2765</v>
      </c>
      <c r="I36" s="18">
        <v>1</v>
      </c>
      <c r="J36" s="18">
        <v>4</v>
      </c>
      <c r="K36" s="18">
        <v>8</v>
      </c>
      <c r="L36" s="18">
        <v>2</v>
      </c>
      <c r="M36" s="18">
        <v>0</v>
      </c>
      <c r="N36" s="18">
        <v>10</v>
      </c>
      <c r="O36" s="18">
        <v>34</v>
      </c>
      <c r="P36" s="18">
        <v>34</v>
      </c>
      <c r="Q36" s="18">
        <v>1289</v>
      </c>
      <c r="R36" s="18">
        <v>0</v>
      </c>
      <c r="S36" s="39" t="s">
        <v>3641</v>
      </c>
      <c r="T36" s="18">
        <v>0</v>
      </c>
      <c r="U36" s="95" t="s">
        <v>85</v>
      </c>
      <c r="V36" s="18">
        <v>801</v>
      </c>
      <c r="W36" s="18">
        <v>10001</v>
      </c>
      <c r="X36" s="18"/>
      <c r="Y36" s="18">
        <v>1000</v>
      </c>
      <c r="Z36" s="18">
        <v>0</v>
      </c>
      <c r="AA36" s="18">
        <v>1091302</v>
      </c>
      <c r="AB36" s="18" t="s">
        <v>4646</v>
      </c>
      <c r="AC36" s="18">
        <v>1013</v>
      </c>
      <c r="AD36" s="18">
        <v>0</v>
      </c>
      <c r="AE36" s="39">
        <v>0</v>
      </c>
      <c r="AF36" s="18">
        <v>0</v>
      </c>
      <c r="AG36" s="18">
        <v>0</v>
      </c>
      <c r="AH36" s="18">
        <v>0</v>
      </c>
      <c r="AI36" s="18">
        <v>0</v>
      </c>
    </row>
    <row r="37" spans="2:35" x14ac:dyDescent="0.2">
      <c r="B37" s="140"/>
      <c r="C37" s="29" t="s">
        <v>29</v>
      </c>
      <c r="D37" s="60"/>
      <c r="E37" s="18">
        <v>10902</v>
      </c>
      <c r="F37" s="18">
        <v>10027</v>
      </c>
      <c r="G37" s="18">
        <v>0</v>
      </c>
      <c r="H37" s="40" t="s">
        <v>2766</v>
      </c>
      <c r="I37" s="18">
        <v>2</v>
      </c>
      <c r="J37" s="18">
        <v>3</v>
      </c>
      <c r="K37" s="18">
        <v>9</v>
      </c>
      <c r="L37" s="18">
        <v>2</v>
      </c>
      <c r="M37" s="18">
        <v>0</v>
      </c>
      <c r="N37" s="18">
        <v>10</v>
      </c>
      <c r="O37" s="18">
        <v>34</v>
      </c>
      <c r="P37" s="18">
        <v>34</v>
      </c>
      <c r="Q37" s="18">
        <v>1289</v>
      </c>
      <c r="R37" s="18">
        <v>0</v>
      </c>
      <c r="S37" s="39" t="s">
        <v>3642</v>
      </c>
      <c r="T37" s="18">
        <v>0</v>
      </c>
      <c r="U37" s="95" t="s">
        <v>85</v>
      </c>
      <c r="V37" s="18">
        <v>901</v>
      </c>
      <c r="W37" s="18">
        <v>10026</v>
      </c>
      <c r="X37" s="18"/>
      <c r="Y37" s="18">
        <v>1400</v>
      </c>
      <c r="Z37" s="18">
        <v>0</v>
      </c>
      <c r="AA37" s="18">
        <v>1091701</v>
      </c>
      <c r="AB37" s="18" t="s">
        <v>4647</v>
      </c>
      <c r="AC37" s="18">
        <v>1017</v>
      </c>
      <c r="AD37" s="18">
        <v>0</v>
      </c>
      <c r="AE37" s="39">
        <v>0</v>
      </c>
      <c r="AF37" s="18">
        <v>0</v>
      </c>
      <c r="AG37" s="18">
        <v>0</v>
      </c>
      <c r="AH37" s="18">
        <v>0</v>
      </c>
      <c r="AI37" s="18">
        <v>0</v>
      </c>
    </row>
    <row r="38" spans="2:35" x14ac:dyDescent="0.2">
      <c r="B38" s="140"/>
      <c r="C38" s="29" t="s">
        <v>30</v>
      </c>
      <c r="D38" s="60"/>
      <c r="E38" s="18">
        <v>11002</v>
      </c>
      <c r="F38" s="18">
        <v>10028</v>
      </c>
      <c r="G38" s="18">
        <v>0</v>
      </c>
      <c r="H38" s="40" t="s">
        <v>2767</v>
      </c>
      <c r="I38" s="18">
        <v>2</v>
      </c>
      <c r="J38" s="18">
        <v>4</v>
      </c>
      <c r="K38" s="18">
        <v>10</v>
      </c>
      <c r="L38" s="18">
        <v>2</v>
      </c>
      <c r="M38" s="18">
        <v>0</v>
      </c>
      <c r="N38" s="18">
        <v>10</v>
      </c>
      <c r="O38" s="18">
        <v>34</v>
      </c>
      <c r="P38" s="18">
        <v>34</v>
      </c>
      <c r="Q38" s="18">
        <v>1289</v>
      </c>
      <c r="R38" s="18">
        <v>0</v>
      </c>
      <c r="S38" s="39" t="s">
        <v>3643</v>
      </c>
      <c r="T38" s="18">
        <v>0</v>
      </c>
      <c r="U38" s="95" t="s">
        <v>85</v>
      </c>
      <c r="V38" s="18">
        <v>1001</v>
      </c>
      <c r="W38" s="18">
        <v>10048</v>
      </c>
      <c r="X38" s="18"/>
      <c r="Y38" s="18">
        <v>1650</v>
      </c>
      <c r="Z38" s="18">
        <v>0</v>
      </c>
      <c r="AA38" s="18">
        <v>1091002</v>
      </c>
      <c r="AB38" s="18" t="s">
        <v>4648</v>
      </c>
      <c r="AC38" s="18">
        <v>1010</v>
      </c>
      <c r="AD38" s="18">
        <v>0</v>
      </c>
      <c r="AE38" s="39">
        <v>0</v>
      </c>
      <c r="AF38" s="18">
        <v>0</v>
      </c>
      <c r="AG38" s="18">
        <v>0</v>
      </c>
      <c r="AH38" s="18">
        <v>0</v>
      </c>
      <c r="AI38" s="18">
        <v>0</v>
      </c>
    </row>
    <row r="39" spans="2:35" x14ac:dyDescent="0.2">
      <c r="B39" s="140"/>
      <c r="C39" s="29" t="s">
        <v>36</v>
      </c>
      <c r="D39" s="60"/>
      <c r="E39" s="18">
        <v>11102</v>
      </c>
      <c r="F39" s="18">
        <v>10029</v>
      </c>
      <c r="G39" s="18">
        <v>0</v>
      </c>
      <c r="H39" s="40" t="s">
        <v>2768</v>
      </c>
      <c r="I39" s="18">
        <v>2</v>
      </c>
      <c r="J39" s="18">
        <v>2</v>
      </c>
      <c r="K39" s="18">
        <v>11</v>
      </c>
      <c r="L39" s="18">
        <v>2</v>
      </c>
      <c r="M39" s="18">
        <v>0</v>
      </c>
      <c r="N39" s="18">
        <v>10</v>
      </c>
      <c r="O39" s="18">
        <v>34</v>
      </c>
      <c r="P39" s="18">
        <v>34</v>
      </c>
      <c r="Q39" s="18">
        <v>1289</v>
      </c>
      <c r="R39" s="18">
        <v>0</v>
      </c>
      <c r="S39" s="39" t="s">
        <v>4837</v>
      </c>
      <c r="T39" s="18">
        <v>0</v>
      </c>
      <c r="U39" s="95" t="s">
        <v>85</v>
      </c>
      <c r="V39" s="18">
        <v>1101</v>
      </c>
      <c r="W39" s="18">
        <v>0</v>
      </c>
      <c r="X39" s="18"/>
      <c r="Y39" s="18">
        <v>0</v>
      </c>
      <c r="Z39" s="18">
        <v>0</v>
      </c>
      <c r="AA39" s="18">
        <v>1091901</v>
      </c>
      <c r="AB39" s="18"/>
      <c r="AC39" s="18">
        <v>1019</v>
      </c>
      <c r="AD39" s="18">
        <v>0</v>
      </c>
      <c r="AE39" s="39">
        <v>0</v>
      </c>
      <c r="AF39" s="18">
        <v>0</v>
      </c>
      <c r="AG39" s="18">
        <v>0</v>
      </c>
      <c r="AH39" s="18">
        <v>0</v>
      </c>
      <c r="AI39" s="18">
        <v>0</v>
      </c>
    </row>
    <row r="40" spans="2:35" x14ac:dyDescent="0.2">
      <c r="B40" s="84"/>
      <c r="C40" s="29" t="s">
        <v>2896</v>
      </c>
      <c r="D40" s="60"/>
      <c r="E40" s="18">
        <v>11202</v>
      </c>
      <c r="F40" s="18">
        <v>10026</v>
      </c>
      <c r="G40" s="18">
        <v>0</v>
      </c>
      <c r="H40" s="40" t="s">
        <v>2765</v>
      </c>
      <c r="I40" s="18">
        <v>1</v>
      </c>
      <c r="J40" s="18">
        <v>4</v>
      </c>
      <c r="K40" s="18">
        <v>8</v>
      </c>
      <c r="L40" s="18">
        <v>2</v>
      </c>
      <c r="M40" s="18">
        <v>0</v>
      </c>
      <c r="N40" s="18">
        <v>10</v>
      </c>
      <c r="O40" s="18">
        <v>34</v>
      </c>
      <c r="P40" s="18">
        <v>34</v>
      </c>
      <c r="Q40" s="18">
        <v>1289</v>
      </c>
      <c r="R40" s="18">
        <v>0</v>
      </c>
      <c r="S40" s="39" t="s">
        <v>3641</v>
      </c>
      <c r="T40" s="18">
        <v>0</v>
      </c>
      <c r="U40" s="95" t="s">
        <v>85</v>
      </c>
      <c r="V40" s="18">
        <v>801</v>
      </c>
      <c r="W40" s="18">
        <v>10003</v>
      </c>
      <c r="X40" s="18"/>
      <c r="Y40" s="18">
        <v>1200</v>
      </c>
      <c r="Z40" s="18">
        <v>0</v>
      </c>
      <c r="AA40" s="18">
        <v>1091302</v>
      </c>
      <c r="AB40" s="18" t="s">
        <v>4646</v>
      </c>
      <c r="AC40" s="18">
        <v>1013</v>
      </c>
      <c r="AD40" s="18">
        <v>0</v>
      </c>
      <c r="AE40" s="39">
        <v>0</v>
      </c>
      <c r="AF40" s="18">
        <v>0</v>
      </c>
      <c r="AG40" s="18">
        <v>0</v>
      </c>
      <c r="AH40" s="18">
        <v>0</v>
      </c>
      <c r="AI40" s="18">
        <v>0</v>
      </c>
    </row>
    <row r="41" spans="2:35" x14ac:dyDescent="0.2">
      <c r="B41" s="84"/>
      <c r="C41" s="29" t="s">
        <v>2898</v>
      </c>
      <c r="D41" s="60"/>
      <c r="E41" s="18">
        <v>11302</v>
      </c>
      <c r="F41" s="18">
        <v>10026</v>
      </c>
      <c r="G41" s="18">
        <v>0</v>
      </c>
      <c r="H41" s="40" t="s">
        <v>2765</v>
      </c>
      <c r="I41" s="18">
        <v>1</v>
      </c>
      <c r="J41" s="18">
        <v>4</v>
      </c>
      <c r="K41" s="18">
        <v>8</v>
      </c>
      <c r="L41" s="18">
        <v>2</v>
      </c>
      <c r="M41" s="18">
        <v>0</v>
      </c>
      <c r="N41" s="18">
        <v>10</v>
      </c>
      <c r="O41" s="18">
        <v>34</v>
      </c>
      <c r="P41" s="18">
        <v>34</v>
      </c>
      <c r="Q41" s="18">
        <v>1289</v>
      </c>
      <c r="R41" s="18">
        <v>0</v>
      </c>
      <c r="S41" s="39" t="s">
        <v>3641</v>
      </c>
      <c r="T41" s="18">
        <v>0</v>
      </c>
      <c r="U41" s="95" t="s">
        <v>85</v>
      </c>
      <c r="V41" s="18">
        <v>801</v>
      </c>
      <c r="W41" s="18">
        <v>10004</v>
      </c>
      <c r="X41" s="18"/>
      <c r="Y41" s="18">
        <v>1500</v>
      </c>
      <c r="Z41" s="18">
        <v>0</v>
      </c>
      <c r="AA41" s="18">
        <v>1091302</v>
      </c>
      <c r="AB41" s="18" t="s">
        <v>4646</v>
      </c>
      <c r="AC41" s="18">
        <v>1013</v>
      </c>
      <c r="AD41" s="18">
        <v>0</v>
      </c>
      <c r="AE41" s="39">
        <v>0</v>
      </c>
      <c r="AF41" s="18">
        <v>0</v>
      </c>
      <c r="AG41" s="18">
        <v>0</v>
      </c>
      <c r="AH41" s="18">
        <v>0</v>
      </c>
      <c r="AI41" s="18">
        <v>0</v>
      </c>
    </row>
    <row r="42" spans="2:35" x14ac:dyDescent="0.2">
      <c r="B42" s="84"/>
      <c r="C42" s="29" t="s">
        <v>3475</v>
      </c>
      <c r="D42" s="60"/>
      <c r="E42" s="18">
        <v>11402</v>
      </c>
      <c r="F42" s="18">
        <v>10026</v>
      </c>
      <c r="G42" s="18">
        <v>0</v>
      </c>
      <c r="H42" s="40" t="s">
        <v>2765</v>
      </c>
      <c r="I42" s="18">
        <v>1</v>
      </c>
      <c r="J42" s="18">
        <v>4</v>
      </c>
      <c r="K42" s="18">
        <v>8</v>
      </c>
      <c r="L42" s="18">
        <v>2</v>
      </c>
      <c r="M42" s="18">
        <v>0</v>
      </c>
      <c r="N42" s="18">
        <v>10</v>
      </c>
      <c r="O42" s="18">
        <v>34</v>
      </c>
      <c r="P42" s="18">
        <v>34</v>
      </c>
      <c r="Q42" s="18">
        <v>1289</v>
      </c>
      <c r="R42" s="18">
        <v>0</v>
      </c>
      <c r="S42" s="39" t="s">
        <v>3677</v>
      </c>
      <c r="T42" s="18">
        <v>0</v>
      </c>
      <c r="U42" s="95" t="s">
        <v>85</v>
      </c>
      <c r="V42" s="18">
        <v>801</v>
      </c>
      <c r="W42" s="18">
        <v>10006</v>
      </c>
      <c r="X42" s="18"/>
      <c r="Y42" s="18">
        <v>1200</v>
      </c>
      <c r="Z42" s="18">
        <v>0</v>
      </c>
      <c r="AA42" s="18">
        <v>1091302</v>
      </c>
      <c r="AB42" s="18" t="s">
        <v>4646</v>
      </c>
      <c r="AC42" s="18">
        <v>1013</v>
      </c>
      <c r="AD42" s="18">
        <v>0</v>
      </c>
      <c r="AE42" s="39">
        <v>0</v>
      </c>
      <c r="AF42" s="18">
        <v>0</v>
      </c>
      <c r="AG42" s="18">
        <v>0</v>
      </c>
      <c r="AH42" s="18">
        <v>0</v>
      </c>
      <c r="AI42" s="18">
        <v>0</v>
      </c>
    </row>
    <row r="43" spans="2:35" x14ac:dyDescent="0.2">
      <c r="B43" s="84"/>
      <c r="C43" s="29" t="s">
        <v>3476</v>
      </c>
      <c r="D43" s="60"/>
      <c r="E43" s="18">
        <v>11502</v>
      </c>
      <c r="F43" s="18">
        <v>10026</v>
      </c>
      <c r="G43" s="18">
        <v>0</v>
      </c>
      <c r="H43" s="40" t="s">
        <v>2765</v>
      </c>
      <c r="I43" s="18">
        <v>1</v>
      </c>
      <c r="J43" s="18">
        <v>4</v>
      </c>
      <c r="K43" s="18">
        <v>8</v>
      </c>
      <c r="L43" s="18">
        <v>2</v>
      </c>
      <c r="M43" s="18">
        <v>0</v>
      </c>
      <c r="N43" s="18">
        <v>10</v>
      </c>
      <c r="O43" s="18">
        <v>34</v>
      </c>
      <c r="P43" s="18">
        <v>34</v>
      </c>
      <c r="Q43" s="18">
        <v>1289</v>
      </c>
      <c r="R43" s="18">
        <v>0</v>
      </c>
      <c r="S43" s="39" t="s">
        <v>3676</v>
      </c>
      <c r="T43" s="18">
        <v>0</v>
      </c>
      <c r="U43" s="95" t="s">
        <v>85</v>
      </c>
      <c r="V43" s="18">
        <v>801</v>
      </c>
      <c r="W43" s="18">
        <v>10007</v>
      </c>
      <c r="X43" s="18"/>
      <c r="Y43" s="18">
        <v>1500</v>
      </c>
      <c r="Z43" s="18">
        <v>0</v>
      </c>
      <c r="AA43" s="18">
        <v>1091302</v>
      </c>
      <c r="AB43" s="18" t="s">
        <v>4646</v>
      </c>
      <c r="AC43" s="18">
        <v>1013</v>
      </c>
      <c r="AD43" s="18">
        <v>0</v>
      </c>
      <c r="AE43" s="39">
        <v>0</v>
      </c>
      <c r="AF43" s="18">
        <v>0</v>
      </c>
      <c r="AG43" s="18">
        <v>0</v>
      </c>
      <c r="AH43" s="18">
        <v>0</v>
      </c>
      <c r="AI43" s="18">
        <v>0</v>
      </c>
    </row>
    <row r="44" spans="2:35" x14ac:dyDescent="0.2">
      <c r="B44" s="140" t="s">
        <v>34</v>
      </c>
      <c r="C44" s="29" t="s">
        <v>37</v>
      </c>
      <c r="D44" s="60"/>
      <c r="E44" s="18">
        <v>12102</v>
      </c>
      <c r="F44" s="18">
        <v>10030</v>
      </c>
      <c r="G44" s="18">
        <v>0</v>
      </c>
      <c r="H44" s="39" t="s">
        <v>2772</v>
      </c>
      <c r="I44" s="18">
        <v>2</v>
      </c>
      <c r="J44" s="18">
        <v>2</v>
      </c>
      <c r="K44" s="18">
        <v>21</v>
      </c>
      <c r="L44" s="18">
        <v>2</v>
      </c>
      <c r="M44" s="18">
        <v>0</v>
      </c>
      <c r="N44" s="18">
        <v>10</v>
      </c>
      <c r="O44" s="18">
        <v>85</v>
      </c>
      <c r="P44" s="18">
        <v>85</v>
      </c>
      <c r="Q44" s="18">
        <v>3224</v>
      </c>
      <c r="R44" s="18">
        <v>0</v>
      </c>
      <c r="S44" s="39" t="s">
        <v>2799</v>
      </c>
      <c r="T44" s="18">
        <v>0</v>
      </c>
      <c r="U44" s="95" t="s">
        <v>85</v>
      </c>
      <c r="V44" s="18">
        <v>2101</v>
      </c>
      <c r="W44" s="18">
        <v>0</v>
      </c>
      <c r="X44" s="18"/>
      <c r="Y44" s="18">
        <v>0</v>
      </c>
      <c r="Z44" s="18">
        <v>0</v>
      </c>
      <c r="AA44" s="18">
        <v>0</v>
      </c>
      <c r="AB44" s="18"/>
      <c r="AC44" s="18">
        <v>1023</v>
      </c>
      <c r="AD44" s="18">
        <v>0</v>
      </c>
      <c r="AE44" s="39">
        <v>0</v>
      </c>
      <c r="AF44" s="18">
        <v>0</v>
      </c>
      <c r="AG44" s="18">
        <v>0</v>
      </c>
      <c r="AH44" s="18">
        <v>0</v>
      </c>
      <c r="AI44" s="18">
        <v>0</v>
      </c>
    </row>
    <row r="45" spans="2:35" x14ac:dyDescent="0.2">
      <c r="B45" s="140"/>
      <c r="C45" s="29" t="s">
        <v>38</v>
      </c>
      <c r="D45" s="60"/>
      <c r="E45" s="18">
        <v>12202</v>
      </c>
      <c r="F45" s="18">
        <v>10031</v>
      </c>
      <c r="G45" s="18">
        <v>0</v>
      </c>
      <c r="H45" s="39" t="s">
        <v>2771</v>
      </c>
      <c r="I45" s="18">
        <v>2</v>
      </c>
      <c r="J45" s="18">
        <v>3</v>
      </c>
      <c r="K45" s="18">
        <v>22</v>
      </c>
      <c r="L45" s="18">
        <v>2</v>
      </c>
      <c r="M45" s="18">
        <v>0</v>
      </c>
      <c r="N45" s="18">
        <v>10</v>
      </c>
      <c r="O45" s="18">
        <v>85</v>
      </c>
      <c r="P45" s="18">
        <v>85</v>
      </c>
      <c r="Q45" s="18">
        <v>3224</v>
      </c>
      <c r="R45" s="18">
        <v>0</v>
      </c>
      <c r="S45" s="39" t="s">
        <v>2830</v>
      </c>
      <c r="T45" s="18">
        <v>0</v>
      </c>
      <c r="U45" s="95" t="s">
        <v>85</v>
      </c>
      <c r="V45" s="18">
        <v>2201</v>
      </c>
      <c r="W45" s="18">
        <v>0</v>
      </c>
      <c r="X45" s="18"/>
      <c r="Y45" s="18">
        <v>0</v>
      </c>
      <c r="Z45" s="18">
        <v>0</v>
      </c>
      <c r="AA45" s="18">
        <v>0</v>
      </c>
      <c r="AB45" s="18"/>
      <c r="AC45" s="18">
        <v>1022</v>
      </c>
      <c r="AD45" s="18">
        <v>0</v>
      </c>
      <c r="AE45" s="39">
        <v>0</v>
      </c>
      <c r="AF45" s="18">
        <v>0</v>
      </c>
      <c r="AG45" s="18">
        <v>0</v>
      </c>
      <c r="AH45" s="18">
        <v>0</v>
      </c>
      <c r="AI45" s="18">
        <v>0</v>
      </c>
    </row>
    <row r="46" spans="2:35" x14ac:dyDescent="0.2">
      <c r="B46" s="140"/>
      <c r="C46" s="29" t="s">
        <v>39</v>
      </c>
      <c r="D46" s="60"/>
      <c r="E46" s="18">
        <v>12302</v>
      </c>
      <c r="F46" s="18">
        <v>10032</v>
      </c>
      <c r="G46" s="18">
        <v>0</v>
      </c>
      <c r="H46" s="39" t="s">
        <v>2770</v>
      </c>
      <c r="I46" s="18">
        <v>2</v>
      </c>
      <c r="J46" s="18">
        <v>2</v>
      </c>
      <c r="K46" s="18">
        <v>23</v>
      </c>
      <c r="L46" s="18">
        <v>2</v>
      </c>
      <c r="M46" s="18">
        <v>0</v>
      </c>
      <c r="N46" s="18">
        <v>10</v>
      </c>
      <c r="O46" s="18">
        <v>85</v>
      </c>
      <c r="P46" s="18">
        <v>85</v>
      </c>
      <c r="Q46" s="18">
        <v>3224</v>
      </c>
      <c r="R46" s="18">
        <v>0</v>
      </c>
      <c r="S46" s="39" t="s">
        <v>2799</v>
      </c>
      <c r="T46" s="18">
        <v>0</v>
      </c>
      <c r="U46" s="95" t="s">
        <v>85</v>
      </c>
      <c r="V46" s="18">
        <v>2301</v>
      </c>
      <c r="W46" s="18">
        <v>0</v>
      </c>
      <c r="X46" s="18"/>
      <c r="Y46" s="18">
        <v>0</v>
      </c>
      <c r="Z46" s="18">
        <v>0</v>
      </c>
      <c r="AA46" s="18">
        <v>0</v>
      </c>
      <c r="AB46" s="18"/>
      <c r="AC46" s="18">
        <v>1028</v>
      </c>
      <c r="AD46" s="18">
        <v>0</v>
      </c>
      <c r="AE46" s="39">
        <v>0</v>
      </c>
      <c r="AF46" s="18">
        <v>0</v>
      </c>
      <c r="AG46" s="18">
        <v>0</v>
      </c>
      <c r="AH46" s="18">
        <v>0</v>
      </c>
      <c r="AI46" s="18">
        <v>0</v>
      </c>
    </row>
    <row r="47" spans="2:35" x14ac:dyDescent="0.2">
      <c r="B47" s="140"/>
      <c r="C47" s="29" t="s">
        <v>40</v>
      </c>
      <c r="D47" s="60"/>
      <c r="E47" s="18">
        <v>12402</v>
      </c>
      <c r="F47" s="18">
        <v>10033</v>
      </c>
      <c r="G47" s="18">
        <v>0</v>
      </c>
      <c r="H47" s="39" t="s">
        <v>2781</v>
      </c>
      <c r="I47" s="18">
        <v>2</v>
      </c>
      <c r="J47" s="18">
        <v>2</v>
      </c>
      <c r="K47" s="18">
        <v>24</v>
      </c>
      <c r="L47" s="18">
        <v>2</v>
      </c>
      <c r="M47" s="18">
        <v>0</v>
      </c>
      <c r="N47" s="18">
        <v>10</v>
      </c>
      <c r="O47" s="18">
        <v>85</v>
      </c>
      <c r="P47" s="18">
        <v>85</v>
      </c>
      <c r="Q47" s="18">
        <v>3224</v>
      </c>
      <c r="R47" s="18">
        <v>0</v>
      </c>
      <c r="S47" s="39" t="s">
        <v>2831</v>
      </c>
      <c r="T47" s="18">
        <v>0</v>
      </c>
      <c r="U47" s="95" t="s">
        <v>85</v>
      </c>
      <c r="V47" s="18">
        <v>2401</v>
      </c>
      <c r="W47" s="18">
        <v>0</v>
      </c>
      <c r="X47" s="18"/>
      <c r="Y47" s="18">
        <v>0</v>
      </c>
      <c r="Z47" s="18">
        <v>0</v>
      </c>
      <c r="AA47" s="18">
        <v>0</v>
      </c>
      <c r="AB47" s="18"/>
      <c r="AC47" s="18">
        <v>1025</v>
      </c>
      <c r="AD47" s="18">
        <v>0</v>
      </c>
      <c r="AE47" s="39">
        <v>0</v>
      </c>
      <c r="AF47" s="18">
        <v>0</v>
      </c>
      <c r="AG47" s="18">
        <v>0</v>
      </c>
      <c r="AH47" s="18">
        <v>0</v>
      </c>
      <c r="AI47" s="18">
        <v>0</v>
      </c>
    </row>
    <row r="48" spans="2:35" x14ac:dyDescent="0.2">
      <c r="B48" s="140"/>
      <c r="C48" s="29" t="s">
        <v>41</v>
      </c>
      <c r="D48" s="60"/>
      <c r="E48" s="18">
        <v>12502</v>
      </c>
      <c r="F48" s="18">
        <v>10034</v>
      </c>
      <c r="G48" s="18">
        <v>0</v>
      </c>
      <c r="H48" s="39" t="s">
        <v>2769</v>
      </c>
      <c r="I48" s="18">
        <v>2</v>
      </c>
      <c r="J48" s="18">
        <v>1</v>
      </c>
      <c r="K48" s="18">
        <v>25</v>
      </c>
      <c r="L48" s="18">
        <v>2</v>
      </c>
      <c r="M48" s="18">
        <v>0</v>
      </c>
      <c r="N48" s="18">
        <v>10</v>
      </c>
      <c r="O48" s="18">
        <v>85</v>
      </c>
      <c r="P48" s="18">
        <v>85</v>
      </c>
      <c r="Q48" s="18">
        <v>3224</v>
      </c>
      <c r="R48" s="18">
        <v>0</v>
      </c>
      <c r="S48" s="39" t="s">
        <v>2799</v>
      </c>
      <c r="T48" s="18">
        <v>0</v>
      </c>
      <c r="U48" s="95" t="s">
        <v>85</v>
      </c>
      <c r="V48" s="18">
        <v>2501</v>
      </c>
      <c r="W48" s="18">
        <v>0</v>
      </c>
      <c r="X48" s="18"/>
      <c r="Y48" s="18">
        <v>0</v>
      </c>
      <c r="Z48" s="18">
        <v>0</v>
      </c>
      <c r="AA48" s="18">
        <v>0</v>
      </c>
      <c r="AB48" s="18"/>
      <c r="AC48" s="18">
        <v>1024</v>
      </c>
      <c r="AD48" s="18">
        <v>0</v>
      </c>
      <c r="AE48" s="39">
        <v>0</v>
      </c>
      <c r="AF48" s="18">
        <v>0</v>
      </c>
      <c r="AG48" s="18">
        <v>0</v>
      </c>
      <c r="AH48" s="18">
        <v>0</v>
      </c>
      <c r="AI48" s="18">
        <v>0</v>
      </c>
    </row>
    <row r="49" spans="2:35" x14ac:dyDescent="0.2">
      <c r="B49" s="140" t="s">
        <v>35</v>
      </c>
      <c r="C49" s="29" t="s">
        <v>42</v>
      </c>
      <c r="D49" s="60"/>
      <c r="E49" s="18">
        <v>13102</v>
      </c>
      <c r="F49" s="18">
        <v>10035</v>
      </c>
      <c r="G49" s="18">
        <v>0</v>
      </c>
      <c r="H49" s="39" t="s">
        <v>2773</v>
      </c>
      <c r="I49" s="18">
        <v>1</v>
      </c>
      <c r="J49" s="18">
        <v>1</v>
      </c>
      <c r="K49" s="18">
        <v>31</v>
      </c>
      <c r="L49" s="18">
        <v>2</v>
      </c>
      <c r="M49" s="18">
        <v>0</v>
      </c>
      <c r="N49" s="18">
        <v>10</v>
      </c>
      <c r="O49" s="18">
        <v>50</v>
      </c>
      <c r="P49" s="18">
        <v>50</v>
      </c>
      <c r="Q49" s="18">
        <v>1896</v>
      </c>
      <c r="R49" s="18">
        <v>0</v>
      </c>
      <c r="S49" s="39" t="s">
        <v>85</v>
      </c>
      <c r="T49" s="18">
        <v>0</v>
      </c>
      <c r="U49" s="95" t="s">
        <v>85</v>
      </c>
      <c r="V49" s="18">
        <v>3101</v>
      </c>
      <c r="W49" s="18">
        <v>0</v>
      </c>
      <c r="X49" s="18"/>
      <c r="Y49" s="18">
        <v>0</v>
      </c>
      <c r="Z49" s="18">
        <v>0</v>
      </c>
      <c r="AA49" s="18">
        <v>0</v>
      </c>
      <c r="AB49" s="18"/>
      <c r="AC49" s="18">
        <v>1026</v>
      </c>
      <c r="AD49" s="18">
        <v>0</v>
      </c>
      <c r="AE49" s="39">
        <v>0</v>
      </c>
      <c r="AF49" s="18">
        <v>0</v>
      </c>
      <c r="AG49" s="18">
        <v>0</v>
      </c>
      <c r="AH49" s="18">
        <v>0</v>
      </c>
      <c r="AI49" s="18">
        <v>0</v>
      </c>
    </row>
    <row r="50" spans="2:35" x14ac:dyDescent="0.2">
      <c r="B50" s="140"/>
      <c r="C50" s="29" t="s">
        <v>43</v>
      </c>
      <c r="D50" s="60"/>
      <c r="E50" s="18">
        <v>13202</v>
      </c>
      <c r="F50" s="18">
        <v>10036</v>
      </c>
      <c r="G50" s="18">
        <v>0</v>
      </c>
      <c r="H50" s="39" t="s">
        <v>2774</v>
      </c>
      <c r="I50" s="18">
        <v>1</v>
      </c>
      <c r="J50" s="18">
        <v>1</v>
      </c>
      <c r="K50" s="18">
        <v>32</v>
      </c>
      <c r="L50" s="18">
        <v>2</v>
      </c>
      <c r="M50" s="18">
        <v>0</v>
      </c>
      <c r="N50" s="18">
        <v>10</v>
      </c>
      <c r="O50" s="18">
        <v>100</v>
      </c>
      <c r="P50" s="18">
        <v>100</v>
      </c>
      <c r="Q50" s="18">
        <v>3793</v>
      </c>
      <c r="R50" s="18">
        <v>0</v>
      </c>
      <c r="S50" s="39" t="s">
        <v>85</v>
      </c>
      <c r="T50" s="18">
        <v>0</v>
      </c>
      <c r="U50" s="95" t="s">
        <v>85</v>
      </c>
      <c r="V50" s="18">
        <v>3201</v>
      </c>
      <c r="W50" s="18">
        <v>0</v>
      </c>
      <c r="X50" s="18"/>
      <c r="Y50" s="18">
        <v>0</v>
      </c>
      <c r="Z50" s="18">
        <v>0</v>
      </c>
      <c r="AA50" s="18">
        <v>0</v>
      </c>
      <c r="AB50" s="18"/>
      <c r="AC50" s="18">
        <v>1027</v>
      </c>
      <c r="AD50" s="18">
        <v>0</v>
      </c>
      <c r="AE50" s="39">
        <v>0</v>
      </c>
      <c r="AF50" s="18">
        <v>0</v>
      </c>
      <c r="AG50" s="18">
        <v>0</v>
      </c>
      <c r="AH50" s="18">
        <v>0</v>
      </c>
      <c r="AI50" s="18">
        <v>0</v>
      </c>
    </row>
    <row r="51" spans="2:35" x14ac:dyDescent="0.2">
      <c r="B51" s="132" t="s">
        <v>33</v>
      </c>
      <c r="C51" s="30" t="s">
        <v>44</v>
      </c>
      <c r="D51" s="61"/>
      <c r="E51" s="18">
        <v>10003</v>
      </c>
      <c r="F51" s="18">
        <v>10037</v>
      </c>
      <c r="G51" s="18">
        <v>0</v>
      </c>
      <c r="H51" s="40" t="s">
        <v>2759</v>
      </c>
      <c r="I51" s="18">
        <v>1</v>
      </c>
      <c r="J51" s="18">
        <v>3</v>
      </c>
      <c r="K51" s="18">
        <v>1</v>
      </c>
      <c r="L51" s="18">
        <v>3</v>
      </c>
      <c r="M51" s="18">
        <v>0</v>
      </c>
      <c r="N51" s="18">
        <v>20</v>
      </c>
      <c r="O51" s="18">
        <v>34</v>
      </c>
      <c r="P51" s="18">
        <v>34</v>
      </c>
      <c r="Q51" s="18">
        <v>644</v>
      </c>
      <c r="R51" s="18">
        <v>0</v>
      </c>
      <c r="S51" s="39" t="s">
        <v>3644</v>
      </c>
      <c r="T51" s="18">
        <v>0</v>
      </c>
      <c r="U51" s="95" t="s">
        <v>85</v>
      </c>
      <c r="V51" s="18">
        <v>102</v>
      </c>
      <c r="W51" s="18">
        <v>10049</v>
      </c>
      <c r="X51" s="18"/>
      <c r="Y51" s="18">
        <v>1200</v>
      </c>
      <c r="Z51" s="18">
        <v>0</v>
      </c>
      <c r="AA51" s="18">
        <v>1090101</v>
      </c>
      <c r="AB51" s="18" t="s">
        <v>4643</v>
      </c>
      <c r="AC51" s="18">
        <v>1001</v>
      </c>
      <c r="AD51" s="18">
        <v>0</v>
      </c>
      <c r="AE51" s="39">
        <v>0</v>
      </c>
      <c r="AF51" s="18">
        <v>0</v>
      </c>
      <c r="AG51" s="18">
        <v>0</v>
      </c>
      <c r="AH51" s="18">
        <v>0</v>
      </c>
      <c r="AI51" s="18">
        <v>0</v>
      </c>
    </row>
    <row r="52" spans="2:35" x14ac:dyDescent="0.2">
      <c r="B52" s="132"/>
      <c r="C52" s="30" t="s">
        <v>22</v>
      </c>
      <c r="D52" s="61"/>
      <c r="E52" s="18">
        <v>10203</v>
      </c>
      <c r="F52" s="18">
        <v>10038</v>
      </c>
      <c r="G52" s="18">
        <v>0</v>
      </c>
      <c r="H52" s="40" t="s">
        <v>2760</v>
      </c>
      <c r="I52" s="18">
        <v>2</v>
      </c>
      <c r="J52" s="18">
        <v>3</v>
      </c>
      <c r="K52" s="18">
        <v>2</v>
      </c>
      <c r="L52" s="18">
        <v>3</v>
      </c>
      <c r="M52" s="18">
        <v>0</v>
      </c>
      <c r="N52" s="18">
        <v>20</v>
      </c>
      <c r="O52" s="18">
        <v>34</v>
      </c>
      <c r="P52" s="18">
        <v>34</v>
      </c>
      <c r="Q52" s="18">
        <v>644</v>
      </c>
      <c r="R52" s="18">
        <v>0</v>
      </c>
      <c r="S52" s="39" t="s">
        <v>3645</v>
      </c>
      <c r="T52" s="18">
        <v>0</v>
      </c>
      <c r="U52" s="95" t="s">
        <v>85</v>
      </c>
      <c r="V52" s="18">
        <v>202</v>
      </c>
      <c r="W52" s="18">
        <v>10008</v>
      </c>
      <c r="X52" s="18"/>
      <c r="Y52" s="18">
        <v>1100</v>
      </c>
      <c r="Z52" s="18">
        <v>0</v>
      </c>
      <c r="AA52" s="18">
        <v>1090401</v>
      </c>
      <c r="AB52" s="18" t="s">
        <v>4644</v>
      </c>
      <c r="AC52" s="18">
        <v>1003</v>
      </c>
      <c r="AD52" s="18">
        <v>0</v>
      </c>
      <c r="AE52" s="39">
        <v>0</v>
      </c>
      <c r="AF52" s="18">
        <v>0</v>
      </c>
      <c r="AG52" s="18">
        <v>0</v>
      </c>
      <c r="AH52" s="18">
        <v>0</v>
      </c>
      <c r="AI52" s="18">
        <v>0</v>
      </c>
    </row>
    <row r="53" spans="2:35" x14ac:dyDescent="0.2">
      <c r="B53" s="132"/>
      <c r="C53" s="30" t="s">
        <v>23</v>
      </c>
      <c r="D53" s="61"/>
      <c r="E53" s="18">
        <v>10303</v>
      </c>
      <c r="F53" s="18">
        <v>10039</v>
      </c>
      <c r="G53" s="18">
        <v>0</v>
      </c>
      <c r="H53" s="40" t="s">
        <v>2761</v>
      </c>
      <c r="I53" s="18">
        <v>1</v>
      </c>
      <c r="J53" s="18">
        <v>3</v>
      </c>
      <c r="K53" s="18">
        <v>3</v>
      </c>
      <c r="L53" s="18">
        <v>3</v>
      </c>
      <c r="M53" s="18">
        <v>0</v>
      </c>
      <c r="N53" s="18">
        <v>20</v>
      </c>
      <c r="O53" s="18">
        <v>34</v>
      </c>
      <c r="P53" s="18">
        <v>34</v>
      </c>
      <c r="Q53" s="18">
        <v>644</v>
      </c>
      <c r="R53" s="18">
        <v>0</v>
      </c>
      <c r="S53" s="39" t="s">
        <v>3646</v>
      </c>
      <c r="T53" s="18">
        <v>0</v>
      </c>
      <c r="U53" s="95" t="s">
        <v>85</v>
      </c>
      <c r="V53" s="18">
        <v>302</v>
      </c>
      <c r="W53" s="18">
        <v>10051</v>
      </c>
      <c r="X53" s="18"/>
      <c r="Y53" s="18">
        <v>1100</v>
      </c>
      <c r="Z53" s="18">
        <v>0</v>
      </c>
      <c r="AA53" s="18">
        <v>1092001</v>
      </c>
      <c r="AB53" s="18" t="s">
        <v>4644</v>
      </c>
      <c r="AC53" s="18">
        <v>1007</v>
      </c>
      <c r="AD53" s="18">
        <v>0</v>
      </c>
      <c r="AE53" s="39">
        <v>0</v>
      </c>
      <c r="AF53" s="18">
        <v>0</v>
      </c>
      <c r="AG53" s="18">
        <v>0</v>
      </c>
      <c r="AH53" s="18">
        <v>0</v>
      </c>
      <c r="AI53" s="18">
        <v>0</v>
      </c>
    </row>
    <row r="54" spans="2:35" x14ac:dyDescent="0.2">
      <c r="B54" s="132"/>
      <c r="C54" s="30" t="s">
        <v>24</v>
      </c>
      <c r="D54" s="61"/>
      <c r="E54" s="18">
        <v>10403</v>
      </c>
      <c r="F54" s="18">
        <v>10040</v>
      </c>
      <c r="G54" s="18">
        <v>0</v>
      </c>
      <c r="H54" s="40" t="s">
        <v>2758</v>
      </c>
      <c r="I54" s="18">
        <v>1</v>
      </c>
      <c r="J54" s="18">
        <v>3</v>
      </c>
      <c r="K54" s="18">
        <v>4</v>
      </c>
      <c r="L54" s="18">
        <v>3</v>
      </c>
      <c r="M54" s="18">
        <v>0</v>
      </c>
      <c r="N54" s="18">
        <v>20</v>
      </c>
      <c r="O54" s="18">
        <v>34</v>
      </c>
      <c r="P54" s="18">
        <v>34</v>
      </c>
      <c r="Q54" s="18">
        <v>644</v>
      </c>
      <c r="R54" s="18">
        <v>0</v>
      </c>
      <c r="S54" s="39" t="s">
        <v>3647</v>
      </c>
      <c r="T54" s="18">
        <v>0</v>
      </c>
      <c r="U54" s="95" t="s">
        <v>85</v>
      </c>
      <c r="V54" s="18">
        <v>402</v>
      </c>
      <c r="W54" s="18">
        <v>10024</v>
      </c>
      <c r="X54" s="18"/>
      <c r="Y54" s="18">
        <v>800</v>
      </c>
      <c r="Z54" s="18">
        <v>0</v>
      </c>
      <c r="AA54" s="18">
        <v>1090501</v>
      </c>
      <c r="AB54" s="18" t="s">
        <v>4644</v>
      </c>
      <c r="AC54" s="18">
        <v>1001</v>
      </c>
      <c r="AD54" s="18">
        <v>0</v>
      </c>
      <c r="AE54" s="39">
        <v>0</v>
      </c>
      <c r="AF54" s="18">
        <v>0</v>
      </c>
      <c r="AG54" s="18">
        <v>0</v>
      </c>
      <c r="AH54" s="18">
        <v>0</v>
      </c>
      <c r="AI54" s="18">
        <v>0</v>
      </c>
    </row>
    <row r="55" spans="2:35" x14ac:dyDescent="0.2">
      <c r="B55" s="132"/>
      <c r="C55" s="30" t="s">
        <v>25</v>
      </c>
      <c r="D55" s="61"/>
      <c r="E55" s="18">
        <v>10503</v>
      </c>
      <c r="F55" s="18">
        <v>10041</v>
      </c>
      <c r="G55" s="18">
        <v>0</v>
      </c>
      <c r="H55" s="40" t="s">
        <v>2762</v>
      </c>
      <c r="I55" s="18">
        <v>1</v>
      </c>
      <c r="J55" s="18">
        <v>4</v>
      </c>
      <c r="K55" s="18">
        <v>5</v>
      </c>
      <c r="L55" s="18">
        <v>3</v>
      </c>
      <c r="M55" s="18">
        <v>0</v>
      </c>
      <c r="N55" s="18">
        <v>20</v>
      </c>
      <c r="O55" s="18">
        <v>34</v>
      </c>
      <c r="P55" s="18">
        <v>34</v>
      </c>
      <c r="Q55" s="18">
        <v>644</v>
      </c>
      <c r="R55" s="18">
        <v>0</v>
      </c>
      <c r="S55" s="39" t="s">
        <v>3648</v>
      </c>
      <c r="T55" s="18">
        <v>0</v>
      </c>
      <c r="U55" s="95" t="s">
        <v>85</v>
      </c>
      <c r="V55" s="18">
        <v>502</v>
      </c>
      <c r="W55" s="18">
        <v>10053</v>
      </c>
      <c r="X55" s="18"/>
      <c r="Y55" s="18">
        <v>1300</v>
      </c>
      <c r="Z55" s="18">
        <v>0</v>
      </c>
      <c r="AA55" s="18">
        <v>1090201</v>
      </c>
      <c r="AB55" s="18" t="s">
        <v>4645</v>
      </c>
      <c r="AC55" s="18">
        <v>1002</v>
      </c>
      <c r="AD55" s="18">
        <v>0</v>
      </c>
      <c r="AE55" s="39">
        <v>0</v>
      </c>
      <c r="AF55" s="18">
        <v>0</v>
      </c>
      <c r="AG55" s="18">
        <v>0</v>
      </c>
      <c r="AH55" s="18">
        <v>0</v>
      </c>
      <c r="AI55" s="18">
        <v>0</v>
      </c>
    </row>
    <row r="56" spans="2:35" x14ac:dyDescent="0.2">
      <c r="B56" s="132"/>
      <c r="C56" s="30" t="s">
        <v>26</v>
      </c>
      <c r="D56" s="61"/>
      <c r="E56" s="18">
        <v>10603</v>
      </c>
      <c r="F56" s="18">
        <v>10042</v>
      </c>
      <c r="G56" s="18">
        <v>0</v>
      </c>
      <c r="H56" s="40" t="s">
        <v>2763</v>
      </c>
      <c r="I56" s="18">
        <v>2</v>
      </c>
      <c r="J56" s="18">
        <v>3</v>
      </c>
      <c r="K56" s="18">
        <v>6</v>
      </c>
      <c r="L56" s="18">
        <v>3</v>
      </c>
      <c r="M56" s="18">
        <v>0</v>
      </c>
      <c r="N56" s="18">
        <v>20</v>
      </c>
      <c r="O56" s="18">
        <v>34</v>
      </c>
      <c r="P56" s="18">
        <v>34</v>
      </c>
      <c r="Q56" s="18">
        <v>644</v>
      </c>
      <c r="R56" s="18">
        <v>0</v>
      </c>
      <c r="S56" s="39" t="s">
        <v>3649</v>
      </c>
      <c r="T56" s="18">
        <v>0</v>
      </c>
      <c r="U56" s="95" t="s">
        <v>85</v>
      </c>
      <c r="V56" s="18">
        <v>602</v>
      </c>
      <c r="W56" s="18">
        <v>10055</v>
      </c>
      <c r="X56" s="18"/>
      <c r="Y56" s="18">
        <v>1400</v>
      </c>
      <c r="Z56" s="18">
        <v>0</v>
      </c>
      <c r="AA56" s="18">
        <v>1091021</v>
      </c>
      <c r="AB56" s="18" t="s">
        <v>4645</v>
      </c>
      <c r="AC56" s="18">
        <v>1004</v>
      </c>
      <c r="AD56" s="18">
        <v>0</v>
      </c>
      <c r="AE56" s="39">
        <v>0</v>
      </c>
      <c r="AF56" s="18">
        <v>0</v>
      </c>
      <c r="AG56" s="18">
        <v>0</v>
      </c>
      <c r="AH56" s="18">
        <v>0</v>
      </c>
      <c r="AI56" s="18">
        <v>0</v>
      </c>
    </row>
    <row r="57" spans="2:35" x14ac:dyDescent="0.2">
      <c r="B57" s="132"/>
      <c r="C57" s="30" t="s">
        <v>27</v>
      </c>
      <c r="D57" s="61"/>
      <c r="E57" s="18">
        <v>10703</v>
      </c>
      <c r="F57" s="18">
        <v>10043</v>
      </c>
      <c r="G57" s="18">
        <v>0</v>
      </c>
      <c r="H57" s="40" t="s">
        <v>2764</v>
      </c>
      <c r="I57" s="18">
        <v>2</v>
      </c>
      <c r="J57" s="18">
        <v>4</v>
      </c>
      <c r="K57" s="18">
        <v>7</v>
      </c>
      <c r="L57" s="18">
        <v>3</v>
      </c>
      <c r="M57" s="18">
        <v>0</v>
      </c>
      <c r="N57" s="18">
        <v>20</v>
      </c>
      <c r="O57" s="18">
        <v>34</v>
      </c>
      <c r="P57" s="18">
        <v>34</v>
      </c>
      <c r="Q57" s="18">
        <v>644</v>
      </c>
      <c r="R57" s="18">
        <v>0</v>
      </c>
      <c r="S57" s="39" t="s">
        <v>3650</v>
      </c>
      <c r="T57" s="18">
        <v>0</v>
      </c>
      <c r="U57" s="95" t="s">
        <v>85</v>
      </c>
      <c r="V57" s="18">
        <v>702</v>
      </c>
      <c r="W57" s="18">
        <v>10057</v>
      </c>
      <c r="X57" s="18"/>
      <c r="Y57" s="18">
        <v>1500</v>
      </c>
      <c r="Z57" s="18">
        <v>0</v>
      </c>
      <c r="AA57" s="18">
        <v>1092101</v>
      </c>
      <c r="AB57" s="18" t="s">
        <v>4645</v>
      </c>
      <c r="AC57" s="18">
        <v>1021</v>
      </c>
      <c r="AD57" s="18">
        <v>0</v>
      </c>
      <c r="AE57" s="39">
        <v>0</v>
      </c>
      <c r="AF57" s="18">
        <v>0</v>
      </c>
      <c r="AG57" s="18">
        <v>0</v>
      </c>
      <c r="AH57" s="18">
        <v>0</v>
      </c>
      <c r="AI57" s="18">
        <v>0</v>
      </c>
    </row>
    <row r="58" spans="2:35" x14ac:dyDescent="0.2">
      <c r="B58" s="132"/>
      <c r="C58" s="30" t="s">
        <v>2893</v>
      </c>
      <c r="D58" s="61"/>
      <c r="E58" s="18">
        <v>10803</v>
      </c>
      <c r="F58" s="18">
        <v>10044</v>
      </c>
      <c r="G58" s="18">
        <v>0</v>
      </c>
      <c r="H58" s="40" t="s">
        <v>2765</v>
      </c>
      <c r="I58" s="18">
        <v>1</v>
      </c>
      <c r="J58" s="18">
        <v>4</v>
      </c>
      <c r="K58" s="18">
        <v>8</v>
      </c>
      <c r="L58" s="18">
        <v>3</v>
      </c>
      <c r="M58" s="18">
        <v>0</v>
      </c>
      <c r="N58" s="18">
        <v>20</v>
      </c>
      <c r="O58" s="18">
        <v>34</v>
      </c>
      <c r="P58" s="18">
        <v>34</v>
      </c>
      <c r="Q58" s="18">
        <v>644</v>
      </c>
      <c r="R58" s="18">
        <v>0</v>
      </c>
      <c r="S58" s="39" t="s">
        <v>3651</v>
      </c>
      <c r="T58" s="18">
        <v>0</v>
      </c>
      <c r="U58" s="95" t="s">
        <v>85</v>
      </c>
      <c r="V58" s="18">
        <v>802</v>
      </c>
      <c r="W58" s="18">
        <v>10001</v>
      </c>
      <c r="X58" s="18"/>
      <c r="Y58" s="18">
        <v>1000</v>
      </c>
      <c r="Z58" s="18">
        <v>0</v>
      </c>
      <c r="AA58" s="18">
        <v>1091302</v>
      </c>
      <c r="AB58" s="18" t="s">
        <v>4646</v>
      </c>
      <c r="AC58" s="18">
        <v>1013</v>
      </c>
      <c r="AD58" s="18">
        <v>0</v>
      </c>
      <c r="AE58" s="39">
        <v>0</v>
      </c>
      <c r="AF58" s="18">
        <v>0</v>
      </c>
      <c r="AG58" s="18">
        <v>0</v>
      </c>
      <c r="AH58" s="18">
        <v>0</v>
      </c>
      <c r="AI58" s="18">
        <v>0</v>
      </c>
    </row>
    <row r="59" spans="2:35" x14ac:dyDescent="0.2">
      <c r="B59" s="132"/>
      <c r="C59" s="30" t="s">
        <v>29</v>
      </c>
      <c r="D59" s="61"/>
      <c r="E59" s="18">
        <v>10903</v>
      </c>
      <c r="F59" s="18">
        <v>10045</v>
      </c>
      <c r="G59" s="18">
        <v>0</v>
      </c>
      <c r="H59" s="40" t="s">
        <v>2766</v>
      </c>
      <c r="I59" s="18">
        <v>2</v>
      </c>
      <c r="J59" s="18">
        <v>3</v>
      </c>
      <c r="K59" s="18">
        <v>9</v>
      </c>
      <c r="L59" s="18">
        <v>3</v>
      </c>
      <c r="M59" s="18">
        <v>0</v>
      </c>
      <c r="N59" s="18">
        <v>20</v>
      </c>
      <c r="O59" s="18">
        <v>34</v>
      </c>
      <c r="P59" s="18">
        <v>34</v>
      </c>
      <c r="Q59" s="18">
        <v>644</v>
      </c>
      <c r="R59" s="18">
        <v>0</v>
      </c>
      <c r="S59" s="39" t="s">
        <v>3652</v>
      </c>
      <c r="T59" s="18">
        <v>0</v>
      </c>
      <c r="U59" s="95" t="s">
        <v>85</v>
      </c>
      <c r="V59" s="18">
        <v>902</v>
      </c>
      <c r="W59" s="18">
        <v>10026</v>
      </c>
      <c r="X59" s="18"/>
      <c r="Y59" s="18">
        <v>1400</v>
      </c>
      <c r="Z59" s="18">
        <v>0</v>
      </c>
      <c r="AA59" s="18">
        <v>1091701</v>
      </c>
      <c r="AB59" s="18" t="s">
        <v>4647</v>
      </c>
      <c r="AC59" s="18">
        <v>1017</v>
      </c>
      <c r="AD59" s="18">
        <v>0</v>
      </c>
      <c r="AE59" s="39">
        <v>0</v>
      </c>
      <c r="AF59" s="18">
        <v>0</v>
      </c>
      <c r="AG59" s="18">
        <v>0</v>
      </c>
      <c r="AH59" s="18">
        <v>0</v>
      </c>
      <c r="AI59" s="18">
        <v>0</v>
      </c>
    </row>
    <row r="60" spans="2:35" x14ac:dyDescent="0.2">
      <c r="B60" s="132"/>
      <c r="C60" s="30" t="s">
        <v>30</v>
      </c>
      <c r="D60" s="61"/>
      <c r="E60" s="18">
        <v>11003</v>
      </c>
      <c r="F60" s="18">
        <v>10046</v>
      </c>
      <c r="G60" s="18">
        <v>0</v>
      </c>
      <c r="H60" s="40" t="s">
        <v>2767</v>
      </c>
      <c r="I60" s="18">
        <v>2</v>
      </c>
      <c r="J60" s="18">
        <v>4</v>
      </c>
      <c r="K60" s="18">
        <v>10</v>
      </c>
      <c r="L60" s="18">
        <v>3</v>
      </c>
      <c r="M60" s="18">
        <v>0</v>
      </c>
      <c r="N60" s="18">
        <v>20</v>
      </c>
      <c r="O60" s="18">
        <v>34</v>
      </c>
      <c r="P60" s="18">
        <v>34</v>
      </c>
      <c r="Q60" s="18">
        <v>644</v>
      </c>
      <c r="R60" s="18">
        <v>0</v>
      </c>
      <c r="S60" s="39" t="s">
        <v>3653</v>
      </c>
      <c r="T60" s="18">
        <v>0</v>
      </c>
      <c r="U60" s="95" t="s">
        <v>85</v>
      </c>
      <c r="V60" s="18">
        <v>1002</v>
      </c>
      <c r="W60" s="18">
        <v>10048</v>
      </c>
      <c r="X60" s="18"/>
      <c r="Y60" s="18">
        <v>1650</v>
      </c>
      <c r="Z60" s="18">
        <v>0</v>
      </c>
      <c r="AA60" s="18">
        <v>1091002</v>
      </c>
      <c r="AB60" s="18" t="s">
        <v>4648</v>
      </c>
      <c r="AC60" s="18">
        <v>1010</v>
      </c>
      <c r="AD60" s="18">
        <v>0</v>
      </c>
      <c r="AE60" s="39">
        <v>0</v>
      </c>
      <c r="AF60" s="18">
        <v>0</v>
      </c>
      <c r="AG60" s="18">
        <v>0</v>
      </c>
      <c r="AH60" s="18">
        <v>0</v>
      </c>
      <c r="AI60" s="18">
        <v>0</v>
      </c>
    </row>
    <row r="61" spans="2:35" x14ac:dyDescent="0.2">
      <c r="B61" s="132"/>
      <c r="C61" s="30" t="s">
        <v>36</v>
      </c>
      <c r="D61" s="61"/>
      <c r="E61" s="18">
        <v>11103</v>
      </c>
      <c r="F61" s="18">
        <v>10047</v>
      </c>
      <c r="G61" s="18">
        <v>0</v>
      </c>
      <c r="H61" s="40" t="s">
        <v>2768</v>
      </c>
      <c r="I61" s="18">
        <v>2</v>
      </c>
      <c r="J61" s="18">
        <v>2</v>
      </c>
      <c r="K61" s="18">
        <v>11</v>
      </c>
      <c r="L61" s="18">
        <v>3</v>
      </c>
      <c r="M61" s="18">
        <v>0</v>
      </c>
      <c r="N61" s="18">
        <v>20</v>
      </c>
      <c r="O61" s="18">
        <v>34</v>
      </c>
      <c r="P61" s="18">
        <v>34</v>
      </c>
      <c r="Q61" s="18">
        <v>644</v>
      </c>
      <c r="R61" s="18">
        <v>0</v>
      </c>
      <c r="S61" s="39" t="s">
        <v>4838</v>
      </c>
      <c r="T61" s="18">
        <v>0</v>
      </c>
      <c r="U61" s="95" t="s">
        <v>85</v>
      </c>
      <c r="V61" s="18">
        <v>1102</v>
      </c>
      <c r="W61" s="18">
        <v>0</v>
      </c>
      <c r="X61" s="18"/>
      <c r="Y61" s="18">
        <v>0</v>
      </c>
      <c r="Z61" s="18">
        <v>0</v>
      </c>
      <c r="AA61" s="18">
        <v>1091901</v>
      </c>
      <c r="AB61" s="18"/>
      <c r="AC61" s="18">
        <v>1019</v>
      </c>
      <c r="AD61" s="18">
        <v>0</v>
      </c>
      <c r="AE61" s="39">
        <v>0</v>
      </c>
      <c r="AF61" s="18">
        <v>0</v>
      </c>
      <c r="AG61" s="18">
        <v>0</v>
      </c>
      <c r="AH61" s="18">
        <v>0</v>
      </c>
      <c r="AI61" s="18">
        <v>0</v>
      </c>
    </row>
    <row r="62" spans="2:35" x14ac:dyDescent="0.2">
      <c r="B62" s="83"/>
      <c r="C62" s="30" t="s">
        <v>2895</v>
      </c>
      <c r="D62" s="61"/>
      <c r="E62" s="18">
        <v>11203</v>
      </c>
      <c r="F62" s="18">
        <v>10044</v>
      </c>
      <c r="G62" s="18">
        <v>0</v>
      </c>
      <c r="H62" s="40" t="s">
        <v>2765</v>
      </c>
      <c r="I62" s="18">
        <v>1</v>
      </c>
      <c r="J62" s="18">
        <v>4</v>
      </c>
      <c r="K62" s="18">
        <v>8</v>
      </c>
      <c r="L62" s="18">
        <v>3</v>
      </c>
      <c r="M62" s="18">
        <v>0</v>
      </c>
      <c r="N62" s="18">
        <v>20</v>
      </c>
      <c r="O62" s="18">
        <v>34</v>
      </c>
      <c r="P62" s="18">
        <v>34</v>
      </c>
      <c r="Q62" s="18">
        <v>644</v>
      </c>
      <c r="R62" s="18">
        <v>0</v>
      </c>
      <c r="S62" s="39" t="s">
        <v>3651</v>
      </c>
      <c r="T62" s="18">
        <v>0</v>
      </c>
      <c r="U62" s="95" t="s">
        <v>85</v>
      </c>
      <c r="V62" s="18">
        <v>802</v>
      </c>
      <c r="W62" s="18">
        <v>10003</v>
      </c>
      <c r="X62" s="18"/>
      <c r="Y62" s="18">
        <v>1200</v>
      </c>
      <c r="Z62" s="18">
        <v>0</v>
      </c>
      <c r="AA62" s="18">
        <v>1091302</v>
      </c>
      <c r="AB62" s="18" t="s">
        <v>4646</v>
      </c>
      <c r="AC62" s="18">
        <v>1013</v>
      </c>
      <c r="AD62" s="18">
        <v>0</v>
      </c>
      <c r="AE62" s="39">
        <v>0</v>
      </c>
      <c r="AF62" s="18">
        <v>0</v>
      </c>
      <c r="AG62" s="18">
        <v>0</v>
      </c>
      <c r="AH62" s="18">
        <v>0</v>
      </c>
      <c r="AI62" s="18">
        <v>0</v>
      </c>
    </row>
    <row r="63" spans="2:35" x14ac:dyDescent="0.2">
      <c r="B63" s="83"/>
      <c r="C63" s="30" t="s">
        <v>2897</v>
      </c>
      <c r="D63" s="61"/>
      <c r="E63" s="18">
        <v>11303</v>
      </c>
      <c r="F63" s="18">
        <v>10044</v>
      </c>
      <c r="G63" s="18">
        <v>0</v>
      </c>
      <c r="H63" s="40" t="s">
        <v>2765</v>
      </c>
      <c r="I63" s="18">
        <v>1</v>
      </c>
      <c r="J63" s="18">
        <v>4</v>
      </c>
      <c r="K63" s="18">
        <v>8</v>
      </c>
      <c r="L63" s="18">
        <v>3</v>
      </c>
      <c r="M63" s="18">
        <v>0</v>
      </c>
      <c r="N63" s="18">
        <v>20</v>
      </c>
      <c r="O63" s="18">
        <v>34</v>
      </c>
      <c r="P63" s="18">
        <v>34</v>
      </c>
      <c r="Q63" s="18">
        <v>644</v>
      </c>
      <c r="R63" s="18">
        <v>0</v>
      </c>
      <c r="S63" s="39" t="s">
        <v>3651</v>
      </c>
      <c r="T63" s="18">
        <v>0</v>
      </c>
      <c r="U63" s="95" t="s">
        <v>85</v>
      </c>
      <c r="V63" s="18">
        <v>802</v>
      </c>
      <c r="W63" s="18">
        <v>10004</v>
      </c>
      <c r="X63" s="18"/>
      <c r="Y63" s="18">
        <v>1500</v>
      </c>
      <c r="Z63" s="18">
        <v>0</v>
      </c>
      <c r="AA63" s="18">
        <v>1091302</v>
      </c>
      <c r="AB63" s="18" t="s">
        <v>4646</v>
      </c>
      <c r="AC63" s="18">
        <v>1013</v>
      </c>
      <c r="AD63" s="18">
        <v>0</v>
      </c>
      <c r="AE63" s="39">
        <v>0</v>
      </c>
      <c r="AF63" s="18">
        <v>0</v>
      </c>
      <c r="AG63" s="18">
        <v>0</v>
      </c>
      <c r="AH63" s="18">
        <v>0</v>
      </c>
      <c r="AI63" s="18">
        <v>0</v>
      </c>
    </row>
    <row r="64" spans="2:35" x14ac:dyDescent="0.2">
      <c r="B64" s="83"/>
      <c r="C64" s="30" t="s">
        <v>3477</v>
      </c>
      <c r="D64" s="61"/>
      <c r="E64" s="18">
        <v>11403</v>
      </c>
      <c r="F64" s="18">
        <v>10044</v>
      </c>
      <c r="G64" s="18">
        <v>0</v>
      </c>
      <c r="H64" s="40" t="s">
        <v>2765</v>
      </c>
      <c r="I64" s="18">
        <v>1</v>
      </c>
      <c r="J64" s="18">
        <v>4</v>
      </c>
      <c r="K64" s="18">
        <v>8</v>
      </c>
      <c r="L64" s="18">
        <v>3</v>
      </c>
      <c r="M64" s="18">
        <v>0</v>
      </c>
      <c r="N64" s="18">
        <v>20</v>
      </c>
      <c r="O64" s="18">
        <v>34</v>
      </c>
      <c r="P64" s="18">
        <v>34</v>
      </c>
      <c r="Q64" s="18">
        <v>644</v>
      </c>
      <c r="R64" s="18">
        <v>0</v>
      </c>
      <c r="S64" s="39" t="s">
        <v>3678</v>
      </c>
      <c r="T64" s="18">
        <v>0</v>
      </c>
      <c r="U64" s="95" t="s">
        <v>85</v>
      </c>
      <c r="V64" s="18">
        <v>802</v>
      </c>
      <c r="W64" s="18">
        <v>10006</v>
      </c>
      <c r="X64" s="18"/>
      <c r="Y64" s="18">
        <v>1200</v>
      </c>
      <c r="Z64" s="18">
        <v>0</v>
      </c>
      <c r="AA64" s="18">
        <v>1091302</v>
      </c>
      <c r="AB64" s="18" t="s">
        <v>4646</v>
      </c>
      <c r="AC64" s="18">
        <v>1013</v>
      </c>
      <c r="AD64" s="18">
        <v>0</v>
      </c>
      <c r="AE64" s="39">
        <v>0</v>
      </c>
      <c r="AF64" s="18">
        <v>0</v>
      </c>
      <c r="AG64" s="18">
        <v>0</v>
      </c>
      <c r="AH64" s="18">
        <v>0</v>
      </c>
      <c r="AI64" s="18">
        <v>0</v>
      </c>
    </row>
    <row r="65" spans="2:35" x14ac:dyDescent="0.2">
      <c r="B65" s="83"/>
      <c r="C65" s="30" t="s">
        <v>3478</v>
      </c>
      <c r="D65" s="61"/>
      <c r="E65" s="18">
        <v>11503</v>
      </c>
      <c r="F65" s="18">
        <v>10044</v>
      </c>
      <c r="G65" s="18">
        <v>0</v>
      </c>
      <c r="H65" s="40" t="s">
        <v>2765</v>
      </c>
      <c r="I65" s="18">
        <v>1</v>
      </c>
      <c r="J65" s="18">
        <v>4</v>
      </c>
      <c r="K65" s="18">
        <v>8</v>
      </c>
      <c r="L65" s="18">
        <v>3</v>
      </c>
      <c r="M65" s="18">
        <v>0</v>
      </c>
      <c r="N65" s="18">
        <v>20</v>
      </c>
      <c r="O65" s="18">
        <v>34</v>
      </c>
      <c r="P65" s="18">
        <v>34</v>
      </c>
      <c r="Q65" s="18">
        <v>644</v>
      </c>
      <c r="R65" s="18">
        <v>0</v>
      </c>
      <c r="S65" s="39" t="s">
        <v>3679</v>
      </c>
      <c r="T65" s="18">
        <v>0</v>
      </c>
      <c r="U65" s="95" t="s">
        <v>85</v>
      </c>
      <c r="V65" s="18">
        <v>802</v>
      </c>
      <c r="W65" s="18">
        <v>10007</v>
      </c>
      <c r="X65" s="18"/>
      <c r="Y65" s="18">
        <v>1500</v>
      </c>
      <c r="Z65" s="18">
        <v>0</v>
      </c>
      <c r="AA65" s="18">
        <v>1091302</v>
      </c>
      <c r="AB65" s="18" t="s">
        <v>4646</v>
      </c>
      <c r="AC65" s="18">
        <v>1013</v>
      </c>
      <c r="AD65" s="18">
        <v>0</v>
      </c>
      <c r="AE65" s="39">
        <v>0</v>
      </c>
      <c r="AF65" s="18">
        <v>0</v>
      </c>
      <c r="AG65" s="18">
        <v>0</v>
      </c>
      <c r="AH65" s="18">
        <v>0</v>
      </c>
      <c r="AI65" s="18">
        <v>0</v>
      </c>
    </row>
    <row r="66" spans="2:35" x14ac:dyDescent="0.2">
      <c r="B66" s="132" t="s">
        <v>34</v>
      </c>
      <c r="C66" s="30" t="s">
        <v>37</v>
      </c>
      <c r="D66" s="61"/>
      <c r="E66" s="18">
        <v>12103</v>
      </c>
      <c r="F66" s="18">
        <v>10048</v>
      </c>
      <c r="G66" s="18">
        <v>0</v>
      </c>
      <c r="H66" s="39" t="s">
        <v>2772</v>
      </c>
      <c r="I66" s="18">
        <v>2</v>
      </c>
      <c r="J66" s="18">
        <v>2</v>
      </c>
      <c r="K66" s="18">
        <v>21</v>
      </c>
      <c r="L66" s="18">
        <v>3</v>
      </c>
      <c r="M66" s="18">
        <v>0</v>
      </c>
      <c r="N66" s="18">
        <v>20</v>
      </c>
      <c r="O66" s="18">
        <v>85</v>
      </c>
      <c r="P66" s="18">
        <v>85</v>
      </c>
      <c r="Q66" s="18">
        <v>1612</v>
      </c>
      <c r="R66" s="18">
        <v>0</v>
      </c>
      <c r="S66" s="39" t="s">
        <v>2800</v>
      </c>
      <c r="T66" s="18">
        <v>0</v>
      </c>
      <c r="U66" s="95" t="s">
        <v>85</v>
      </c>
      <c r="V66" s="18">
        <v>2102</v>
      </c>
      <c r="W66" s="18">
        <v>0</v>
      </c>
      <c r="X66" s="18"/>
      <c r="Y66" s="18">
        <v>0</v>
      </c>
      <c r="Z66" s="18">
        <v>0</v>
      </c>
      <c r="AA66" s="18">
        <v>0</v>
      </c>
      <c r="AB66" s="18"/>
      <c r="AC66" s="18">
        <v>1023</v>
      </c>
      <c r="AD66" s="18">
        <v>0</v>
      </c>
      <c r="AE66" s="39">
        <v>0</v>
      </c>
      <c r="AF66" s="18">
        <v>0</v>
      </c>
      <c r="AG66" s="18">
        <v>0</v>
      </c>
      <c r="AH66" s="18">
        <v>0</v>
      </c>
      <c r="AI66" s="18">
        <v>0</v>
      </c>
    </row>
    <row r="67" spans="2:35" x14ac:dyDescent="0.2">
      <c r="B67" s="132"/>
      <c r="C67" s="30" t="s">
        <v>38</v>
      </c>
      <c r="D67" s="61"/>
      <c r="E67" s="18">
        <v>12203</v>
      </c>
      <c r="F67" s="18">
        <v>10049</v>
      </c>
      <c r="G67" s="18">
        <v>0</v>
      </c>
      <c r="H67" s="39" t="s">
        <v>2771</v>
      </c>
      <c r="I67" s="18">
        <v>2</v>
      </c>
      <c r="J67" s="18">
        <v>3</v>
      </c>
      <c r="K67" s="18">
        <v>22</v>
      </c>
      <c r="L67" s="18">
        <v>3</v>
      </c>
      <c r="M67" s="18">
        <v>0</v>
      </c>
      <c r="N67" s="18">
        <v>20</v>
      </c>
      <c r="O67" s="18">
        <v>85</v>
      </c>
      <c r="P67" s="18">
        <v>85</v>
      </c>
      <c r="Q67" s="18">
        <v>1612</v>
      </c>
      <c r="R67" s="18">
        <v>0</v>
      </c>
      <c r="S67" s="39" t="s">
        <v>2832</v>
      </c>
      <c r="T67" s="18">
        <v>0</v>
      </c>
      <c r="U67" s="95" t="s">
        <v>85</v>
      </c>
      <c r="V67" s="18">
        <v>2202</v>
      </c>
      <c r="W67" s="18">
        <v>0</v>
      </c>
      <c r="X67" s="18"/>
      <c r="Y67" s="18">
        <v>0</v>
      </c>
      <c r="Z67" s="18">
        <v>0</v>
      </c>
      <c r="AA67" s="18">
        <v>0</v>
      </c>
      <c r="AB67" s="18"/>
      <c r="AC67" s="18">
        <v>1022</v>
      </c>
      <c r="AD67" s="18">
        <v>0</v>
      </c>
      <c r="AE67" s="39">
        <v>0</v>
      </c>
      <c r="AF67" s="18">
        <v>0</v>
      </c>
      <c r="AG67" s="18">
        <v>0</v>
      </c>
      <c r="AH67" s="18">
        <v>0</v>
      </c>
      <c r="AI67" s="18">
        <v>0</v>
      </c>
    </row>
    <row r="68" spans="2:35" x14ac:dyDescent="0.2">
      <c r="B68" s="132"/>
      <c r="C68" s="30" t="s">
        <v>39</v>
      </c>
      <c r="D68" s="61"/>
      <c r="E68" s="18">
        <v>12303</v>
      </c>
      <c r="F68" s="18">
        <v>10050</v>
      </c>
      <c r="G68" s="18">
        <v>0</v>
      </c>
      <c r="H68" s="39" t="s">
        <v>2770</v>
      </c>
      <c r="I68" s="18">
        <v>2</v>
      </c>
      <c r="J68" s="18">
        <v>2</v>
      </c>
      <c r="K68" s="18">
        <v>23</v>
      </c>
      <c r="L68" s="18">
        <v>3</v>
      </c>
      <c r="M68" s="18">
        <v>0</v>
      </c>
      <c r="N68" s="18">
        <v>20</v>
      </c>
      <c r="O68" s="18">
        <v>85</v>
      </c>
      <c r="P68" s="18">
        <v>85</v>
      </c>
      <c r="Q68" s="18">
        <v>1612</v>
      </c>
      <c r="R68" s="18">
        <v>0</v>
      </c>
      <c r="S68" s="39" t="s">
        <v>2800</v>
      </c>
      <c r="T68" s="18">
        <v>0</v>
      </c>
      <c r="U68" s="95" t="s">
        <v>85</v>
      </c>
      <c r="V68" s="18">
        <v>2302</v>
      </c>
      <c r="W68" s="18">
        <v>0</v>
      </c>
      <c r="X68" s="18"/>
      <c r="Y68" s="18">
        <v>0</v>
      </c>
      <c r="Z68" s="18">
        <v>0</v>
      </c>
      <c r="AA68" s="18">
        <v>0</v>
      </c>
      <c r="AB68" s="18"/>
      <c r="AC68" s="18">
        <v>1028</v>
      </c>
      <c r="AD68" s="18">
        <v>0</v>
      </c>
      <c r="AE68" s="39">
        <v>0</v>
      </c>
      <c r="AF68" s="18">
        <v>0</v>
      </c>
      <c r="AG68" s="18">
        <v>0</v>
      </c>
      <c r="AH68" s="18">
        <v>0</v>
      </c>
      <c r="AI68" s="18">
        <v>0</v>
      </c>
    </row>
    <row r="69" spans="2:35" x14ac:dyDescent="0.2">
      <c r="B69" s="132"/>
      <c r="C69" s="30" t="s">
        <v>40</v>
      </c>
      <c r="D69" s="61"/>
      <c r="E69" s="18">
        <v>12403</v>
      </c>
      <c r="F69" s="18">
        <v>10051</v>
      </c>
      <c r="G69" s="18">
        <v>0</v>
      </c>
      <c r="H69" s="39" t="s">
        <v>2781</v>
      </c>
      <c r="I69" s="18">
        <v>2</v>
      </c>
      <c r="J69" s="18">
        <v>2</v>
      </c>
      <c r="K69" s="18">
        <v>24</v>
      </c>
      <c r="L69" s="18">
        <v>3</v>
      </c>
      <c r="M69" s="18">
        <v>0</v>
      </c>
      <c r="N69" s="18">
        <v>20</v>
      </c>
      <c r="O69" s="18">
        <v>85</v>
      </c>
      <c r="P69" s="18">
        <v>85</v>
      </c>
      <c r="Q69" s="18">
        <v>1612</v>
      </c>
      <c r="R69" s="18">
        <v>0</v>
      </c>
      <c r="S69" s="39" t="s">
        <v>2833</v>
      </c>
      <c r="T69" s="18">
        <v>0</v>
      </c>
      <c r="U69" s="95" t="s">
        <v>85</v>
      </c>
      <c r="V69" s="18">
        <v>2402</v>
      </c>
      <c r="W69" s="18">
        <v>0</v>
      </c>
      <c r="X69" s="18"/>
      <c r="Y69" s="18">
        <v>0</v>
      </c>
      <c r="Z69" s="18">
        <v>0</v>
      </c>
      <c r="AA69" s="18">
        <v>0</v>
      </c>
      <c r="AB69" s="18"/>
      <c r="AC69" s="18">
        <v>1025</v>
      </c>
      <c r="AD69" s="18">
        <v>0</v>
      </c>
      <c r="AE69" s="39">
        <v>0</v>
      </c>
      <c r="AF69" s="18">
        <v>0</v>
      </c>
      <c r="AG69" s="18">
        <v>0</v>
      </c>
      <c r="AH69" s="18">
        <v>0</v>
      </c>
      <c r="AI69" s="18">
        <v>0</v>
      </c>
    </row>
    <row r="70" spans="2:35" x14ac:dyDescent="0.2">
      <c r="B70" s="132"/>
      <c r="C70" s="30" t="s">
        <v>41</v>
      </c>
      <c r="D70" s="61"/>
      <c r="E70" s="18">
        <v>12503</v>
      </c>
      <c r="F70" s="18">
        <v>10052</v>
      </c>
      <c r="G70" s="18">
        <v>0</v>
      </c>
      <c r="H70" s="39" t="s">
        <v>2769</v>
      </c>
      <c r="I70" s="18">
        <v>2</v>
      </c>
      <c r="J70" s="18">
        <v>1</v>
      </c>
      <c r="K70" s="18">
        <v>25</v>
      </c>
      <c r="L70" s="18">
        <v>3</v>
      </c>
      <c r="M70" s="18">
        <v>0</v>
      </c>
      <c r="N70" s="18">
        <v>20</v>
      </c>
      <c r="O70" s="18">
        <v>85</v>
      </c>
      <c r="P70" s="18">
        <v>85</v>
      </c>
      <c r="Q70" s="18">
        <v>1612</v>
      </c>
      <c r="R70" s="18">
        <v>0</v>
      </c>
      <c r="S70" s="39" t="s">
        <v>2800</v>
      </c>
      <c r="T70" s="18">
        <v>0</v>
      </c>
      <c r="U70" s="95" t="s">
        <v>85</v>
      </c>
      <c r="V70" s="18">
        <v>2502</v>
      </c>
      <c r="W70" s="18">
        <v>0</v>
      </c>
      <c r="X70" s="18"/>
      <c r="Y70" s="18">
        <v>0</v>
      </c>
      <c r="Z70" s="18">
        <v>0</v>
      </c>
      <c r="AA70" s="18">
        <v>0</v>
      </c>
      <c r="AB70" s="18"/>
      <c r="AC70" s="18">
        <v>1024</v>
      </c>
      <c r="AD70" s="18">
        <v>0</v>
      </c>
      <c r="AE70" s="39">
        <v>0</v>
      </c>
      <c r="AF70" s="18">
        <v>0</v>
      </c>
      <c r="AG70" s="18">
        <v>0</v>
      </c>
      <c r="AH70" s="18">
        <v>0</v>
      </c>
      <c r="AI70" s="18">
        <v>0</v>
      </c>
    </row>
    <row r="71" spans="2:35" x14ac:dyDescent="0.2">
      <c r="B71" s="132" t="s">
        <v>35</v>
      </c>
      <c r="C71" s="30" t="s">
        <v>42</v>
      </c>
      <c r="D71" s="61"/>
      <c r="E71" s="18">
        <v>13103</v>
      </c>
      <c r="F71" s="18">
        <v>10053</v>
      </c>
      <c r="G71" s="18">
        <v>0</v>
      </c>
      <c r="H71" s="39" t="s">
        <v>2773</v>
      </c>
      <c r="I71" s="18">
        <v>1</v>
      </c>
      <c r="J71" s="18">
        <v>1</v>
      </c>
      <c r="K71" s="18">
        <v>31</v>
      </c>
      <c r="L71" s="18">
        <v>3</v>
      </c>
      <c r="M71" s="18">
        <v>0</v>
      </c>
      <c r="N71" s="18">
        <v>20</v>
      </c>
      <c r="O71" s="18">
        <v>50</v>
      </c>
      <c r="P71" s="18">
        <v>50</v>
      </c>
      <c r="Q71" s="18">
        <v>948</v>
      </c>
      <c r="R71" s="18">
        <v>0</v>
      </c>
      <c r="S71" s="39" t="s">
        <v>85</v>
      </c>
      <c r="T71" s="18">
        <v>0</v>
      </c>
      <c r="U71" s="95" t="s">
        <v>85</v>
      </c>
      <c r="V71" s="18">
        <v>3102</v>
      </c>
      <c r="W71" s="18">
        <v>0</v>
      </c>
      <c r="X71" s="18"/>
      <c r="Y71" s="18">
        <v>0</v>
      </c>
      <c r="Z71" s="18">
        <v>0</v>
      </c>
      <c r="AA71" s="18">
        <v>0</v>
      </c>
      <c r="AB71" s="18"/>
      <c r="AC71" s="18">
        <v>1026</v>
      </c>
      <c r="AD71" s="18">
        <v>0</v>
      </c>
      <c r="AE71" s="39">
        <v>0</v>
      </c>
      <c r="AF71" s="18">
        <v>0</v>
      </c>
      <c r="AG71" s="18">
        <v>0</v>
      </c>
      <c r="AH71" s="18">
        <v>0</v>
      </c>
      <c r="AI71" s="18">
        <v>0</v>
      </c>
    </row>
    <row r="72" spans="2:35" x14ac:dyDescent="0.2">
      <c r="B72" s="132"/>
      <c r="C72" s="30" t="s">
        <v>43</v>
      </c>
      <c r="D72" s="61"/>
      <c r="E72" s="18">
        <v>13203</v>
      </c>
      <c r="F72" s="18">
        <v>10054</v>
      </c>
      <c r="G72" s="18">
        <v>0</v>
      </c>
      <c r="H72" s="39" t="s">
        <v>2774</v>
      </c>
      <c r="I72" s="18">
        <v>1</v>
      </c>
      <c r="J72" s="18">
        <v>1</v>
      </c>
      <c r="K72" s="18">
        <v>32</v>
      </c>
      <c r="L72" s="18">
        <v>3</v>
      </c>
      <c r="M72" s="18">
        <v>0</v>
      </c>
      <c r="N72" s="18">
        <v>20</v>
      </c>
      <c r="O72" s="18">
        <v>100</v>
      </c>
      <c r="P72" s="18">
        <v>100</v>
      </c>
      <c r="Q72" s="18">
        <v>1896</v>
      </c>
      <c r="R72" s="18">
        <v>0</v>
      </c>
      <c r="S72" s="39" t="s">
        <v>85</v>
      </c>
      <c r="T72" s="18">
        <v>0</v>
      </c>
      <c r="U72" s="95" t="s">
        <v>85</v>
      </c>
      <c r="V72" s="18">
        <v>3202</v>
      </c>
      <c r="W72" s="18">
        <v>0</v>
      </c>
      <c r="X72" s="18"/>
      <c r="Y72" s="18">
        <v>0</v>
      </c>
      <c r="Z72" s="18">
        <v>0</v>
      </c>
      <c r="AA72" s="18">
        <v>0</v>
      </c>
      <c r="AB72" s="18"/>
      <c r="AC72" s="18">
        <v>1027</v>
      </c>
      <c r="AD72" s="18">
        <v>0</v>
      </c>
      <c r="AE72" s="39">
        <v>0</v>
      </c>
      <c r="AF72" s="18">
        <v>0</v>
      </c>
      <c r="AG72" s="18">
        <v>0</v>
      </c>
      <c r="AH72" s="18">
        <v>0</v>
      </c>
      <c r="AI72" s="18">
        <v>0</v>
      </c>
    </row>
    <row r="73" spans="2:35" x14ac:dyDescent="0.2">
      <c r="B73" s="133" t="s">
        <v>33</v>
      </c>
      <c r="C73" s="31" t="s">
        <v>44</v>
      </c>
      <c r="D73" s="11"/>
      <c r="E73" s="18">
        <v>10004</v>
      </c>
      <c r="F73" s="18">
        <v>10055</v>
      </c>
      <c r="G73" s="18">
        <v>0</v>
      </c>
      <c r="H73" s="40" t="s">
        <v>2759</v>
      </c>
      <c r="I73" s="18">
        <v>1</v>
      </c>
      <c r="J73" s="18">
        <v>3</v>
      </c>
      <c r="K73" s="18">
        <v>1</v>
      </c>
      <c r="L73" s="18">
        <v>4</v>
      </c>
      <c r="M73" s="18">
        <v>0</v>
      </c>
      <c r="N73" s="18">
        <v>50</v>
      </c>
      <c r="O73" s="18">
        <v>34</v>
      </c>
      <c r="P73" s="18">
        <v>34</v>
      </c>
      <c r="Q73" s="18">
        <v>171</v>
      </c>
      <c r="R73" s="18">
        <v>0</v>
      </c>
      <c r="S73" s="39" t="s">
        <v>3654</v>
      </c>
      <c r="T73" s="18">
        <v>0</v>
      </c>
      <c r="U73" s="95" t="s">
        <v>85</v>
      </c>
      <c r="V73" s="18">
        <v>103</v>
      </c>
      <c r="W73" s="18">
        <v>10049</v>
      </c>
      <c r="X73" s="18"/>
      <c r="Y73" s="18">
        <v>1200</v>
      </c>
      <c r="Z73" s="18">
        <v>0</v>
      </c>
      <c r="AA73" s="18">
        <v>1090101</v>
      </c>
      <c r="AB73" s="18" t="s">
        <v>4643</v>
      </c>
      <c r="AC73" s="18">
        <v>1001</v>
      </c>
      <c r="AD73" s="18">
        <v>0</v>
      </c>
      <c r="AE73" s="39">
        <v>0</v>
      </c>
      <c r="AF73" s="18">
        <v>0</v>
      </c>
      <c r="AG73" s="18">
        <v>0</v>
      </c>
      <c r="AH73" s="18">
        <v>0</v>
      </c>
      <c r="AI73" s="18">
        <v>0</v>
      </c>
    </row>
    <row r="74" spans="2:35" x14ac:dyDescent="0.2">
      <c r="B74" s="133"/>
      <c r="C74" s="31" t="s">
        <v>22</v>
      </c>
      <c r="D74" s="11"/>
      <c r="E74" s="18">
        <v>10204</v>
      </c>
      <c r="F74" s="18">
        <v>10056</v>
      </c>
      <c r="G74" s="18">
        <v>0</v>
      </c>
      <c r="H74" s="40" t="s">
        <v>2760</v>
      </c>
      <c r="I74" s="18">
        <v>2</v>
      </c>
      <c r="J74" s="18">
        <v>3</v>
      </c>
      <c r="K74" s="18">
        <v>2</v>
      </c>
      <c r="L74" s="18">
        <v>4</v>
      </c>
      <c r="M74" s="18">
        <v>0</v>
      </c>
      <c r="N74" s="18">
        <v>50</v>
      </c>
      <c r="O74" s="18">
        <v>34</v>
      </c>
      <c r="P74" s="18">
        <v>34</v>
      </c>
      <c r="Q74" s="18">
        <v>171</v>
      </c>
      <c r="R74" s="18">
        <v>0</v>
      </c>
      <c r="S74" s="39" t="s">
        <v>3655</v>
      </c>
      <c r="T74" s="18">
        <v>0</v>
      </c>
      <c r="U74" s="95" t="s">
        <v>85</v>
      </c>
      <c r="V74" s="18">
        <v>203</v>
      </c>
      <c r="W74" s="18">
        <v>10008</v>
      </c>
      <c r="X74" s="18"/>
      <c r="Y74" s="18">
        <v>1100</v>
      </c>
      <c r="Z74" s="18">
        <v>0</v>
      </c>
      <c r="AA74" s="18">
        <v>1090401</v>
      </c>
      <c r="AB74" s="18" t="s">
        <v>4644</v>
      </c>
      <c r="AC74" s="18">
        <v>1003</v>
      </c>
      <c r="AD74" s="18">
        <v>0</v>
      </c>
      <c r="AE74" s="39">
        <v>0</v>
      </c>
      <c r="AF74" s="18">
        <v>0</v>
      </c>
      <c r="AG74" s="18">
        <v>0</v>
      </c>
      <c r="AH74" s="18">
        <v>0</v>
      </c>
      <c r="AI74" s="18">
        <v>0</v>
      </c>
    </row>
    <row r="75" spans="2:35" x14ac:dyDescent="0.2">
      <c r="B75" s="133"/>
      <c r="C75" s="31" t="s">
        <v>23</v>
      </c>
      <c r="D75" s="11"/>
      <c r="E75" s="18">
        <v>10304</v>
      </c>
      <c r="F75" s="18">
        <v>10057</v>
      </c>
      <c r="G75" s="18">
        <v>0</v>
      </c>
      <c r="H75" s="40" t="s">
        <v>2761</v>
      </c>
      <c r="I75" s="18">
        <v>1</v>
      </c>
      <c r="J75" s="18">
        <v>3</v>
      </c>
      <c r="K75" s="18">
        <v>3</v>
      </c>
      <c r="L75" s="18">
        <v>4</v>
      </c>
      <c r="M75" s="18">
        <v>0</v>
      </c>
      <c r="N75" s="18">
        <v>50</v>
      </c>
      <c r="O75" s="18">
        <v>34</v>
      </c>
      <c r="P75" s="18">
        <v>34</v>
      </c>
      <c r="Q75" s="18">
        <v>171</v>
      </c>
      <c r="R75" s="18">
        <v>0</v>
      </c>
      <c r="S75" s="39" t="s">
        <v>3656</v>
      </c>
      <c r="T75" s="18">
        <v>0</v>
      </c>
      <c r="U75" s="95" t="s">
        <v>85</v>
      </c>
      <c r="V75" s="18">
        <v>303</v>
      </c>
      <c r="W75" s="18">
        <v>10051</v>
      </c>
      <c r="X75" s="18"/>
      <c r="Y75" s="18">
        <v>1100</v>
      </c>
      <c r="Z75" s="18">
        <v>0</v>
      </c>
      <c r="AA75" s="18">
        <v>1092001</v>
      </c>
      <c r="AB75" s="18" t="s">
        <v>4644</v>
      </c>
      <c r="AC75" s="18">
        <v>1007</v>
      </c>
      <c r="AD75" s="18">
        <v>0</v>
      </c>
      <c r="AE75" s="39">
        <v>0</v>
      </c>
      <c r="AF75" s="18">
        <v>0</v>
      </c>
      <c r="AG75" s="18">
        <v>0</v>
      </c>
      <c r="AH75" s="18">
        <v>0</v>
      </c>
      <c r="AI75" s="18">
        <v>0</v>
      </c>
    </row>
    <row r="76" spans="2:35" x14ac:dyDescent="0.2">
      <c r="B76" s="133"/>
      <c r="C76" s="31" t="s">
        <v>24</v>
      </c>
      <c r="D76" s="11"/>
      <c r="E76" s="18">
        <v>10404</v>
      </c>
      <c r="F76" s="18">
        <v>10058</v>
      </c>
      <c r="G76" s="18">
        <v>0</v>
      </c>
      <c r="H76" s="40" t="s">
        <v>2758</v>
      </c>
      <c r="I76" s="18">
        <v>1</v>
      </c>
      <c r="J76" s="18">
        <v>3</v>
      </c>
      <c r="K76" s="18">
        <v>4</v>
      </c>
      <c r="L76" s="18">
        <v>4</v>
      </c>
      <c r="M76" s="18">
        <v>0</v>
      </c>
      <c r="N76" s="18">
        <v>50</v>
      </c>
      <c r="O76" s="18">
        <v>34</v>
      </c>
      <c r="P76" s="18">
        <v>34</v>
      </c>
      <c r="Q76" s="18">
        <v>171</v>
      </c>
      <c r="R76" s="18">
        <v>0</v>
      </c>
      <c r="S76" s="39" t="s">
        <v>3657</v>
      </c>
      <c r="T76" s="18">
        <v>0</v>
      </c>
      <c r="U76" s="95" t="s">
        <v>85</v>
      </c>
      <c r="V76" s="18">
        <v>403</v>
      </c>
      <c r="W76" s="18">
        <v>10024</v>
      </c>
      <c r="X76" s="18"/>
      <c r="Y76" s="18">
        <v>800</v>
      </c>
      <c r="Z76" s="18">
        <v>0</v>
      </c>
      <c r="AA76" s="18">
        <v>1090501</v>
      </c>
      <c r="AB76" s="18" t="s">
        <v>4644</v>
      </c>
      <c r="AC76" s="18">
        <v>1001</v>
      </c>
      <c r="AD76" s="18">
        <v>0</v>
      </c>
      <c r="AE76" s="39">
        <v>0</v>
      </c>
      <c r="AF76" s="18">
        <v>0</v>
      </c>
      <c r="AG76" s="18">
        <v>0</v>
      </c>
      <c r="AH76" s="18">
        <v>0</v>
      </c>
      <c r="AI76" s="18">
        <v>0</v>
      </c>
    </row>
    <row r="77" spans="2:35" x14ac:dyDescent="0.2">
      <c r="B77" s="133"/>
      <c r="C77" s="31" t="s">
        <v>25</v>
      </c>
      <c r="D77" s="11"/>
      <c r="E77" s="18">
        <v>10504</v>
      </c>
      <c r="F77" s="18">
        <v>10059</v>
      </c>
      <c r="G77" s="18">
        <v>0</v>
      </c>
      <c r="H77" s="40" t="s">
        <v>2762</v>
      </c>
      <c r="I77" s="18">
        <v>1</v>
      </c>
      <c r="J77" s="18">
        <v>4</v>
      </c>
      <c r="K77" s="18">
        <v>5</v>
      </c>
      <c r="L77" s="18">
        <v>4</v>
      </c>
      <c r="M77" s="18">
        <v>0</v>
      </c>
      <c r="N77" s="18">
        <v>50</v>
      </c>
      <c r="O77" s="18">
        <v>34</v>
      </c>
      <c r="P77" s="18">
        <v>34</v>
      </c>
      <c r="Q77" s="18">
        <v>171</v>
      </c>
      <c r="R77" s="18">
        <v>0</v>
      </c>
      <c r="S77" s="39" t="s">
        <v>3658</v>
      </c>
      <c r="T77" s="18">
        <v>0</v>
      </c>
      <c r="U77" s="95" t="s">
        <v>85</v>
      </c>
      <c r="V77" s="18">
        <v>503</v>
      </c>
      <c r="W77" s="18">
        <v>10053</v>
      </c>
      <c r="X77" s="18"/>
      <c r="Y77" s="18">
        <v>1300</v>
      </c>
      <c r="Z77" s="18">
        <v>0</v>
      </c>
      <c r="AA77" s="18">
        <v>1090201</v>
      </c>
      <c r="AB77" s="18" t="s">
        <v>4645</v>
      </c>
      <c r="AC77" s="18">
        <v>1002</v>
      </c>
      <c r="AD77" s="18">
        <v>0</v>
      </c>
      <c r="AE77" s="39">
        <v>0</v>
      </c>
      <c r="AF77" s="18">
        <v>0</v>
      </c>
      <c r="AG77" s="18">
        <v>0</v>
      </c>
      <c r="AH77" s="18">
        <v>0</v>
      </c>
      <c r="AI77" s="18">
        <v>0</v>
      </c>
    </row>
    <row r="78" spans="2:35" x14ac:dyDescent="0.2">
      <c r="B78" s="133"/>
      <c r="C78" s="31" t="s">
        <v>26</v>
      </c>
      <c r="D78" s="11"/>
      <c r="E78" s="18">
        <v>10604</v>
      </c>
      <c r="F78" s="18">
        <v>10060</v>
      </c>
      <c r="G78" s="18">
        <v>0</v>
      </c>
      <c r="H78" s="40" t="s">
        <v>2763</v>
      </c>
      <c r="I78" s="18">
        <v>2</v>
      </c>
      <c r="J78" s="18">
        <v>3</v>
      </c>
      <c r="K78" s="18">
        <v>6</v>
      </c>
      <c r="L78" s="18">
        <v>4</v>
      </c>
      <c r="M78" s="18">
        <v>0</v>
      </c>
      <c r="N78" s="18">
        <v>50</v>
      </c>
      <c r="O78" s="18">
        <v>34</v>
      </c>
      <c r="P78" s="18">
        <v>34</v>
      </c>
      <c r="Q78" s="18">
        <v>171</v>
      </c>
      <c r="R78" s="18">
        <v>0</v>
      </c>
      <c r="S78" s="39" t="s">
        <v>3659</v>
      </c>
      <c r="T78" s="18">
        <v>0</v>
      </c>
      <c r="U78" s="95" t="s">
        <v>85</v>
      </c>
      <c r="V78" s="18">
        <v>603</v>
      </c>
      <c r="W78" s="18">
        <v>10055</v>
      </c>
      <c r="X78" s="18"/>
      <c r="Y78" s="18">
        <v>1400</v>
      </c>
      <c r="Z78" s="18">
        <v>0</v>
      </c>
      <c r="AA78" s="18">
        <v>1091021</v>
      </c>
      <c r="AB78" s="18" t="s">
        <v>4645</v>
      </c>
      <c r="AC78" s="18">
        <v>1004</v>
      </c>
      <c r="AD78" s="18">
        <v>0</v>
      </c>
      <c r="AE78" s="39">
        <v>0</v>
      </c>
      <c r="AF78" s="18">
        <v>0</v>
      </c>
      <c r="AG78" s="18">
        <v>0</v>
      </c>
      <c r="AH78" s="18">
        <v>0</v>
      </c>
      <c r="AI78" s="18">
        <v>0</v>
      </c>
    </row>
    <row r="79" spans="2:35" x14ac:dyDescent="0.2">
      <c r="B79" s="133"/>
      <c r="C79" s="31" t="s">
        <v>27</v>
      </c>
      <c r="D79" s="11"/>
      <c r="E79" s="18">
        <v>10704</v>
      </c>
      <c r="F79" s="18">
        <v>10061</v>
      </c>
      <c r="G79" s="18">
        <v>0</v>
      </c>
      <c r="H79" s="40" t="s">
        <v>2764</v>
      </c>
      <c r="I79" s="18">
        <v>2</v>
      </c>
      <c r="J79" s="18">
        <v>4</v>
      </c>
      <c r="K79" s="18">
        <v>7</v>
      </c>
      <c r="L79" s="18">
        <v>4</v>
      </c>
      <c r="M79" s="18">
        <v>0</v>
      </c>
      <c r="N79" s="18">
        <v>50</v>
      </c>
      <c r="O79" s="18">
        <v>34</v>
      </c>
      <c r="P79" s="18">
        <v>34</v>
      </c>
      <c r="Q79" s="18">
        <v>171</v>
      </c>
      <c r="R79" s="18">
        <v>0</v>
      </c>
      <c r="S79" s="39" t="s">
        <v>3660</v>
      </c>
      <c r="T79" s="18">
        <v>0</v>
      </c>
      <c r="U79" s="95" t="s">
        <v>85</v>
      </c>
      <c r="V79" s="18">
        <v>703</v>
      </c>
      <c r="W79" s="18">
        <v>10057</v>
      </c>
      <c r="X79" s="18"/>
      <c r="Y79" s="18">
        <v>1500</v>
      </c>
      <c r="Z79" s="18">
        <v>0</v>
      </c>
      <c r="AA79" s="18">
        <v>1092101</v>
      </c>
      <c r="AB79" s="18" t="s">
        <v>4645</v>
      </c>
      <c r="AC79" s="18">
        <v>1021</v>
      </c>
      <c r="AD79" s="18">
        <v>0</v>
      </c>
      <c r="AE79" s="39">
        <v>0</v>
      </c>
      <c r="AF79" s="18">
        <v>0</v>
      </c>
      <c r="AG79" s="18">
        <v>0</v>
      </c>
      <c r="AH79" s="18">
        <v>0</v>
      </c>
      <c r="AI79" s="18">
        <v>0</v>
      </c>
    </row>
    <row r="80" spans="2:35" x14ac:dyDescent="0.2">
      <c r="B80" s="133"/>
      <c r="C80" s="31" t="s">
        <v>2893</v>
      </c>
      <c r="D80" s="11"/>
      <c r="E80" s="18">
        <v>10804</v>
      </c>
      <c r="F80" s="18">
        <v>11301</v>
      </c>
      <c r="G80" s="18">
        <v>0</v>
      </c>
      <c r="H80" s="40" t="s">
        <v>2765</v>
      </c>
      <c r="I80" s="18">
        <v>1</v>
      </c>
      <c r="J80" s="18">
        <v>4</v>
      </c>
      <c r="K80" s="18">
        <v>8</v>
      </c>
      <c r="L80" s="18">
        <v>4</v>
      </c>
      <c r="M80" s="18">
        <v>0</v>
      </c>
      <c r="N80" s="18">
        <v>50</v>
      </c>
      <c r="O80" s="18">
        <v>34</v>
      </c>
      <c r="P80" s="18">
        <v>34</v>
      </c>
      <c r="Q80" s="18">
        <v>171</v>
      </c>
      <c r="R80" s="18">
        <v>0</v>
      </c>
      <c r="S80" s="39" t="s">
        <v>3661</v>
      </c>
      <c r="T80" s="18">
        <v>0</v>
      </c>
      <c r="U80" s="95" t="s">
        <v>85</v>
      </c>
      <c r="V80" s="18">
        <v>803</v>
      </c>
      <c r="W80" s="18">
        <v>10001</v>
      </c>
      <c r="X80" s="18"/>
      <c r="Y80" s="18">
        <v>1000</v>
      </c>
      <c r="Z80" s="18">
        <v>0</v>
      </c>
      <c r="AA80" s="18">
        <v>1091302</v>
      </c>
      <c r="AB80" s="18" t="s">
        <v>4646</v>
      </c>
      <c r="AC80" s="18">
        <v>1013</v>
      </c>
      <c r="AD80" s="18">
        <v>0</v>
      </c>
      <c r="AE80" s="39">
        <v>0</v>
      </c>
      <c r="AF80" s="18">
        <v>0</v>
      </c>
      <c r="AG80" s="18">
        <v>0</v>
      </c>
      <c r="AH80" s="18">
        <v>0</v>
      </c>
      <c r="AI80" s="18">
        <v>0</v>
      </c>
    </row>
    <row r="81" spans="1:35" x14ac:dyDescent="0.2">
      <c r="B81" s="133"/>
      <c r="C81" s="31" t="s">
        <v>29</v>
      </c>
      <c r="D81" s="11"/>
      <c r="E81" s="18">
        <v>10904</v>
      </c>
      <c r="F81" s="18">
        <v>10063</v>
      </c>
      <c r="G81" s="18">
        <v>0</v>
      </c>
      <c r="H81" s="40" t="s">
        <v>2766</v>
      </c>
      <c r="I81" s="18">
        <v>2</v>
      </c>
      <c r="J81" s="18">
        <v>3</v>
      </c>
      <c r="K81" s="18">
        <v>9</v>
      </c>
      <c r="L81" s="18">
        <v>4</v>
      </c>
      <c r="M81" s="18">
        <v>0</v>
      </c>
      <c r="N81" s="18">
        <v>50</v>
      </c>
      <c r="O81" s="18">
        <v>34</v>
      </c>
      <c r="P81" s="18">
        <v>34</v>
      </c>
      <c r="Q81" s="18">
        <v>171</v>
      </c>
      <c r="R81" s="18">
        <v>0</v>
      </c>
      <c r="S81" s="39" t="s">
        <v>3662</v>
      </c>
      <c r="T81" s="18">
        <v>0</v>
      </c>
      <c r="U81" s="95" t="s">
        <v>85</v>
      </c>
      <c r="V81" s="18">
        <v>903</v>
      </c>
      <c r="W81" s="18">
        <v>10026</v>
      </c>
      <c r="X81" s="18"/>
      <c r="Y81" s="18">
        <v>1400</v>
      </c>
      <c r="Z81" s="18">
        <v>0</v>
      </c>
      <c r="AA81" s="18">
        <v>1091701</v>
      </c>
      <c r="AB81" s="18" t="s">
        <v>4647</v>
      </c>
      <c r="AC81" s="18">
        <v>1017</v>
      </c>
      <c r="AD81" s="18">
        <v>0</v>
      </c>
      <c r="AE81" s="39">
        <v>0</v>
      </c>
      <c r="AF81" s="18">
        <v>0</v>
      </c>
      <c r="AG81" s="18">
        <v>0</v>
      </c>
      <c r="AH81" s="18">
        <v>0</v>
      </c>
      <c r="AI81" s="18">
        <v>0</v>
      </c>
    </row>
    <row r="82" spans="1:35" x14ac:dyDescent="0.2">
      <c r="B82" s="133"/>
      <c r="C82" s="31" t="s">
        <v>30</v>
      </c>
      <c r="D82" s="11"/>
      <c r="E82" s="18">
        <v>11004</v>
      </c>
      <c r="F82" s="18">
        <v>10064</v>
      </c>
      <c r="G82" s="18">
        <v>0</v>
      </c>
      <c r="H82" s="40" t="s">
        <v>2767</v>
      </c>
      <c r="I82" s="18">
        <v>2</v>
      </c>
      <c r="J82" s="18">
        <v>4</v>
      </c>
      <c r="K82" s="18">
        <v>10</v>
      </c>
      <c r="L82" s="18">
        <v>4</v>
      </c>
      <c r="M82" s="18">
        <v>0</v>
      </c>
      <c r="N82" s="18">
        <v>50</v>
      </c>
      <c r="O82" s="18">
        <v>34</v>
      </c>
      <c r="P82" s="18">
        <v>34</v>
      </c>
      <c r="Q82" s="18">
        <v>171</v>
      </c>
      <c r="R82" s="18">
        <v>0</v>
      </c>
      <c r="S82" s="39" t="s">
        <v>3663</v>
      </c>
      <c r="T82" s="18">
        <v>0</v>
      </c>
      <c r="U82" s="95" t="s">
        <v>85</v>
      </c>
      <c r="V82" s="18">
        <v>1003</v>
      </c>
      <c r="W82" s="18">
        <v>10048</v>
      </c>
      <c r="X82" s="18"/>
      <c r="Y82" s="18">
        <v>1650</v>
      </c>
      <c r="Z82" s="18">
        <v>0</v>
      </c>
      <c r="AA82" s="18">
        <v>1091002</v>
      </c>
      <c r="AB82" s="18" t="s">
        <v>4648</v>
      </c>
      <c r="AC82" s="18">
        <v>1010</v>
      </c>
      <c r="AD82" s="18">
        <v>0</v>
      </c>
      <c r="AE82" s="39">
        <v>0</v>
      </c>
      <c r="AF82" s="18">
        <v>0</v>
      </c>
      <c r="AG82" s="18">
        <v>0</v>
      </c>
      <c r="AH82" s="18">
        <v>0</v>
      </c>
      <c r="AI82" s="18">
        <v>0</v>
      </c>
    </row>
    <row r="83" spans="1:35" x14ac:dyDescent="0.2">
      <c r="B83" s="133"/>
      <c r="C83" s="31" t="s">
        <v>36</v>
      </c>
      <c r="D83" s="11"/>
      <c r="E83" s="18">
        <v>11104</v>
      </c>
      <c r="F83" s="18">
        <v>10065</v>
      </c>
      <c r="G83" s="18">
        <v>0</v>
      </c>
      <c r="H83" s="40" t="s">
        <v>2768</v>
      </c>
      <c r="I83" s="18">
        <v>2</v>
      </c>
      <c r="J83" s="18">
        <v>2</v>
      </c>
      <c r="K83" s="18">
        <v>11</v>
      </c>
      <c r="L83" s="18">
        <v>4</v>
      </c>
      <c r="M83" s="18">
        <v>0</v>
      </c>
      <c r="N83" s="18">
        <v>50</v>
      </c>
      <c r="O83" s="18">
        <v>34</v>
      </c>
      <c r="P83" s="18">
        <v>34</v>
      </c>
      <c r="Q83" s="18">
        <v>171</v>
      </c>
      <c r="R83" s="18">
        <v>0</v>
      </c>
      <c r="S83" s="39" t="s">
        <v>4840</v>
      </c>
      <c r="T83" s="18">
        <v>0</v>
      </c>
      <c r="U83" s="95" t="s">
        <v>85</v>
      </c>
      <c r="V83" s="18">
        <v>1103</v>
      </c>
      <c r="W83" s="18">
        <v>0</v>
      </c>
      <c r="X83" s="18"/>
      <c r="Y83" s="18">
        <v>0</v>
      </c>
      <c r="Z83" s="18">
        <v>0</v>
      </c>
      <c r="AA83" s="18">
        <v>1091901</v>
      </c>
      <c r="AB83" s="18"/>
      <c r="AC83" s="18">
        <v>1019</v>
      </c>
      <c r="AD83" s="18">
        <v>0</v>
      </c>
      <c r="AE83" s="39">
        <v>0</v>
      </c>
      <c r="AF83" s="18">
        <v>0</v>
      </c>
      <c r="AG83" s="18">
        <v>0</v>
      </c>
      <c r="AH83" s="18">
        <v>0</v>
      </c>
      <c r="AI83" s="18">
        <v>0</v>
      </c>
    </row>
    <row r="84" spans="1:35" x14ac:dyDescent="0.2">
      <c r="B84" s="82"/>
      <c r="C84" s="31" t="s">
        <v>2895</v>
      </c>
      <c r="D84" s="11"/>
      <c r="E84" s="18">
        <v>11204</v>
      </c>
      <c r="F84" s="18">
        <v>11302</v>
      </c>
      <c r="G84" s="18">
        <v>0</v>
      </c>
      <c r="H84" s="40" t="s">
        <v>2765</v>
      </c>
      <c r="I84" s="18">
        <v>1</v>
      </c>
      <c r="J84" s="18">
        <v>4</v>
      </c>
      <c r="K84" s="18">
        <v>8</v>
      </c>
      <c r="L84" s="18">
        <v>4</v>
      </c>
      <c r="M84" s="18">
        <v>0</v>
      </c>
      <c r="N84" s="18">
        <v>50</v>
      </c>
      <c r="O84" s="18">
        <v>34</v>
      </c>
      <c r="P84" s="18">
        <v>34</v>
      </c>
      <c r="Q84" s="18">
        <v>171</v>
      </c>
      <c r="R84" s="18">
        <v>0</v>
      </c>
      <c r="S84" s="39" t="s">
        <v>3661</v>
      </c>
      <c r="T84" s="18">
        <v>0</v>
      </c>
      <c r="U84" s="95" t="s">
        <v>85</v>
      </c>
      <c r="V84" s="18">
        <v>803</v>
      </c>
      <c r="W84" s="18">
        <v>10003</v>
      </c>
      <c r="X84" s="18"/>
      <c r="Y84" s="18">
        <v>1200</v>
      </c>
      <c r="Z84" s="18">
        <v>0</v>
      </c>
      <c r="AA84" s="18">
        <v>1091302</v>
      </c>
      <c r="AB84" s="18" t="s">
        <v>4646</v>
      </c>
      <c r="AC84" s="18">
        <v>1013</v>
      </c>
      <c r="AD84" s="18">
        <v>0</v>
      </c>
      <c r="AE84" s="39">
        <v>0</v>
      </c>
      <c r="AF84" s="18">
        <v>0</v>
      </c>
      <c r="AG84" s="18">
        <v>0</v>
      </c>
      <c r="AH84" s="18">
        <v>0</v>
      </c>
      <c r="AI84" s="18">
        <v>0</v>
      </c>
    </row>
    <row r="85" spans="1:35" x14ac:dyDescent="0.2">
      <c r="B85" s="82"/>
      <c r="C85" s="31" t="s">
        <v>2897</v>
      </c>
      <c r="D85" s="11"/>
      <c r="E85" s="18">
        <v>11304</v>
      </c>
      <c r="F85" s="18">
        <v>11303</v>
      </c>
      <c r="G85" s="18">
        <v>0</v>
      </c>
      <c r="H85" s="40" t="s">
        <v>2765</v>
      </c>
      <c r="I85" s="18">
        <v>1</v>
      </c>
      <c r="J85" s="18">
        <v>4</v>
      </c>
      <c r="K85" s="18">
        <v>8</v>
      </c>
      <c r="L85" s="18">
        <v>4</v>
      </c>
      <c r="M85" s="18">
        <v>0</v>
      </c>
      <c r="N85" s="18">
        <v>50</v>
      </c>
      <c r="O85" s="18">
        <v>34</v>
      </c>
      <c r="P85" s="18">
        <v>34</v>
      </c>
      <c r="Q85" s="18">
        <v>171</v>
      </c>
      <c r="R85" s="18">
        <v>0</v>
      </c>
      <c r="S85" s="39" t="s">
        <v>3661</v>
      </c>
      <c r="T85" s="18">
        <v>0</v>
      </c>
      <c r="U85" s="95" t="s">
        <v>85</v>
      </c>
      <c r="V85" s="18">
        <v>803</v>
      </c>
      <c r="W85" s="18">
        <v>10004</v>
      </c>
      <c r="X85" s="18"/>
      <c r="Y85" s="18">
        <v>1500</v>
      </c>
      <c r="Z85" s="18">
        <v>0</v>
      </c>
      <c r="AA85" s="18">
        <v>1091302</v>
      </c>
      <c r="AB85" s="18" t="s">
        <v>4646</v>
      </c>
      <c r="AC85" s="18">
        <v>1013</v>
      </c>
      <c r="AD85" s="18">
        <v>0</v>
      </c>
      <c r="AE85" s="39">
        <v>0</v>
      </c>
      <c r="AF85" s="18">
        <v>0</v>
      </c>
      <c r="AG85" s="18">
        <v>0</v>
      </c>
      <c r="AH85" s="18">
        <v>0</v>
      </c>
      <c r="AI85" s="18">
        <v>0</v>
      </c>
    </row>
    <row r="86" spans="1:35" x14ac:dyDescent="0.2">
      <c r="B86" s="82"/>
      <c r="C86" s="31" t="s">
        <v>3477</v>
      </c>
      <c r="D86" s="11"/>
      <c r="E86" s="18">
        <v>11404</v>
      </c>
      <c r="F86" s="18">
        <v>11304</v>
      </c>
      <c r="G86" s="18">
        <v>0</v>
      </c>
      <c r="H86" s="40" t="s">
        <v>2765</v>
      </c>
      <c r="I86" s="18">
        <v>1</v>
      </c>
      <c r="J86" s="18">
        <v>4</v>
      </c>
      <c r="K86" s="18">
        <v>8</v>
      </c>
      <c r="L86" s="18">
        <v>4</v>
      </c>
      <c r="M86" s="18">
        <v>0</v>
      </c>
      <c r="N86" s="18">
        <v>50</v>
      </c>
      <c r="O86" s="18">
        <v>34</v>
      </c>
      <c r="P86" s="18">
        <v>34</v>
      </c>
      <c r="Q86" s="18">
        <v>171</v>
      </c>
      <c r="R86" s="18">
        <v>0</v>
      </c>
      <c r="S86" s="39" t="s">
        <v>3681</v>
      </c>
      <c r="T86" s="18">
        <v>0</v>
      </c>
      <c r="U86" s="95" t="s">
        <v>85</v>
      </c>
      <c r="V86" s="18">
        <v>803</v>
      </c>
      <c r="W86" s="18">
        <v>10006</v>
      </c>
      <c r="X86" s="18"/>
      <c r="Y86" s="18">
        <v>1200</v>
      </c>
      <c r="Z86" s="18">
        <v>0</v>
      </c>
      <c r="AA86" s="18">
        <v>1091302</v>
      </c>
      <c r="AB86" s="18" t="s">
        <v>4646</v>
      </c>
      <c r="AC86" s="18">
        <v>1013</v>
      </c>
      <c r="AD86" s="18">
        <v>0</v>
      </c>
      <c r="AE86" s="39">
        <v>0</v>
      </c>
      <c r="AF86" s="18">
        <v>0</v>
      </c>
      <c r="AG86" s="18">
        <v>0</v>
      </c>
      <c r="AH86" s="18">
        <v>0</v>
      </c>
      <c r="AI86" s="18">
        <v>0</v>
      </c>
    </row>
    <row r="87" spans="1:35" x14ac:dyDescent="0.2">
      <c r="B87" s="82"/>
      <c r="C87" s="31" t="s">
        <v>3476</v>
      </c>
      <c r="D87" s="11"/>
      <c r="E87" s="18">
        <v>11504</v>
      </c>
      <c r="F87" s="18">
        <v>11305</v>
      </c>
      <c r="G87" s="18">
        <v>0</v>
      </c>
      <c r="H87" s="40" t="s">
        <v>2765</v>
      </c>
      <c r="I87" s="18">
        <v>1</v>
      </c>
      <c r="J87" s="18">
        <v>4</v>
      </c>
      <c r="K87" s="18">
        <v>8</v>
      </c>
      <c r="L87" s="18">
        <v>4</v>
      </c>
      <c r="M87" s="18">
        <v>0</v>
      </c>
      <c r="N87" s="18">
        <v>50</v>
      </c>
      <c r="O87" s="18">
        <v>34</v>
      </c>
      <c r="P87" s="18">
        <v>34</v>
      </c>
      <c r="Q87" s="18">
        <v>171</v>
      </c>
      <c r="R87" s="18">
        <v>0</v>
      </c>
      <c r="S87" s="39" t="s">
        <v>3680</v>
      </c>
      <c r="T87" s="18">
        <v>0</v>
      </c>
      <c r="U87" s="95" t="s">
        <v>85</v>
      </c>
      <c r="V87" s="18">
        <v>803</v>
      </c>
      <c r="W87" s="18">
        <v>10007</v>
      </c>
      <c r="X87" s="18"/>
      <c r="Y87" s="18">
        <v>1500</v>
      </c>
      <c r="Z87" s="18">
        <v>0</v>
      </c>
      <c r="AA87" s="18">
        <v>1091302</v>
      </c>
      <c r="AB87" s="18" t="s">
        <v>4646</v>
      </c>
      <c r="AC87" s="18">
        <v>1013</v>
      </c>
      <c r="AD87" s="18">
        <v>0</v>
      </c>
      <c r="AE87" s="39">
        <v>0</v>
      </c>
      <c r="AF87" s="18">
        <v>0</v>
      </c>
      <c r="AG87" s="18">
        <v>0</v>
      </c>
      <c r="AH87" s="18">
        <v>0</v>
      </c>
      <c r="AI87" s="18">
        <v>0</v>
      </c>
    </row>
    <row r="88" spans="1:35" x14ac:dyDescent="0.2">
      <c r="B88" s="133" t="s">
        <v>34</v>
      </c>
      <c r="C88" s="31" t="s">
        <v>37</v>
      </c>
      <c r="D88" s="11"/>
      <c r="E88" s="18">
        <v>12104</v>
      </c>
      <c r="F88" s="18">
        <v>10066</v>
      </c>
      <c r="G88" s="18">
        <v>0</v>
      </c>
      <c r="H88" s="39" t="s">
        <v>2775</v>
      </c>
      <c r="I88" s="18">
        <v>2</v>
      </c>
      <c r="J88" s="18">
        <v>2</v>
      </c>
      <c r="K88" s="18">
        <v>21</v>
      </c>
      <c r="L88" s="18">
        <v>4</v>
      </c>
      <c r="M88" s="18">
        <v>0</v>
      </c>
      <c r="N88" s="18">
        <v>50</v>
      </c>
      <c r="O88" s="18">
        <v>85</v>
      </c>
      <c r="P88" s="18">
        <v>85</v>
      </c>
      <c r="Q88" s="18">
        <v>429</v>
      </c>
      <c r="R88" s="18">
        <v>0</v>
      </c>
      <c r="S88" s="39" t="s">
        <v>2801</v>
      </c>
      <c r="T88" s="18">
        <v>0</v>
      </c>
      <c r="U88" s="95" t="s">
        <v>85</v>
      </c>
      <c r="V88" s="18">
        <v>2103</v>
      </c>
      <c r="W88" s="18">
        <v>0</v>
      </c>
      <c r="X88" s="18"/>
      <c r="Y88" s="18">
        <v>0</v>
      </c>
      <c r="Z88" s="18">
        <v>0</v>
      </c>
      <c r="AA88" s="18">
        <v>0</v>
      </c>
      <c r="AB88" s="18"/>
      <c r="AC88" s="18">
        <v>1023</v>
      </c>
      <c r="AD88" s="18">
        <v>0</v>
      </c>
      <c r="AE88" s="39">
        <v>0</v>
      </c>
      <c r="AF88" s="18">
        <v>0</v>
      </c>
      <c r="AG88" s="18">
        <v>0</v>
      </c>
      <c r="AH88" s="18">
        <v>0</v>
      </c>
      <c r="AI88" s="18">
        <v>0</v>
      </c>
    </row>
    <row r="89" spans="1:35" x14ac:dyDescent="0.2">
      <c r="B89" s="133"/>
      <c r="C89" s="31" t="s">
        <v>38</v>
      </c>
      <c r="D89" s="11"/>
      <c r="E89" s="18">
        <v>12204</v>
      </c>
      <c r="F89" s="18">
        <v>10067</v>
      </c>
      <c r="G89" s="18">
        <v>0</v>
      </c>
      <c r="H89" s="39" t="s">
        <v>2776</v>
      </c>
      <c r="I89" s="18">
        <v>2</v>
      </c>
      <c r="J89" s="18">
        <v>3</v>
      </c>
      <c r="K89" s="18">
        <v>22</v>
      </c>
      <c r="L89" s="18">
        <v>4</v>
      </c>
      <c r="M89" s="18">
        <v>0</v>
      </c>
      <c r="N89" s="18">
        <v>50</v>
      </c>
      <c r="O89" s="18">
        <v>85</v>
      </c>
      <c r="P89" s="18">
        <v>85</v>
      </c>
      <c r="Q89" s="18">
        <v>429</v>
      </c>
      <c r="R89" s="18">
        <v>0</v>
      </c>
      <c r="S89" s="39" t="s">
        <v>2835</v>
      </c>
      <c r="T89" s="18">
        <v>0</v>
      </c>
      <c r="U89" s="95" t="s">
        <v>85</v>
      </c>
      <c r="V89" s="18">
        <v>2203</v>
      </c>
      <c r="W89" s="18">
        <v>0</v>
      </c>
      <c r="X89" s="18"/>
      <c r="Y89" s="18">
        <v>0</v>
      </c>
      <c r="Z89" s="18">
        <v>0</v>
      </c>
      <c r="AA89" s="18">
        <v>0</v>
      </c>
      <c r="AB89" s="18"/>
      <c r="AC89" s="18">
        <v>1022</v>
      </c>
      <c r="AD89" s="18">
        <v>0</v>
      </c>
      <c r="AE89" s="39">
        <v>0</v>
      </c>
      <c r="AF89" s="18">
        <v>0</v>
      </c>
      <c r="AG89" s="18">
        <v>0</v>
      </c>
      <c r="AH89" s="18">
        <v>0</v>
      </c>
      <c r="AI89" s="18">
        <v>0</v>
      </c>
    </row>
    <row r="90" spans="1:35" x14ac:dyDescent="0.2">
      <c r="B90" s="133"/>
      <c r="C90" s="31" t="s">
        <v>39</v>
      </c>
      <c r="D90" s="11"/>
      <c r="E90" s="18">
        <v>12304</v>
      </c>
      <c r="F90" s="18">
        <v>10068</v>
      </c>
      <c r="G90" s="18">
        <v>0</v>
      </c>
      <c r="H90" s="39" t="s">
        <v>2777</v>
      </c>
      <c r="I90" s="18">
        <v>2</v>
      </c>
      <c r="J90" s="18">
        <v>2</v>
      </c>
      <c r="K90" s="18">
        <v>23</v>
      </c>
      <c r="L90" s="18">
        <v>4</v>
      </c>
      <c r="M90" s="18">
        <v>0</v>
      </c>
      <c r="N90" s="18">
        <v>50</v>
      </c>
      <c r="O90" s="18">
        <v>85</v>
      </c>
      <c r="P90" s="18">
        <v>85</v>
      </c>
      <c r="Q90" s="18">
        <v>429</v>
      </c>
      <c r="R90" s="18">
        <v>0</v>
      </c>
      <c r="S90" s="39" t="s">
        <v>2801</v>
      </c>
      <c r="T90" s="18">
        <v>0</v>
      </c>
      <c r="U90" s="95" t="s">
        <v>85</v>
      </c>
      <c r="V90" s="18">
        <v>2303</v>
      </c>
      <c r="W90" s="18">
        <v>0</v>
      </c>
      <c r="X90" s="18"/>
      <c r="Y90" s="18">
        <v>0</v>
      </c>
      <c r="Z90" s="18">
        <v>0</v>
      </c>
      <c r="AA90" s="18">
        <v>0</v>
      </c>
      <c r="AB90" s="18"/>
      <c r="AC90" s="18">
        <v>1028</v>
      </c>
      <c r="AD90" s="18">
        <v>0</v>
      </c>
      <c r="AE90" s="39">
        <v>0</v>
      </c>
      <c r="AF90" s="18">
        <v>0</v>
      </c>
      <c r="AG90" s="18">
        <v>0</v>
      </c>
      <c r="AH90" s="18">
        <v>0</v>
      </c>
      <c r="AI90" s="18">
        <v>0</v>
      </c>
    </row>
    <row r="91" spans="1:35" x14ac:dyDescent="0.2">
      <c r="B91" s="133"/>
      <c r="C91" s="31" t="s">
        <v>40</v>
      </c>
      <c r="D91" s="11"/>
      <c r="E91" s="18">
        <v>12404</v>
      </c>
      <c r="F91" s="18">
        <v>10069</v>
      </c>
      <c r="G91" s="18">
        <v>0</v>
      </c>
      <c r="H91" s="39" t="s">
        <v>2782</v>
      </c>
      <c r="I91" s="18">
        <v>2</v>
      </c>
      <c r="J91" s="18">
        <v>2</v>
      </c>
      <c r="K91" s="18">
        <v>24</v>
      </c>
      <c r="L91" s="18">
        <v>4</v>
      </c>
      <c r="M91" s="18">
        <v>0</v>
      </c>
      <c r="N91" s="18">
        <v>50</v>
      </c>
      <c r="O91" s="18">
        <v>85</v>
      </c>
      <c r="P91" s="18">
        <v>85</v>
      </c>
      <c r="Q91" s="18">
        <v>429</v>
      </c>
      <c r="R91" s="18">
        <v>0</v>
      </c>
      <c r="S91" s="39" t="s">
        <v>2836</v>
      </c>
      <c r="T91" s="18">
        <v>0</v>
      </c>
      <c r="U91" s="95" t="s">
        <v>85</v>
      </c>
      <c r="V91" s="18">
        <v>2403</v>
      </c>
      <c r="W91" s="18">
        <v>0</v>
      </c>
      <c r="X91" s="18"/>
      <c r="Y91" s="18">
        <v>0</v>
      </c>
      <c r="Z91" s="18">
        <v>0</v>
      </c>
      <c r="AA91" s="18">
        <v>0</v>
      </c>
      <c r="AB91" s="18"/>
      <c r="AC91" s="18">
        <v>1025</v>
      </c>
      <c r="AD91" s="18">
        <v>0</v>
      </c>
      <c r="AE91" s="39">
        <v>0</v>
      </c>
      <c r="AF91" s="18">
        <v>0</v>
      </c>
      <c r="AG91" s="18">
        <v>0</v>
      </c>
      <c r="AH91" s="18">
        <v>0</v>
      </c>
      <c r="AI91" s="18">
        <v>0</v>
      </c>
    </row>
    <row r="92" spans="1:35" x14ac:dyDescent="0.2">
      <c r="B92" s="133"/>
      <c r="C92" s="31" t="s">
        <v>41</v>
      </c>
      <c r="D92" s="11"/>
      <c r="E92" s="18">
        <v>12504</v>
      </c>
      <c r="F92" s="18">
        <v>10070</v>
      </c>
      <c r="G92" s="18">
        <v>0</v>
      </c>
      <c r="H92" s="39" t="s">
        <v>2778</v>
      </c>
      <c r="I92" s="18">
        <v>2</v>
      </c>
      <c r="J92" s="18">
        <v>1</v>
      </c>
      <c r="K92" s="18">
        <v>25</v>
      </c>
      <c r="L92" s="18">
        <v>4</v>
      </c>
      <c r="M92" s="18">
        <v>0</v>
      </c>
      <c r="N92" s="18">
        <v>50</v>
      </c>
      <c r="O92" s="18">
        <v>85</v>
      </c>
      <c r="P92" s="18">
        <v>85</v>
      </c>
      <c r="Q92" s="18">
        <v>429</v>
      </c>
      <c r="R92" s="18">
        <v>0</v>
      </c>
      <c r="S92" s="39" t="s">
        <v>2801</v>
      </c>
      <c r="T92" s="18">
        <v>0</v>
      </c>
      <c r="U92" s="95" t="s">
        <v>85</v>
      </c>
      <c r="V92" s="18">
        <v>2503</v>
      </c>
      <c r="W92" s="18">
        <v>0</v>
      </c>
      <c r="X92" s="18"/>
      <c r="Y92" s="18">
        <v>0</v>
      </c>
      <c r="Z92" s="18">
        <v>0</v>
      </c>
      <c r="AA92" s="18">
        <v>0</v>
      </c>
      <c r="AB92" s="18"/>
      <c r="AC92" s="18">
        <v>1024</v>
      </c>
      <c r="AD92" s="18">
        <v>0</v>
      </c>
      <c r="AE92" s="39">
        <v>0</v>
      </c>
      <c r="AF92" s="18">
        <v>0</v>
      </c>
      <c r="AG92" s="18">
        <v>0</v>
      </c>
      <c r="AH92" s="18">
        <v>0</v>
      </c>
      <c r="AI92" s="18">
        <v>0</v>
      </c>
    </row>
    <row r="93" spans="1:35" x14ac:dyDescent="0.2">
      <c r="B93" s="133" t="s">
        <v>35</v>
      </c>
      <c r="C93" s="31" t="s">
        <v>42</v>
      </c>
      <c r="D93" s="11"/>
      <c r="E93" s="18">
        <v>13104</v>
      </c>
      <c r="F93" s="18">
        <v>10071</v>
      </c>
      <c r="G93" s="18">
        <v>0</v>
      </c>
      <c r="H93" s="39" t="s">
        <v>2779</v>
      </c>
      <c r="I93" s="18">
        <v>1</v>
      </c>
      <c r="J93" s="18">
        <v>1</v>
      </c>
      <c r="K93" s="18">
        <v>31</v>
      </c>
      <c r="L93" s="18">
        <v>4</v>
      </c>
      <c r="M93" s="18">
        <v>0</v>
      </c>
      <c r="N93" s="18">
        <v>50</v>
      </c>
      <c r="O93" s="18">
        <v>50</v>
      </c>
      <c r="P93" s="18">
        <v>50</v>
      </c>
      <c r="Q93" s="18">
        <v>252</v>
      </c>
      <c r="R93" s="18">
        <v>0</v>
      </c>
      <c r="S93" s="39" t="s">
        <v>85</v>
      </c>
      <c r="T93" s="18">
        <v>0</v>
      </c>
      <c r="U93" s="95" t="s">
        <v>85</v>
      </c>
      <c r="V93" s="18">
        <v>3103</v>
      </c>
      <c r="W93" s="18">
        <v>0</v>
      </c>
      <c r="X93" s="18"/>
      <c r="Y93" s="18">
        <v>0</v>
      </c>
      <c r="Z93" s="18">
        <v>0</v>
      </c>
      <c r="AA93" s="18">
        <v>0</v>
      </c>
      <c r="AB93" s="18"/>
      <c r="AC93" s="18">
        <v>1026</v>
      </c>
      <c r="AD93" s="18">
        <v>0</v>
      </c>
      <c r="AE93" s="39">
        <v>0</v>
      </c>
      <c r="AF93" s="18">
        <v>0</v>
      </c>
      <c r="AG93" s="18">
        <v>0</v>
      </c>
      <c r="AH93" s="18">
        <v>0</v>
      </c>
      <c r="AI93" s="18">
        <v>0</v>
      </c>
    </row>
    <row r="94" spans="1:35" x14ac:dyDescent="0.2">
      <c r="B94" s="133"/>
      <c r="C94" s="31" t="s">
        <v>43</v>
      </c>
      <c r="D94" s="11"/>
      <c r="E94" s="18">
        <v>13204</v>
      </c>
      <c r="F94" s="18">
        <v>10072</v>
      </c>
      <c r="G94" s="18">
        <v>0</v>
      </c>
      <c r="H94" s="39" t="s">
        <v>2780</v>
      </c>
      <c r="I94" s="18">
        <v>1</v>
      </c>
      <c r="J94" s="18">
        <v>1</v>
      </c>
      <c r="K94" s="18">
        <v>32</v>
      </c>
      <c r="L94" s="18">
        <v>4</v>
      </c>
      <c r="M94" s="18">
        <v>0</v>
      </c>
      <c r="N94" s="18">
        <v>50</v>
      </c>
      <c r="O94" s="18">
        <v>100</v>
      </c>
      <c r="P94" s="18">
        <v>100</v>
      </c>
      <c r="Q94" s="18">
        <v>505</v>
      </c>
      <c r="R94" s="18">
        <v>0</v>
      </c>
      <c r="S94" s="39" t="s">
        <v>85</v>
      </c>
      <c r="T94" s="18">
        <v>0</v>
      </c>
      <c r="U94" s="95" t="s">
        <v>85</v>
      </c>
      <c r="V94" s="18">
        <v>3203</v>
      </c>
      <c r="W94" s="18">
        <v>0</v>
      </c>
      <c r="X94" s="18"/>
      <c r="Y94" s="18">
        <v>0</v>
      </c>
      <c r="Z94" s="18">
        <v>0</v>
      </c>
      <c r="AA94" s="18">
        <v>0</v>
      </c>
      <c r="AB94" s="18"/>
      <c r="AC94" s="18">
        <v>1027</v>
      </c>
      <c r="AD94" s="18">
        <v>0</v>
      </c>
      <c r="AE94" s="39">
        <v>0</v>
      </c>
      <c r="AF94" s="18">
        <v>0</v>
      </c>
      <c r="AG94" s="18">
        <v>0</v>
      </c>
      <c r="AH94" s="18">
        <v>0</v>
      </c>
      <c r="AI94" s="18">
        <v>0</v>
      </c>
    </row>
    <row r="95" spans="1:35" x14ac:dyDescent="0.2">
      <c r="A95">
        <v>0</v>
      </c>
      <c r="B95" t="s">
        <v>106</v>
      </c>
      <c r="C95" t="s">
        <v>2709</v>
      </c>
      <c r="E95" s="18">
        <v>14694</v>
      </c>
      <c r="F95" s="18">
        <v>11501</v>
      </c>
      <c r="G95" s="18">
        <v>12501</v>
      </c>
      <c r="H95" s="18">
        <v>10915</v>
      </c>
      <c r="I95" s="18">
        <v>1</v>
      </c>
      <c r="J95" s="18">
        <v>4</v>
      </c>
      <c r="K95" s="18">
        <v>8</v>
      </c>
      <c r="L95" s="18">
        <v>5</v>
      </c>
      <c r="M95" s="18">
        <v>0</v>
      </c>
      <c r="N95" s="18">
        <v>300</v>
      </c>
      <c r="O95" s="18">
        <v>10</v>
      </c>
      <c r="P95" s="18">
        <v>0</v>
      </c>
      <c r="Q95" s="18">
        <v>0</v>
      </c>
      <c r="R95" s="18">
        <v>0</v>
      </c>
      <c r="S95" s="39" t="s">
        <v>3664</v>
      </c>
      <c r="T95" s="39">
        <v>14194</v>
      </c>
      <c r="U95" s="95" t="s">
        <v>4133</v>
      </c>
      <c r="V95" s="39">
        <v>101</v>
      </c>
      <c r="W95" s="18">
        <v>10001</v>
      </c>
      <c r="X95" s="18"/>
      <c r="Y95" s="18">
        <v>1500</v>
      </c>
      <c r="Z95" s="18">
        <v>0</v>
      </c>
      <c r="AA95" s="18">
        <v>1091302</v>
      </c>
      <c r="AB95" s="18" t="s">
        <v>4646</v>
      </c>
      <c r="AC95" s="18">
        <v>1013</v>
      </c>
      <c r="AD95" s="18">
        <v>0</v>
      </c>
      <c r="AE95" s="18">
        <v>0</v>
      </c>
      <c r="AF95" s="18">
        <v>5</v>
      </c>
      <c r="AG95" s="18">
        <v>0</v>
      </c>
      <c r="AH95" s="18">
        <v>0</v>
      </c>
      <c r="AI95" s="18">
        <v>0</v>
      </c>
    </row>
    <row r="96" spans="1:35" s="96" customFormat="1" x14ac:dyDescent="0.2">
      <c r="A96" s="96">
        <v>0</v>
      </c>
      <c r="B96" s="96" t="s">
        <v>107</v>
      </c>
      <c r="C96" s="96" t="s">
        <v>108</v>
      </c>
      <c r="D96" s="96" t="s">
        <v>3615</v>
      </c>
      <c r="E96" s="98">
        <v>14695</v>
      </c>
      <c r="F96" s="98">
        <v>11502</v>
      </c>
      <c r="G96" s="98">
        <v>12502</v>
      </c>
      <c r="H96" s="98">
        <v>10918</v>
      </c>
      <c r="I96" s="98">
        <v>1</v>
      </c>
      <c r="J96" s="98">
        <v>4</v>
      </c>
      <c r="K96" s="98">
        <v>8</v>
      </c>
      <c r="L96" s="98">
        <v>5</v>
      </c>
      <c r="M96" s="18">
        <v>0</v>
      </c>
      <c r="N96" s="98">
        <v>300</v>
      </c>
      <c r="O96" s="98">
        <v>0</v>
      </c>
      <c r="P96" s="98">
        <v>0</v>
      </c>
      <c r="Q96" s="98">
        <v>0</v>
      </c>
      <c r="R96" s="98">
        <v>0</v>
      </c>
      <c r="S96" s="99" t="s">
        <v>3664</v>
      </c>
      <c r="T96" s="99">
        <v>14195</v>
      </c>
      <c r="U96" s="116" t="s">
        <v>4134</v>
      </c>
      <c r="V96" s="99">
        <v>101</v>
      </c>
      <c r="W96" s="98">
        <v>10001</v>
      </c>
      <c r="X96" s="98"/>
      <c r="Y96" s="98">
        <v>1500</v>
      </c>
      <c r="Z96" s="98">
        <v>0</v>
      </c>
      <c r="AA96" s="98">
        <v>1091302</v>
      </c>
      <c r="AB96" s="18" t="s">
        <v>4646</v>
      </c>
      <c r="AC96" s="98">
        <v>1013</v>
      </c>
      <c r="AD96" s="98">
        <v>0</v>
      </c>
      <c r="AE96" s="98">
        <v>0</v>
      </c>
      <c r="AF96" s="18">
        <v>0</v>
      </c>
      <c r="AG96" s="98">
        <v>0</v>
      </c>
      <c r="AH96" s="98">
        <v>1</v>
      </c>
      <c r="AI96" s="18">
        <v>0</v>
      </c>
    </row>
    <row r="97" spans="1:35" x14ac:dyDescent="0.2">
      <c r="A97">
        <v>1</v>
      </c>
      <c r="B97" t="s">
        <v>3949</v>
      </c>
      <c r="C97" t="s">
        <v>110</v>
      </c>
      <c r="E97" s="18">
        <v>14696</v>
      </c>
      <c r="F97" s="18">
        <v>11503</v>
      </c>
      <c r="G97" s="18">
        <v>12503</v>
      </c>
      <c r="H97" s="18">
        <v>10902</v>
      </c>
      <c r="I97" s="18">
        <v>1</v>
      </c>
      <c r="J97" s="18">
        <v>4</v>
      </c>
      <c r="K97" s="18">
        <v>8</v>
      </c>
      <c r="L97" s="18">
        <v>5</v>
      </c>
      <c r="M97" s="18">
        <v>0</v>
      </c>
      <c r="N97" s="18">
        <v>300</v>
      </c>
      <c r="O97" s="18">
        <v>10</v>
      </c>
      <c r="P97" s="18">
        <v>3</v>
      </c>
      <c r="Q97" s="18">
        <v>3</v>
      </c>
      <c r="R97" s="18">
        <v>0</v>
      </c>
      <c r="S97" s="39" t="s">
        <v>3664</v>
      </c>
      <c r="T97" s="39">
        <v>14196</v>
      </c>
      <c r="U97" s="95" t="s">
        <v>3590</v>
      </c>
      <c r="V97" s="39">
        <v>101</v>
      </c>
      <c r="W97" s="18">
        <v>10004</v>
      </c>
      <c r="X97" s="18"/>
      <c r="Y97" s="18">
        <v>1500</v>
      </c>
      <c r="Z97" s="18">
        <v>0</v>
      </c>
      <c r="AA97" s="18">
        <v>1091302</v>
      </c>
      <c r="AB97" s="18" t="s">
        <v>4646</v>
      </c>
      <c r="AC97" s="18">
        <v>1013</v>
      </c>
      <c r="AD97" s="18">
        <v>0</v>
      </c>
      <c r="AE97" s="18">
        <v>0</v>
      </c>
      <c r="AF97" s="18">
        <v>1</v>
      </c>
      <c r="AG97" s="18">
        <v>0</v>
      </c>
      <c r="AH97" s="18">
        <v>0</v>
      </c>
      <c r="AI97" s="18">
        <v>0</v>
      </c>
    </row>
    <row r="98" spans="1:35" x14ac:dyDescent="0.2">
      <c r="A98">
        <v>0</v>
      </c>
      <c r="B98" t="s">
        <v>111</v>
      </c>
      <c r="C98" t="s">
        <v>112</v>
      </c>
      <c r="E98" s="18">
        <v>14697</v>
      </c>
      <c r="F98" s="18">
        <v>11504</v>
      </c>
      <c r="G98" s="18">
        <v>12504</v>
      </c>
      <c r="H98" s="18">
        <v>10908</v>
      </c>
      <c r="I98" s="18">
        <v>1</v>
      </c>
      <c r="J98" s="18">
        <v>4</v>
      </c>
      <c r="K98" s="18">
        <v>8</v>
      </c>
      <c r="L98" s="18">
        <v>5</v>
      </c>
      <c r="M98" s="18">
        <v>0</v>
      </c>
      <c r="N98" s="18">
        <v>300</v>
      </c>
      <c r="O98" s="18">
        <v>10</v>
      </c>
      <c r="P98" s="18">
        <v>0</v>
      </c>
      <c r="Q98" s="18">
        <v>0</v>
      </c>
      <c r="R98" s="18">
        <v>0</v>
      </c>
      <c r="S98" s="39" t="s">
        <v>3664</v>
      </c>
      <c r="T98" s="39">
        <v>14197</v>
      </c>
      <c r="U98" s="95" t="s">
        <v>3591</v>
      </c>
      <c r="V98" s="39">
        <v>101</v>
      </c>
      <c r="W98" s="18">
        <v>10007</v>
      </c>
      <c r="X98" s="18"/>
      <c r="Y98" s="18">
        <v>1500</v>
      </c>
      <c r="Z98" s="18">
        <v>0</v>
      </c>
      <c r="AA98" s="18">
        <v>1091302</v>
      </c>
      <c r="AB98" s="18" t="s">
        <v>4646</v>
      </c>
      <c r="AC98" s="18">
        <v>1013</v>
      </c>
      <c r="AD98" s="18">
        <v>0</v>
      </c>
      <c r="AE98" s="18">
        <v>0</v>
      </c>
      <c r="AF98" s="18">
        <v>3</v>
      </c>
      <c r="AG98" s="18">
        <v>0</v>
      </c>
      <c r="AH98" s="18">
        <v>0</v>
      </c>
      <c r="AI98" s="18">
        <v>0</v>
      </c>
    </row>
    <row r="99" spans="1:35" s="96" customFormat="1" x14ac:dyDescent="0.2">
      <c r="A99" s="96">
        <v>0</v>
      </c>
      <c r="B99" s="96" t="s">
        <v>3950</v>
      </c>
      <c r="C99" s="96" t="s">
        <v>114</v>
      </c>
      <c r="D99" s="96" t="s">
        <v>3615</v>
      </c>
      <c r="E99" s="98">
        <v>14698</v>
      </c>
      <c r="F99" s="98">
        <v>11505</v>
      </c>
      <c r="G99" s="98">
        <v>12505</v>
      </c>
      <c r="H99" s="98">
        <v>10911</v>
      </c>
      <c r="I99" s="98">
        <v>1</v>
      </c>
      <c r="J99" s="98">
        <v>4</v>
      </c>
      <c r="K99" s="98">
        <v>8</v>
      </c>
      <c r="L99" s="98">
        <v>5</v>
      </c>
      <c r="M99" s="18">
        <v>0</v>
      </c>
      <c r="N99" s="98">
        <v>300</v>
      </c>
      <c r="O99" s="98">
        <v>0</v>
      </c>
      <c r="P99" s="98">
        <v>0</v>
      </c>
      <c r="Q99" s="98">
        <v>0</v>
      </c>
      <c r="R99" s="98">
        <v>0</v>
      </c>
      <c r="S99" s="99" t="s">
        <v>3664</v>
      </c>
      <c r="T99" s="99">
        <v>14198</v>
      </c>
      <c r="U99" s="116" t="s">
        <v>3592</v>
      </c>
      <c r="V99" s="99">
        <v>101</v>
      </c>
      <c r="W99" s="98">
        <v>10006</v>
      </c>
      <c r="X99" s="98"/>
      <c r="Y99" s="98">
        <v>1200</v>
      </c>
      <c r="Z99" s="98">
        <v>0</v>
      </c>
      <c r="AA99" s="98">
        <v>1091302</v>
      </c>
      <c r="AB99" s="18" t="s">
        <v>4646</v>
      </c>
      <c r="AC99" s="98">
        <v>1013</v>
      </c>
      <c r="AD99" s="98">
        <v>0</v>
      </c>
      <c r="AE99" s="98">
        <v>0</v>
      </c>
      <c r="AF99" s="18">
        <v>0</v>
      </c>
      <c r="AG99" s="98">
        <v>0</v>
      </c>
      <c r="AH99" s="98">
        <v>1</v>
      </c>
      <c r="AI99" s="18">
        <v>0</v>
      </c>
    </row>
    <row r="100" spans="1:35" x14ac:dyDescent="0.2">
      <c r="A100">
        <v>0</v>
      </c>
      <c r="B100" t="s">
        <v>115</v>
      </c>
      <c r="C100" t="s">
        <v>116</v>
      </c>
      <c r="E100" s="18">
        <v>14699</v>
      </c>
      <c r="F100" s="18">
        <v>11506</v>
      </c>
      <c r="G100" s="18">
        <v>12506</v>
      </c>
      <c r="H100" s="18">
        <v>10910</v>
      </c>
      <c r="I100" s="18">
        <v>1</v>
      </c>
      <c r="J100" s="18">
        <v>4</v>
      </c>
      <c r="K100" s="18">
        <v>8</v>
      </c>
      <c r="L100" s="18">
        <v>5</v>
      </c>
      <c r="M100" s="18">
        <v>0</v>
      </c>
      <c r="N100" s="18">
        <v>300</v>
      </c>
      <c r="O100" s="18">
        <v>10</v>
      </c>
      <c r="P100" s="18">
        <v>0</v>
      </c>
      <c r="Q100" s="18">
        <v>0</v>
      </c>
      <c r="R100" s="18">
        <v>0</v>
      </c>
      <c r="S100" s="39" t="s">
        <v>3664</v>
      </c>
      <c r="T100" s="39">
        <v>14199</v>
      </c>
      <c r="U100" s="95" t="s">
        <v>3593</v>
      </c>
      <c r="V100" s="39">
        <v>101</v>
      </c>
      <c r="W100" s="18">
        <v>10006</v>
      </c>
      <c r="X100" s="18"/>
      <c r="Y100" s="18">
        <v>1200</v>
      </c>
      <c r="Z100" s="18">
        <v>0</v>
      </c>
      <c r="AA100" s="18">
        <v>1091302</v>
      </c>
      <c r="AB100" s="18" t="s">
        <v>4646</v>
      </c>
      <c r="AC100" s="18">
        <v>1013</v>
      </c>
      <c r="AD100" s="18">
        <v>0</v>
      </c>
      <c r="AE100" s="18">
        <v>0</v>
      </c>
      <c r="AF100" s="18">
        <v>3</v>
      </c>
      <c r="AG100" s="18">
        <v>0</v>
      </c>
      <c r="AH100" s="18">
        <v>0</v>
      </c>
      <c r="AI100" s="18">
        <v>0</v>
      </c>
    </row>
    <row r="101" spans="1:35" x14ac:dyDescent="0.2">
      <c r="A101">
        <v>1</v>
      </c>
      <c r="B101" t="s">
        <v>3951</v>
      </c>
      <c r="C101" t="s">
        <v>118</v>
      </c>
      <c r="E101" s="18">
        <v>14700</v>
      </c>
      <c r="F101" s="18">
        <v>11507</v>
      </c>
      <c r="G101" s="18">
        <v>12507</v>
      </c>
      <c r="H101" s="18">
        <v>10901</v>
      </c>
      <c r="I101" s="18">
        <v>1</v>
      </c>
      <c r="J101" s="18">
        <v>4</v>
      </c>
      <c r="K101" s="18">
        <v>8</v>
      </c>
      <c r="L101" s="18">
        <v>5</v>
      </c>
      <c r="M101" s="18">
        <v>0</v>
      </c>
      <c r="N101" s="18">
        <v>300</v>
      </c>
      <c r="O101" s="18">
        <v>10</v>
      </c>
      <c r="P101" s="18">
        <v>3</v>
      </c>
      <c r="Q101" s="18">
        <v>3</v>
      </c>
      <c r="R101" s="18">
        <v>0</v>
      </c>
      <c r="S101" s="39" t="s">
        <v>3664</v>
      </c>
      <c r="T101" s="39">
        <v>14200</v>
      </c>
      <c r="U101" s="95" t="s">
        <v>3610</v>
      </c>
      <c r="V101" s="39">
        <v>101</v>
      </c>
      <c r="W101" s="18">
        <v>10004</v>
      </c>
      <c r="X101" s="18"/>
      <c r="Y101" s="18">
        <v>1500</v>
      </c>
      <c r="Z101" s="18">
        <v>0</v>
      </c>
      <c r="AA101" s="18">
        <v>1091302</v>
      </c>
      <c r="AB101" s="18" t="s">
        <v>4646</v>
      </c>
      <c r="AC101" s="18">
        <v>1013</v>
      </c>
      <c r="AD101" s="18">
        <v>0</v>
      </c>
      <c r="AE101" s="18">
        <v>0</v>
      </c>
      <c r="AF101" s="18">
        <v>1</v>
      </c>
      <c r="AG101" s="18">
        <v>0</v>
      </c>
      <c r="AH101" s="18">
        <v>0</v>
      </c>
      <c r="AI101" s="18">
        <v>0</v>
      </c>
    </row>
    <row r="102" spans="1:35" x14ac:dyDescent="0.2">
      <c r="A102">
        <v>0</v>
      </c>
      <c r="B102" t="s">
        <v>3952</v>
      </c>
      <c r="C102" t="s">
        <v>120</v>
      </c>
      <c r="E102" s="18">
        <v>14701</v>
      </c>
      <c r="F102" s="18">
        <v>11508</v>
      </c>
      <c r="G102" s="18">
        <v>12508</v>
      </c>
      <c r="H102" s="18">
        <v>10105</v>
      </c>
      <c r="I102" s="18">
        <v>1</v>
      </c>
      <c r="J102" s="18">
        <v>3</v>
      </c>
      <c r="K102" s="18">
        <v>1</v>
      </c>
      <c r="L102" s="18">
        <v>5</v>
      </c>
      <c r="M102" s="18">
        <v>0</v>
      </c>
      <c r="N102" s="18">
        <v>300</v>
      </c>
      <c r="O102" s="18">
        <v>10</v>
      </c>
      <c r="P102" s="18">
        <v>0</v>
      </c>
      <c r="Q102" s="18">
        <v>0</v>
      </c>
      <c r="R102" s="18">
        <v>0</v>
      </c>
      <c r="S102" s="39" t="s">
        <v>3665</v>
      </c>
      <c r="T102" s="39">
        <v>14201</v>
      </c>
      <c r="U102" s="95" t="s">
        <v>3594</v>
      </c>
      <c r="V102" s="39">
        <v>101</v>
      </c>
      <c r="W102" s="18">
        <v>10049</v>
      </c>
      <c r="X102" s="18">
        <v>0</v>
      </c>
      <c r="Y102" s="18">
        <v>900</v>
      </c>
      <c r="Z102" s="18">
        <v>0</v>
      </c>
      <c r="AA102" s="18">
        <v>1090101</v>
      </c>
      <c r="AB102" s="18" t="s">
        <v>4643</v>
      </c>
      <c r="AC102" s="18">
        <v>1001</v>
      </c>
      <c r="AD102" s="18">
        <v>0</v>
      </c>
      <c r="AE102" s="18">
        <v>0</v>
      </c>
      <c r="AF102" s="18">
        <v>4</v>
      </c>
      <c r="AG102" s="18">
        <v>0</v>
      </c>
      <c r="AH102" s="18">
        <v>0</v>
      </c>
      <c r="AI102" s="18">
        <v>0</v>
      </c>
    </row>
    <row r="103" spans="1:35" x14ac:dyDescent="0.2">
      <c r="A103">
        <v>1</v>
      </c>
      <c r="B103" t="s">
        <v>121</v>
      </c>
      <c r="C103" t="s">
        <v>2710</v>
      </c>
      <c r="E103" s="18">
        <v>14702</v>
      </c>
      <c r="F103" s="18">
        <v>11509</v>
      </c>
      <c r="G103" s="18">
        <v>12509</v>
      </c>
      <c r="H103" s="18">
        <v>10102</v>
      </c>
      <c r="I103" s="18">
        <v>1</v>
      </c>
      <c r="J103" s="18">
        <v>3</v>
      </c>
      <c r="K103" s="18">
        <v>1</v>
      </c>
      <c r="L103" s="18">
        <v>5</v>
      </c>
      <c r="M103" s="18">
        <v>0</v>
      </c>
      <c r="N103" s="18">
        <v>300</v>
      </c>
      <c r="O103" s="18">
        <v>10</v>
      </c>
      <c r="P103" s="18">
        <v>0</v>
      </c>
      <c r="Q103" s="18">
        <v>0</v>
      </c>
      <c r="R103" s="18">
        <v>0</v>
      </c>
      <c r="S103" s="39" t="s">
        <v>3665</v>
      </c>
      <c r="T103" s="39" t="s">
        <v>2804</v>
      </c>
      <c r="U103" s="95" t="s">
        <v>4085</v>
      </c>
      <c r="V103" s="39">
        <v>101</v>
      </c>
      <c r="W103" s="18">
        <v>10049</v>
      </c>
      <c r="X103" s="18">
        <v>0</v>
      </c>
      <c r="Y103" s="18">
        <v>900</v>
      </c>
      <c r="Z103" s="18">
        <v>0</v>
      </c>
      <c r="AA103" s="18">
        <v>1090101</v>
      </c>
      <c r="AB103" s="18" t="s">
        <v>4643</v>
      </c>
      <c r="AC103" s="18">
        <v>1001</v>
      </c>
      <c r="AD103" s="18">
        <v>0</v>
      </c>
      <c r="AE103" s="18">
        <v>0</v>
      </c>
      <c r="AF103" s="18">
        <v>1</v>
      </c>
      <c r="AG103" s="18">
        <v>0</v>
      </c>
      <c r="AH103" s="18">
        <v>0</v>
      </c>
      <c r="AI103" s="18">
        <v>0</v>
      </c>
    </row>
    <row r="104" spans="1:35" x14ac:dyDescent="0.2">
      <c r="A104">
        <v>0</v>
      </c>
      <c r="B104" t="s">
        <v>3953</v>
      </c>
      <c r="C104" t="s">
        <v>123</v>
      </c>
      <c r="E104" s="18">
        <v>14703</v>
      </c>
      <c r="F104" s="18">
        <v>11510</v>
      </c>
      <c r="G104" s="18">
        <v>12510</v>
      </c>
      <c r="H104" s="18">
        <v>10107</v>
      </c>
      <c r="I104" s="18">
        <v>1</v>
      </c>
      <c r="J104" s="18">
        <v>3</v>
      </c>
      <c r="K104" s="18">
        <v>1</v>
      </c>
      <c r="L104" s="18">
        <v>5</v>
      </c>
      <c r="M104" s="18">
        <v>0</v>
      </c>
      <c r="N104" s="18">
        <v>300</v>
      </c>
      <c r="O104" s="18">
        <v>10</v>
      </c>
      <c r="P104" s="18">
        <v>0</v>
      </c>
      <c r="Q104" s="18">
        <v>0</v>
      </c>
      <c r="R104" s="18">
        <v>0</v>
      </c>
      <c r="S104" s="39" t="s">
        <v>3665</v>
      </c>
      <c r="T104" s="39">
        <v>14203</v>
      </c>
      <c r="U104" s="95" t="s">
        <v>4168</v>
      </c>
      <c r="V104" s="39">
        <v>101</v>
      </c>
      <c r="W104" s="18">
        <v>10049</v>
      </c>
      <c r="X104" s="18">
        <v>0</v>
      </c>
      <c r="Y104" s="18">
        <v>900</v>
      </c>
      <c r="Z104" s="18">
        <v>0</v>
      </c>
      <c r="AA104" s="18">
        <v>1090101</v>
      </c>
      <c r="AB104" s="18" t="s">
        <v>4643</v>
      </c>
      <c r="AC104" s="18">
        <v>1001</v>
      </c>
      <c r="AD104" s="18">
        <v>0</v>
      </c>
      <c r="AE104" s="18">
        <v>0</v>
      </c>
      <c r="AF104" s="18">
        <v>6</v>
      </c>
      <c r="AG104" s="18">
        <v>0</v>
      </c>
      <c r="AH104" s="18">
        <v>0</v>
      </c>
      <c r="AI104" s="18">
        <v>0</v>
      </c>
    </row>
    <row r="105" spans="1:35" x14ac:dyDescent="0.2">
      <c r="A105">
        <v>1</v>
      </c>
      <c r="B105" t="s">
        <v>3954</v>
      </c>
      <c r="C105" t="s">
        <v>125</v>
      </c>
      <c r="E105" s="18">
        <v>14704</v>
      </c>
      <c r="F105" s="18">
        <v>11511</v>
      </c>
      <c r="G105" s="18">
        <v>12511</v>
      </c>
      <c r="H105" s="18">
        <v>10101</v>
      </c>
      <c r="I105" s="18">
        <v>1</v>
      </c>
      <c r="J105" s="18">
        <v>3</v>
      </c>
      <c r="K105" s="18">
        <v>1</v>
      </c>
      <c r="L105" s="18">
        <v>5</v>
      </c>
      <c r="M105" s="18">
        <v>0</v>
      </c>
      <c r="N105" s="18">
        <v>300</v>
      </c>
      <c r="O105" s="18">
        <v>10</v>
      </c>
      <c r="P105" s="18">
        <v>3</v>
      </c>
      <c r="Q105" s="18">
        <v>3</v>
      </c>
      <c r="R105" s="18">
        <v>0</v>
      </c>
      <c r="S105" s="39" t="s">
        <v>3665</v>
      </c>
      <c r="T105" s="39" t="s">
        <v>2839</v>
      </c>
      <c r="U105" s="95" t="s">
        <v>3595</v>
      </c>
      <c r="V105" s="39">
        <v>101</v>
      </c>
      <c r="W105" s="18">
        <v>10049</v>
      </c>
      <c r="X105" s="18">
        <v>0</v>
      </c>
      <c r="Y105" s="18">
        <v>900</v>
      </c>
      <c r="Z105" s="18">
        <v>0</v>
      </c>
      <c r="AA105" s="18">
        <v>1090101</v>
      </c>
      <c r="AB105" s="18" t="s">
        <v>4643</v>
      </c>
      <c r="AC105" s="18">
        <v>1001</v>
      </c>
      <c r="AD105" s="18">
        <v>0</v>
      </c>
      <c r="AE105" s="18">
        <v>0</v>
      </c>
      <c r="AF105" s="18">
        <v>6</v>
      </c>
      <c r="AG105" s="18">
        <v>0</v>
      </c>
      <c r="AH105" s="18">
        <v>0</v>
      </c>
      <c r="AI105" s="18">
        <v>0</v>
      </c>
    </row>
    <row r="106" spans="1:35" x14ac:dyDescent="0.2">
      <c r="A106">
        <v>0</v>
      </c>
      <c r="B106" t="s">
        <v>3955</v>
      </c>
      <c r="C106" t="s">
        <v>127</v>
      </c>
      <c r="E106" s="18">
        <v>14705</v>
      </c>
      <c r="F106" s="18">
        <v>11512</v>
      </c>
      <c r="G106" s="18">
        <v>12512</v>
      </c>
      <c r="H106" s="18">
        <v>10115</v>
      </c>
      <c r="I106" s="18">
        <v>1</v>
      </c>
      <c r="J106" s="18">
        <v>3</v>
      </c>
      <c r="K106" s="18">
        <v>1</v>
      </c>
      <c r="L106" s="18">
        <v>5</v>
      </c>
      <c r="M106" s="18">
        <v>0</v>
      </c>
      <c r="N106" s="18">
        <v>300</v>
      </c>
      <c r="O106" s="18">
        <v>10</v>
      </c>
      <c r="P106" s="18">
        <v>0</v>
      </c>
      <c r="Q106" s="18">
        <v>0</v>
      </c>
      <c r="R106" s="18">
        <v>0</v>
      </c>
      <c r="S106" s="39" t="s">
        <v>3665</v>
      </c>
      <c r="T106" s="39">
        <v>14205</v>
      </c>
      <c r="U106" s="95" t="s">
        <v>3596</v>
      </c>
      <c r="V106" s="39">
        <v>101</v>
      </c>
      <c r="W106" s="18">
        <v>10049</v>
      </c>
      <c r="X106" s="18">
        <v>0</v>
      </c>
      <c r="Y106" s="18">
        <v>900</v>
      </c>
      <c r="Z106" s="18">
        <v>0</v>
      </c>
      <c r="AA106" s="18">
        <v>1090101</v>
      </c>
      <c r="AB106" s="18" t="s">
        <v>4643</v>
      </c>
      <c r="AC106" s="18">
        <v>1001</v>
      </c>
      <c r="AD106" s="18">
        <v>0</v>
      </c>
      <c r="AE106" s="18">
        <v>0</v>
      </c>
      <c r="AF106" s="18">
        <v>2</v>
      </c>
      <c r="AG106" s="18">
        <v>0</v>
      </c>
      <c r="AH106" s="18">
        <v>0</v>
      </c>
      <c r="AI106" s="18">
        <v>0</v>
      </c>
    </row>
    <row r="107" spans="1:35" x14ac:dyDescent="0.2">
      <c r="A107" t="s">
        <v>4092</v>
      </c>
      <c r="B107" t="s">
        <v>128</v>
      </c>
      <c r="C107" t="s">
        <v>129</v>
      </c>
      <c r="E107" s="18">
        <v>14706</v>
      </c>
      <c r="F107" s="18">
        <v>11513</v>
      </c>
      <c r="G107" s="18">
        <v>12513</v>
      </c>
      <c r="H107" s="18">
        <v>10706</v>
      </c>
      <c r="I107" s="18">
        <v>1</v>
      </c>
      <c r="J107" s="18">
        <v>3</v>
      </c>
      <c r="K107" s="18">
        <v>4</v>
      </c>
      <c r="L107" s="18">
        <v>5</v>
      </c>
      <c r="M107" s="18">
        <v>0</v>
      </c>
      <c r="N107" s="18">
        <v>300</v>
      </c>
      <c r="O107" s="18">
        <v>10</v>
      </c>
      <c r="P107" s="18">
        <v>0</v>
      </c>
      <c r="Q107" s="18">
        <v>0</v>
      </c>
      <c r="R107" s="18">
        <v>0</v>
      </c>
      <c r="S107" s="39" t="s">
        <v>3666</v>
      </c>
      <c r="T107" s="39" t="s">
        <v>4119</v>
      </c>
      <c r="U107" s="95" t="s">
        <v>4120</v>
      </c>
      <c r="V107" s="39">
        <v>101</v>
      </c>
      <c r="W107" s="18">
        <v>10024</v>
      </c>
      <c r="X107" s="18">
        <v>0</v>
      </c>
      <c r="Y107" s="18">
        <v>800</v>
      </c>
      <c r="Z107" s="18">
        <v>0</v>
      </c>
      <c r="AA107" s="18">
        <v>1090501</v>
      </c>
      <c r="AB107" s="18" t="s">
        <v>4644</v>
      </c>
      <c r="AC107" s="18">
        <v>1001</v>
      </c>
      <c r="AD107" s="18">
        <v>0</v>
      </c>
      <c r="AE107" s="18">
        <v>0</v>
      </c>
      <c r="AF107" s="18">
        <v>6</v>
      </c>
      <c r="AG107" s="18">
        <v>0</v>
      </c>
      <c r="AH107" s="18">
        <v>0</v>
      </c>
      <c r="AI107" s="18">
        <v>0</v>
      </c>
    </row>
    <row r="108" spans="1:35" x14ac:dyDescent="0.2">
      <c r="A108">
        <v>0</v>
      </c>
      <c r="B108" t="s">
        <v>130</v>
      </c>
      <c r="C108" t="s">
        <v>131</v>
      </c>
      <c r="E108" s="18">
        <v>14707</v>
      </c>
      <c r="F108" s="18">
        <v>11514</v>
      </c>
      <c r="G108" s="18">
        <v>12514</v>
      </c>
      <c r="H108" s="18">
        <v>10701</v>
      </c>
      <c r="I108" s="18">
        <v>1</v>
      </c>
      <c r="J108" s="18">
        <v>3</v>
      </c>
      <c r="K108" s="18">
        <v>4</v>
      </c>
      <c r="L108" s="18">
        <v>5</v>
      </c>
      <c r="M108" s="18">
        <v>0</v>
      </c>
      <c r="N108" s="18">
        <v>300</v>
      </c>
      <c r="O108" s="18">
        <v>10</v>
      </c>
      <c r="P108" s="18">
        <v>0</v>
      </c>
      <c r="Q108" s="18">
        <v>0</v>
      </c>
      <c r="R108" s="18">
        <v>0</v>
      </c>
      <c r="S108" s="39" t="s">
        <v>3666</v>
      </c>
      <c r="T108" s="39">
        <v>14207</v>
      </c>
      <c r="U108" s="95" t="s">
        <v>3931</v>
      </c>
      <c r="V108" s="39">
        <v>101</v>
      </c>
      <c r="W108" s="18">
        <v>10024</v>
      </c>
      <c r="X108" s="18">
        <v>0</v>
      </c>
      <c r="Y108" s="18">
        <v>800</v>
      </c>
      <c r="Z108" s="18">
        <v>0</v>
      </c>
      <c r="AA108" s="18">
        <v>1090501</v>
      </c>
      <c r="AB108" s="18" t="s">
        <v>4644</v>
      </c>
      <c r="AC108" s="18">
        <v>1001</v>
      </c>
      <c r="AD108" s="18">
        <v>0</v>
      </c>
      <c r="AE108" s="18">
        <v>0</v>
      </c>
      <c r="AF108" s="18">
        <v>6</v>
      </c>
      <c r="AG108" s="18">
        <v>0</v>
      </c>
      <c r="AH108" s="18">
        <v>0</v>
      </c>
      <c r="AI108" s="18">
        <v>0</v>
      </c>
    </row>
    <row r="109" spans="1:35" x14ac:dyDescent="0.2">
      <c r="A109">
        <v>0</v>
      </c>
      <c r="B109" t="s">
        <v>3956</v>
      </c>
      <c r="C109" t="s">
        <v>133</v>
      </c>
      <c r="E109" s="18">
        <v>14708</v>
      </c>
      <c r="F109" s="18">
        <v>11515</v>
      </c>
      <c r="G109" s="18">
        <v>12515</v>
      </c>
      <c r="H109" s="18">
        <v>10704</v>
      </c>
      <c r="I109" s="18">
        <v>1</v>
      </c>
      <c r="J109" s="18">
        <v>3</v>
      </c>
      <c r="K109" s="18">
        <v>4</v>
      </c>
      <c r="L109" s="18">
        <v>5</v>
      </c>
      <c r="M109" s="18">
        <v>0</v>
      </c>
      <c r="N109" s="18">
        <v>300</v>
      </c>
      <c r="O109" s="18">
        <v>10</v>
      </c>
      <c r="P109" s="18">
        <v>0</v>
      </c>
      <c r="Q109" s="18">
        <v>0</v>
      </c>
      <c r="R109" s="18">
        <v>0</v>
      </c>
      <c r="S109" s="39" t="s">
        <v>3666</v>
      </c>
      <c r="T109" s="39">
        <v>14208</v>
      </c>
      <c r="U109" s="95" t="s">
        <v>3928</v>
      </c>
      <c r="V109" s="39">
        <v>101</v>
      </c>
      <c r="W109" s="18">
        <v>10024</v>
      </c>
      <c r="X109" s="18">
        <v>0</v>
      </c>
      <c r="Y109" s="18">
        <v>800</v>
      </c>
      <c r="Z109" s="18">
        <v>0</v>
      </c>
      <c r="AA109" s="18">
        <v>1090501</v>
      </c>
      <c r="AB109" s="18" t="s">
        <v>4644</v>
      </c>
      <c r="AC109" s="18">
        <v>1001</v>
      </c>
      <c r="AD109" s="18">
        <v>0</v>
      </c>
      <c r="AE109" s="18">
        <v>0</v>
      </c>
      <c r="AF109" s="18">
        <v>1</v>
      </c>
      <c r="AG109" s="18">
        <v>0</v>
      </c>
      <c r="AH109" s="18">
        <v>0</v>
      </c>
      <c r="AI109" s="18">
        <v>0</v>
      </c>
    </row>
    <row r="110" spans="1:35" x14ac:dyDescent="0.2">
      <c r="A110">
        <v>0</v>
      </c>
      <c r="B110" t="s">
        <v>134</v>
      </c>
      <c r="C110" t="s">
        <v>135</v>
      </c>
      <c r="E110" s="18">
        <v>14709</v>
      </c>
      <c r="F110" s="18">
        <v>11516</v>
      </c>
      <c r="G110" s="18">
        <v>12516</v>
      </c>
      <c r="H110" s="18">
        <v>10708</v>
      </c>
      <c r="I110" s="18">
        <v>1</v>
      </c>
      <c r="J110" s="18">
        <v>3</v>
      </c>
      <c r="K110" s="18">
        <v>4</v>
      </c>
      <c r="L110" s="18">
        <v>5</v>
      </c>
      <c r="M110" s="18">
        <v>0</v>
      </c>
      <c r="N110" s="18">
        <v>300</v>
      </c>
      <c r="O110" s="18">
        <v>10</v>
      </c>
      <c r="P110" s="18">
        <v>0</v>
      </c>
      <c r="Q110" s="18">
        <v>0</v>
      </c>
      <c r="R110" s="18">
        <v>0</v>
      </c>
      <c r="S110" s="39" t="s">
        <v>3666</v>
      </c>
      <c r="T110" s="39">
        <v>14209</v>
      </c>
      <c r="U110" s="95" t="s">
        <v>3597</v>
      </c>
      <c r="V110" s="39">
        <v>101</v>
      </c>
      <c r="W110" s="18">
        <v>10024</v>
      </c>
      <c r="X110" s="18">
        <v>0</v>
      </c>
      <c r="Y110" s="18">
        <v>800</v>
      </c>
      <c r="Z110" s="18">
        <v>0</v>
      </c>
      <c r="AA110" s="18">
        <v>1090501</v>
      </c>
      <c r="AB110" s="18" t="s">
        <v>4644</v>
      </c>
      <c r="AC110" s="18">
        <v>1001</v>
      </c>
      <c r="AD110" s="18">
        <v>0</v>
      </c>
      <c r="AE110" s="18">
        <v>0</v>
      </c>
      <c r="AF110" s="18">
        <v>1</v>
      </c>
      <c r="AG110" s="18">
        <v>0</v>
      </c>
      <c r="AH110" s="18">
        <v>0</v>
      </c>
      <c r="AI110" s="18">
        <v>0</v>
      </c>
    </row>
    <row r="111" spans="1:35" x14ac:dyDescent="0.2">
      <c r="A111">
        <v>0</v>
      </c>
      <c r="B111" t="s">
        <v>3957</v>
      </c>
      <c r="C111" t="s">
        <v>137</v>
      </c>
      <c r="E111" s="18">
        <v>14710</v>
      </c>
      <c r="F111" s="18">
        <v>11517</v>
      </c>
      <c r="G111" s="18">
        <v>12517</v>
      </c>
      <c r="H111" s="18">
        <v>10703</v>
      </c>
      <c r="I111" s="18">
        <v>1</v>
      </c>
      <c r="J111" s="18">
        <v>3</v>
      </c>
      <c r="K111" s="18">
        <v>4</v>
      </c>
      <c r="L111" s="18">
        <v>5</v>
      </c>
      <c r="M111" s="18">
        <v>0</v>
      </c>
      <c r="N111" s="18">
        <v>300</v>
      </c>
      <c r="O111" s="18">
        <v>10</v>
      </c>
      <c r="P111" s="18">
        <v>0</v>
      </c>
      <c r="Q111" s="18">
        <v>0</v>
      </c>
      <c r="R111" s="18">
        <v>0</v>
      </c>
      <c r="S111" s="39" t="s">
        <v>3666</v>
      </c>
      <c r="T111" s="39">
        <v>14210</v>
      </c>
      <c r="U111" s="95" t="s">
        <v>4467</v>
      </c>
      <c r="V111" s="39">
        <v>101</v>
      </c>
      <c r="W111" s="18">
        <v>10024</v>
      </c>
      <c r="X111" s="18">
        <v>0</v>
      </c>
      <c r="Y111" s="18">
        <v>800</v>
      </c>
      <c r="Z111" s="18">
        <v>0</v>
      </c>
      <c r="AA111" s="18">
        <v>1090501</v>
      </c>
      <c r="AB111" s="18" t="s">
        <v>4644</v>
      </c>
      <c r="AC111" s="18">
        <v>1001</v>
      </c>
      <c r="AD111" s="18">
        <v>0</v>
      </c>
      <c r="AE111" s="18">
        <v>0</v>
      </c>
      <c r="AF111" s="18">
        <v>1</v>
      </c>
      <c r="AG111" s="18">
        <v>0</v>
      </c>
      <c r="AH111" s="18">
        <v>0</v>
      </c>
      <c r="AI111" s="18">
        <v>0</v>
      </c>
    </row>
    <row r="112" spans="1:35" x14ac:dyDescent="0.2">
      <c r="A112">
        <v>1</v>
      </c>
      <c r="B112" t="s">
        <v>3958</v>
      </c>
      <c r="C112" t="s">
        <v>2711</v>
      </c>
      <c r="E112" s="18">
        <v>14712</v>
      </c>
      <c r="F112" s="18">
        <v>11519</v>
      </c>
      <c r="G112" s="18">
        <v>12519</v>
      </c>
      <c r="H112" s="18">
        <v>10202</v>
      </c>
      <c r="I112" s="18">
        <v>2</v>
      </c>
      <c r="J112" s="18">
        <v>3</v>
      </c>
      <c r="K112" s="18">
        <v>2</v>
      </c>
      <c r="L112" s="18">
        <v>5</v>
      </c>
      <c r="M112" s="18">
        <v>0</v>
      </c>
      <c r="N112" s="18">
        <v>300</v>
      </c>
      <c r="O112" s="18">
        <v>10</v>
      </c>
      <c r="P112" s="18">
        <v>0</v>
      </c>
      <c r="Q112" s="18">
        <v>0</v>
      </c>
      <c r="R112" s="18">
        <v>0</v>
      </c>
      <c r="S112" s="39" t="s">
        <v>3667</v>
      </c>
      <c r="T112" s="39" t="s">
        <v>2805</v>
      </c>
      <c r="U112" s="95" t="s">
        <v>3598</v>
      </c>
      <c r="V112" s="39">
        <v>101</v>
      </c>
      <c r="W112" s="18">
        <v>10008</v>
      </c>
      <c r="X112" s="18">
        <v>0</v>
      </c>
      <c r="Y112" s="18">
        <v>1100</v>
      </c>
      <c r="Z112" s="18">
        <v>0</v>
      </c>
      <c r="AA112" s="18">
        <v>1090401</v>
      </c>
      <c r="AB112" s="18" t="s">
        <v>4644</v>
      </c>
      <c r="AC112" s="18">
        <v>1003</v>
      </c>
      <c r="AD112" s="18">
        <v>0</v>
      </c>
      <c r="AE112" s="18">
        <v>0</v>
      </c>
      <c r="AF112" s="18">
        <v>2</v>
      </c>
      <c r="AG112" s="18">
        <v>0</v>
      </c>
      <c r="AH112" s="18">
        <v>0</v>
      </c>
      <c r="AI112" s="18">
        <v>0</v>
      </c>
    </row>
    <row r="113" spans="1:35" x14ac:dyDescent="0.2">
      <c r="A113">
        <v>1</v>
      </c>
      <c r="B113" t="s">
        <v>140</v>
      </c>
      <c r="C113" t="s">
        <v>2712</v>
      </c>
      <c r="E113" s="18">
        <v>14713</v>
      </c>
      <c r="F113" s="18">
        <v>11520</v>
      </c>
      <c r="G113" s="18">
        <v>12520</v>
      </c>
      <c r="H113" s="18">
        <v>10209</v>
      </c>
      <c r="I113" s="18">
        <v>2</v>
      </c>
      <c r="J113" s="18">
        <v>3</v>
      </c>
      <c r="K113" s="18">
        <v>2</v>
      </c>
      <c r="L113" s="18">
        <v>5</v>
      </c>
      <c r="M113" s="18">
        <v>0</v>
      </c>
      <c r="N113" s="18">
        <v>300</v>
      </c>
      <c r="O113" s="18">
        <v>10</v>
      </c>
      <c r="P113" s="18">
        <v>3</v>
      </c>
      <c r="Q113" s="18">
        <v>3</v>
      </c>
      <c r="R113" s="18">
        <v>0</v>
      </c>
      <c r="S113" s="39" t="s">
        <v>3667</v>
      </c>
      <c r="T113" s="39">
        <v>14213</v>
      </c>
      <c r="U113" s="95" t="s">
        <v>4517</v>
      </c>
      <c r="V113" s="39">
        <v>101</v>
      </c>
      <c r="W113" s="18">
        <v>10008</v>
      </c>
      <c r="X113" s="18">
        <v>0</v>
      </c>
      <c r="Y113" s="18">
        <v>1100</v>
      </c>
      <c r="Z113" s="18">
        <v>0</v>
      </c>
      <c r="AA113" s="18">
        <v>1090401</v>
      </c>
      <c r="AB113" s="18" t="s">
        <v>4644</v>
      </c>
      <c r="AC113" s="18">
        <v>1003</v>
      </c>
      <c r="AD113" s="18">
        <v>0</v>
      </c>
      <c r="AE113" s="18">
        <v>0</v>
      </c>
      <c r="AF113" s="18">
        <v>0</v>
      </c>
      <c r="AG113" s="18">
        <v>0</v>
      </c>
      <c r="AH113" s="18">
        <v>0</v>
      </c>
      <c r="AI113" s="18">
        <v>0</v>
      </c>
    </row>
    <row r="114" spans="1:35" x14ac:dyDescent="0.2">
      <c r="A114">
        <v>1</v>
      </c>
      <c r="B114" t="s">
        <v>3959</v>
      </c>
      <c r="C114" t="s">
        <v>2713</v>
      </c>
      <c r="E114" s="18">
        <v>14714</v>
      </c>
      <c r="F114" s="18">
        <v>11521</v>
      </c>
      <c r="G114" s="18">
        <v>12521</v>
      </c>
      <c r="H114" s="18">
        <v>10206</v>
      </c>
      <c r="I114" s="18">
        <v>2</v>
      </c>
      <c r="J114" s="18">
        <v>3</v>
      </c>
      <c r="K114" s="18">
        <v>2</v>
      </c>
      <c r="L114" s="18">
        <v>5</v>
      </c>
      <c r="M114" s="18">
        <v>0</v>
      </c>
      <c r="N114" s="18">
        <v>300</v>
      </c>
      <c r="O114" s="18">
        <v>10</v>
      </c>
      <c r="P114" s="18">
        <v>0</v>
      </c>
      <c r="Q114" s="18">
        <v>0</v>
      </c>
      <c r="R114" s="18">
        <v>0</v>
      </c>
      <c r="S114" s="39" t="s">
        <v>3667</v>
      </c>
      <c r="T114" s="39">
        <v>14214</v>
      </c>
      <c r="U114" s="95" t="s">
        <v>4515</v>
      </c>
      <c r="V114" s="39">
        <v>101</v>
      </c>
      <c r="W114" s="18">
        <v>10008</v>
      </c>
      <c r="X114" s="18">
        <v>0</v>
      </c>
      <c r="Y114" s="18">
        <v>1100</v>
      </c>
      <c r="Z114" s="18">
        <v>0</v>
      </c>
      <c r="AA114" s="18">
        <v>1090401</v>
      </c>
      <c r="AB114" s="18" t="s">
        <v>4644</v>
      </c>
      <c r="AC114" s="18">
        <v>1003</v>
      </c>
      <c r="AD114" s="18">
        <v>0</v>
      </c>
      <c r="AE114" s="18">
        <v>0</v>
      </c>
      <c r="AF114" s="18">
        <v>1</v>
      </c>
      <c r="AG114" s="18">
        <v>0</v>
      </c>
      <c r="AH114" s="18">
        <v>0</v>
      </c>
      <c r="AI114" s="18">
        <v>0</v>
      </c>
    </row>
    <row r="115" spans="1:35" x14ac:dyDescent="0.2">
      <c r="A115" t="s">
        <v>4092</v>
      </c>
      <c r="B115" t="s">
        <v>3692</v>
      </c>
      <c r="C115" t="s">
        <v>2714</v>
      </c>
      <c r="E115" s="18">
        <v>14715</v>
      </c>
      <c r="F115" s="18">
        <v>11522</v>
      </c>
      <c r="G115" s="18">
        <v>12522</v>
      </c>
      <c r="H115" s="18">
        <v>10505</v>
      </c>
      <c r="I115" s="18">
        <v>2</v>
      </c>
      <c r="J115" s="18">
        <v>3</v>
      </c>
      <c r="K115" s="18">
        <v>6</v>
      </c>
      <c r="L115" s="18">
        <v>5</v>
      </c>
      <c r="M115" s="18">
        <v>0</v>
      </c>
      <c r="N115" s="18">
        <v>300</v>
      </c>
      <c r="O115" s="18">
        <v>10</v>
      </c>
      <c r="P115" s="18">
        <v>0</v>
      </c>
      <c r="Q115" s="18">
        <v>0</v>
      </c>
      <c r="R115" s="18">
        <v>0</v>
      </c>
      <c r="S115" s="39" t="s">
        <v>3668</v>
      </c>
      <c r="T115" s="39" t="s">
        <v>2825</v>
      </c>
      <c r="U115" s="95" t="s">
        <v>3609</v>
      </c>
      <c r="V115" s="39">
        <v>101</v>
      </c>
      <c r="W115" s="18">
        <v>10055</v>
      </c>
      <c r="X115" s="18">
        <v>0</v>
      </c>
      <c r="Y115" s="18">
        <v>1400</v>
      </c>
      <c r="Z115" s="18">
        <v>0</v>
      </c>
      <c r="AA115" s="18">
        <v>1091021</v>
      </c>
      <c r="AB115" s="18" t="s">
        <v>4645</v>
      </c>
      <c r="AC115" s="18">
        <v>1004</v>
      </c>
      <c r="AD115" s="18">
        <v>0</v>
      </c>
      <c r="AE115" s="18">
        <v>0</v>
      </c>
      <c r="AF115" s="18">
        <v>6</v>
      </c>
      <c r="AG115" s="18">
        <v>0</v>
      </c>
      <c r="AH115" s="18">
        <v>0</v>
      </c>
      <c r="AI115" s="18">
        <v>0</v>
      </c>
    </row>
    <row r="116" spans="1:35" x14ac:dyDescent="0.2">
      <c r="A116">
        <v>1</v>
      </c>
      <c r="B116" t="s">
        <v>3960</v>
      </c>
      <c r="C116" t="s">
        <v>2715</v>
      </c>
      <c r="E116" s="18">
        <v>14716</v>
      </c>
      <c r="F116" s="18">
        <v>11523</v>
      </c>
      <c r="G116" s="18">
        <v>12523</v>
      </c>
      <c r="H116" s="18">
        <v>10509</v>
      </c>
      <c r="I116" s="18">
        <v>2</v>
      </c>
      <c r="J116" s="18">
        <v>3</v>
      </c>
      <c r="K116" s="18">
        <v>6</v>
      </c>
      <c r="L116" s="18">
        <v>5</v>
      </c>
      <c r="M116" s="18">
        <v>0</v>
      </c>
      <c r="N116" s="18">
        <v>300</v>
      </c>
      <c r="O116" s="18">
        <v>10</v>
      </c>
      <c r="P116" s="18">
        <v>3</v>
      </c>
      <c r="Q116" s="18">
        <v>3</v>
      </c>
      <c r="R116" s="18">
        <v>0</v>
      </c>
      <c r="S116" s="39" t="s">
        <v>4135</v>
      </c>
      <c r="T116" s="39" t="s">
        <v>2840</v>
      </c>
      <c r="U116" s="95" t="s">
        <v>4167</v>
      </c>
      <c r="V116" s="39">
        <v>101</v>
      </c>
      <c r="W116" s="18">
        <v>10055</v>
      </c>
      <c r="X116" s="18">
        <v>0</v>
      </c>
      <c r="Y116" s="18">
        <v>1400</v>
      </c>
      <c r="Z116" s="18">
        <v>0</v>
      </c>
      <c r="AA116" s="18">
        <v>1091021</v>
      </c>
      <c r="AB116" s="18" t="s">
        <v>4645</v>
      </c>
      <c r="AC116" s="18">
        <v>1004</v>
      </c>
      <c r="AD116" s="18">
        <v>0</v>
      </c>
      <c r="AE116" s="18">
        <v>0</v>
      </c>
      <c r="AF116" s="18">
        <v>0</v>
      </c>
      <c r="AG116" s="18">
        <v>0</v>
      </c>
      <c r="AH116" s="18">
        <v>0</v>
      </c>
      <c r="AI116" s="18">
        <v>0</v>
      </c>
    </row>
    <row r="117" spans="1:35" x14ac:dyDescent="0.2">
      <c r="A117">
        <v>0</v>
      </c>
      <c r="B117" t="s">
        <v>143</v>
      </c>
      <c r="C117" t="s">
        <v>144</v>
      </c>
      <c r="E117" s="18">
        <v>14717</v>
      </c>
      <c r="F117" s="18">
        <v>11524</v>
      </c>
      <c r="G117" s="18">
        <v>12524</v>
      </c>
      <c r="H117" s="18">
        <v>10507</v>
      </c>
      <c r="I117" s="18">
        <v>2</v>
      </c>
      <c r="J117" s="18">
        <v>3</v>
      </c>
      <c r="K117" s="18">
        <v>6</v>
      </c>
      <c r="L117" s="18">
        <v>5</v>
      </c>
      <c r="M117" s="18">
        <v>0</v>
      </c>
      <c r="N117" s="18">
        <v>300</v>
      </c>
      <c r="O117" s="18">
        <v>10</v>
      </c>
      <c r="P117" s="18">
        <v>0</v>
      </c>
      <c r="Q117" s="18">
        <v>0</v>
      </c>
      <c r="R117" s="18">
        <v>0</v>
      </c>
      <c r="S117" s="39" t="s">
        <v>3668</v>
      </c>
      <c r="T117" s="39">
        <v>14217</v>
      </c>
      <c r="U117" s="95" t="s">
        <v>3599</v>
      </c>
      <c r="V117" s="39">
        <v>101</v>
      </c>
      <c r="W117" s="18">
        <v>10055</v>
      </c>
      <c r="X117" s="18">
        <v>0</v>
      </c>
      <c r="Y117" s="18">
        <v>1400</v>
      </c>
      <c r="Z117" s="18">
        <v>0</v>
      </c>
      <c r="AA117" s="18">
        <v>1091021</v>
      </c>
      <c r="AB117" s="18" t="s">
        <v>4645</v>
      </c>
      <c r="AC117" s="18">
        <v>1004</v>
      </c>
      <c r="AD117" s="18">
        <v>0</v>
      </c>
      <c r="AE117" s="18">
        <v>0</v>
      </c>
      <c r="AF117" s="18">
        <v>0</v>
      </c>
      <c r="AG117" s="18">
        <v>0</v>
      </c>
      <c r="AH117" s="18">
        <v>0</v>
      </c>
      <c r="AI117" s="18">
        <v>0</v>
      </c>
    </row>
    <row r="118" spans="1:35" x14ac:dyDescent="0.2">
      <c r="A118">
        <v>1</v>
      </c>
      <c r="B118" t="s">
        <v>3961</v>
      </c>
      <c r="C118" t="s">
        <v>2716</v>
      </c>
      <c r="E118" s="18">
        <v>14718</v>
      </c>
      <c r="F118" s="18">
        <v>11525</v>
      </c>
      <c r="G118" s="18">
        <v>12525</v>
      </c>
      <c r="H118" s="18">
        <v>10606</v>
      </c>
      <c r="I118" s="18">
        <v>2</v>
      </c>
      <c r="J118" s="18">
        <v>4</v>
      </c>
      <c r="K118" s="18">
        <v>7</v>
      </c>
      <c r="L118" s="18">
        <v>5</v>
      </c>
      <c r="M118" s="18">
        <v>0</v>
      </c>
      <c r="N118" s="18">
        <v>300</v>
      </c>
      <c r="O118" s="18">
        <v>10</v>
      </c>
      <c r="P118" s="18">
        <v>0</v>
      </c>
      <c r="Q118" s="18">
        <v>0</v>
      </c>
      <c r="R118" s="18">
        <v>0</v>
      </c>
      <c r="S118" s="39" t="s">
        <v>4462</v>
      </c>
      <c r="T118" s="39" t="s">
        <v>2826</v>
      </c>
      <c r="U118" s="95" t="s">
        <v>4516</v>
      </c>
      <c r="V118" s="39">
        <v>101</v>
      </c>
      <c r="W118" s="18">
        <v>10057</v>
      </c>
      <c r="X118" s="18">
        <v>0</v>
      </c>
      <c r="Y118" s="18">
        <v>1500</v>
      </c>
      <c r="Z118" s="18">
        <v>0</v>
      </c>
      <c r="AA118" s="18">
        <v>1092101</v>
      </c>
      <c r="AB118" s="18" t="s">
        <v>4645</v>
      </c>
      <c r="AC118" s="18">
        <v>1021</v>
      </c>
      <c r="AD118" s="18">
        <v>0</v>
      </c>
      <c r="AE118" s="18">
        <v>0</v>
      </c>
      <c r="AF118" s="18">
        <v>1</v>
      </c>
      <c r="AG118" s="18">
        <v>0</v>
      </c>
      <c r="AH118" s="18">
        <v>0</v>
      </c>
      <c r="AI118" s="18">
        <v>0</v>
      </c>
    </row>
    <row r="119" spans="1:35" x14ac:dyDescent="0.2">
      <c r="A119">
        <v>1</v>
      </c>
      <c r="B119" t="s">
        <v>3962</v>
      </c>
      <c r="C119" t="s">
        <v>2717</v>
      </c>
      <c r="E119" s="18">
        <v>14719</v>
      </c>
      <c r="F119" s="18">
        <v>11526</v>
      </c>
      <c r="G119" s="18">
        <v>12526</v>
      </c>
      <c r="H119" s="18">
        <v>10401</v>
      </c>
      <c r="I119" s="18">
        <v>1</v>
      </c>
      <c r="J119" s="18">
        <v>4</v>
      </c>
      <c r="K119" s="18">
        <v>5</v>
      </c>
      <c r="L119" s="18">
        <v>5</v>
      </c>
      <c r="M119" s="18">
        <v>0</v>
      </c>
      <c r="N119" s="18">
        <v>300</v>
      </c>
      <c r="O119" s="18">
        <v>10</v>
      </c>
      <c r="P119" s="18">
        <v>0</v>
      </c>
      <c r="Q119" s="18">
        <v>0</v>
      </c>
      <c r="R119" s="18">
        <v>0</v>
      </c>
      <c r="S119" s="39" t="s">
        <v>3669</v>
      </c>
      <c r="T119" s="39">
        <v>14219</v>
      </c>
      <c r="U119" s="95" t="s">
        <v>3600</v>
      </c>
      <c r="V119" s="39">
        <v>101</v>
      </c>
      <c r="W119" s="18">
        <v>10053</v>
      </c>
      <c r="X119" s="18">
        <v>0</v>
      </c>
      <c r="Y119" s="18">
        <v>1300</v>
      </c>
      <c r="Z119" s="18">
        <v>0</v>
      </c>
      <c r="AA119" s="18">
        <v>1090201</v>
      </c>
      <c r="AB119" s="18" t="s">
        <v>4645</v>
      </c>
      <c r="AC119" s="18">
        <v>1002</v>
      </c>
      <c r="AD119" s="18">
        <v>0</v>
      </c>
      <c r="AE119" s="18">
        <v>0</v>
      </c>
      <c r="AF119" s="18">
        <v>1</v>
      </c>
      <c r="AG119" s="18">
        <v>0</v>
      </c>
      <c r="AH119" s="18">
        <v>0</v>
      </c>
      <c r="AI119" s="18">
        <v>0</v>
      </c>
    </row>
    <row r="120" spans="1:35" x14ac:dyDescent="0.2">
      <c r="A120">
        <v>1</v>
      </c>
      <c r="B120" t="s">
        <v>146</v>
      </c>
      <c r="C120" t="s">
        <v>2718</v>
      </c>
      <c r="E120" s="18">
        <v>14720</v>
      </c>
      <c r="F120" s="18">
        <v>11527</v>
      </c>
      <c r="G120" s="18">
        <v>12527</v>
      </c>
      <c r="H120" s="18">
        <v>10403</v>
      </c>
      <c r="I120" s="18">
        <v>1</v>
      </c>
      <c r="J120" s="18">
        <v>4</v>
      </c>
      <c r="K120" s="18">
        <v>5</v>
      </c>
      <c r="L120" s="18">
        <v>5</v>
      </c>
      <c r="M120" s="18">
        <v>0</v>
      </c>
      <c r="N120" s="18">
        <v>300</v>
      </c>
      <c r="O120" s="18">
        <v>10</v>
      </c>
      <c r="P120" s="18">
        <v>0</v>
      </c>
      <c r="Q120" s="18">
        <v>0</v>
      </c>
      <c r="R120" s="18">
        <v>0</v>
      </c>
      <c r="S120" s="39" t="s">
        <v>3669</v>
      </c>
      <c r="T120" s="39" t="s">
        <v>2806</v>
      </c>
      <c r="U120" s="95" t="s">
        <v>3601</v>
      </c>
      <c r="V120" s="39">
        <v>101</v>
      </c>
      <c r="W120" s="18">
        <v>10053</v>
      </c>
      <c r="X120" s="18">
        <v>0</v>
      </c>
      <c r="Y120" s="18">
        <v>1300</v>
      </c>
      <c r="Z120" s="18">
        <v>0</v>
      </c>
      <c r="AA120" s="18">
        <v>1090201</v>
      </c>
      <c r="AB120" s="18" t="s">
        <v>4645</v>
      </c>
      <c r="AC120" s="18">
        <v>1002</v>
      </c>
      <c r="AD120" s="18">
        <v>0</v>
      </c>
      <c r="AE120" s="18">
        <v>0</v>
      </c>
      <c r="AF120" s="18">
        <v>5</v>
      </c>
      <c r="AG120" s="18">
        <v>0</v>
      </c>
      <c r="AH120" s="18">
        <v>0</v>
      </c>
      <c r="AI120" s="18">
        <v>0</v>
      </c>
    </row>
    <row r="121" spans="1:35" x14ac:dyDescent="0.2">
      <c r="A121">
        <v>0</v>
      </c>
      <c r="B121" t="s">
        <v>147</v>
      </c>
      <c r="C121" t="s">
        <v>148</v>
      </c>
      <c r="E121" s="18">
        <v>14721</v>
      </c>
      <c r="F121" s="18">
        <v>11528</v>
      </c>
      <c r="G121" s="18">
        <v>12528</v>
      </c>
      <c r="H121" s="18">
        <v>10406</v>
      </c>
      <c r="I121" s="18">
        <v>1</v>
      </c>
      <c r="J121" s="18">
        <v>4</v>
      </c>
      <c r="K121" s="18">
        <v>5</v>
      </c>
      <c r="L121" s="18">
        <v>5</v>
      </c>
      <c r="M121" s="18">
        <v>0</v>
      </c>
      <c r="N121" s="18">
        <v>300</v>
      </c>
      <c r="O121" s="18">
        <v>10</v>
      </c>
      <c r="P121" s="18">
        <v>0</v>
      </c>
      <c r="Q121" s="18">
        <v>0</v>
      </c>
      <c r="R121" s="18">
        <v>0</v>
      </c>
      <c r="S121" s="39" t="s">
        <v>3669</v>
      </c>
      <c r="T121" s="39">
        <v>14221</v>
      </c>
      <c r="U121" s="95" t="s">
        <v>4530</v>
      </c>
      <c r="V121" s="39">
        <v>101</v>
      </c>
      <c r="W121" s="18">
        <v>10053</v>
      </c>
      <c r="X121" s="18">
        <v>0</v>
      </c>
      <c r="Y121" s="18">
        <v>1300</v>
      </c>
      <c r="Z121" s="18">
        <v>0</v>
      </c>
      <c r="AA121" s="18">
        <v>1090201</v>
      </c>
      <c r="AB121" s="18" t="s">
        <v>4645</v>
      </c>
      <c r="AC121" s="18">
        <v>1002</v>
      </c>
      <c r="AD121" s="18">
        <v>0</v>
      </c>
      <c r="AE121" s="18">
        <v>0</v>
      </c>
      <c r="AF121" s="18">
        <v>4</v>
      </c>
      <c r="AG121" s="18">
        <v>0</v>
      </c>
      <c r="AH121" s="18">
        <v>0</v>
      </c>
      <c r="AI121" s="18">
        <v>0</v>
      </c>
    </row>
    <row r="122" spans="1:35" x14ac:dyDescent="0.2">
      <c r="A122">
        <v>0</v>
      </c>
      <c r="B122" t="s">
        <v>3963</v>
      </c>
      <c r="C122" t="s">
        <v>339</v>
      </c>
      <c r="E122" s="18">
        <v>14722</v>
      </c>
      <c r="F122" s="18">
        <v>11529</v>
      </c>
      <c r="G122" s="18">
        <v>12529</v>
      </c>
      <c r="H122" s="18">
        <v>10408</v>
      </c>
      <c r="I122" s="18">
        <v>1</v>
      </c>
      <c r="J122" s="18">
        <v>4</v>
      </c>
      <c r="K122" s="18">
        <v>5</v>
      </c>
      <c r="L122" s="18">
        <v>5</v>
      </c>
      <c r="M122" s="18">
        <v>0</v>
      </c>
      <c r="N122" s="18">
        <v>300</v>
      </c>
      <c r="O122" s="18">
        <v>10</v>
      </c>
      <c r="P122" s="18">
        <v>0</v>
      </c>
      <c r="Q122" s="18">
        <v>0</v>
      </c>
      <c r="R122" s="18">
        <v>0</v>
      </c>
      <c r="S122" s="39" t="s">
        <v>3669</v>
      </c>
      <c r="T122" s="39">
        <v>14222</v>
      </c>
      <c r="U122" s="95" t="s">
        <v>4299</v>
      </c>
      <c r="V122" s="39">
        <v>101</v>
      </c>
      <c r="W122" s="18">
        <v>10053</v>
      </c>
      <c r="X122" s="18">
        <v>0</v>
      </c>
      <c r="Y122" s="18">
        <v>1300</v>
      </c>
      <c r="Z122" s="18">
        <v>0</v>
      </c>
      <c r="AA122" s="18">
        <v>1090201</v>
      </c>
      <c r="AB122" s="18" t="s">
        <v>4645</v>
      </c>
      <c r="AC122" s="18">
        <v>1002</v>
      </c>
      <c r="AD122" s="18">
        <v>0</v>
      </c>
      <c r="AE122" s="18">
        <v>0</v>
      </c>
      <c r="AF122" s="18">
        <v>1</v>
      </c>
      <c r="AG122" s="18">
        <v>0</v>
      </c>
      <c r="AH122" s="18">
        <v>0</v>
      </c>
      <c r="AI122" s="18">
        <v>0</v>
      </c>
    </row>
    <row r="123" spans="1:35" x14ac:dyDescent="0.2">
      <c r="B123" t="s">
        <v>340</v>
      </c>
      <c r="C123" t="s">
        <v>341</v>
      </c>
      <c r="D123" t="s">
        <v>3615</v>
      </c>
      <c r="E123" s="18">
        <v>14723</v>
      </c>
      <c r="F123" s="18">
        <v>11530</v>
      </c>
      <c r="G123" s="18">
        <v>12530</v>
      </c>
      <c r="H123" s="18">
        <v>10409</v>
      </c>
      <c r="I123" s="18">
        <v>1</v>
      </c>
      <c r="J123" s="18">
        <v>4</v>
      </c>
      <c r="K123" s="18">
        <v>5</v>
      </c>
      <c r="L123" s="18">
        <v>5</v>
      </c>
      <c r="M123" s="18">
        <v>0</v>
      </c>
      <c r="N123" s="18">
        <v>300</v>
      </c>
      <c r="O123" s="18">
        <v>0</v>
      </c>
      <c r="P123" s="18">
        <v>0</v>
      </c>
      <c r="Q123" s="18">
        <v>0</v>
      </c>
      <c r="R123" s="18">
        <v>0</v>
      </c>
      <c r="S123" s="39" t="s">
        <v>3669</v>
      </c>
      <c r="T123" s="39">
        <v>14223</v>
      </c>
      <c r="U123" s="95" t="s">
        <v>4464</v>
      </c>
      <c r="V123" s="39">
        <v>101</v>
      </c>
      <c r="W123" s="18">
        <v>10053</v>
      </c>
      <c r="X123" s="18">
        <v>0</v>
      </c>
      <c r="Y123" s="18">
        <v>1300</v>
      </c>
      <c r="Z123" s="18">
        <v>0</v>
      </c>
      <c r="AA123" s="18">
        <v>1090201</v>
      </c>
      <c r="AB123" s="18" t="s">
        <v>4645</v>
      </c>
      <c r="AC123" s="18">
        <v>1002</v>
      </c>
      <c r="AD123" s="18">
        <v>0</v>
      </c>
      <c r="AE123" s="18">
        <v>0</v>
      </c>
      <c r="AF123" s="18">
        <v>0</v>
      </c>
      <c r="AG123" s="18">
        <v>0</v>
      </c>
      <c r="AH123" s="18">
        <v>1</v>
      </c>
      <c r="AI123" s="18">
        <v>0</v>
      </c>
    </row>
    <row r="124" spans="1:35" x14ac:dyDescent="0.2">
      <c r="A124">
        <v>1</v>
      </c>
      <c r="B124" t="s">
        <v>3694</v>
      </c>
      <c r="C124" t="s">
        <v>2719</v>
      </c>
      <c r="E124" s="18">
        <v>14724</v>
      </c>
      <c r="F124" s="18">
        <v>11531</v>
      </c>
      <c r="G124" s="18">
        <v>12531</v>
      </c>
      <c r="H124" s="18">
        <v>10808</v>
      </c>
      <c r="I124" s="18">
        <v>2</v>
      </c>
      <c r="J124" s="18">
        <v>4</v>
      </c>
      <c r="K124" s="18">
        <v>10</v>
      </c>
      <c r="L124" s="18">
        <v>5</v>
      </c>
      <c r="M124" s="18">
        <v>0</v>
      </c>
      <c r="N124" s="18">
        <v>300</v>
      </c>
      <c r="O124" s="18">
        <v>10</v>
      </c>
      <c r="P124" s="18">
        <v>3</v>
      </c>
      <c r="Q124" s="18">
        <v>3</v>
      </c>
      <c r="R124" s="18">
        <v>0</v>
      </c>
      <c r="S124" s="39" t="s">
        <v>3670</v>
      </c>
      <c r="T124" s="39" t="s">
        <v>2807</v>
      </c>
      <c r="U124" s="95" t="s">
        <v>3602</v>
      </c>
      <c r="V124" s="39">
        <v>101</v>
      </c>
      <c r="W124" s="18">
        <v>10048</v>
      </c>
      <c r="X124" s="18">
        <v>0</v>
      </c>
      <c r="Y124" s="18">
        <v>1650</v>
      </c>
      <c r="Z124" s="18">
        <v>0</v>
      </c>
      <c r="AA124" s="18">
        <v>1091002</v>
      </c>
      <c r="AB124" s="18" t="s">
        <v>4648</v>
      </c>
      <c r="AC124" s="18">
        <v>1010</v>
      </c>
      <c r="AD124" s="18">
        <v>0</v>
      </c>
      <c r="AE124" s="18">
        <v>0</v>
      </c>
      <c r="AF124" s="18">
        <v>1</v>
      </c>
      <c r="AG124" s="18">
        <v>0</v>
      </c>
      <c r="AH124" s="18">
        <v>0</v>
      </c>
      <c r="AI124" s="18">
        <v>0</v>
      </c>
    </row>
    <row r="125" spans="1:35" x14ac:dyDescent="0.2">
      <c r="A125">
        <v>0</v>
      </c>
      <c r="B125" t="s">
        <v>3964</v>
      </c>
      <c r="E125" s="18">
        <v>14725</v>
      </c>
      <c r="F125" s="18">
        <v>11532</v>
      </c>
      <c r="G125" s="18">
        <v>12532</v>
      </c>
      <c r="H125" s="18">
        <v>10803</v>
      </c>
      <c r="I125" s="18">
        <v>2</v>
      </c>
      <c r="J125" s="18">
        <v>4</v>
      </c>
      <c r="K125" s="18">
        <v>10</v>
      </c>
      <c r="L125" s="18">
        <v>5</v>
      </c>
      <c r="M125" s="18">
        <v>0</v>
      </c>
      <c r="N125" s="18">
        <v>300</v>
      </c>
      <c r="O125" s="18">
        <v>10</v>
      </c>
      <c r="P125" s="18">
        <v>0</v>
      </c>
      <c r="Q125" s="18">
        <v>0</v>
      </c>
      <c r="R125" s="18">
        <v>0</v>
      </c>
      <c r="S125" s="39" t="s">
        <v>3670</v>
      </c>
      <c r="T125" s="39">
        <v>14225</v>
      </c>
      <c r="U125" s="95" t="s">
        <v>3603</v>
      </c>
      <c r="V125" s="39">
        <v>101</v>
      </c>
      <c r="W125" s="18">
        <v>10048</v>
      </c>
      <c r="X125" s="18">
        <v>0</v>
      </c>
      <c r="Y125" s="18">
        <v>1650</v>
      </c>
      <c r="Z125" s="18">
        <v>0</v>
      </c>
      <c r="AA125" s="18">
        <v>1091002</v>
      </c>
      <c r="AB125" s="18" t="s">
        <v>4648</v>
      </c>
      <c r="AC125" s="18">
        <v>1010</v>
      </c>
      <c r="AD125" s="18">
        <v>0</v>
      </c>
      <c r="AE125" s="18">
        <v>0</v>
      </c>
      <c r="AF125" s="18">
        <v>1</v>
      </c>
      <c r="AG125" s="18">
        <v>0</v>
      </c>
      <c r="AH125" s="18">
        <v>0</v>
      </c>
      <c r="AI125" s="18">
        <v>0</v>
      </c>
    </row>
    <row r="126" spans="1:35" x14ac:dyDescent="0.2">
      <c r="A126">
        <v>0</v>
      </c>
      <c r="B126" t="s">
        <v>150</v>
      </c>
      <c r="C126" t="s">
        <v>151</v>
      </c>
      <c r="E126" s="18">
        <v>14726</v>
      </c>
      <c r="F126" s="18">
        <v>11533</v>
      </c>
      <c r="G126" s="18">
        <v>12533</v>
      </c>
      <c r="H126" s="18">
        <v>11001</v>
      </c>
      <c r="I126" s="18">
        <v>2</v>
      </c>
      <c r="J126" s="18">
        <v>3</v>
      </c>
      <c r="K126" s="18">
        <v>9</v>
      </c>
      <c r="L126" s="18">
        <v>5</v>
      </c>
      <c r="M126" s="18">
        <v>0</v>
      </c>
      <c r="N126" s="18">
        <v>300</v>
      </c>
      <c r="O126" s="18">
        <v>10</v>
      </c>
      <c r="P126" s="18">
        <v>0</v>
      </c>
      <c r="Q126" s="18">
        <v>0</v>
      </c>
      <c r="R126" s="18">
        <v>0</v>
      </c>
      <c r="S126" s="39" t="s">
        <v>3671</v>
      </c>
      <c r="T126" s="39">
        <v>14226</v>
      </c>
      <c r="U126" s="95" t="s">
        <v>4495</v>
      </c>
      <c r="V126" s="39">
        <v>101</v>
      </c>
      <c r="W126" s="18">
        <v>10026</v>
      </c>
      <c r="X126" s="18">
        <v>0</v>
      </c>
      <c r="Y126" s="18">
        <v>1400</v>
      </c>
      <c r="Z126" s="18">
        <v>0</v>
      </c>
      <c r="AA126" s="18">
        <v>1091701</v>
      </c>
      <c r="AB126" s="18" t="s">
        <v>4647</v>
      </c>
      <c r="AC126" s="18">
        <v>1017</v>
      </c>
      <c r="AD126" s="18">
        <v>0</v>
      </c>
      <c r="AE126" s="18">
        <v>0</v>
      </c>
      <c r="AF126" s="18">
        <v>1</v>
      </c>
      <c r="AG126" s="18">
        <v>0</v>
      </c>
      <c r="AH126" s="18">
        <v>0</v>
      </c>
      <c r="AI126" s="18">
        <v>0</v>
      </c>
    </row>
    <row r="127" spans="1:35" x14ac:dyDescent="0.2">
      <c r="A127">
        <v>0</v>
      </c>
      <c r="B127" t="s">
        <v>3965</v>
      </c>
      <c r="C127" t="s">
        <v>153</v>
      </c>
      <c r="E127" s="18">
        <v>14727</v>
      </c>
      <c r="F127" s="18">
        <v>11534</v>
      </c>
      <c r="G127" s="18">
        <v>12534</v>
      </c>
      <c r="H127" s="18">
        <v>11002</v>
      </c>
      <c r="I127" s="18">
        <v>2</v>
      </c>
      <c r="J127" s="18">
        <v>3</v>
      </c>
      <c r="K127" s="18">
        <v>9</v>
      </c>
      <c r="L127" s="18">
        <v>5</v>
      </c>
      <c r="M127" s="18">
        <v>0</v>
      </c>
      <c r="N127" s="18">
        <v>300</v>
      </c>
      <c r="O127" s="18">
        <v>10</v>
      </c>
      <c r="P127" s="18">
        <v>0</v>
      </c>
      <c r="Q127" s="18">
        <v>0</v>
      </c>
      <c r="R127" s="18">
        <v>0</v>
      </c>
      <c r="S127" s="39" t="s">
        <v>3671</v>
      </c>
      <c r="T127" s="39">
        <v>14227</v>
      </c>
      <c r="U127" s="95" t="s">
        <v>3604</v>
      </c>
      <c r="V127" s="39">
        <v>101</v>
      </c>
      <c r="W127" s="18">
        <v>10026</v>
      </c>
      <c r="X127" s="18">
        <v>0</v>
      </c>
      <c r="Y127" s="18">
        <v>1400</v>
      </c>
      <c r="Z127" s="18">
        <v>0</v>
      </c>
      <c r="AA127" s="18">
        <v>1091701</v>
      </c>
      <c r="AB127" s="18" t="s">
        <v>4647</v>
      </c>
      <c r="AC127" s="18">
        <v>1017</v>
      </c>
      <c r="AD127" s="18">
        <v>0</v>
      </c>
      <c r="AE127" s="18">
        <v>0</v>
      </c>
      <c r="AF127" s="18">
        <v>2</v>
      </c>
      <c r="AG127" s="18">
        <v>0</v>
      </c>
      <c r="AH127" s="18">
        <v>0</v>
      </c>
      <c r="AI127" s="18">
        <v>0</v>
      </c>
    </row>
    <row r="128" spans="1:35" x14ac:dyDescent="0.2">
      <c r="A128">
        <v>0</v>
      </c>
      <c r="B128" t="s">
        <v>3966</v>
      </c>
      <c r="C128" t="s">
        <v>155</v>
      </c>
      <c r="E128" s="18">
        <v>14728</v>
      </c>
      <c r="F128" s="18">
        <v>11535</v>
      </c>
      <c r="G128" s="18">
        <v>12535</v>
      </c>
      <c r="H128" s="18">
        <v>11004</v>
      </c>
      <c r="I128" s="18">
        <v>2</v>
      </c>
      <c r="J128" s="18">
        <v>3</v>
      </c>
      <c r="K128" s="18">
        <v>9</v>
      </c>
      <c r="L128" s="18">
        <v>5</v>
      </c>
      <c r="M128" s="18">
        <v>0</v>
      </c>
      <c r="N128" s="18">
        <v>300</v>
      </c>
      <c r="O128" s="18">
        <v>10</v>
      </c>
      <c r="P128" s="18">
        <v>0</v>
      </c>
      <c r="Q128" s="18">
        <v>0</v>
      </c>
      <c r="R128" s="18">
        <v>0</v>
      </c>
      <c r="S128" s="39" t="s">
        <v>3671</v>
      </c>
      <c r="T128" s="39">
        <v>14228</v>
      </c>
      <c r="U128" s="95" t="s">
        <v>3605</v>
      </c>
      <c r="V128" s="39">
        <v>101</v>
      </c>
      <c r="W128" s="18">
        <v>10026</v>
      </c>
      <c r="X128" s="18">
        <v>0</v>
      </c>
      <c r="Y128" s="18">
        <v>1400</v>
      </c>
      <c r="Z128" s="18">
        <v>0</v>
      </c>
      <c r="AA128" s="18">
        <v>1091701</v>
      </c>
      <c r="AB128" s="18" t="s">
        <v>4647</v>
      </c>
      <c r="AC128" s="18">
        <v>1017</v>
      </c>
      <c r="AD128" s="18">
        <v>0</v>
      </c>
      <c r="AE128" s="18">
        <v>0</v>
      </c>
      <c r="AF128" s="18">
        <v>1</v>
      </c>
      <c r="AG128" s="18">
        <v>0</v>
      </c>
      <c r="AH128" s="18">
        <v>0</v>
      </c>
      <c r="AI128" s="18">
        <v>0</v>
      </c>
    </row>
    <row r="129" spans="1:35" x14ac:dyDescent="0.2">
      <c r="A129">
        <v>0</v>
      </c>
      <c r="B129" t="s">
        <v>3967</v>
      </c>
      <c r="C129" t="s">
        <v>342</v>
      </c>
      <c r="E129" s="18">
        <v>14729</v>
      </c>
      <c r="F129" s="18">
        <v>11536</v>
      </c>
      <c r="G129" s="18">
        <v>12536</v>
      </c>
      <c r="H129" s="18">
        <v>11001</v>
      </c>
      <c r="I129" s="18">
        <v>2</v>
      </c>
      <c r="J129" s="18">
        <v>3</v>
      </c>
      <c r="K129" s="18">
        <v>9</v>
      </c>
      <c r="L129" s="18">
        <v>5</v>
      </c>
      <c r="M129" s="18">
        <v>0</v>
      </c>
      <c r="N129" s="18">
        <v>300</v>
      </c>
      <c r="O129" s="18">
        <v>10</v>
      </c>
      <c r="P129" s="18">
        <v>0</v>
      </c>
      <c r="Q129" s="18">
        <v>0</v>
      </c>
      <c r="R129" s="18">
        <v>0</v>
      </c>
      <c r="S129" s="39" t="s">
        <v>3671</v>
      </c>
      <c r="T129" s="39">
        <v>14229</v>
      </c>
      <c r="U129" s="95" t="s">
        <v>3606</v>
      </c>
      <c r="V129" s="39">
        <v>101</v>
      </c>
      <c r="W129" s="18">
        <v>10026</v>
      </c>
      <c r="X129" s="18">
        <v>0</v>
      </c>
      <c r="Y129" s="18">
        <v>1400</v>
      </c>
      <c r="Z129" s="18">
        <v>0</v>
      </c>
      <c r="AA129" s="18">
        <v>1091701</v>
      </c>
      <c r="AB129" s="18" t="s">
        <v>4647</v>
      </c>
      <c r="AC129" s="18">
        <v>1017</v>
      </c>
      <c r="AD129" s="18">
        <v>0</v>
      </c>
      <c r="AE129" s="18">
        <v>0</v>
      </c>
      <c r="AF129" s="18">
        <v>1</v>
      </c>
      <c r="AG129" s="18">
        <v>0</v>
      </c>
      <c r="AH129" s="18">
        <v>0</v>
      </c>
      <c r="AI129" s="18">
        <v>0</v>
      </c>
    </row>
    <row r="130" spans="1:35" x14ac:dyDescent="0.2">
      <c r="A130">
        <v>0</v>
      </c>
      <c r="B130" t="s">
        <v>156</v>
      </c>
      <c r="C130" t="s">
        <v>157</v>
      </c>
      <c r="E130" s="18">
        <v>14730</v>
      </c>
      <c r="F130" s="18">
        <v>11537</v>
      </c>
      <c r="G130" s="18">
        <v>12537</v>
      </c>
      <c r="H130" s="18">
        <v>11006</v>
      </c>
      <c r="I130" s="18">
        <v>2</v>
      </c>
      <c r="J130" s="18">
        <v>3</v>
      </c>
      <c r="K130" s="18">
        <v>9</v>
      </c>
      <c r="L130" s="18">
        <v>5</v>
      </c>
      <c r="M130" s="18">
        <v>0</v>
      </c>
      <c r="N130" s="18">
        <v>300</v>
      </c>
      <c r="O130" s="18">
        <v>10</v>
      </c>
      <c r="P130" s="18">
        <v>0</v>
      </c>
      <c r="Q130" s="18">
        <v>0</v>
      </c>
      <c r="R130" s="18">
        <v>0</v>
      </c>
      <c r="S130" s="39" t="s">
        <v>3671</v>
      </c>
      <c r="T130" s="39">
        <v>14230</v>
      </c>
      <c r="U130" s="95" t="s">
        <v>3607</v>
      </c>
      <c r="V130" s="39">
        <v>101</v>
      </c>
      <c r="W130" s="18">
        <v>10026</v>
      </c>
      <c r="X130" s="18">
        <v>0</v>
      </c>
      <c r="Y130" s="18">
        <v>1400</v>
      </c>
      <c r="Z130" s="18">
        <v>0</v>
      </c>
      <c r="AA130" s="18">
        <v>1091701</v>
      </c>
      <c r="AB130" s="18" t="s">
        <v>4647</v>
      </c>
      <c r="AC130" s="18">
        <v>1017</v>
      </c>
      <c r="AD130" s="18">
        <v>0</v>
      </c>
      <c r="AE130" s="18">
        <v>0</v>
      </c>
      <c r="AF130" s="18">
        <v>5</v>
      </c>
      <c r="AG130" s="18">
        <v>0</v>
      </c>
      <c r="AH130" s="18">
        <v>0</v>
      </c>
      <c r="AI130" s="18">
        <v>0</v>
      </c>
    </row>
    <row r="131" spans="1:35" x14ac:dyDescent="0.2">
      <c r="A131">
        <v>0</v>
      </c>
      <c r="B131" t="s">
        <v>158</v>
      </c>
      <c r="C131" t="s">
        <v>159</v>
      </c>
      <c r="E131" s="18">
        <v>14731</v>
      </c>
      <c r="F131" s="18">
        <v>11538</v>
      </c>
      <c r="G131" s="18">
        <v>12538</v>
      </c>
      <c r="H131" s="18">
        <v>11009</v>
      </c>
      <c r="I131" s="18">
        <v>2</v>
      </c>
      <c r="J131" s="18">
        <v>3</v>
      </c>
      <c r="K131" s="18">
        <v>9</v>
      </c>
      <c r="L131" s="18">
        <v>5</v>
      </c>
      <c r="M131" s="18">
        <v>0</v>
      </c>
      <c r="N131" s="18">
        <v>300</v>
      </c>
      <c r="O131" s="18">
        <v>10</v>
      </c>
      <c r="P131" s="18">
        <v>0</v>
      </c>
      <c r="Q131" s="18">
        <v>0</v>
      </c>
      <c r="R131" s="18">
        <v>0</v>
      </c>
      <c r="S131" s="39" t="s">
        <v>3671</v>
      </c>
      <c r="T131" s="39">
        <v>14231</v>
      </c>
      <c r="U131" s="95" t="s">
        <v>3932</v>
      </c>
      <c r="V131" s="39">
        <v>101</v>
      </c>
      <c r="W131" s="18">
        <v>10026</v>
      </c>
      <c r="X131" s="18">
        <v>0</v>
      </c>
      <c r="Y131" s="18">
        <v>1400</v>
      </c>
      <c r="Z131" s="18">
        <v>0</v>
      </c>
      <c r="AA131" s="18">
        <v>1091701</v>
      </c>
      <c r="AB131" s="18" t="s">
        <v>4647</v>
      </c>
      <c r="AC131" s="18">
        <v>1017</v>
      </c>
      <c r="AD131" s="18">
        <v>0</v>
      </c>
      <c r="AE131" s="18">
        <v>0</v>
      </c>
      <c r="AF131" s="18">
        <v>1</v>
      </c>
      <c r="AG131" s="18">
        <v>0</v>
      </c>
      <c r="AH131" s="18">
        <v>0</v>
      </c>
      <c r="AI131" s="18">
        <v>0</v>
      </c>
    </row>
    <row r="132" spans="1:35" x14ac:dyDescent="0.2">
      <c r="A132">
        <v>0</v>
      </c>
      <c r="B132" t="s">
        <v>3968</v>
      </c>
      <c r="C132" t="s">
        <v>161</v>
      </c>
      <c r="E132" s="18">
        <v>14732</v>
      </c>
      <c r="F132" s="18">
        <v>11539</v>
      </c>
      <c r="G132" s="18">
        <v>12539</v>
      </c>
      <c r="H132" s="18">
        <v>11002</v>
      </c>
      <c r="I132" s="18">
        <v>2</v>
      </c>
      <c r="J132" s="18">
        <v>3</v>
      </c>
      <c r="K132" s="18">
        <v>9</v>
      </c>
      <c r="L132" s="18">
        <v>5</v>
      </c>
      <c r="M132" s="18">
        <v>0</v>
      </c>
      <c r="N132" s="18">
        <v>300</v>
      </c>
      <c r="O132" s="18">
        <v>10</v>
      </c>
      <c r="P132" s="18">
        <v>0</v>
      </c>
      <c r="Q132" s="18">
        <v>0</v>
      </c>
      <c r="R132" s="18">
        <v>0</v>
      </c>
      <c r="S132" s="39" t="s">
        <v>3671</v>
      </c>
      <c r="T132" s="39">
        <v>14232</v>
      </c>
      <c r="U132" s="95" t="s">
        <v>4496</v>
      </c>
      <c r="V132" s="39">
        <v>101</v>
      </c>
      <c r="W132" s="18">
        <v>10026</v>
      </c>
      <c r="X132" s="18">
        <v>0</v>
      </c>
      <c r="Y132" s="18">
        <v>1400</v>
      </c>
      <c r="Z132" s="18">
        <v>0</v>
      </c>
      <c r="AA132" s="18">
        <v>1091701</v>
      </c>
      <c r="AB132" s="18" t="s">
        <v>4647</v>
      </c>
      <c r="AC132" s="18">
        <v>1017</v>
      </c>
      <c r="AD132" s="18">
        <v>0</v>
      </c>
      <c r="AE132" s="18">
        <v>0</v>
      </c>
      <c r="AF132" s="18">
        <v>1</v>
      </c>
      <c r="AG132" s="18">
        <v>0</v>
      </c>
      <c r="AH132" s="18">
        <v>0</v>
      </c>
      <c r="AI132" s="18">
        <v>0</v>
      </c>
    </row>
    <row r="133" spans="1:35" x14ac:dyDescent="0.2">
      <c r="A133">
        <v>0</v>
      </c>
      <c r="B133" t="s">
        <v>162</v>
      </c>
      <c r="C133" t="s">
        <v>163</v>
      </c>
      <c r="E133" s="18">
        <v>14733</v>
      </c>
      <c r="F133" s="18">
        <v>11540</v>
      </c>
      <c r="G133" s="18">
        <v>12540</v>
      </c>
      <c r="H133" s="18">
        <v>11003</v>
      </c>
      <c r="I133" s="18">
        <v>2</v>
      </c>
      <c r="J133" s="18">
        <v>3</v>
      </c>
      <c r="K133" s="18">
        <v>9</v>
      </c>
      <c r="L133" s="18">
        <v>5</v>
      </c>
      <c r="M133" s="18">
        <v>0</v>
      </c>
      <c r="N133" s="18">
        <v>300</v>
      </c>
      <c r="O133" s="18">
        <v>10</v>
      </c>
      <c r="P133" s="18">
        <v>0</v>
      </c>
      <c r="Q133" s="18">
        <v>0</v>
      </c>
      <c r="R133" s="18">
        <v>0</v>
      </c>
      <c r="S133" s="39" t="s">
        <v>3671</v>
      </c>
      <c r="T133" s="39" t="s">
        <v>4827</v>
      </c>
      <c r="U133" s="95" t="s">
        <v>4828</v>
      </c>
      <c r="V133" s="39">
        <v>101</v>
      </c>
      <c r="W133" s="18">
        <v>10026</v>
      </c>
      <c r="X133" s="18">
        <v>0</v>
      </c>
      <c r="Y133" s="18">
        <v>1400</v>
      </c>
      <c r="Z133" s="18">
        <v>0</v>
      </c>
      <c r="AA133" s="18">
        <v>1091701</v>
      </c>
      <c r="AB133" s="18" t="s">
        <v>4647</v>
      </c>
      <c r="AC133" s="18">
        <v>1017</v>
      </c>
      <c r="AD133" s="18">
        <v>0</v>
      </c>
      <c r="AE133" s="18">
        <v>0</v>
      </c>
      <c r="AF133" s="18">
        <v>6</v>
      </c>
      <c r="AG133" s="18">
        <v>0</v>
      </c>
      <c r="AH133" s="18">
        <v>0</v>
      </c>
      <c r="AI133" s="18">
        <v>0</v>
      </c>
    </row>
    <row r="134" spans="1:35" x14ac:dyDescent="0.2">
      <c r="A134">
        <v>0</v>
      </c>
      <c r="B134" t="s">
        <v>3969</v>
      </c>
      <c r="C134" t="s">
        <v>165</v>
      </c>
      <c r="E134" s="18">
        <v>14734</v>
      </c>
      <c r="F134" s="18">
        <v>11541</v>
      </c>
      <c r="G134" s="18">
        <v>12541</v>
      </c>
      <c r="H134" s="18">
        <v>11004</v>
      </c>
      <c r="I134" s="18">
        <v>2</v>
      </c>
      <c r="J134" s="18">
        <v>3</v>
      </c>
      <c r="K134" s="18">
        <v>9</v>
      </c>
      <c r="L134" s="18">
        <v>5</v>
      </c>
      <c r="M134" s="18">
        <v>0</v>
      </c>
      <c r="N134" s="18">
        <v>300</v>
      </c>
      <c r="O134" s="18">
        <v>10</v>
      </c>
      <c r="P134" s="18">
        <v>0</v>
      </c>
      <c r="Q134" s="18">
        <v>0</v>
      </c>
      <c r="R134" s="18">
        <v>0</v>
      </c>
      <c r="S134" s="39" t="s">
        <v>3671</v>
      </c>
      <c r="T134" s="39">
        <v>14234</v>
      </c>
      <c r="U134" s="95" t="s">
        <v>4468</v>
      </c>
      <c r="V134" s="39">
        <v>101</v>
      </c>
      <c r="W134" s="18">
        <v>10026</v>
      </c>
      <c r="X134" s="18">
        <v>0</v>
      </c>
      <c r="Y134" s="18">
        <v>1400</v>
      </c>
      <c r="Z134" s="18">
        <v>0</v>
      </c>
      <c r="AA134" s="18">
        <v>1091701</v>
      </c>
      <c r="AB134" s="18" t="s">
        <v>4647</v>
      </c>
      <c r="AC134" s="18">
        <v>1017</v>
      </c>
      <c r="AD134" s="18">
        <v>0</v>
      </c>
      <c r="AE134" s="18">
        <v>0</v>
      </c>
      <c r="AF134" s="18">
        <v>6</v>
      </c>
      <c r="AG134" s="18">
        <v>0</v>
      </c>
      <c r="AH134" s="18">
        <v>0</v>
      </c>
      <c r="AI134" s="18">
        <v>0</v>
      </c>
    </row>
    <row r="135" spans="1:35" x14ac:dyDescent="0.2">
      <c r="A135">
        <v>0</v>
      </c>
      <c r="B135" t="s">
        <v>3970</v>
      </c>
      <c r="C135" t="s">
        <v>167</v>
      </c>
      <c r="E135" s="18">
        <v>14735</v>
      </c>
      <c r="F135" s="18">
        <v>11542</v>
      </c>
      <c r="G135" s="18">
        <v>12542</v>
      </c>
      <c r="H135" s="18">
        <v>11005</v>
      </c>
      <c r="I135" s="18">
        <v>2</v>
      </c>
      <c r="J135" s="18">
        <v>3</v>
      </c>
      <c r="K135" s="18">
        <v>9</v>
      </c>
      <c r="L135" s="18">
        <v>5</v>
      </c>
      <c r="M135" s="18">
        <v>0</v>
      </c>
      <c r="N135" s="18">
        <v>300</v>
      </c>
      <c r="O135" s="18">
        <v>10</v>
      </c>
      <c r="P135" s="18">
        <v>0</v>
      </c>
      <c r="Q135" s="18">
        <v>0</v>
      </c>
      <c r="R135" s="18">
        <v>0</v>
      </c>
      <c r="S135" s="39" t="s">
        <v>3671</v>
      </c>
      <c r="T135" s="39">
        <v>14235</v>
      </c>
      <c r="U135" s="95" t="s">
        <v>3608</v>
      </c>
      <c r="V135" s="39">
        <v>101</v>
      </c>
      <c r="W135" s="18">
        <v>10026</v>
      </c>
      <c r="X135" s="18">
        <v>0</v>
      </c>
      <c r="Y135" s="18">
        <v>1400</v>
      </c>
      <c r="Z135" s="18">
        <v>0</v>
      </c>
      <c r="AA135" s="18">
        <v>1091701</v>
      </c>
      <c r="AB135" s="18" t="s">
        <v>4647</v>
      </c>
      <c r="AC135" s="18">
        <v>1017</v>
      </c>
      <c r="AD135" s="18">
        <v>0</v>
      </c>
      <c r="AE135" s="18">
        <v>0</v>
      </c>
      <c r="AF135" s="18">
        <v>1</v>
      </c>
      <c r="AG135" s="18">
        <v>0</v>
      </c>
      <c r="AH135" s="18">
        <v>0</v>
      </c>
      <c r="AI135" s="18">
        <v>0</v>
      </c>
    </row>
    <row r="136" spans="1:35" x14ac:dyDescent="0.2">
      <c r="A136">
        <v>1</v>
      </c>
      <c r="B136" t="s">
        <v>3971</v>
      </c>
      <c r="C136" t="s">
        <v>2720</v>
      </c>
      <c r="E136" s="18">
        <v>14736</v>
      </c>
      <c r="F136" s="18">
        <v>11543</v>
      </c>
      <c r="G136" s="18">
        <v>12543</v>
      </c>
      <c r="H136" s="18">
        <v>11101</v>
      </c>
      <c r="I136" s="18">
        <v>2</v>
      </c>
      <c r="J136" s="18">
        <v>3</v>
      </c>
      <c r="K136" s="18">
        <v>11</v>
      </c>
      <c r="L136" s="18">
        <v>5</v>
      </c>
      <c r="M136" s="18">
        <v>0</v>
      </c>
      <c r="N136" s="18">
        <v>300</v>
      </c>
      <c r="O136" s="18">
        <v>10</v>
      </c>
      <c r="P136" s="18">
        <v>0</v>
      </c>
      <c r="Q136" s="18">
        <v>0</v>
      </c>
      <c r="R136" s="18">
        <v>0</v>
      </c>
      <c r="S136" s="39" t="s">
        <v>4841</v>
      </c>
      <c r="T136" s="39" t="s">
        <v>2808</v>
      </c>
      <c r="U136" s="95" t="s">
        <v>4839</v>
      </c>
      <c r="V136" s="39">
        <v>101</v>
      </c>
      <c r="W136" s="18">
        <v>0</v>
      </c>
      <c r="X136" s="18">
        <v>0</v>
      </c>
      <c r="Y136" s="18">
        <v>0</v>
      </c>
      <c r="Z136" s="18">
        <v>0</v>
      </c>
      <c r="AA136" s="18">
        <v>1091901</v>
      </c>
      <c r="AB136" s="18"/>
      <c r="AC136" s="18">
        <v>1019</v>
      </c>
      <c r="AD136" s="18">
        <v>0</v>
      </c>
      <c r="AE136" s="18">
        <v>0</v>
      </c>
      <c r="AF136" s="18">
        <v>6</v>
      </c>
      <c r="AG136" s="18">
        <v>0</v>
      </c>
      <c r="AH136" s="18">
        <v>0</v>
      </c>
      <c r="AI136" s="18">
        <v>0</v>
      </c>
    </row>
    <row r="137" spans="1:35" x14ac:dyDescent="0.2">
      <c r="A137">
        <v>0</v>
      </c>
      <c r="B137" t="s">
        <v>3972</v>
      </c>
      <c r="C137" t="s">
        <v>170</v>
      </c>
      <c r="E137" s="18">
        <v>14737</v>
      </c>
      <c r="F137" s="18">
        <v>11544</v>
      </c>
      <c r="G137" s="18">
        <v>12544</v>
      </c>
      <c r="H137" s="18">
        <v>11103</v>
      </c>
      <c r="I137" s="18">
        <v>2</v>
      </c>
      <c r="J137" s="18">
        <v>3</v>
      </c>
      <c r="K137" s="18">
        <v>11</v>
      </c>
      <c r="L137" s="18">
        <v>5</v>
      </c>
      <c r="M137" s="18">
        <v>0</v>
      </c>
      <c r="N137" s="18">
        <v>300</v>
      </c>
      <c r="O137" s="18">
        <v>10</v>
      </c>
      <c r="P137" s="18">
        <v>0</v>
      </c>
      <c r="Q137" s="18">
        <v>0</v>
      </c>
      <c r="R137" s="18">
        <v>0</v>
      </c>
      <c r="S137" s="39" t="s">
        <v>4842</v>
      </c>
      <c r="T137" s="39">
        <v>14237</v>
      </c>
      <c r="U137" s="95" t="s">
        <v>4469</v>
      </c>
      <c r="V137" s="39">
        <v>101</v>
      </c>
      <c r="W137" s="18">
        <v>0</v>
      </c>
      <c r="X137" s="18">
        <v>0</v>
      </c>
      <c r="Y137" s="18">
        <v>0</v>
      </c>
      <c r="Z137" s="18">
        <v>0</v>
      </c>
      <c r="AA137" s="18">
        <v>1091901</v>
      </c>
      <c r="AB137" s="18"/>
      <c r="AC137" s="18">
        <v>1019</v>
      </c>
      <c r="AD137" s="18">
        <v>0</v>
      </c>
      <c r="AE137" s="18">
        <v>0</v>
      </c>
      <c r="AF137" s="18">
        <v>1</v>
      </c>
      <c r="AG137" s="18">
        <v>0</v>
      </c>
      <c r="AH137" s="18">
        <v>0</v>
      </c>
      <c r="AI137" s="18">
        <v>0</v>
      </c>
    </row>
    <row r="138" spans="1:35" x14ac:dyDescent="0.2">
      <c r="A138">
        <v>0</v>
      </c>
      <c r="B138" t="s">
        <v>3973</v>
      </c>
      <c r="C138" t="s">
        <v>172</v>
      </c>
      <c r="E138" s="18">
        <v>14738</v>
      </c>
      <c r="F138" s="18">
        <v>11545</v>
      </c>
      <c r="G138" s="18">
        <v>12545</v>
      </c>
      <c r="H138" s="18">
        <v>11109</v>
      </c>
      <c r="I138" s="18">
        <v>2</v>
      </c>
      <c r="J138" s="18">
        <v>3</v>
      </c>
      <c r="K138" s="18">
        <v>11</v>
      </c>
      <c r="L138" s="18">
        <v>5</v>
      </c>
      <c r="M138" s="18">
        <v>0</v>
      </c>
      <c r="N138" s="18">
        <v>300</v>
      </c>
      <c r="O138" s="18">
        <v>10</v>
      </c>
      <c r="P138" s="18">
        <v>0</v>
      </c>
      <c r="Q138" s="18">
        <v>0</v>
      </c>
      <c r="R138" s="18">
        <v>0</v>
      </c>
      <c r="S138" s="39" t="s">
        <v>4846</v>
      </c>
      <c r="T138" s="39">
        <v>14238</v>
      </c>
      <c r="U138" s="95" t="s">
        <v>4094</v>
      </c>
      <c r="V138" s="39">
        <v>101</v>
      </c>
      <c r="W138" s="18">
        <v>0</v>
      </c>
      <c r="X138" s="18">
        <v>0</v>
      </c>
      <c r="Y138" s="18">
        <v>0</v>
      </c>
      <c r="Z138" s="18">
        <v>0</v>
      </c>
      <c r="AA138" s="18">
        <v>1091901</v>
      </c>
      <c r="AB138" s="18"/>
      <c r="AC138" s="18">
        <v>1019</v>
      </c>
      <c r="AD138" s="18">
        <v>0</v>
      </c>
      <c r="AE138" s="18">
        <v>0</v>
      </c>
      <c r="AF138" s="18">
        <v>6</v>
      </c>
      <c r="AG138" s="18">
        <v>0</v>
      </c>
      <c r="AH138" s="18">
        <v>0</v>
      </c>
      <c r="AI138" s="18">
        <v>0</v>
      </c>
    </row>
    <row r="139" spans="1:35" x14ac:dyDescent="0.2">
      <c r="A139">
        <v>0</v>
      </c>
      <c r="B139" t="s">
        <v>3974</v>
      </c>
      <c r="C139" t="s">
        <v>174</v>
      </c>
      <c r="E139" s="18">
        <v>14739</v>
      </c>
      <c r="F139" s="18">
        <v>11546</v>
      </c>
      <c r="G139" s="18">
        <v>12546</v>
      </c>
      <c r="H139" s="18">
        <v>11114</v>
      </c>
      <c r="I139" s="18">
        <v>2</v>
      </c>
      <c r="J139" s="18">
        <v>2</v>
      </c>
      <c r="K139" s="18">
        <v>11</v>
      </c>
      <c r="L139" s="18">
        <v>5</v>
      </c>
      <c r="M139" s="18">
        <v>0</v>
      </c>
      <c r="N139" s="18">
        <v>300</v>
      </c>
      <c r="O139" s="18">
        <v>10</v>
      </c>
      <c r="P139" s="18">
        <v>0</v>
      </c>
      <c r="Q139" s="18">
        <v>0</v>
      </c>
      <c r="R139" s="18">
        <v>0</v>
      </c>
      <c r="S139" s="39" t="s">
        <v>4847</v>
      </c>
      <c r="T139" s="39">
        <v>14239</v>
      </c>
      <c r="U139" s="95" t="s">
        <v>3274</v>
      </c>
      <c r="V139" s="39">
        <v>101</v>
      </c>
      <c r="W139" s="18">
        <v>0</v>
      </c>
      <c r="X139" s="18">
        <v>0</v>
      </c>
      <c r="Y139" s="18">
        <v>0</v>
      </c>
      <c r="Z139" s="18">
        <v>0</v>
      </c>
      <c r="AA139" s="18">
        <v>1091901</v>
      </c>
      <c r="AB139" s="18"/>
      <c r="AC139" s="18">
        <v>1019</v>
      </c>
      <c r="AD139" s="18">
        <v>0</v>
      </c>
      <c r="AE139" s="18">
        <v>0</v>
      </c>
      <c r="AF139" s="18">
        <v>4</v>
      </c>
      <c r="AG139" s="18">
        <v>0</v>
      </c>
      <c r="AH139" s="18">
        <v>0</v>
      </c>
      <c r="AI139" s="18">
        <v>0</v>
      </c>
    </row>
    <row r="140" spans="1:35" x14ac:dyDescent="0.2">
      <c r="A140">
        <v>0</v>
      </c>
      <c r="B140" t="s">
        <v>3975</v>
      </c>
      <c r="C140" t="s">
        <v>176</v>
      </c>
      <c r="E140" s="18">
        <v>14740</v>
      </c>
      <c r="F140" s="18">
        <v>11547</v>
      </c>
      <c r="G140" s="18">
        <v>12547</v>
      </c>
      <c r="H140" s="18">
        <v>11105</v>
      </c>
      <c r="I140" s="18">
        <v>2</v>
      </c>
      <c r="J140" s="18">
        <v>3</v>
      </c>
      <c r="K140" s="18">
        <v>11</v>
      </c>
      <c r="L140" s="18">
        <v>5</v>
      </c>
      <c r="M140" s="18">
        <v>0</v>
      </c>
      <c r="N140" s="18">
        <v>300</v>
      </c>
      <c r="O140" s="18">
        <v>10</v>
      </c>
      <c r="P140" s="18">
        <v>0</v>
      </c>
      <c r="Q140" s="18">
        <v>0</v>
      </c>
      <c r="R140" s="18">
        <v>0</v>
      </c>
      <c r="S140" s="39" t="s">
        <v>4845</v>
      </c>
      <c r="T140" s="39" t="s">
        <v>4843</v>
      </c>
      <c r="U140" s="95" t="s">
        <v>4844</v>
      </c>
      <c r="V140" s="39">
        <v>101</v>
      </c>
      <c r="W140" s="18">
        <v>0</v>
      </c>
      <c r="X140" s="18">
        <v>0</v>
      </c>
      <c r="Y140" s="18">
        <v>0</v>
      </c>
      <c r="Z140" s="18">
        <v>0</v>
      </c>
      <c r="AA140" s="18">
        <v>1091901</v>
      </c>
      <c r="AB140" s="18"/>
      <c r="AC140" s="18">
        <v>1019</v>
      </c>
      <c r="AD140" s="18">
        <v>0</v>
      </c>
      <c r="AE140" s="18">
        <v>0</v>
      </c>
      <c r="AF140" s="18">
        <v>6</v>
      </c>
      <c r="AG140" s="18">
        <v>0</v>
      </c>
      <c r="AH140" s="18">
        <v>0</v>
      </c>
      <c r="AI140" s="18">
        <v>0</v>
      </c>
    </row>
    <row r="141" spans="1:35" x14ac:dyDescent="0.2">
      <c r="A141">
        <v>0</v>
      </c>
      <c r="B141" t="s">
        <v>3976</v>
      </c>
      <c r="C141" t="s">
        <v>178</v>
      </c>
      <c r="E141" s="18">
        <v>14741</v>
      </c>
      <c r="F141" s="18">
        <v>11548</v>
      </c>
      <c r="G141" s="18">
        <v>12548</v>
      </c>
      <c r="H141" s="18">
        <v>11104</v>
      </c>
      <c r="I141" s="18">
        <v>2</v>
      </c>
      <c r="J141" s="18">
        <v>3</v>
      </c>
      <c r="K141" s="18">
        <v>11</v>
      </c>
      <c r="L141" s="18">
        <v>5</v>
      </c>
      <c r="M141" s="18">
        <v>0</v>
      </c>
      <c r="N141" s="18">
        <v>300</v>
      </c>
      <c r="O141" s="18">
        <v>10</v>
      </c>
      <c r="P141" s="18">
        <v>0</v>
      </c>
      <c r="Q141" s="18">
        <v>0</v>
      </c>
      <c r="R141" s="18">
        <v>0</v>
      </c>
      <c r="S141" s="39" t="s">
        <v>4852</v>
      </c>
      <c r="T141" s="39" t="s">
        <v>4851</v>
      </c>
      <c r="U141" s="95" t="s">
        <v>4470</v>
      </c>
      <c r="V141" s="39">
        <v>101</v>
      </c>
      <c r="W141" s="18">
        <v>0</v>
      </c>
      <c r="X141" s="18">
        <v>0</v>
      </c>
      <c r="Y141" s="18">
        <v>0</v>
      </c>
      <c r="Z141" s="18">
        <v>0</v>
      </c>
      <c r="AA141" s="18">
        <v>1091901</v>
      </c>
      <c r="AB141" s="18"/>
      <c r="AC141" s="18">
        <v>1019</v>
      </c>
      <c r="AD141" s="18">
        <v>0</v>
      </c>
      <c r="AE141" s="18">
        <v>0</v>
      </c>
      <c r="AF141" s="18">
        <v>6</v>
      </c>
      <c r="AG141" s="18">
        <v>0</v>
      </c>
      <c r="AH141" s="18">
        <v>0</v>
      </c>
      <c r="AI141" s="18">
        <v>0</v>
      </c>
    </row>
    <row r="142" spans="1:35" x14ac:dyDescent="0.2">
      <c r="A142">
        <v>0</v>
      </c>
      <c r="B142" t="s">
        <v>3977</v>
      </c>
      <c r="C142" t="s">
        <v>180</v>
      </c>
      <c r="E142" s="18">
        <v>14742</v>
      </c>
      <c r="F142" s="18">
        <v>11549</v>
      </c>
      <c r="G142" s="18">
        <v>12549</v>
      </c>
      <c r="H142" s="18">
        <v>11110</v>
      </c>
      <c r="I142" s="18">
        <v>2</v>
      </c>
      <c r="J142" s="18">
        <v>3</v>
      </c>
      <c r="K142" s="18">
        <v>11</v>
      </c>
      <c r="L142" s="18">
        <v>5</v>
      </c>
      <c r="M142" s="18">
        <v>0</v>
      </c>
      <c r="N142" s="18">
        <v>300</v>
      </c>
      <c r="O142" s="18">
        <v>0</v>
      </c>
      <c r="P142" s="18">
        <v>0</v>
      </c>
      <c r="Q142" s="18">
        <v>0</v>
      </c>
      <c r="R142" s="18">
        <v>0</v>
      </c>
      <c r="S142" s="39" t="s">
        <v>4853</v>
      </c>
      <c r="T142" s="39">
        <v>14242</v>
      </c>
      <c r="U142" s="95" t="s">
        <v>4095</v>
      </c>
      <c r="V142" s="39">
        <v>101</v>
      </c>
      <c r="W142" s="18">
        <v>0</v>
      </c>
      <c r="X142" s="18">
        <v>0</v>
      </c>
      <c r="Y142" s="18">
        <v>0</v>
      </c>
      <c r="Z142" s="18">
        <v>0</v>
      </c>
      <c r="AA142" s="18">
        <v>1091901</v>
      </c>
      <c r="AB142" s="18"/>
      <c r="AC142" s="18">
        <v>1019</v>
      </c>
      <c r="AD142" s="18">
        <v>0</v>
      </c>
      <c r="AE142" s="18">
        <v>0</v>
      </c>
      <c r="AF142" s="18">
        <v>5</v>
      </c>
      <c r="AG142" s="18">
        <v>0</v>
      </c>
      <c r="AH142" s="18">
        <v>0</v>
      </c>
      <c r="AI142" s="18">
        <v>0</v>
      </c>
    </row>
    <row r="143" spans="1:35" x14ac:dyDescent="0.2">
      <c r="A143">
        <v>0</v>
      </c>
      <c r="B143" t="s">
        <v>3978</v>
      </c>
      <c r="C143" t="s">
        <v>182</v>
      </c>
      <c r="E143" s="18">
        <v>14743</v>
      </c>
      <c r="F143" s="18">
        <v>11550</v>
      </c>
      <c r="G143" s="18">
        <v>12550</v>
      </c>
      <c r="H143" s="18">
        <v>11108</v>
      </c>
      <c r="I143" s="18">
        <v>2</v>
      </c>
      <c r="J143" s="18">
        <v>3</v>
      </c>
      <c r="K143" s="18">
        <v>11</v>
      </c>
      <c r="L143" s="18">
        <v>5</v>
      </c>
      <c r="M143" s="18">
        <v>0</v>
      </c>
      <c r="N143" s="18">
        <v>300</v>
      </c>
      <c r="O143" s="18">
        <v>10</v>
      </c>
      <c r="P143" s="18">
        <v>0</v>
      </c>
      <c r="Q143" s="18">
        <v>0</v>
      </c>
      <c r="R143" s="18">
        <v>0</v>
      </c>
      <c r="S143" s="39" t="s">
        <v>4850</v>
      </c>
      <c r="T143" s="39" t="s">
        <v>4848</v>
      </c>
      <c r="U143" s="95" t="s">
        <v>4849</v>
      </c>
      <c r="V143" s="39">
        <v>101</v>
      </c>
      <c r="W143" s="18">
        <v>0</v>
      </c>
      <c r="X143" s="18">
        <v>0</v>
      </c>
      <c r="Y143" s="18">
        <v>0</v>
      </c>
      <c r="Z143" s="18">
        <v>0</v>
      </c>
      <c r="AA143" s="18">
        <v>1091901</v>
      </c>
      <c r="AB143" s="18"/>
      <c r="AC143" s="18">
        <v>1019</v>
      </c>
      <c r="AD143" s="18">
        <v>0</v>
      </c>
      <c r="AE143" s="18">
        <v>0</v>
      </c>
      <c r="AF143" s="18">
        <v>6</v>
      </c>
      <c r="AG143" s="18">
        <v>0</v>
      </c>
      <c r="AH143" s="18">
        <v>0</v>
      </c>
      <c r="AI143" s="18">
        <v>0</v>
      </c>
    </row>
    <row r="144" spans="1:35" x14ac:dyDescent="0.2">
      <c r="A144">
        <v>0</v>
      </c>
      <c r="B144" t="s">
        <v>3979</v>
      </c>
      <c r="C144" t="s">
        <v>184</v>
      </c>
      <c r="E144" s="18">
        <v>14744</v>
      </c>
      <c r="F144" s="18">
        <v>11551</v>
      </c>
      <c r="G144" s="18">
        <v>12551</v>
      </c>
      <c r="H144" s="18">
        <v>11112</v>
      </c>
      <c r="I144" s="18">
        <v>2</v>
      </c>
      <c r="J144" s="18">
        <v>2</v>
      </c>
      <c r="K144" s="18">
        <v>11</v>
      </c>
      <c r="L144" s="18">
        <v>5</v>
      </c>
      <c r="M144" s="18">
        <v>0</v>
      </c>
      <c r="N144" s="18">
        <v>300</v>
      </c>
      <c r="O144" s="18">
        <v>10</v>
      </c>
      <c r="P144" s="18">
        <v>0</v>
      </c>
      <c r="Q144" s="18">
        <v>0</v>
      </c>
      <c r="R144" s="18">
        <v>0</v>
      </c>
      <c r="S144" s="39" t="s">
        <v>4854</v>
      </c>
      <c r="T144" s="39">
        <v>14244</v>
      </c>
      <c r="U144" s="95" t="s">
        <v>3275</v>
      </c>
      <c r="V144" s="39">
        <v>101</v>
      </c>
      <c r="W144" s="18">
        <v>0</v>
      </c>
      <c r="X144" s="18">
        <v>0</v>
      </c>
      <c r="Y144" s="18">
        <v>0</v>
      </c>
      <c r="Z144" s="18">
        <v>0</v>
      </c>
      <c r="AA144" s="18">
        <v>1091901</v>
      </c>
      <c r="AB144" s="18"/>
      <c r="AC144" s="18">
        <v>1019</v>
      </c>
      <c r="AD144" s="18">
        <v>0</v>
      </c>
      <c r="AE144" s="18">
        <v>0</v>
      </c>
      <c r="AF144" s="18">
        <v>1</v>
      </c>
      <c r="AG144" s="18">
        <v>0</v>
      </c>
      <c r="AH144" s="18">
        <v>0</v>
      </c>
      <c r="AI144" s="18">
        <v>0</v>
      </c>
    </row>
    <row r="145" spans="1:35" x14ac:dyDescent="0.2">
      <c r="A145">
        <v>0</v>
      </c>
      <c r="B145" t="s">
        <v>3980</v>
      </c>
      <c r="C145" t="s">
        <v>186</v>
      </c>
      <c r="E145" s="18">
        <v>14745</v>
      </c>
      <c r="F145" s="18">
        <v>11552</v>
      </c>
      <c r="G145" s="18">
        <v>12552</v>
      </c>
      <c r="H145" s="18">
        <v>11107</v>
      </c>
      <c r="I145" s="18">
        <v>2</v>
      </c>
      <c r="J145" s="18">
        <v>3</v>
      </c>
      <c r="K145" s="18">
        <v>11</v>
      </c>
      <c r="L145" s="18">
        <v>5</v>
      </c>
      <c r="M145" s="18">
        <v>0</v>
      </c>
      <c r="N145" s="18">
        <v>300</v>
      </c>
      <c r="O145" s="18">
        <v>10</v>
      </c>
      <c r="P145" s="18">
        <v>0</v>
      </c>
      <c r="Q145" s="18">
        <v>0</v>
      </c>
      <c r="R145" s="18">
        <v>0</v>
      </c>
      <c r="S145" s="39" t="s">
        <v>4855</v>
      </c>
      <c r="T145" s="39">
        <v>14245</v>
      </c>
      <c r="U145" s="95" t="s">
        <v>3276</v>
      </c>
      <c r="V145" s="39">
        <v>101</v>
      </c>
      <c r="W145" s="18">
        <v>0</v>
      </c>
      <c r="X145" s="18">
        <v>0</v>
      </c>
      <c r="Y145" s="18">
        <v>0</v>
      </c>
      <c r="Z145" s="18">
        <v>0</v>
      </c>
      <c r="AA145" s="18">
        <v>1091901</v>
      </c>
      <c r="AB145" s="18"/>
      <c r="AC145" s="18">
        <v>1019</v>
      </c>
      <c r="AD145" s="18">
        <v>0</v>
      </c>
      <c r="AE145" s="18">
        <v>0</v>
      </c>
      <c r="AF145" s="18">
        <v>1</v>
      </c>
      <c r="AG145" s="18">
        <v>0</v>
      </c>
      <c r="AH145" s="18">
        <v>0</v>
      </c>
      <c r="AI145" s="18">
        <v>0</v>
      </c>
    </row>
    <row r="146" spans="1:35" x14ac:dyDescent="0.2">
      <c r="A146">
        <v>0</v>
      </c>
      <c r="B146" t="s">
        <v>3981</v>
      </c>
      <c r="C146" t="s">
        <v>188</v>
      </c>
      <c r="E146" s="18">
        <v>14746</v>
      </c>
      <c r="F146" s="18">
        <v>11553</v>
      </c>
      <c r="G146" s="18">
        <v>12553</v>
      </c>
      <c r="H146" s="18">
        <v>5444</v>
      </c>
      <c r="I146" s="18">
        <v>2</v>
      </c>
      <c r="J146" s="18">
        <v>2</v>
      </c>
      <c r="K146" s="18">
        <v>21</v>
      </c>
      <c r="L146" s="18">
        <v>5</v>
      </c>
      <c r="M146" s="18">
        <v>0</v>
      </c>
      <c r="N146" s="18">
        <v>300</v>
      </c>
      <c r="O146" s="18">
        <v>10</v>
      </c>
      <c r="P146" s="18">
        <v>0</v>
      </c>
      <c r="Q146" s="18">
        <v>0</v>
      </c>
      <c r="R146" s="18">
        <v>0</v>
      </c>
      <c r="S146" s="39" t="s">
        <v>2802</v>
      </c>
      <c r="T146" s="39">
        <v>14246</v>
      </c>
      <c r="U146" s="95" t="s">
        <v>3277</v>
      </c>
      <c r="V146" s="39">
        <v>101</v>
      </c>
      <c r="W146" s="18">
        <v>0</v>
      </c>
      <c r="X146" s="18">
        <v>0</v>
      </c>
      <c r="Y146" s="18">
        <v>0</v>
      </c>
      <c r="Z146" s="18">
        <v>0</v>
      </c>
      <c r="AA146" s="18">
        <v>0</v>
      </c>
      <c r="AB146" s="18"/>
      <c r="AC146" s="18">
        <v>1023</v>
      </c>
      <c r="AD146" s="18">
        <v>0</v>
      </c>
      <c r="AE146" s="18">
        <v>0</v>
      </c>
      <c r="AF146" s="18">
        <v>1</v>
      </c>
      <c r="AG146" s="18">
        <v>0</v>
      </c>
      <c r="AH146" s="18">
        <v>0</v>
      </c>
      <c r="AI146" s="18">
        <v>0</v>
      </c>
    </row>
    <row r="147" spans="1:35" x14ac:dyDescent="0.2">
      <c r="A147">
        <v>1</v>
      </c>
      <c r="B147" t="s">
        <v>3982</v>
      </c>
      <c r="C147" t="s">
        <v>2721</v>
      </c>
      <c r="E147" s="18">
        <v>14747</v>
      </c>
      <c r="F147" s="18">
        <v>11554</v>
      </c>
      <c r="G147" s="18">
        <v>12554</v>
      </c>
      <c r="H147" s="18">
        <v>5445</v>
      </c>
      <c r="I147" s="18">
        <v>2</v>
      </c>
      <c r="J147" s="18">
        <v>2</v>
      </c>
      <c r="K147" s="18">
        <v>21</v>
      </c>
      <c r="L147" s="18">
        <v>5</v>
      </c>
      <c r="M147" s="18">
        <v>0</v>
      </c>
      <c r="N147" s="18">
        <v>300</v>
      </c>
      <c r="O147" s="18">
        <v>10</v>
      </c>
      <c r="P147" s="18">
        <v>10</v>
      </c>
      <c r="Q147" s="18">
        <v>10</v>
      </c>
      <c r="R147" s="18">
        <v>0</v>
      </c>
      <c r="S147" s="39" t="s">
        <v>2802</v>
      </c>
      <c r="T147" s="39" t="s">
        <v>2809</v>
      </c>
      <c r="U147" s="95" t="s">
        <v>3263</v>
      </c>
      <c r="V147" s="39">
        <v>101</v>
      </c>
      <c r="W147" s="18">
        <v>0</v>
      </c>
      <c r="X147" s="18">
        <v>0</v>
      </c>
      <c r="Y147" s="18">
        <v>0</v>
      </c>
      <c r="Z147" s="18">
        <v>0</v>
      </c>
      <c r="AA147" s="18">
        <v>0</v>
      </c>
      <c r="AB147" s="18"/>
      <c r="AC147" s="18">
        <v>1023</v>
      </c>
      <c r="AD147" s="18">
        <v>0</v>
      </c>
      <c r="AE147" s="18">
        <v>0</v>
      </c>
      <c r="AF147" s="18">
        <v>1</v>
      </c>
      <c r="AG147" s="18">
        <v>0</v>
      </c>
      <c r="AH147" s="18">
        <v>0</v>
      </c>
      <c r="AI147" s="18">
        <v>0</v>
      </c>
    </row>
    <row r="148" spans="1:35" x14ac:dyDescent="0.2">
      <c r="A148">
        <v>1</v>
      </c>
      <c r="B148" t="s">
        <v>3983</v>
      </c>
      <c r="C148" t="s">
        <v>2722</v>
      </c>
      <c r="E148" s="18">
        <v>14748</v>
      </c>
      <c r="F148" s="18">
        <v>11555</v>
      </c>
      <c r="G148" s="18">
        <v>12555</v>
      </c>
      <c r="H148" s="18">
        <v>5413</v>
      </c>
      <c r="I148" s="18">
        <v>2</v>
      </c>
      <c r="J148" s="18">
        <v>2</v>
      </c>
      <c r="K148" s="18">
        <v>21</v>
      </c>
      <c r="L148" s="18">
        <v>5</v>
      </c>
      <c r="M148" s="18">
        <v>0</v>
      </c>
      <c r="N148" s="18">
        <v>300</v>
      </c>
      <c r="O148" s="18">
        <v>10</v>
      </c>
      <c r="P148" s="18">
        <v>10</v>
      </c>
      <c r="Q148" s="18">
        <v>10</v>
      </c>
      <c r="R148" s="18">
        <v>0</v>
      </c>
      <c r="S148" s="39" t="s">
        <v>2802</v>
      </c>
      <c r="T148" s="39" t="s">
        <v>2841</v>
      </c>
      <c r="U148" s="95" t="s">
        <v>3264</v>
      </c>
      <c r="V148" s="39">
        <v>101</v>
      </c>
      <c r="W148" s="18">
        <v>0</v>
      </c>
      <c r="X148" s="18">
        <v>0</v>
      </c>
      <c r="Y148" s="18">
        <v>0</v>
      </c>
      <c r="Z148" s="18">
        <v>0</v>
      </c>
      <c r="AA148" s="18">
        <v>0</v>
      </c>
      <c r="AB148" s="18"/>
      <c r="AC148" s="18">
        <v>1023</v>
      </c>
      <c r="AD148" s="18">
        <v>0</v>
      </c>
      <c r="AE148" s="18">
        <v>0</v>
      </c>
      <c r="AF148" s="18">
        <v>5</v>
      </c>
      <c r="AG148" s="18">
        <v>0</v>
      </c>
      <c r="AH148" s="18">
        <v>0</v>
      </c>
      <c r="AI148" s="18">
        <v>0</v>
      </c>
    </row>
    <row r="149" spans="1:35" x14ac:dyDescent="0.2">
      <c r="A149">
        <v>0</v>
      </c>
      <c r="B149" t="s">
        <v>3984</v>
      </c>
      <c r="C149" t="s">
        <v>192</v>
      </c>
      <c r="E149" s="18">
        <v>14749</v>
      </c>
      <c r="F149" s="18">
        <v>11556</v>
      </c>
      <c r="G149" s="18">
        <v>12556</v>
      </c>
      <c r="H149" s="18">
        <v>5401</v>
      </c>
      <c r="I149" s="18">
        <v>2</v>
      </c>
      <c r="J149" s="18">
        <v>2</v>
      </c>
      <c r="K149" s="18">
        <v>21</v>
      </c>
      <c r="L149" s="18">
        <v>5</v>
      </c>
      <c r="M149" s="18">
        <v>0</v>
      </c>
      <c r="N149" s="18">
        <v>300</v>
      </c>
      <c r="O149" s="18">
        <v>10</v>
      </c>
      <c r="P149" s="18">
        <v>0</v>
      </c>
      <c r="Q149" s="18">
        <v>0</v>
      </c>
      <c r="R149" s="18">
        <v>0</v>
      </c>
      <c r="S149" s="39" t="s">
        <v>2802</v>
      </c>
      <c r="T149" s="39">
        <v>14249</v>
      </c>
      <c r="U149" s="95" t="s">
        <v>4829</v>
      </c>
      <c r="V149" s="39">
        <v>101</v>
      </c>
      <c r="W149" s="18">
        <v>0</v>
      </c>
      <c r="X149" s="18">
        <v>0</v>
      </c>
      <c r="Y149" s="18">
        <v>0</v>
      </c>
      <c r="Z149" s="18">
        <v>0</v>
      </c>
      <c r="AA149" s="18">
        <v>0</v>
      </c>
      <c r="AB149" s="18"/>
      <c r="AC149" s="18">
        <v>1023</v>
      </c>
      <c r="AD149" s="18">
        <v>0</v>
      </c>
      <c r="AE149" s="18">
        <v>0</v>
      </c>
      <c r="AF149" s="18">
        <v>1</v>
      </c>
      <c r="AG149" s="18">
        <v>0</v>
      </c>
      <c r="AH149" s="18">
        <v>0</v>
      </c>
      <c r="AI149" s="18">
        <v>0</v>
      </c>
    </row>
    <row r="150" spans="1:35" x14ac:dyDescent="0.2">
      <c r="A150">
        <v>0</v>
      </c>
      <c r="B150" t="s">
        <v>3985</v>
      </c>
      <c r="E150" s="18">
        <v>14750</v>
      </c>
      <c r="F150" s="18">
        <v>11557</v>
      </c>
      <c r="G150" s="18">
        <v>12557</v>
      </c>
      <c r="H150" s="18">
        <v>5441</v>
      </c>
      <c r="I150" s="18">
        <v>2</v>
      </c>
      <c r="J150" s="18">
        <v>2</v>
      </c>
      <c r="K150" s="18">
        <v>21</v>
      </c>
      <c r="L150" s="18">
        <v>5</v>
      </c>
      <c r="M150" s="18">
        <v>0</v>
      </c>
      <c r="N150" s="18">
        <v>300</v>
      </c>
      <c r="O150" s="18">
        <v>10</v>
      </c>
      <c r="P150" s="18">
        <v>0</v>
      </c>
      <c r="Q150" s="18">
        <v>0</v>
      </c>
      <c r="R150" s="18">
        <v>0</v>
      </c>
      <c r="S150" s="39" t="s">
        <v>2802</v>
      </c>
      <c r="T150" s="39">
        <v>14250</v>
      </c>
      <c r="U150" s="95" t="s">
        <v>4130</v>
      </c>
      <c r="V150" s="39">
        <v>101</v>
      </c>
      <c r="W150" s="18">
        <v>0</v>
      </c>
      <c r="X150" s="18">
        <v>0</v>
      </c>
      <c r="Y150" s="18">
        <v>0</v>
      </c>
      <c r="Z150" s="18">
        <v>0</v>
      </c>
      <c r="AA150" s="18">
        <v>0</v>
      </c>
      <c r="AB150" s="18"/>
      <c r="AC150" s="18">
        <v>1023</v>
      </c>
      <c r="AD150" s="18">
        <v>0</v>
      </c>
      <c r="AE150" s="18">
        <v>0</v>
      </c>
      <c r="AF150" s="18">
        <v>1</v>
      </c>
      <c r="AG150" s="18">
        <v>0</v>
      </c>
      <c r="AH150" s="18">
        <v>0</v>
      </c>
      <c r="AI150" s="18">
        <v>0</v>
      </c>
    </row>
    <row r="151" spans="1:35" x14ac:dyDescent="0.2">
      <c r="A151">
        <v>0</v>
      </c>
      <c r="B151" t="s">
        <v>3986</v>
      </c>
      <c r="E151" s="18">
        <v>14751</v>
      </c>
      <c r="F151" s="18">
        <v>11558</v>
      </c>
      <c r="G151" s="18">
        <v>12558</v>
      </c>
      <c r="H151" s="18">
        <v>5431</v>
      </c>
      <c r="I151" s="18">
        <v>2</v>
      </c>
      <c r="J151" s="18">
        <v>2</v>
      </c>
      <c r="K151" s="18">
        <v>21</v>
      </c>
      <c r="L151" s="18">
        <v>5</v>
      </c>
      <c r="M151" s="18">
        <v>0</v>
      </c>
      <c r="N151" s="18">
        <v>300</v>
      </c>
      <c r="O151" s="18">
        <v>10</v>
      </c>
      <c r="P151" s="18">
        <v>0</v>
      </c>
      <c r="Q151" s="18">
        <v>0</v>
      </c>
      <c r="R151" s="18">
        <v>0</v>
      </c>
      <c r="S151" s="39" t="s">
        <v>2802</v>
      </c>
      <c r="T151" s="39">
        <v>14251</v>
      </c>
      <c r="U151" s="95" t="s">
        <v>3278</v>
      </c>
      <c r="V151" s="39">
        <v>101</v>
      </c>
      <c r="W151" s="18">
        <v>0</v>
      </c>
      <c r="X151" s="18">
        <v>0</v>
      </c>
      <c r="Y151" s="18">
        <v>0</v>
      </c>
      <c r="Z151" s="18">
        <v>0</v>
      </c>
      <c r="AA151" s="18">
        <v>0</v>
      </c>
      <c r="AB151" s="18"/>
      <c r="AC151" s="18">
        <v>1023</v>
      </c>
      <c r="AD151" s="18">
        <v>0</v>
      </c>
      <c r="AE151" s="18">
        <v>0</v>
      </c>
      <c r="AF151" s="18">
        <v>1</v>
      </c>
      <c r="AG151" s="18">
        <v>0</v>
      </c>
      <c r="AH151" s="18">
        <v>0</v>
      </c>
      <c r="AI151" s="18">
        <v>0</v>
      </c>
    </row>
    <row r="152" spans="1:35" x14ac:dyDescent="0.2">
      <c r="A152">
        <v>0</v>
      </c>
      <c r="B152" t="s">
        <v>3987</v>
      </c>
      <c r="E152" s="18">
        <v>14752</v>
      </c>
      <c r="F152" s="18">
        <v>11559</v>
      </c>
      <c r="G152" s="18">
        <v>12559</v>
      </c>
      <c r="H152" s="18">
        <v>5412</v>
      </c>
      <c r="I152" s="18">
        <v>2</v>
      </c>
      <c r="J152" s="18">
        <v>2</v>
      </c>
      <c r="K152" s="18">
        <v>21</v>
      </c>
      <c r="L152" s="18">
        <v>5</v>
      </c>
      <c r="M152" s="18">
        <v>0</v>
      </c>
      <c r="N152" s="18">
        <v>300</v>
      </c>
      <c r="O152" s="18">
        <v>10</v>
      </c>
      <c r="P152" s="18">
        <v>0</v>
      </c>
      <c r="Q152" s="18">
        <v>0</v>
      </c>
      <c r="R152" s="18">
        <v>0</v>
      </c>
      <c r="S152" s="39" t="s">
        <v>2802</v>
      </c>
      <c r="T152" s="39" t="s">
        <v>4529</v>
      </c>
      <c r="U152" s="95" t="s">
        <v>4106</v>
      </c>
      <c r="V152" s="39">
        <v>101</v>
      </c>
      <c r="W152" s="18">
        <v>0</v>
      </c>
      <c r="X152" s="18">
        <v>0</v>
      </c>
      <c r="Y152" s="18">
        <v>0</v>
      </c>
      <c r="Z152" s="18">
        <v>0</v>
      </c>
      <c r="AA152" s="18">
        <v>0</v>
      </c>
      <c r="AB152" s="18"/>
      <c r="AC152" s="18">
        <v>1023</v>
      </c>
      <c r="AD152" s="18">
        <v>0</v>
      </c>
      <c r="AE152" s="18">
        <v>0</v>
      </c>
      <c r="AF152" s="18">
        <v>4</v>
      </c>
      <c r="AG152" s="18">
        <v>0</v>
      </c>
      <c r="AH152" s="18">
        <v>0</v>
      </c>
      <c r="AI152" s="18">
        <v>0</v>
      </c>
    </row>
    <row r="153" spans="1:35" x14ac:dyDescent="0.2">
      <c r="A153">
        <v>0</v>
      </c>
      <c r="B153" t="s">
        <v>196</v>
      </c>
      <c r="E153" s="18">
        <v>14753</v>
      </c>
      <c r="F153" s="18">
        <v>11560</v>
      </c>
      <c r="G153" s="18">
        <v>12560</v>
      </c>
      <c r="H153" s="18">
        <v>5424</v>
      </c>
      <c r="I153" s="18">
        <v>2</v>
      </c>
      <c r="J153" s="18">
        <v>2</v>
      </c>
      <c r="K153" s="18">
        <v>21</v>
      </c>
      <c r="L153" s="18">
        <v>5</v>
      </c>
      <c r="M153" s="18">
        <v>0</v>
      </c>
      <c r="N153" s="18">
        <v>300</v>
      </c>
      <c r="O153" s="18">
        <v>10</v>
      </c>
      <c r="P153" s="18">
        <v>0</v>
      </c>
      <c r="Q153" s="18">
        <v>0</v>
      </c>
      <c r="R153" s="18">
        <v>0</v>
      </c>
      <c r="S153" s="39" t="s">
        <v>2802</v>
      </c>
      <c r="T153" s="39">
        <v>14253</v>
      </c>
      <c r="U153" s="95" t="s">
        <v>3279</v>
      </c>
      <c r="V153" s="39">
        <v>101</v>
      </c>
      <c r="W153" s="18">
        <v>0</v>
      </c>
      <c r="X153" s="18">
        <v>0</v>
      </c>
      <c r="Y153" s="18">
        <v>0</v>
      </c>
      <c r="Z153" s="18">
        <v>0</v>
      </c>
      <c r="AA153" s="18">
        <v>0</v>
      </c>
      <c r="AB153" s="18"/>
      <c r="AC153" s="18">
        <v>1023</v>
      </c>
      <c r="AD153" s="18">
        <v>0</v>
      </c>
      <c r="AE153" s="18">
        <v>0</v>
      </c>
      <c r="AF153" s="18">
        <v>6</v>
      </c>
      <c r="AG153" s="18">
        <v>0</v>
      </c>
      <c r="AH153" s="18">
        <v>0</v>
      </c>
      <c r="AI153" s="18">
        <v>0</v>
      </c>
    </row>
    <row r="154" spans="1:35" x14ac:dyDescent="0.2">
      <c r="A154">
        <v>0</v>
      </c>
      <c r="B154" t="s">
        <v>3988</v>
      </c>
      <c r="C154" t="s">
        <v>198</v>
      </c>
      <c r="E154" s="18">
        <v>14754</v>
      </c>
      <c r="F154" s="18">
        <v>11561</v>
      </c>
      <c r="G154" s="18">
        <v>12561</v>
      </c>
      <c r="H154" s="18">
        <v>5433</v>
      </c>
      <c r="I154" s="18">
        <v>2</v>
      </c>
      <c r="J154" s="18">
        <v>2</v>
      </c>
      <c r="K154" s="18">
        <v>21</v>
      </c>
      <c r="L154" s="18">
        <v>5</v>
      </c>
      <c r="M154" s="18">
        <v>0</v>
      </c>
      <c r="N154" s="18">
        <v>300</v>
      </c>
      <c r="O154" s="18">
        <v>10</v>
      </c>
      <c r="P154" s="18">
        <v>0</v>
      </c>
      <c r="Q154" s="18">
        <v>0</v>
      </c>
      <c r="R154" s="18">
        <v>0</v>
      </c>
      <c r="S154" s="39" t="s">
        <v>2802</v>
      </c>
      <c r="T154" s="39">
        <v>14254</v>
      </c>
      <c r="U154" s="95" t="s">
        <v>4497</v>
      </c>
      <c r="V154" s="39">
        <v>101</v>
      </c>
      <c r="W154" s="18">
        <v>0</v>
      </c>
      <c r="X154" s="18">
        <v>0</v>
      </c>
      <c r="Y154" s="18">
        <v>0</v>
      </c>
      <c r="Z154" s="18">
        <v>0</v>
      </c>
      <c r="AA154" s="18">
        <v>0</v>
      </c>
      <c r="AB154" s="18"/>
      <c r="AC154" s="18">
        <v>1023</v>
      </c>
      <c r="AD154" s="18">
        <v>0</v>
      </c>
      <c r="AE154" s="18">
        <v>0</v>
      </c>
      <c r="AF154" s="18">
        <v>6</v>
      </c>
      <c r="AG154" s="18">
        <v>0</v>
      </c>
      <c r="AH154" s="18">
        <v>0</v>
      </c>
      <c r="AI154" s="18">
        <v>0</v>
      </c>
    </row>
    <row r="155" spans="1:35" x14ac:dyDescent="0.2">
      <c r="A155">
        <v>0</v>
      </c>
      <c r="B155" t="s">
        <v>199</v>
      </c>
      <c r="C155" t="s">
        <v>200</v>
      </c>
      <c r="E155" s="18">
        <v>14755</v>
      </c>
      <c r="F155" s="18">
        <v>11562</v>
      </c>
      <c r="G155" s="18">
        <v>12562</v>
      </c>
      <c r="H155" s="18">
        <v>5405</v>
      </c>
      <c r="I155" s="18">
        <v>2</v>
      </c>
      <c r="J155" s="18">
        <v>2</v>
      </c>
      <c r="K155" s="18">
        <v>21</v>
      </c>
      <c r="L155" s="18">
        <v>5</v>
      </c>
      <c r="M155" s="18">
        <v>0</v>
      </c>
      <c r="N155" s="18">
        <v>300</v>
      </c>
      <c r="O155" s="18">
        <v>10</v>
      </c>
      <c r="P155" s="18">
        <v>0</v>
      </c>
      <c r="Q155" s="18">
        <v>0</v>
      </c>
      <c r="R155" s="18">
        <v>0</v>
      </c>
      <c r="S155" s="39" t="s">
        <v>2802</v>
      </c>
      <c r="T155" s="39">
        <v>14255</v>
      </c>
      <c r="U155" s="95" t="s">
        <v>3280</v>
      </c>
      <c r="V155" s="39">
        <v>101</v>
      </c>
      <c r="W155" s="18">
        <v>0</v>
      </c>
      <c r="X155" s="18">
        <v>0</v>
      </c>
      <c r="Y155" s="18">
        <v>0</v>
      </c>
      <c r="Z155" s="18">
        <v>0</v>
      </c>
      <c r="AA155" s="18">
        <v>0</v>
      </c>
      <c r="AB155" s="18"/>
      <c r="AC155" s="18">
        <v>1023</v>
      </c>
      <c r="AD155" s="18">
        <v>0</v>
      </c>
      <c r="AE155" s="18">
        <v>0</v>
      </c>
      <c r="AF155" s="18">
        <v>1</v>
      </c>
      <c r="AG155" s="18">
        <v>0</v>
      </c>
      <c r="AH155" s="18">
        <v>0</v>
      </c>
      <c r="AI155" s="18">
        <v>0</v>
      </c>
    </row>
    <row r="156" spans="1:35" x14ac:dyDescent="0.2">
      <c r="A156">
        <v>0</v>
      </c>
      <c r="B156" t="s">
        <v>3989</v>
      </c>
      <c r="C156" t="s">
        <v>202</v>
      </c>
      <c r="E156" s="18">
        <v>14756</v>
      </c>
      <c r="F156" s="18">
        <v>11563</v>
      </c>
      <c r="G156" s="18">
        <v>12563</v>
      </c>
      <c r="H156" s="18">
        <v>5409</v>
      </c>
      <c r="I156" s="18">
        <v>2</v>
      </c>
      <c r="J156" s="18">
        <v>2</v>
      </c>
      <c r="K156" s="18">
        <v>21</v>
      </c>
      <c r="L156" s="18">
        <v>5</v>
      </c>
      <c r="M156" s="18">
        <v>0</v>
      </c>
      <c r="N156" s="18">
        <v>300</v>
      </c>
      <c r="O156" s="18">
        <v>10</v>
      </c>
      <c r="P156" s="18">
        <v>0</v>
      </c>
      <c r="Q156" s="18">
        <v>0</v>
      </c>
      <c r="R156" s="18">
        <v>0</v>
      </c>
      <c r="S156" s="39" t="s">
        <v>2802</v>
      </c>
      <c r="T156" s="39">
        <v>14256</v>
      </c>
      <c r="U156" s="95" t="s">
        <v>3281</v>
      </c>
      <c r="V156" s="39">
        <v>101</v>
      </c>
      <c r="W156" s="18">
        <v>0</v>
      </c>
      <c r="X156" s="18">
        <v>0</v>
      </c>
      <c r="Y156" s="18">
        <v>0</v>
      </c>
      <c r="Z156" s="18">
        <v>0</v>
      </c>
      <c r="AA156" s="18">
        <v>0</v>
      </c>
      <c r="AB156" s="18"/>
      <c r="AC156" s="18">
        <v>1023</v>
      </c>
      <c r="AD156" s="18">
        <v>0</v>
      </c>
      <c r="AE156" s="18">
        <v>0</v>
      </c>
      <c r="AF156" s="18">
        <v>1</v>
      </c>
      <c r="AG156" s="18">
        <v>0</v>
      </c>
      <c r="AH156" s="18">
        <v>0</v>
      </c>
      <c r="AI156" s="18">
        <v>0</v>
      </c>
    </row>
    <row r="157" spans="1:35" x14ac:dyDescent="0.2">
      <c r="A157">
        <v>0</v>
      </c>
      <c r="B157" t="s">
        <v>3990</v>
      </c>
      <c r="E157" s="18">
        <v>14757</v>
      </c>
      <c r="F157" s="18">
        <v>11564</v>
      </c>
      <c r="G157" s="18">
        <v>12564</v>
      </c>
      <c r="H157" s="18">
        <v>5439</v>
      </c>
      <c r="I157" s="18">
        <v>2</v>
      </c>
      <c r="J157" s="18">
        <v>2</v>
      </c>
      <c r="K157" s="18">
        <v>21</v>
      </c>
      <c r="L157" s="18">
        <v>5</v>
      </c>
      <c r="M157" s="18">
        <v>0</v>
      </c>
      <c r="N157" s="18">
        <v>300</v>
      </c>
      <c r="O157" s="18">
        <v>10</v>
      </c>
      <c r="P157" s="18">
        <v>3</v>
      </c>
      <c r="Q157" s="18">
        <v>3</v>
      </c>
      <c r="R157" s="18">
        <v>0</v>
      </c>
      <c r="S157" s="39" t="s">
        <v>2802</v>
      </c>
      <c r="T157" s="39">
        <v>14257</v>
      </c>
      <c r="U157" s="95" t="s">
        <v>4153</v>
      </c>
      <c r="V157" s="39">
        <v>101</v>
      </c>
      <c r="W157" s="18">
        <v>0</v>
      </c>
      <c r="X157" s="18">
        <v>0</v>
      </c>
      <c r="Y157" s="18">
        <v>0</v>
      </c>
      <c r="Z157" s="18">
        <v>0</v>
      </c>
      <c r="AA157" s="18">
        <v>0</v>
      </c>
      <c r="AB157" s="18"/>
      <c r="AC157" s="18">
        <v>1023</v>
      </c>
      <c r="AD157" s="18">
        <v>0</v>
      </c>
      <c r="AE157" s="18">
        <v>0</v>
      </c>
      <c r="AF157" s="18">
        <v>5</v>
      </c>
      <c r="AG157" s="18">
        <v>0</v>
      </c>
      <c r="AH157" s="18">
        <v>0</v>
      </c>
      <c r="AI157" s="18">
        <v>0</v>
      </c>
    </row>
    <row r="158" spans="1:35" x14ac:dyDescent="0.2">
      <c r="A158">
        <v>0</v>
      </c>
      <c r="B158" t="s">
        <v>3991</v>
      </c>
      <c r="C158" t="s">
        <v>205</v>
      </c>
      <c r="E158" s="18">
        <v>14758</v>
      </c>
      <c r="F158" s="18">
        <v>11565</v>
      </c>
      <c r="G158" s="18">
        <v>12565</v>
      </c>
      <c r="H158" s="18">
        <v>5438</v>
      </c>
      <c r="I158" s="18">
        <v>2</v>
      </c>
      <c r="J158" s="18">
        <v>2</v>
      </c>
      <c r="K158" s="18">
        <v>21</v>
      </c>
      <c r="L158" s="18">
        <v>5</v>
      </c>
      <c r="M158" s="18">
        <v>0</v>
      </c>
      <c r="N158" s="18">
        <v>300</v>
      </c>
      <c r="O158" s="18">
        <v>10</v>
      </c>
      <c r="P158" s="18">
        <v>3</v>
      </c>
      <c r="Q158" s="18">
        <v>3</v>
      </c>
      <c r="R158" s="18">
        <v>0</v>
      </c>
      <c r="S158" s="39" t="s">
        <v>2802</v>
      </c>
      <c r="T158" s="39">
        <v>14258</v>
      </c>
      <c r="U158" s="95" t="s">
        <v>4160</v>
      </c>
      <c r="V158" s="39">
        <v>101</v>
      </c>
      <c r="W158" s="18">
        <v>0</v>
      </c>
      <c r="X158" s="18">
        <v>0</v>
      </c>
      <c r="Y158" s="18">
        <v>0</v>
      </c>
      <c r="Z158" s="18">
        <v>0</v>
      </c>
      <c r="AA158" s="18">
        <v>0</v>
      </c>
      <c r="AB158" s="18"/>
      <c r="AC158" s="18">
        <v>1023</v>
      </c>
      <c r="AD158" s="18">
        <v>0</v>
      </c>
      <c r="AE158" s="18">
        <v>0</v>
      </c>
      <c r="AF158" s="18">
        <v>4</v>
      </c>
      <c r="AG158" s="18">
        <v>0</v>
      </c>
      <c r="AH158" s="18">
        <v>0</v>
      </c>
      <c r="AI158" s="18">
        <v>0</v>
      </c>
    </row>
    <row r="159" spans="1:35" x14ac:dyDescent="0.2">
      <c r="A159">
        <v>0</v>
      </c>
      <c r="B159" t="s">
        <v>3992</v>
      </c>
      <c r="C159" t="s">
        <v>207</v>
      </c>
      <c r="E159" s="18">
        <v>14759</v>
      </c>
      <c r="F159" s="18">
        <v>11566</v>
      </c>
      <c r="G159" s="18">
        <v>12566</v>
      </c>
      <c r="H159" s="18">
        <v>5421</v>
      </c>
      <c r="I159" s="18">
        <v>2</v>
      </c>
      <c r="J159" s="18">
        <v>2</v>
      </c>
      <c r="K159" s="18">
        <v>21</v>
      </c>
      <c r="L159" s="18">
        <v>5</v>
      </c>
      <c r="M159" s="18">
        <v>0</v>
      </c>
      <c r="N159" s="18">
        <v>300</v>
      </c>
      <c r="O159" s="18">
        <v>10</v>
      </c>
      <c r="P159" s="18">
        <v>0</v>
      </c>
      <c r="Q159" s="18">
        <v>0</v>
      </c>
      <c r="R159" s="18">
        <v>0</v>
      </c>
      <c r="S159" s="39" t="s">
        <v>2802</v>
      </c>
      <c r="T159" s="39">
        <v>14259</v>
      </c>
      <c r="U159" s="95" t="s">
        <v>4471</v>
      </c>
      <c r="V159" s="39">
        <v>101</v>
      </c>
      <c r="W159" s="18">
        <v>0</v>
      </c>
      <c r="X159" s="18">
        <v>0</v>
      </c>
      <c r="Y159" s="18">
        <v>0</v>
      </c>
      <c r="Z159" s="18">
        <v>0</v>
      </c>
      <c r="AA159" s="18">
        <v>0</v>
      </c>
      <c r="AB159" s="18"/>
      <c r="AC159" s="18">
        <v>1023</v>
      </c>
      <c r="AD159" s="18">
        <v>0</v>
      </c>
      <c r="AE159" s="18">
        <v>0</v>
      </c>
      <c r="AF159" s="18">
        <v>1</v>
      </c>
      <c r="AG159" s="18">
        <v>0</v>
      </c>
      <c r="AH159" s="18">
        <v>0</v>
      </c>
      <c r="AI159" s="18">
        <v>0</v>
      </c>
    </row>
    <row r="160" spans="1:35" x14ac:dyDescent="0.2">
      <c r="A160">
        <v>0</v>
      </c>
      <c r="B160" t="s">
        <v>3993</v>
      </c>
      <c r="C160" t="s">
        <v>209</v>
      </c>
      <c r="E160" s="18">
        <v>14760</v>
      </c>
      <c r="F160" s="18">
        <v>11567</v>
      </c>
      <c r="G160" s="18">
        <v>12567</v>
      </c>
      <c r="H160" s="18">
        <v>5425</v>
      </c>
      <c r="I160" s="18">
        <v>2</v>
      </c>
      <c r="J160" s="18">
        <v>2</v>
      </c>
      <c r="K160" s="18">
        <v>21</v>
      </c>
      <c r="L160" s="18">
        <v>5</v>
      </c>
      <c r="M160" s="18">
        <v>0</v>
      </c>
      <c r="N160" s="18">
        <v>300</v>
      </c>
      <c r="O160" s="18">
        <v>10</v>
      </c>
      <c r="P160" s="18">
        <v>0</v>
      </c>
      <c r="Q160" s="18">
        <v>0</v>
      </c>
      <c r="R160" s="18">
        <v>0</v>
      </c>
      <c r="S160" s="39" t="s">
        <v>2802</v>
      </c>
      <c r="T160" s="39">
        <v>14260</v>
      </c>
      <c r="U160" s="95" t="s">
        <v>4165</v>
      </c>
      <c r="V160" s="39">
        <v>101</v>
      </c>
      <c r="W160" s="18">
        <v>0</v>
      </c>
      <c r="X160" s="18">
        <v>0</v>
      </c>
      <c r="Y160" s="18">
        <v>0</v>
      </c>
      <c r="Z160" s="18">
        <v>0</v>
      </c>
      <c r="AA160" s="18">
        <v>0</v>
      </c>
      <c r="AB160" s="18"/>
      <c r="AC160" s="18">
        <v>1023</v>
      </c>
      <c r="AD160" s="18">
        <v>0</v>
      </c>
      <c r="AE160" s="18">
        <v>0</v>
      </c>
      <c r="AF160" s="18">
        <v>1</v>
      </c>
      <c r="AG160" s="18">
        <v>0</v>
      </c>
      <c r="AH160" s="18">
        <v>0</v>
      </c>
      <c r="AI160" s="18">
        <v>0</v>
      </c>
    </row>
    <row r="161" spans="1:35" x14ac:dyDescent="0.2">
      <c r="A161">
        <v>0</v>
      </c>
      <c r="B161" t="s">
        <v>3994</v>
      </c>
      <c r="C161" t="s">
        <v>211</v>
      </c>
      <c r="E161" s="18">
        <v>14761</v>
      </c>
      <c r="F161" s="18">
        <v>11568</v>
      </c>
      <c r="G161" s="18">
        <v>12568</v>
      </c>
      <c r="H161" s="18">
        <v>5440</v>
      </c>
      <c r="I161" s="18">
        <v>2</v>
      </c>
      <c r="J161" s="18">
        <v>2</v>
      </c>
      <c r="K161" s="18">
        <v>21</v>
      </c>
      <c r="L161" s="18">
        <v>5</v>
      </c>
      <c r="M161" s="18">
        <v>0</v>
      </c>
      <c r="N161" s="18">
        <v>300</v>
      </c>
      <c r="O161" s="18">
        <v>10</v>
      </c>
      <c r="P161" s="18">
        <v>0</v>
      </c>
      <c r="Q161" s="18">
        <v>0</v>
      </c>
      <c r="R161" s="18">
        <v>0</v>
      </c>
      <c r="S161" s="39" t="s">
        <v>2802</v>
      </c>
      <c r="T161" s="39">
        <v>14261</v>
      </c>
      <c r="U161" s="95" t="s">
        <v>4637</v>
      </c>
      <c r="V161" s="39">
        <v>101</v>
      </c>
      <c r="W161" s="18">
        <v>0</v>
      </c>
      <c r="X161" s="18">
        <v>0</v>
      </c>
      <c r="Y161" s="18">
        <v>0</v>
      </c>
      <c r="Z161" s="18">
        <v>0</v>
      </c>
      <c r="AA161" s="18">
        <v>0</v>
      </c>
      <c r="AB161" s="18"/>
      <c r="AC161" s="18">
        <v>1023</v>
      </c>
      <c r="AD161" s="18">
        <v>0</v>
      </c>
      <c r="AE161" s="18">
        <v>0</v>
      </c>
      <c r="AF161" s="18">
        <v>1</v>
      </c>
      <c r="AG161" s="18">
        <v>0</v>
      </c>
      <c r="AH161" s="18">
        <v>0</v>
      </c>
      <c r="AI161" s="18">
        <v>0</v>
      </c>
    </row>
    <row r="162" spans="1:35" x14ac:dyDescent="0.2">
      <c r="A162">
        <v>0</v>
      </c>
      <c r="B162" t="s">
        <v>3995</v>
      </c>
      <c r="E162" s="18">
        <v>14762</v>
      </c>
      <c r="F162" s="18">
        <v>11569</v>
      </c>
      <c r="G162" s="18">
        <v>12569</v>
      </c>
      <c r="H162" s="18">
        <v>5407</v>
      </c>
      <c r="I162" s="18">
        <v>2</v>
      </c>
      <c r="J162" s="18">
        <v>2</v>
      </c>
      <c r="K162" s="18">
        <v>21</v>
      </c>
      <c r="L162" s="18">
        <v>5</v>
      </c>
      <c r="M162" s="18">
        <v>0</v>
      </c>
      <c r="N162" s="18">
        <v>300</v>
      </c>
      <c r="O162" s="18">
        <v>10</v>
      </c>
      <c r="P162" s="18">
        <v>0</v>
      </c>
      <c r="Q162" s="18">
        <v>0</v>
      </c>
      <c r="R162" s="18">
        <v>0</v>
      </c>
      <c r="S162" s="39" t="s">
        <v>2802</v>
      </c>
      <c r="T162" s="39">
        <v>14262</v>
      </c>
      <c r="U162" s="95" t="s">
        <v>4104</v>
      </c>
      <c r="V162" s="39">
        <v>101</v>
      </c>
      <c r="W162" s="18">
        <v>0</v>
      </c>
      <c r="X162" s="18">
        <v>0</v>
      </c>
      <c r="Y162" s="18">
        <v>0</v>
      </c>
      <c r="Z162" s="18">
        <v>0</v>
      </c>
      <c r="AA162" s="18">
        <v>0</v>
      </c>
      <c r="AB162" s="18"/>
      <c r="AC162" s="18">
        <v>1023</v>
      </c>
      <c r="AD162" s="18">
        <v>0</v>
      </c>
      <c r="AE162" s="18">
        <v>0</v>
      </c>
      <c r="AF162" s="18">
        <v>1</v>
      </c>
      <c r="AG162" s="18">
        <v>0</v>
      </c>
      <c r="AH162" s="18">
        <v>0</v>
      </c>
      <c r="AI162" s="18">
        <v>0</v>
      </c>
    </row>
    <row r="163" spans="1:35" x14ac:dyDescent="0.2">
      <c r="A163">
        <v>0</v>
      </c>
      <c r="B163" t="s">
        <v>3996</v>
      </c>
      <c r="C163" t="s">
        <v>214</v>
      </c>
      <c r="E163" s="18">
        <v>14763</v>
      </c>
      <c r="F163" s="18">
        <v>11570</v>
      </c>
      <c r="G163" s="18">
        <v>12570</v>
      </c>
      <c r="H163" s="18">
        <v>5426</v>
      </c>
      <c r="I163" s="18">
        <v>2</v>
      </c>
      <c r="J163" s="18">
        <v>2</v>
      </c>
      <c r="K163" s="18">
        <v>21</v>
      </c>
      <c r="L163" s="18">
        <v>5</v>
      </c>
      <c r="M163" s="18">
        <v>0</v>
      </c>
      <c r="N163" s="18">
        <v>300</v>
      </c>
      <c r="O163" s="18">
        <v>10</v>
      </c>
      <c r="P163" s="18">
        <v>0</v>
      </c>
      <c r="Q163" s="18">
        <v>0</v>
      </c>
      <c r="R163" s="18">
        <v>0</v>
      </c>
      <c r="S163" s="39" t="s">
        <v>2802</v>
      </c>
      <c r="T163" s="39">
        <v>14263</v>
      </c>
      <c r="U163" s="95" t="s">
        <v>4128</v>
      </c>
      <c r="V163" s="39">
        <v>101</v>
      </c>
      <c r="W163" s="18">
        <v>0</v>
      </c>
      <c r="X163" s="18">
        <v>0</v>
      </c>
      <c r="Y163" s="18">
        <v>0</v>
      </c>
      <c r="Z163" s="18">
        <v>0</v>
      </c>
      <c r="AA163" s="18">
        <v>0</v>
      </c>
      <c r="AB163" s="18"/>
      <c r="AC163" s="18">
        <v>1023</v>
      </c>
      <c r="AD163" s="18">
        <v>0</v>
      </c>
      <c r="AE163" s="18">
        <v>0</v>
      </c>
      <c r="AF163" s="18">
        <v>1</v>
      </c>
      <c r="AG163" s="18">
        <v>0</v>
      </c>
      <c r="AH163" s="18">
        <v>0</v>
      </c>
      <c r="AI163" s="18">
        <v>0</v>
      </c>
    </row>
    <row r="164" spans="1:35" x14ac:dyDescent="0.2">
      <c r="A164">
        <v>0</v>
      </c>
      <c r="B164" t="s">
        <v>3997</v>
      </c>
      <c r="C164" t="s">
        <v>216</v>
      </c>
      <c r="E164" s="18">
        <v>14764</v>
      </c>
      <c r="F164" s="18">
        <v>11571</v>
      </c>
      <c r="G164" s="18">
        <v>12571</v>
      </c>
      <c r="H164" s="18">
        <v>5411</v>
      </c>
      <c r="I164" s="18">
        <v>2</v>
      </c>
      <c r="J164" s="18">
        <v>2</v>
      </c>
      <c r="K164" s="18">
        <v>21</v>
      </c>
      <c r="L164" s="18">
        <v>5</v>
      </c>
      <c r="M164" s="18">
        <v>0</v>
      </c>
      <c r="N164" s="18">
        <v>300</v>
      </c>
      <c r="O164" s="18">
        <v>10</v>
      </c>
      <c r="P164" s="18">
        <v>0</v>
      </c>
      <c r="Q164" s="18">
        <v>0</v>
      </c>
      <c r="R164" s="18">
        <v>0</v>
      </c>
      <c r="S164" s="39" t="s">
        <v>2802</v>
      </c>
      <c r="T164" s="39">
        <v>14264</v>
      </c>
      <c r="U164" s="95" t="s">
        <v>4126</v>
      </c>
      <c r="V164" s="39">
        <v>101</v>
      </c>
      <c r="W164" s="18">
        <v>0</v>
      </c>
      <c r="X164" s="18">
        <v>0</v>
      </c>
      <c r="Y164" s="18">
        <v>0</v>
      </c>
      <c r="Z164" s="18">
        <v>0</v>
      </c>
      <c r="AA164" s="18">
        <v>0</v>
      </c>
      <c r="AB164" s="18"/>
      <c r="AC164" s="18">
        <v>1023</v>
      </c>
      <c r="AD164" s="18">
        <v>0</v>
      </c>
      <c r="AE164" s="18">
        <v>0</v>
      </c>
      <c r="AF164" s="18">
        <v>1</v>
      </c>
      <c r="AG164" s="18">
        <v>0</v>
      </c>
      <c r="AH164" s="18">
        <v>0</v>
      </c>
      <c r="AI164" s="18">
        <v>0</v>
      </c>
    </row>
    <row r="165" spans="1:35" x14ac:dyDescent="0.2">
      <c r="A165">
        <v>0</v>
      </c>
      <c r="B165" t="s">
        <v>3998</v>
      </c>
      <c r="C165" t="s">
        <v>218</v>
      </c>
      <c r="E165" s="18">
        <v>14765</v>
      </c>
      <c r="F165" s="18">
        <v>11572</v>
      </c>
      <c r="G165" s="18">
        <v>12572</v>
      </c>
      <c r="H165" s="18">
        <v>5824</v>
      </c>
      <c r="I165" s="18">
        <v>2</v>
      </c>
      <c r="J165" s="18">
        <v>3</v>
      </c>
      <c r="K165" s="18">
        <v>22</v>
      </c>
      <c r="L165" s="18">
        <v>5</v>
      </c>
      <c r="M165" s="18">
        <v>0</v>
      </c>
      <c r="N165" s="18">
        <v>300</v>
      </c>
      <c r="O165" s="18">
        <v>10</v>
      </c>
      <c r="P165" s="18">
        <v>0</v>
      </c>
      <c r="Q165" s="18">
        <v>0</v>
      </c>
      <c r="R165" s="18">
        <v>0</v>
      </c>
      <c r="S165" s="39" t="s">
        <v>2837</v>
      </c>
      <c r="T165" s="39">
        <v>14265</v>
      </c>
      <c r="U165" s="95" t="s">
        <v>4096</v>
      </c>
      <c r="V165" s="39">
        <v>101</v>
      </c>
      <c r="W165" s="18">
        <v>0</v>
      </c>
      <c r="X165" s="18">
        <v>0</v>
      </c>
      <c r="Y165" s="18">
        <v>0</v>
      </c>
      <c r="Z165" s="18">
        <v>0</v>
      </c>
      <c r="AA165" s="18">
        <v>0</v>
      </c>
      <c r="AB165" s="18"/>
      <c r="AC165" s="18">
        <v>1022</v>
      </c>
      <c r="AD165" s="18">
        <v>0</v>
      </c>
      <c r="AE165" s="18">
        <v>0</v>
      </c>
      <c r="AF165" s="18">
        <v>1</v>
      </c>
      <c r="AG165" s="18">
        <v>0</v>
      </c>
      <c r="AH165" s="18">
        <v>0</v>
      </c>
      <c r="AI165" s="18">
        <v>0</v>
      </c>
    </row>
    <row r="166" spans="1:35" x14ac:dyDescent="0.2">
      <c r="A166">
        <v>0</v>
      </c>
      <c r="B166" t="s">
        <v>3999</v>
      </c>
      <c r="C166" t="s">
        <v>220</v>
      </c>
      <c r="E166" s="18">
        <v>14766</v>
      </c>
      <c r="F166" s="18">
        <v>11573</v>
      </c>
      <c r="G166" s="18">
        <v>12573</v>
      </c>
      <c r="H166" s="18">
        <v>5845</v>
      </c>
      <c r="I166" s="18">
        <v>2</v>
      </c>
      <c r="J166" s="18">
        <v>3</v>
      </c>
      <c r="K166" s="18">
        <v>22</v>
      </c>
      <c r="L166" s="18">
        <v>5</v>
      </c>
      <c r="M166" s="18">
        <v>0</v>
      </c>
      <c r="N166" s="18">
        <v>300</v>
      </c>
      <c r="O166" s="18">
        <v>10</v>
      </c>
      <c r="P166" s="18">
        <v>0</v>
      </c>
      <c r="Q166" s="18">
        <v>0</v>
      </c>
      <c r="R166" s="18">
        <v>0</v>
      </c>
      <c r="S166" s="39" t="s">
        <v>2837</v>
      </c>
      <c r="T166" s="39">
        <v>14266</v>
      </c>
      <c r="U166" s="95" t="s">
        <v>3616</v>
      </c>
      <c r="V166" s="39">
        <v>101</v>
      </c>
      <c r="W166" s="18">
        <v>0</v>
      </c>
      <c r="X166" s="18">
        <v>0</v>
      </c>
      <c r="Y166" s="18">
        <v>0</v>
      </c>
      <c r="Z166" s="18">
        <v>0</v>
      </c>
      <c r="AA166" s="18">
        <v>0</v>
      </c>
      <c r="AB166" s="18"/>
      <c r="AC166" s="18">
        <v>1022</v>
      </c>
      <c r="AD166" s="18">
        <v>0</v>
      </c>
      <c r="AE166" s="18">
        <v>0</v>
      </c>
      <c r="AF166" s="18">
        <v>1</v>
      </c>
      <c r="AG166" s="18">
        <v>0</v>
      </c>
      <c r="AH166" s="18">
        <v>0</v>
      </c>
      <c r="AI166" s="18">
        <v>0</v>
      </c>
    </row>
    <row r="167" spans="1:35" s="96" customFormat="1" x14ac:dyDescent="0.2">
      <c r="A167" s="96">
        <v>1</v>
      </c>
      <c r="B167" s="96" t="s">
        <v>4000</v>
      </c>
      <c r="C167" s="96" t="s">
        <v>2723</v>
      </c>
      <c r="D167" s="96" t="s">
        <v>3683</v>
      </c>
      <c r="E167" s="98">
        <v>14767</v>
      </c>
      <c r="F167" s="98">
        <v>11574</v>
      </c>
      <c r="G167" s="98">
        <v>12574</v>
      </c>
      <c r="H167" s="98">
        <v>5842</v>
      </c>
      <c r="I167" s="98">
        <v>2</v>
      </c>
      <c r="J167" s="98">
        <v>3</v>
      </c>
      <c r="K167" s="98">
        <v>22</v>
      </c>
      <c r="L167" s="98">
        <v>5</v>
      </c>
      <c r="M167" s="18">
        <v>0</v>
      </c>
      <c r="N167" s="98">
        <v>300</v>
      </c>
      <c r="O167" s="98">
        <v>0</v>
      </c>
      <c r="P167" s="98">
        <v>0</v>
      </c>
      <c r="Q167" s="98">
        <v>0</v>
      </c>
      <c r="R167" s="98">
        <v>0</v>
      </c>
      <c r="S167" s="99" t="s">
        <v>2837</v>
      </c>
      <c r="T167" s="99" t="s">
        <v>2810</v>
      </c>
      <c r="U167" s="116" t="s">
        <v>3614</v>
      </c>
      <c r="V167" s="99">
        <v>101</v>
      </c>
      <c r="W167" s="98">
        <v>0</v>
      </c>
      <c r="X167" s="98">
        <v>0</v>
      </c>
      <c r="Y167" s="98">
        <v>0</v>
      </c>
      <c r="Z167" s="98">
        <v>0</v>
      </c>
      <c r="AA167" s="98">
        <v>0</v>
      </c>
      <c r="AB167" s="98"/>
      <c r="AC167" s="98">
        <v>1022</v>
      </c>
      <c r="AD167" s="98">
        <v>0</v>
      </c>
      <c r="AE167" s="98">
        <v>0</v>
      </c>
      <c r="AF167" s="18">
        <v>0</v>
      </c>
      <c r="AG167" s="98">
        <v>0</v>
      </c>
      <c r="AH167" s="98">
        <v>1</v>
      </c>
      <c r="AI167" s="18">
        <v>0</v>
      </c>
    </row>
    <row r="168" spans="1:35" x14ac:dyDescent="0.2">
      <c r="A168">
        <v>0</v>
      </c>
      <c r="B168" t="s">
        <v>4001</v>
      </c>
      <c r="C168" t="s">
        <v>223</v>
      </c>
      <c r="E168" s="18">
        <v>14768</v>
      </c>
      <c r="F168" s="18">
        <v>11575</v>
      </c>
      <c r="G168" s="18">
        <v>12575</v>
      </c>
      <c r="H168" s="18">
        <v>5841</v>
      </c>
      <c r="I168" s="18">
        <v>2</v>
      </c>
      <c r="J168" s="18">
        <v>3</v>
      </c>
      <c r="K168" s="18">
        <v>22</v>
      </c>
      <c r="L168" s="18">
        <v>5</v>
      </c>
      <c r="M168" s="18">
        <v>0</v>
      </c>
      <c r="N168" s="18">
        <v>300</v>
      </c>
      <c r="O168" s="18">
        <v>10</v>
      </c>
      <c r="P168" s="18">
        <v>0</v>
      </c>
      <c r="Q168" s="18">
        <v>0</v>
      </c>
      <c r="R168" s="18">
        <v>0</v>
      </c>
      <c r="S168" s="39" t="s">
        <v>2837</v>
      </c>
      <c r="T168" s="39">
        <v>14268</v>
      </c>
      <c r="U168" s="95" t="s">
        <v>4161</v>
      </c>
      <c r="V168" s="39">
        <v>101</v>
      </c>
      <c r="W168" s="18">
        <v>0</v>
      </c>
      <c r="X168" s="18">
        <v>0</v>
      </c>
      <c r="Y168" s="18">
        <v>0</v>
      </c>
      <c r="Z168" s="18">
        <v>0</v>
      </c>
      <c r="AA168" s="18">
        <v>0</v>
      </c>
      <c r="AB168" s="18"/>
      <c r="AC168" s="18">
        <v>1022</v>
      </c>
      <c r="AD168" s="18">
        <v>0</v>
      </c>
      <c r="AE168" s="18">
        <v>0</v>
      </c>
      <c r="AF168" s="18">
        <v>1</v>
      </c>
      <c r="AG168" s="18">
        <v>0</v>
      </c>
      <c r="AH168" s="18">
        <v>0</v>
      </c>
      <c r="AI168" s="18">
        <v>0</v>
      </c>
    </row>
    <row r="169" spans="1:35" x14ac:dyDescent="0.2">
      <c r="A169">
        <v>0</v>
      </c>
      <c r="B169" t="s">
        <v>4002</v>
      </c>
      <c r="C169" t="s">
        <v>2724</v>
      </c>
      <c r="E169" s="18">
        <v>14769</v>
      </c>
      <c r="F169" s="18">
        <v>11576</v>
      </c>
      <c r="G169" s="18">
        <v>12576</v>
      </c>
      <c r="H169" s="18">
        <v>5837</v>
      </c>
      <c r="I169" s="18">
        <v>2</v>
      </c>
      <c r="J169" s="18">
        <v>3</v>
      </c>
      <c r="K169" s="18">
        <v>22</v>
      </c>
      <c r="L169" s="18">
        <v>5</v>
      </c>
      <c r="M169" s="18">
        <v>0</v>
      </c>
      <c r="N169" s="18">
        <v>300</v>
      </c>
      <c r="O169" s="18">
        <v>10</v>
      </c>
      <c r="P169" s="18">
        <v>0</v>
      </c>
      <c r="Q169" s="18">
        <v>0</v>
      </c>
      <c r="R169" s="18">
        <v>0</v>
      </c>
      <c r="S169" s="39" t="s">
        <v>2837</v>
      </c>
      <c r="T169" s="39">
        <v>14269</v>
      </c>
      <c r="U169" s="95" t="s">
        <v>3282</v>
      </c>
      <c r="V169" s="39">
        <v>101</v>
      </c>
      <c r="W169" s="18">
        <v>0</v>
      </c>
      <c r="X169" s="18">
        <v>0</v>
      </c>
      <c r="Y169" s="18">
        <v>0</v>
      </c>
      <c r="Z169" s="18">
        <v>0</v>
      </c>
      <c r="AA169" s="18">
        <v>0</v>
      </c>
      <c r="AB169" s="18"/>
      <c r="AC169" s="18">
        <v>1022</v>
      </c>
      <c r="AD169" s="18">
        <v>0</v>
      </c>
      <c r="AE169" s="18">
        <v>0</v>
      </c>
      <c r="AF169" s="18">
        <v>1</v>
      </c>
      <c r="AG169" s="18">
        <v>0</v>
      </c>
      <c r="AH169" s="18">
        <v>0</v>
      </c>
      <c r="AI169" s="18">
        <v>0</v>
      </c>
    </row>
    <row r="170" spans="1:35" x14ac:dyDescent="0.2">
      <c r="A170">
        <v>0</v>
      </c>
      <c r="B170" t="s">
        <v>4003</v>
      </c>
      <c r="C170" t="s">
        <v>226</v>
      </c>
      <c r="E170" s="18">
        <v>14770</v>
      </c>
      <c r="F170" s="18">
        <v>11577</v>
      </c>
      <c r="G170" s="18">
        <v>12577</v>
      </c>
      <c r="H170" s="18">
        <v>5814</v>
      </c>
      <c r="I170" s="18">
        <v>2</v>
      </c>
      <c r="J170" s="18">
        <v>3</v>
      </c>
      <c r="K170" s="18">
        <v>22</v>
      </c>
      <c r="L170" s="18">
        <v>5</v>
      </c>
      <c r="M170" s="18">
        <v>0</v>
      </c>
      <c r="N170" s="18">
        <v>300</v>
      </c>
      <c r="O170" s="18">
        <v>10</v>
      </c>
      <c r="P170" s="18">
        <v>0</v>
      </c>
      <c r="Q170" s="18">
        <v>0</v>
      </c>
      <c r="R170" s="18">
        <v>0</v>
      </c>
      <c r="S170" s="39" t="s">
        <v>2837</v>
      </c>
      <c r="T170" s="39">
        <v>14270</v>
      </c>
      <c r="U170" s="95" t="s">
        <v>4472</v>
      </c>
      <c r="V170" s="39">
        <v>101</v>
      </c>
      <c r="W170" s="18">
        <v>0</v>
      </c>
      <c r="X170" s="18">
        <v>0</v>
      </c>
      <c r="Y170" s="18">
        <v>0</v>
      </c>
      <c r="Z170" s="18">
        <v>0</v>
      </c>
      <c r="AA170" s="18">
        <v>0</v>
      </c>
      <c r="AB170" s="18"/>
      <c r="AC170" s="18">
        <v>1022</v>
      </c>
      <c r="AD170" s="18">
        <v>0</v>
      </c>
      <c r="AE170" s="18">
        <v>0</v>
      </c>
      <c r="AF170" s="18">
        <v>1</v>
      </c>
      <c r="AG170" s="18">
        <v>0</v>
      </c>
      <c r="AH170" s="18">
        <v>0</v>
      </c>
      <c r="AI170" s="18">
        <v>0</v>
      </c>
    </row>
    <row r="171" spans="1:35" x14ac:dyDescent="0.2">
      <c r="A171">
        <v>1</v>
      </c>
      <c r="B171" t="s">
        <v>4004</v>
      </c>
      <c r="C171" t="s">
        <v>228</v>
      </c>
      <c r="E171" s="18">
        <v>14771</v>
      </c>
      <c r="F171" s="18">
        <v>11578</v>
      </c>
      <c r="G171" s="18">
        <v>12578</v>
      </c>
      <c r="H171" s="18">
        <v>5825</v>
      </c>
      <c r="I171" s="18">
        <v>2</v>
      </c>
      <c r="J171" s="18">
        <v>3</v>
      </c>
      <c r="K171" s="18">
        <v>22</v>
      </c>
      <c r="L171" s="18">
        <v>5</v>
      </c>
      <c r="M171" s="18">
        <v>0</v>
      </c>
      <c r="N171" s="18">
        <v>300</v>
      </c>
      <c r="O171" s="18">
        <v>10</v>
      </c>
      <c r="P171" s="18">
        <v>10</v>
      </c>
      <c r="Q171" s="18">
        <v>10</v>
      </c>
      <c r="R171" s="18">
        <v>0</v>
      </c>
      <c r="S171" s="39" t="s">
        <v>2837</v>
      </c>
      <c r="T171" s="39">
        <v>14271</v>
      </c>
      <c r="U171" s="95" t="s">
        <v>3265</v>
      </c>
      <c r="V171" s="39">
        <v>101</v>
      </c>
      <c r="W171" s="18">
        <v>0</v>
      </c>
      <c r="X171" s="18">
        <v>0</v>
      </c>
      <c r="Y171" s="18">
        <v>0</v>
      </c>
      <c r="Z171" s="18">
        <v>0</v>
      </c>
      <c r="AA171" s="18">
        <v>0</v>
      </c>
      <c r="AB171" s="18"/>
      <c r="AC171" s="18">
        <v>1022</v>
      </c>
      <c r="AD171" s="18">
        <v>0</v>
      </c>
      <c r="AE171" s="18">
        <v>0</v>
      </c>
      <c r="AF171" s="18">
        <v>1</v>
      </c>
      <c r="AG171" s="18">
        <v>0</v>
      </c>
      <c r="AH171" s="18">
        <v>0</v>
      </c>
      <c r="AI171" s="18">
        <v>0</v>
      </c>
    </row>
    <row r="172" spans="1:35" x14ac:dyDescent="0.2">
      <c r="A172">
        <v>0</v>
      </c>
      <c r="B172" t="s">
        <v>4005</v>
      </c>
      <c r="C172" t="s">
        <v>230</v>
      </c>
      <c r="E172" s="18">
        <v>14772</v>
      </c>
      <c r="F172" s="18">
        <v>11579</v>
      </c>
      <c r="G172" s="18">
        <v>12579</v>
      </c>
      <c r="H172" s="18">
        <v>5815</v>
      </c>
      <c r="I172" s="18">
        <v>2</v>
      </c>
      <c r="J172" s="18">
        <v>3</v>
      </c>
      <c r="K172" s="18">
        <v>22</v>
      </c>
      <c r="L172" s="18">
        <v>5</v>
      </c>
      <c r="M172" s="18">
        <v>0</v>
      </c>
      <c r="N172" s="18">
        <v>300</v>
      </c>
      <c r="O172" s="18">
        <v>10</v>
      </c>
      <c r="P172" s="18">
        <v>0</v>
      </c>
      <c r="Q172" s="18">
        <v>0</v>
      </c>
      <c r="R172" s="18">
        <v>0</v>
      </c>
      <c r="S172" s="39" t="s">
        <v>2837</v>
      </c>
      <c r="T172" s="39">
        <v>14272</v>
      </c>
      <c r="U172" s="95" t="s">
        <v>3283</v>
      </c>
      <c r="V172" s="39">
        <v>101</v>
      </c>
      <c r="W172" s="18">
        <v>0</v>
      </c>
      <c r="X172" s="18">
        <v>0</v>
      </c>
      <c r="Y172" s="18">
        <v>0</v>
      </c>
      <c r="Z172" s="18">
        <v>0</v>
      </c>
      <c r="AA172" s="18">
        <v>0</v>
      </c>
      <c r="AB172" s="18"/>
      <c r="AC172" s="18">
        <v>1022</v>
      </c>
      <c r="AD172" s="18">
        <v>0</v>
      </c>
      <c r="AE172" s="18">
        <v>0</v>
      </c>
      <c r="AF172" s="18">
        <v>5</v>
      </c>
      <c r="AG172" s="18">
        <v>0</v>
      </c>
      <c r="AH172" s="18">
        <v>0</v>
      </c>
      <c r="AI172" s="18">
        <v>0</v>
      </c>
    </row>
    <row r="173" spans="1:35" x14ac:dyDescent="0.2">
      <c r="A173">
        <v>0</v>
      </c>
      <c r="B173" t="s">
        <v>4006</v>
      </c>
      <c r="C173" t="s">
        <v>3930</v>
      </c>
      <c r="E173" s="18">
        <v>14773</v>
      </c>
      <c r="F173" s="18">
        <v>11580</v>
      </c>
      <c r="G173" s="18">
        <v>12580</v>
      </c>
      <c r="H173" s="18">
        <v>5804</v>
      </c>
      <c r="I173" s="18">
        <v>2</v>
      </c>
      <c r="J173" s="18">
        <v>3</v>
      </c>
      <c r="K173" s="18">
        <v>22</v>
      </c>
      <c r="L173" s="18">
        <v>5</v>
      </c>
      <c r="M173" s="18">
        <v>0</v>
      </c>
      <c r="N173" s="18">
        <v>300</v>
      </c>
      <c r="O173" s="18">
        <v>10</v>
      </c>
      <c r="P173" s="18">
        <v>0</v>
      </c>
      <c r="Q173" s="18">
        <v>0</v>
      </c>
      <c r="R173" s="18">
        <v>0</v>
      </c>
      <c r="S173" s="39" t="s">
        <v>2837</v>
      </c>
      <c r="T173" s="39">
        <v>14273</v>
      </c>
      <c r="U173" s="95" t="s">
        <v>4498</v>
      </c>
      <c r="V173" s="39">
        <v>101</v>
      </c>
      <c r="W173" s="18">
        <v>0</v>
      </c>
      <c r="X173" s="18">
        <v>0</v>
      </c>
      <c r="Y173" s="18">
        <v>0</v>
      </c>
      <c r="Z173" s="18">
        <v>0</v>
      </c>
      <c r="AA173" s="18">
        <v>0</v>
      </c>
      <c r="AB173" s="18"/>
      <c r="AC173" s="18">
        <v>1022</v>
      </c>
      <c r="AD173" s="18">
        <v>0</v>
      </c>
      <c r="AE173" s="18">
        <v>0</v>
      </c>
      <c r="AF173" s="18">
        <v>1</v>
      </c>
      <c r="AG173" s="18">
        <v>0</v>
      </c>
      <c r="AH173" s="18">
        <v>0</v>
      </c>
      <c r="AI173" s="18">
        <v>0</v>
      </c>
    </row>
    <row r="174" spans="1:35" x14ac:dyDescent="0.2">
      <c r="A174">
        <v>0</v>
      </c>
      <c r="B174" t="s">
        <v>4007</v>
      </c>
      <c r="C174" t="s">
        <v>233</v>
      </c>
      <c r="E174" s="18">
        <v>14774</v>
      </c>
      <c r="F174" s="18">
        <v>11581</v>
      </c>
      <c r="G174" s="18">
        <v>12581</v>
      </c>
      <c r="H174" s="18">
        <v>5809</v>
      </c>
      <c r="I174" s="18">
        <v>2</v>
      </c>
      <c r="J174" s="18">
        <v>3</v>
      </c>
      <c r="K174" s="18">
        <v>22</v>
      </c>
      <c r="L174" s="18">
        <v>5</v>
      </c>
      <c r="M174" s="18">
        <v>0</v>
      </c>
      <c r="N174" s="18">
        <v>300</v>
      </c>
      <c r="O174" s="18">
        <v>10</v>
      </c>
      <c r="P174" s="18">
        <v>0</v>
      </c>
      <c r="Q174" s="18">
        <v>0</v>
      </c>
      <c r="R174" s="18">
        <v>0</v>
      </c>
      <c r="S174" s="39" t="s">
        <v>2837</v>
      </c>
      <c r="T174" s="39">
        <v>14274</v>
      </c>
      <c r="U174" s="95" t="s">
        <v>4097</v>
      </c>
      <c r="V174" s="39">
        <v>101</v>
      </c>
      <c r="W174" s="18">
        <v>0</v>
      </c>
      <c r="X174" s="18">
        <v>0</v>
      </c>
      <c r="Y174" s="18">
        <v>0</v>
      </c>
      <c r="Z174" s="18">
        <v>0</v>
      </c>
      <c r="AA174" s="18">
        <v>0</v>
      </c>
      <c r="AB174" s="18"/>
      <c r="AC174" s="18">
        <v>1022</v>
      </c>
      <c r="AD174" s="18">
        <v>0</v>
      </c>
      <c r="AE174" s="18">
        <v>0</v>
      </c>
      <c r="AF174" s="18">
        <v>1</v>
      </c>
      <c r="AG174" s="18">
        <v>0</v>
      </c>
      <c r="AH174" s="18">
        <v>0</v>
      </c>
      <c r="AI174" s="18">
        <v>0</v>
      </c>
    </row>
    <row r="175" spans="1:35" x14ac:dyDescent="0.2">
      <c r="A175">
        <v>0</v>
      </c>
      <c r="B175" t="s">
        <v>4008</v>
      </c>
      <c r="C175" t="s">
        <v>235</v>
      </c>
      <c r="E175" s="18">
        <v>14775</v>
      </c>
      <c r="F175" s="18">
        <v>11582</v>
      </c>
      <c r="G175" s="18">
        <v>12582</v>
      </c>
      <c r="H175" s="18">
        <v>5806</v>
      </c>
      <c r="I175" s="18">
        <v>2</v>
      </c>
      <c r="J175" s="18">
        <v>3</v>
      </c>
      <c r="K175" s="18">
        <v>22</v>
      </c>
      <c r="L175" s="18">
        <v>5</v>
      </c>
      <c r="M175" s="18">
        <v>0</v>
      </c>
      <c r="N175" s="18">
        <v>300</v>
      </c>
      <c r="O175" s="18">
        <v>10</v>
      </c>
      <c r="P175" s="18">
        <v>0</v>
      </c>
      <c r="Q175" s="18">
        <v>0</v>
      </c>
      <c r="R175" s="18">
        <v>0</v>
      </c>
      <c r="S175" s="39" t="s">
        <v>2837</v>
      </c>
      <c r="T175" s="39">
        <v>14275</v>
      </c>
      <c r="U175" s="95" t="s">
        <v>3284</v>
      </c>
      <c r="V175" s="39">
        <v>101</v>
      </c>
      <c r="W175" s="18">
        <v>0</v>
      </c>
      <c r="X175" s="18">
        <v>0</v>
      </c>
      <c r="Y175" s="18">
        <v>0</v>
      </c>
      <c r="Z175" s="18">
        <v>0</v>
      </c>
      <c r="AA175" s="18">
        <v>0</v>
      </c>
      <c r="AB175" s="18"/>
      <c r="AC175" s="18">
        <v>1022</v>
      </c>
      <c r="AD175" s="18">
        <v>0</v>
      </c>
      <c r="AE175" s="18">
        <v>0</v>
      </c>
      <c r="AF175" s="18">
        <v>1</v>
      </c>
      <c r="AG175" s="18">
        <v>0</v>
      </c>
      <c r="AH175" s="18">
        <v>0</v>
      </c>
      <c r="AI175" s="18">
        <v>0</v>
      </c>
    </row>
    <row r="176" spans="1:35" x14ac:dyDescent="0.2">
      <c r="A176">
        <v>0</v>
      </c>
      <c r="B176" t="s">
        <v>236</v>
      </c>
      <c r="C176" t="s">
        <v>237</v>
      </c>
      <c r="E176" s="18">
        <v>14776</v>
      </c>
      <c r="F176" s="18">
        <v>11583</v>
      </c>
      <c r="G176" s="18">
        <v>12583</v>
      </c>
      <c r="H176" s="18">
        <v>5830</v>
      </c>
      <c r="I176" s="18">
        <v>2</v>
      </c>
      <c r="J176" s="18">
        <v>3</v>
      </c>
      <c r="K176" s="18">
        <v>22</v>
      </c>
      <c r="L176" s="18">
        <v>5</v>
      </c>
      <c r="M176" s="18">
        <v>0</v>
      </c>
      <c r="N176" s="18">
        <v>300</v>
      </c>
      <c r="O176" s="18">
        <v>10</v>
      </c>
      <c r="P176" s="18">
        <v>0</v>
      </c>
      <c r="Q176" s="18">
        <v>0</v>
      </c>
      <c r="R176" s="18">
        <v>0</v>
      </c>
      <c r="S176" s="39" t="s">
        <v>2837</v>
      </c>
      <c r="T176" s="39">
        <v>14276</v>
      </c>
      <c r="U176" s="95" t="s">
        <v>4105</v>
      </c>
      <c r="V176" s="39">
        <v>101</v>
      </c>
      <c r="W176" s="18">
        <v>0</v>
      </c>
      <c r="X176" s="18">
        <v>0</v>
      </c>
      <c r="Y176" s="18">
        <v>0</v>
      </c>
      <c r="Z176" s="18">
        <v>0</v>
      </c>
      <c r="AA176" s="18">
        <v>0</v>
      </c>
      <c r="AB176" s="18"/>
      <c r="AC176" s="18">
        <v>1022</v>
      </c>
      <c r="AD176" s="18">
        <v>0</v>
      </c>
      <c r="AE176" s="18">
        <v>0</v>
      </c>
      <c r="AF176" s="18">
        <v>1</v>
      </c>
      <c r="AG176" s="18">
        <v>0</v>
      </c>
      <c r="AH176" s="18">
        <v>0</v>
      </c>
      <c r="AI176" s="18">
        <v>0</v>
      </c>
    </row>
    <row r="177" spans="1:35" x14ac:dyDescent="0.2">
      <c r="A177">
        <v>0</v>
      </c>
      <c r="B177" t="s">
        <v>238</v>
      </c>
      <c r="C177" t="s">
        <v>239</v>
      </c>
      <c r="E177" s="18">
        <v>14777</v>
      </c>
      <c r="F177" s="18">
        <v>11584</v>
      </c>
      <c r="G177" s="18">
        <v>12584</v>
      </c>
      <c r="H177" s="18">
        <v>5828</v>
      </c>
      <c r="I177" s="18">
        <v>2</v>
      </c>
      <c r="J177" s="18">
        <v>3</v>
      </c>
      <c r="K177" s="18">
        <v>22</v>
      </c>
      <c r="L177" s="18">
        <v>5</v>
      </c>
      <c r="M177" s="18">
        <v>0</v>
      </c>
      <c r="N177" s="18">
        <v>300</v>
      </c>
      <c r="O177" s="18">
        <v>10</v>
      </c>
      <c r="P177" s="18">
        <v>0</v>
      </c>
      <c r="Q177" s="18">
        <v>0</v>
      </c>
      <c r="R177" s="18">
        <v>0</v>
      </c>
      <c r="S177" s="39" t="s">
        <v>2837</v>
      </c>
      <c r="T177" s="39">
        <v>14277</v>
      </c>
      <c r="U177" s="95" t="s">
        <v>4638</v>
      </c>
      <c r="V177" s="39">
        <v>101</v>
      </c>
      <c r="W177" s="18">
        <v>0</v>
      </c>
      <c r="X177" s="18">
        <v>0</v>
      </c>
      <c r="Y177" s="18">
        <v>0</v>
      </c>
      <c r="Z177" s="18">
        <v>0</v>
      </c>
      <c r="AA177" s="18">
        <v>0</v>
      </c>
      <c r="AB177" s="18"/>
      <c r="AC177" s="18">
        <v>1022</v>
      </c>
      <c r="AD177" s="18">
        <v>0</v>
      </c>
      <c r="AE177" s="18">
        <v>0</v>
      </c>
      <c r="AF177" s="18">
        <v>1</v>
      </c>
      <c r="AG177" s="18">
        <v>0</v>
      </c>
      <c r="AH177" s="18">
        <v>0</v>
      </c>
      <c r="AI177" s="18">
        <v>0</v>
      </c>
    </row>
    <row r="178" spans="1:35" s="98" customFormat="1" x14ac:dyDescent="0.2">
      <c r="A178" s="98">
        <v>0</v>
      </c>
      <c r="B178" s="98" t="s">
        <v>4009</v>
      </c>
      <c r="C178" s="98" t="s">
        <v>241</v>
      </c>
      <c r="D178" s="98" t="s">
        <v>3683</v>
      </c>
      <c r="E178" s="98">
        <v>14778</v>
      </c>
      <c r="F178" s="98">
        <v>11585</v>
      </c>
      <c r="G178" s="98">
        <v>12585</v>
      </c>
      <c r="H178" s="98">
        <v>5820</v>
      </c>
      <c r="I178" s="98">
        <v>2</v>
      </c>
      <c r="J178" s="98">
        <v>3</v>
      </c>
      <c r="K178" s="98">
        <v>22</v>
      </c>
      <c r="L178" s="98">
        <v>5</v>
      </c>
      <c r="M178" s="18">
        <v>0</v>
      </c>
      <c r="N178" s="98">
        <v>300</v>
      </c>
      <c r="O178" s="98">
        <v>0</v>
      </c>
      <c r="P178" s="98">
        <v>0</v>
      </c>
      <c r="Q178" s="98">
        <v>0</v>
      </c>
      <c r="R178" s="98">
        <v>0</v>
      </c>
      <c r="S178" s="99" t="s">
        <v>2837</v>
      </c>
      <c r="T178" s="98">
        <v>14278</v>
      </c>
      <c r="U178" s="116" t="s">
        <v>4164</v>
      </c>
      <c r="V178" s="98">
        <v>101</v>
      </c>
      <c r="W178" s="98">
        <v>0</v>
      </c>
      <c r="X178" s="98">
        <v>0</v>
      </c>
      <c r="Y178" s="98">
        <v>0</v>
      </c>
      <c r="Z178" s="98">
        <v>0</v>
      </c>
      <c r="AA178" s="98">
        <v>0</v>
      </c>
      <c r="AC178" s="98">
        <v>1022</v>
      </c>
      <c r="AD178" s="98">
        <v>0</v>
      </c>
      <c r="AE178" s="98">
        <v>0</v>
      </c>
      <c r="AF178" s="18">
        <v>0</v>
      </c>
      <c r="AG178" s="98">
        <v>0</v>
      </c>
      <c r="AH178" s="98">
        <v>1</v>
      </c>
      <c r="AI178" s="18">
        <v>0</v>
      </c>
    </row>
    <row r="179" spans="1:35" x14ac:dyDescent="0.2">
      <c r="A179">
        <v>1</v>
      </c>
      <c r="B179" t="s">
        <v>4010</v>
      </c>
      <c r="C179" t="s">
        <v>243</v>
      </c>
      <c r="E179" s="18">
        <v>14779</v>
      </c>
      <c r="F179" s="18">
        <v>11586</v>
      </c>
      <c r="G179" s="18">
        <v>12586</v>
      </c>
      <c r="H179" s="18">
        <v>5818</v>
      </c>
      <c r="I179" s="18">
        <v>2</v>
      </c>
      <c r="J179" s="18">
        <v>3</v>
      </c>
      <c r="K179" s="18">
        <v>22</v>
      </c>
      <c r="L179" s="18">
        <v>5</v>
      </c>
      <c r="M179" s="18">
        <v>0</v>
      </c>
      <c r="N179" s="18">
        <v>300</v>
      </c>
      <c r="O179" s="18">
        <v>10</v>
      </c>
      <c r="P179" s="18">
        <v>3</v>
      </c>
      <c r="Q179" s="18">
        <v>3</v>
      </c>
      <c r="R179" s="18">
        <v>0</v>
      </c>
      <c r="S179" s="39" t="s">
        <v>2837</v>
      </c>
      <c r="T179" s="39">
        <v>14279</v>
      </c>
      <c r="U179" s="95" t="s">
        <v>3266</v>
      </c>
      <c r="V179" s="39">
        <v>101</v>
      </c>
      <c r="W179" s="18">
        <v>0</v>
      </c>
      <c r="X179" s="18">
        <v>0</v>
      </c>
      <c r="Y179" s="18">
        <v>0</v>
      </c>
      <c r="Z179" s="18">
        <v>0</v>
      </c>
      <c r="AA179" s="18">
        <v>0</v>
      </c>
      <c r="AB179" s="18"/>
      <c r="AC179" s="18">
        <v>1022</v>
      </c>
      <c r="AD179" s="18">
        <v>0</v>
      </c>
      <c r="AE179" s="18">
        <v>0</v>
      </c>
      <c r="AF179" s="18">
        <v>4</v>
      </c>
      <c r="AG179" s="18">
        <v>0</v>
      </c>
      <c r="AH179" s="18">
        <v>0</v>
      </c>
      <c r="AI179" s="18">
        <v>0</v>
      </c>
    </row>
    <row r="180" spans="1:35" x14ac:dyDescent="0.2">
      <c r="A180">
        <v>0</v>
      </c>
      <c r="B180" t="s">
        <v>244</v>
      </c>
      <c r="C180" t="s">
        <v>245</v>
      </c>
      <c r="E180" s="18">
        <v>14780</v>
      </c>
      <c r="F180" s="18">
        <v>11587</v>
      </c>
      <c r="G180" s="18">
        <v>12587</v>
      </c>
      <c r="H180" s="18">
        <v>5833</v>
      </c>
      <c r="I180" s="18">
        <v>2</v>
      </c>
      <c r="J180" s="18">
        <v>3</v>
      </c>
      <c r="K180" s="18">
        <v>22</v>
      </c>
      <c r="L180" s="18">
        <v>5</v>
      </c>
      <c r="M180" s="18">
        <v>0</v>
      </c>
      <c r="N180" s="18">
        <v>300</v>
      </c>
      <c r="O180" s="18">
        <v>10</v>
      </c>
      <c r="P180" s="18">
        <v>0</v>
      </c>
      <c r="Q180" s="18">
        <v>0</v>
      </c>
      <c r="R180" s="18">
        <v>0</v>
      </c>
      <c r="S180" s="39" t="s">
        <v>2837</v>
      </c>
      <c r="T180" s="39">
        <v>14280</v>
      </c>
      <c r="U180" s="95" t="s">
        <v>3285</v>
      </c>
      <c r="V180" s="39">
        <v>101</v>
      </c>
      <c r="W180" s="18">
        <v>0</v>
      </c>
      <c r="X180" s="18">
        <v>0</v>
      </c>
      <c r="Y180" s="18">
        <v>0</v>
      </c>
      <c r="Z180" s="18">
        <v>0</v>
      </c>
      <c r="AA180" s="18">
        <v>0</v>
      </c>
      <c r="AB180" s="18"/>
      <c r="AC180" s="18">
        <v>1022</v>
      </c>
      <c r="AD180" s="18">
        <v>0</v>
      </c>
      <c r="AE180" s="18">
        <v>0</v>
      </c>
      <c r="AF180" s="18">
        <v>1</v>
      </c>
      <c r="AG180" s="18">
        <v>0</v>
      </c>
      <c r="AH180" s="18">
        <v>0</v>
      </c>
      <c r="AI180" s="18">
        <v>0</v>
      </c>
    </row>
    <row r="181" spans="1:35" x14ac:dyDescent="0.2">
      <c r="A181">
        <v>0</v>
      </c>
      <c r="B181" t="s">
        <v>4011</v>
      </c>
      <c r="C181" t="s">
        <v>247</v>
      </c>
      <c r="E181" s="18">
        <v>14781</v>
      </c>
      <c r="F181" s="18">
        <v>11588</v>
      </c>
      <c r="G181" s="18">
        <v>12588</v>
      </c>
      <c r="H181" s="18">
        <v>5822</v>
      </c>
      <c r="I181" s="18">
        <v>2</v>
      </c>
      <c r="J181" s="18">
        <v>3</v>
      </c>
      <c r="K181" s="18">
        <v>22</v>
      </c>
      <c r="L181" s="18">
        <v>5</v>
      </c>
      <c r="M181" s="18">
        <v>0</v>
      </c>
      <c r="N181" s="18">
        <v>300</v>
      </c>
      <c r="O181" s="18">
        <v>10</v>
      </c>
      <c r="P181" s="18">
        <v>0</v>
      </c>
      <c r="Q181" s="18">
        <v>0</v>
      </c>
      <c r="R181" s="18">
        <v>0</v>
      </c>
      <c r="S181" s="39" t="s">
        <v>2837</v>
      </c>
      <c r="T181" s="39">
        <v>14281</v>
      </c>
      <c r="U181" s="95" t="s">
        <v>3286</v>
      </c>
      <c r="V181" s="39">
        <v>101</v>
      </c>
      <c r="W181" s="18">
        <v>0</v>
      </c>
      <c r="X181" s="18">
        <v>0</v>
      </c>
      <c r="Y181" s="18">
        <v>0</v>
      </c>
      <c r="Z181" s="18">
        <v>0</v>
      </c>
      <c r="AA181" s="18">
        <v>0</v>
      </c>
      <c r="AB181" s="18"/>
      <c r="AC181" s="18">
        <v>1022</v>
      </c>
      <c r="AD181" s="18">
        <v>0</v>
      </c>
      <c r="AE181" s="18">
        <v>0</v>
      </c>
      <c r="AF181" s="18">
        <v>2</v>
      </c>
      <c r="AG181" s="18">
        <v>0</v>
      </c>
      <c r="AH181" s="18">
        <v>0</v>
      </c>
      <c r="AI181" s="18">
        <v>0</v>
      </c>
    </row>
    <row r="182" spans="1:35" x14ac:dyDescent="0.2">
      <c r="A182">
        <v>0</v>
      </c>
      <c r="B182" t="s">
        <v>4012</v>
      </c>
      <c r="C182" t="s">
        <v>249</v>
      </c>
      <c r="E182" s="18">
        <v>14782</v>
      </c>
      <c r="F182" s="18">
        <v>11589</v>
      </c>
      <c r="G182" s="18">
        <v>12589</v>
      </c>
      <c r="H182" s="18">
        <v>5838</v>
      </c>
      <c r="I182" s="18">
        <v>2</v>
      </c>
      <c r="J182" s="18">
        <v>3</v>
      </c>
      <c r="K182" s="18">
        <v>22</v>
      </c>
      <c r="L182" s="18">
        <v>5</v>
      </c>
      <c r="M182" s="18">
        <v>0</v>
      </c>
      <c r="N182" s="18">
        <v>300</v>
      </c>
      <c r="O182" s="18">
        <v>10</v>
      </c>
      <c r="P182" s="18">
        <v>0</v>
      </c>
      <c r="Q182" s="18">
        <v>0</v>
      </c>
      <c r="R182" s="18">
        <v>0</v>
      </c>
      <c r="S182" s="39" t="s">
        <v>2837</v>
      </c>
      <c r="T182" s="39">
        <v>14282</v>
      </c>
      <c r="U182" s="95" t="s">
        <v>3287</v>
      </c>
      <c r="V182" s="39">
        <v>101</v>
      </c>
      <c r="W182" s="18">
        <v>0</v>
      </c>
      <c r="X182" s="18">
        <v>0</v>
      </c>
      <c r="Y182" s="18">
        <v>0</v>
      </c>
      <c r="Z182" s="18">
        <v>0</v>
      </c>
      <c r="AA182" s="18">
        <v>0</v>
      </c>
      <c r="AB182" s="18"/>
      <c r="AC182" s="18">
        <v>1022</v>
      </c>
      <c r="AD182" s="18">
        <v>0</v>
      </c>
      <c r="AE182" s="18">
        <v>0</v>
      </c>
      <c r="AF182" s="18">
        <v>1</v>
      </c>
      <c r="AG182" s="18">
        <v>0</v>
      </c>
      <c r="AH182" s="18">
        <v>0</v>
      </c>
      <c r="AI182" s="18">
        <v>0</v>
      </c>
    </row>
    <row r="183" spans="1:35" x14ac:dyDescent="0.2">
      <c r="A183">
        <v>0</v>
      </c>
      <c r="B183" t="s">
        <v>4013</v>
      </c>
      <c r="C183" t="s">
        <v>251</v>
      </c>
      <c r="E183" s="18">
        <v>14783</v>
      </c>
      <c r="F183" s="18">
        <v>11590</v>
      </c>
      <c r="G183" s="18">
        <v>12590</v>
      </c>
      <c r="H183" s="18">
        <v>5803</v>
      </c>
      <c r="I183" s="18">
        <v>2</v>
      </c>
      <c r="J183" s="18">
        <v>3</v>
      </c>
      <c r="K183" s="18">
        <v>22</v>
      </c>
      <c r="L183" s="18">
        <v>5</v>
      </c>
      <c r="M183" s="18">
        <v>0</v>
      </c>
      <c r="N183" s="18">
        <v>300</v>
      </c>
      <c r="O183" s="18">
        <v>10</v>
      </c>
      <c r="P183" s="18">
        <v>0</v>
      </c>
      <c r="Q183" s="18">
        <v>0</v>
      </c>
      <c r="R183" s="18">
        <v>0</v>
      </c>
      <c r="S183" s="39" t="s">
        <v>2837</v>
      </c>
      <c r="T183" s="39">
        <v>14283</v>
      </c>
      <c r="U183" s="95" t="s">
        <v>3288</v>
      </c>
      <c r="V183" s="39">
        <v>101</v>
      </c>
      <c r="W183" s="18">
        <v>0</v>
      </c>
      <c r="X183" s="18">
        <v>0</v>
      </c>
      <c r="Y183" s="18">
        <v>0</v>
      </c>
      <c r="Z183" s="18">
        <v>0</v>
      </c>
      <c r="AA183" s="18">
        <v>0</v>
      </c>
      <c r="AB183" s="18"/>
      <c r="AC183" s="18">
        <v>1022</v>
      </c>
      <c r="AD183" s="18">
        <v>0</v>
      </c>
      <c r="AE183" s="18">
        <v>0</v>
      </c>
      <c r="AF183" s="18">
        <v>1</v>
      </c>
      <c r="AG183" s="18">
        <v>0</v>
      </c>
      <c r="AH183" s="18">
        <v>0</v>
      </c>
      <c r="AI183" s="18">
        <v>0</v>
      </c>
    </row>
    <row r="184" spans="1:35" x14ac:dyDescent="0.2">
      <c r="A184">
        <v>0</v>
      </c>
      <c r="B184" t="s">
        <v>4014</v>
      </c>
      <c r="C184" t="s">
        <v>253</v>
      </c>
      <c r="E184" s="18">
        <v>14784</v>
      </c>
      <c r="F184" s="18">
        <v>11591</v>
      </c>
      <c r="G184" s="18">
        <v>12591</v>
      </c>
      <c r="H184" s="18">
        <v>5813</v>
      </c>
      <c r="I184" s="18">
        <v>2</v>
      </c>
      <c r="J184" s="18">
        <v>3</v>
      </c>
      <c r="K184" s="18">
        <v>22</v>
      </c>
      <c r="L184" s="18">
        <v>5</v>
      </c>
      <c r="M184" s="18">
        <v>0</v>
      </c>
      <c r="N184" s="18">
        <v>300</v>
      </c>
      <c r="O184" s="18">
        <v>10</v>
      </c>
      <c r="P184" s="18">
        <v>0</v>
      </c>
      <c r="Q184" s="18">
        <v>0</v>
      </c>
      <c r="R184" s="18">
        <v>0</v>
      </c>
      <c r="S184" s="39" t="s">
        <v>2837</v>
      </c>
      <c r="T184" s="39">
        <v>14284</v>
      </c>
      <c r="U184" s="95" t="s">
        <v>4280</v>
      </c>
      <c r="V184" s="39">
        <v>101</v>
      </c>
      <c r="W184" s="18">
        <v>0</v>
      </c>
      <c r="X184" s="18">
        <v>0</v>
      </c>
      <c r="Y184" s="18">
        <v>0</v>
      </c>
      <c r="Z184" s="18">
        <v>0</v>
      </c>
      <c r="AA184" s="18">
        <v>0</v>
      </c>
      <c r="AB184" s="18"/>
      <c r="AC184" s="18">
        <v>1022</v>
      </c>
      <c r="AD184" s="18">
        <v>0</v>
      </c>
      <c r="AE184" s="18">
        <v>0</v>
      </c>
      <c r="AF184" s="18">
        <v>4</v>
      </c>
      <c r="AG184" s="18">
        <v>0</v>
      </c>
      <c r="AH184" s="18">
        <v>0</v>
      </c>
      <c r="AI184" s="18">
        <v>0</v>
      </c>
    </row>
    <row r="185" spans="1:35" x14ac:dyDescent="0.2">
      <c r="A185">
        <v>0</v>
      </c>
      <c r="B185" t="s">
        <v>4015</v>
      </c>
      <c r="C185" t="s">
        <v>254</v>
      </c>
      <c r="E185" s="18">
        <v>14785</v>
      </c>
      <c r="F185" s="18">
        <v>11592</v>
      </c>
      <c r="G185" s="18">
        <v>12592</v>
      </c>
      <c r="H185" s="39" t="s">
        <v>3889</v>
      </c>
      <c r="I185" s="18">
        <v>2</v>
      </c>
      <c r="J185" s="18">
        <v>2</v>
      </c>
      <c r="K185" s="18">
        <v>24</v>
      </c>
      <c r="L185" s="18">
        <v>5</v>
      </c>
      <c r="M185" s="18">
        <v>0</v>
      </c>
      <c r="N185" s="18">
        <v>300</v>
      </c>
      <c r="O185" s="18">
        <v>10</v>
      </c>
      <c r="P185" s="18">
        <v>0</v>
      </c>
      <c r="Q185" s="18">
        <v>0</v>
      </c>
      <c r="R185" s="18">
        <v>0</v>
      </c>
      <c r="S185" s="39" t="s">
        <v>2838</v>
      </c>
      <c r="T185" s="39">
        <v>14285</v>
      </c>
      <c r="U185" s="95" t="s">
        <v>4473</v>
      </c>
      <c r="V185" s="39">
        <v>101</v>
      </c>
      <c r="W185" s="18">
        <v>0</v>
      </c>
      <c r="X185" s="18">
        <v>0</v>
      </c>
      <c r="Y185" s="18">
        <v>0</v>
      </c>
      <c r="Z185" s="18">
        <v>0</v>
      </c>
      <c r="AA185" s="18">
        <v>0</v>
      </c>
      <c r="AB185" s="18"/>
      <c r="AC185" s="18">
        <v>1025</v>
      </c>
      <c r="AD185" s="18">
        <v>0</v>
      </c>
      <c r="AE185" s="18">
        <v>0</v>
      </c>
      <c r="AF185" s="18">
        <v>2</v>
      </c>
      <c r="AG185" s="18">
        <v>0</v>
      </c>
      <c r="AH185" s="18">
        <v>0</v>
      </c>
      <c r="AI185" s="18">
        <v>0</v>
      </c>
    </row>
    <row r="186" spans="1:35" x14ac:dyDescent="0.2">
      <c r="A186">
        <v>0</v>
      </c>
      <c r="B186" t="s">
        <v>4016</v>
      </c>
      <c r="C186" t="s">
        <v>256</v>
      </c>
      <c r="E186" s="18">
        <v>14786</v>
      </c>
      <c r="F186" s="18">
        <v>11593</v>
      </c>
      <c r="G186" s="18">
        <v>12593</v>
      </c>
      <c r="H186" s="39" t="s">
        <v>3890</v>
      </c>
      <c r="I186" s="18">
        <v>2</v>
      </c>
      <c r="J186" s="18">
        <v>2</v>
      </c>
      <c r="K186" s="18">
        <v>24</v>
      </c>
      <c r="L186" s="18">
        <v>5</v>
      </c>
      <c r="M186" s="18">
        <v>0</v>
      </c>
      <c r="N186" s="18">
        <v>300</v>
      </c>
      <c r="O186" s="18">
        <v>10</v>
      </c>
      <c r="P186" s="18">
        <v>0</v>
      </c>
      <c r="Q186" s="18">
        <v>0</v>
      </c>
      <c r="R186" s="18">
        <v>0</v>
      </c>
      <c r="S186" s="39" t="s">
        <v>2838</v>
      </c>
      <c r="T186" s="39">
        <v>14286</v>
      </c>
      <c r="U186" s="95" t="s">
        <v>4474</v>
      </c>
      <c r="V186" s="39">
        <v>101</v>
      </c>
      <c r="W186" s="18">
        <v>0</v>
      </c>
      <c r="X186" s="18">
        <v>0</v>
      </c>
      <c r="Y186" s="18">
        <v>0</v>
      </c>
      <c r="Z186" s="18">
        <v>0</v>
      </c>
      <c r="AA186" s="18">
        <v>0</v>
      </c>
      <c r="AB186" s="18"/>
      <c r="AC186" s="18">
        <v>1025</v>
      </c>
      <c r="AD186" s="18">
        <v>0</v>
      </c>
      <c r="AE186" s="18">
        <v>0</v>
      </c>
      <c r="AF186" s="18">
        <v>1</v>
      </c>
      <c r="AG186" s="18">
        <v>0</v>
      </c>
      <c r="AH186" s="18">
        <v>0</v>
      </c>
      <c r="AI186" s="18">
        <v>0</v>
      </c>
    </row>
    <row r="187" spans="1:35" x14ac:dyDescent="0.2">
      <c r="A187">
        <v>0</v>
      </c>
      <c r="B187" t="s">
        <v>4017</v>
      </c>
      <c r="C187" t="s">
        <v>257</v>
      </c>
      <c r="E187" s="18">
        <v>14787</v>
      </c>
      <c r="F187" s="18">
        <v>11594</v>
      </c>
      <c r="G187" s="18">
        <v>12594</v>
      </c>
      <c r="H187" s="39" t="s">
        <v>3908</v>
      </c>
      <c r="I187" s="18">
        <v>2</v>
      </c>
      <c r="J187" s="18">
        <v>2</v>
      </c>
      <c r="K187" s="18">
        <v>24</v>
      </c>
      <c r="L187" s="18">
        <v>5</v>
      </c>
      <c r="M187" s="18">
        <v>0</v>
      </c>
      <c r="N187" s="18">
        <v>300</v>
      </c>
      <c r="O187" s="18">
        <v>10</v>
      </c>
      <c r="P187" s="18">
        <v>0</v>
      </c>
      <c r="Q187" s="18">
        <v>0</v>
      </c>
      <c r="R187" s="18">
        <v>0</v>
      </c>
      <c r="S187" s="39" t="s">
        <v>2838</v>
      </c>
      <c r="T187" s="39">
        <v>14287</v>
      </c>
      <c r="U187" s="95" t="s">
        <v>4475</v>
      </c>
      <c r="V187" s="39">
        <v>101</v>
      </c>
      <c r="W187" s="18">
        <v>0</v>
      </c>
      <c r="X187" s="18">
        <v>0</v>
      </c>
      <c r="Y187" s="18">
        <v>0</v>
      </c>
      <c r="Z187" s="18">
        <v>0</v>
      </c>
      <c r="AA187" s="18">
        <v>0</v>
      </c>
      <c r="AB187" s="18"/>
      <c r="AC187" s="18">
        <v>1025</v>
      </c>
      <c r="AD187" s="18">
        <v>0</v>
      </c>
      <c r="AE187" s="18">
        <v>0</v>
      </c>
      <c r="AF187" s="18">
        <v>1</v>
      </c>
      <c r="AG187" s="18">
        <v>0</v>
      </c>
      <c r="AH187" s="18">
        <v>0</v>
      </c>
      <c r="AI187" s="18">
        <v>0</v>
      </c>
    </row>
    <row r="188" spans="1:35" x14ac:dyDescent="0.2">
      <c r="A188">
        <v>0</v>
      </c>
      <c r="B188" t="s">
        <v>4018</v>
      </c>
      <c r="C188" t="s">
        <v>259</v>
      </c>
      <c r="E188" s="18">
        <v>14788</v>
      </c>
      <c r="F188" s="18">
        <v>11595</v>
      </c>
      <c r="G188" s="18">
        <v>12595</v>
      </c>
      <c r="H188" s="39" t="s">
        <v>3891</v>
      </c>
      <c r="I188" s="18">
        <v>2</v>
      </c>
      <c r="J188" s="18">
        <v>2</v>
      </c>
      <c r="K188" s="18">
        <v>24</v>
      </c>
      <c r="L188" s="18">
        <v>5</v>
      </c>
      <c r="M188" s="18">
        <v>0</v>
      </c>
      <c r="N188" s="18">
        <v>300</v>
      </c>
      <c r="O188" s="18">
        <v>10</v>
      </c>
      <c r="P188" s="18">
        <v>0</v>
      </c>
      <c r="Q188" s="18">
        <v>0</v>
      </c>
      <c r="R188" s="18">
        <v>0</v>
      </c>
      <c r="S188" s="39" t="s">
        <v>2838</v>
      </c>
      <c r="T188" s="39">
        <v>14288</v>
      </c>
      <c r="U188" s="95" t="s">
        <v>4476</v>
      </c>
      <c r="V188" s="39">
        <v>101</v>
      </c>
      <c r="W188" s="18">
        <v>0</v>
      </c>
      <c r="X188" s="18">
        <v>0</v>
      </c>
      <c r="Y188" s="18">
        <v>0</v>
      </c>
      <c r="Z188" s="18">
        <v>0</v>
      </c>
      <c r="AA188" s="18">
        <v>0</v>
      </c>
      <c r="AB188" s="18"/>
      <c r="AC188" s="18">
        <v>1025</v>
      </c>
      <c r="AD188" s="18">
        <v>0</v>
      </c>
      <c r="AE188" s="18">
        <v>0</v>
      </c>
      <c r="AF188" s="18">
        <v>6</v>
      </c>
      <c r="AG188" s="18">
        <v>0</v>
      </c>
      <c r="AH188" s="18">
        <v>0</v>
      </c>
      <c r="AI188" s="18">
        <v>0</v>
      </c>
    </row>
    <row r="189" spans="1:35" x14ac:dyDescent="0.2">
      <c r="A189">
        <v>1</v>
      </c>
      <c r="B189" t="s">
        <v>4019</v>
      </c>
      <c r="C189" t="s">
        <v>2725</v>
      </c>
      <c r="E189" s="18">
        <v>14789</v>
      </c>
      <c r="F189" s="18">
        <v>11596</v>
      </c>
      <c r="G189" s="18">
        <v>12596</v>
      </c>
      <c r="H189" s="39" t="s">
        <v>3892</v>
      </c>
      <c r="I189" s="18">
        <v>2</v>
      </c>
      <c r="J189" s="18">
        <v>2</v>
      </c>
      <c r="K189" s="18">
        <v>24</v>
      </c>
      <c r="L189" s="18">
        <v>5</v>
      </c>
      <c r="M189" s="18">
        <v>0</v>
      </c>
      <c r="N189" s="18">
        <v>300</v>
      </c>
      <c r="O189" s="18">
        <v>10</v>
      </c>
      <c r="P189" s="18">
        <v>0</v>
      </c>
      <c r="Q189" s="18">
        <v>0</v>
      </c>
      <c r="R189" s="18">
        <v>0</v>
      </c>
      <c r="S189" s="39" t="s">
        <v>2838</v>
      </c>
      <c r="T189" s="39" t="s">
        <v>2811</v>
      </c>
      <c r="U189" s="95" t="s">
        <v>3267</v>
      </c>
      <c r="V189" s="39">
        <v>101</v>
      </c>
      <c r="W189" s="18">
        <v>0</v>
      </c>
      <c r="X189" s="18">
        <v>0</v>
      </c>
      <c r="Y189" s="18">
        <v>0</v>
      </c>
      <c r="Z189" s="18">
        <v>0</v>
      </c>
      <c r="AA189" s="18">
        <v>0</v>
      </c>
      <c r="AB189" s="18"/>
      <c r="AC189" s="18">
        <v>1025</v>
      </c>
      <c r="AD189" s="18">
        <v>0</v>
      </c>
      <c r="AE189" s="18">
        <v>0</v>
      </c>
      <c r="AF189" s="18">
        <v>6</v>
      </c>
      <c r="AG189" s="18">
        <v>0</v>
      </c>
      <c r="AH189" s="18">
        <v>0</v>
      </c>
      <c r="AI189" s="18">
        <v>0</v>
      </c>
    </row>
    <row r="190" spans="1:35" x14ac:dyDescent="0.2">
      <c r="A190">
        <v>0</v>
      </c>
      <c r="B190" t="s">
        <v>4020</v>
      </c>
      <c r="C190" t="s">
        <v>2726</v>
      </c>
      <c r="E190" s="18">
        <v>14790</v>
      </c>
      <c r="F190" s="18">
        <v>11597</v>
      </c>
      <c r="G190" s="18">
        <v>12597</v>
      </c>
      <c r="H190" s="39" t="s">
        <v>3909</v>
      </c>
      <c r="I190" s="18">
        <v>2</v>
      </c>
      <c r="J190" s="18">
        <v>2</v>
      </c>
      <c r="K190" s="18">
        <v>24</v>
      </c>
      <c r="L190" s="18">
        <v>5</v>
      </c>
      <c r="M190" s="18">
        <v>0</v>
      </c>
      <c r="N190" s="18">
        <v>300</v>
      </c>
      <c r="O190" s="18">
        <v>10</v>
      </c>
      <c r="P190" s="18">
        <v>0</v>
      </c>
      <c r="Q190" s="18">
        <v>0</v>
      </c>
      <c r="R190" s="18">
        <v>0</v>
      </c>
      <c r="S190" s="39" t="s">
        <v>2838</v>
      </c>
      <c r="T190" s="39">
        <v>14290</v>
      </c>
      <c r="U190" s="95" t="s">
        <v>4477</v>
      </c>
      <c r="V190" s="39">
        <v>101</v>
      </c>
      <c r="W190" s="18">
        <v>0</v>
      </c>
      <c r="X190" s="18">
        <v>0</v>
      </c>
      <c r="Y190" s="18">
        <v>0</v>
      </c>
      <c r="Z190" s="18">
        <v>0</v>
      </c>
      <c r="AA190" s="18">
        <v>0</v>
      </c>
      <c r="AB190" s="18"/>
      <c r="AC190" s="18">
        <v>1025</v>
      </c>
      <c r="AD190" s="18">
        <v>0</v>
      </c>
      <c r="AE190" s="18">
        <v>0</v>
      </c>
      <c r="AF190" s="18">
        <v>6</v>
      </c>
      <c r="AG190" s="18">
        <v>0</v>
      </c>
      <c r="AH190" s="18">
        <v>0</v>
      </c>
      <c r="AI190" s="18">
        <v>0</v>
      </c>
    </row>
    <row r="191" spans="1:35" x14ac:dyDescent="0.2">
      <c r="A191">
        <v>0</v>
      </c>
      <c r="B191" t="s">
        <v>4021</v>
      </c>
      <c r="C191" t="s">
        <v>261</v>
      </c>
      <c r="E191" s="18">
        <v>14791</v>
      </c>
      <c r="F191" s="18">
        <v>11598</v>
      </c>
      <c r="G191" s="18">
        <v>12598</v>
      </c>
      <c r="H191" s="39" t="s">
        <v>3893</v>
      </c>
      <c r="I191" s="18">
        <v>2</v>
      </c>
      <c r="J191" s="18">
        <v>2</v>
      </c>
      <c r="K191" s="18">
        <v>24</v>
      </c>
      <c r="L191" s="18">
        <v>5</v>
      </c>
      <c r="M191" s="18">
        <v>0</v>
      </c>
      <c r="N191" s="18">
        <v>300</v>
      </c>
      <c r="O191" s="18">
        <v>10</v>
      </c>
      <c r="P191" s="18">
        <v>0</v>
      </c>
      <c r="Q191" s="18">
        <v>0</v>
      </c>
      <c r="R191" s="18">
        <v>0</v>
      </c>
      <c r="S191" s="39" t="s">
        <v>2838</v>
      </c>
      <c r="T191" s="39">
        <v>14291</v>
      </c>
      <c r="U191" s="95" t="s">
        <v>4478</v>
      </c>
      <c r="V191" s="39">
        <v>101</v>
      </c>
      <c r="W191" s="18">
        <v>0</v>
      </c>
      <c r="X191" s="18">
        <v>0</v>
      </c>
      <c r="Y191" s="18">
        <v>0</v>
      </c>
      <c r="Z191" s="18">
        <v>0</v>
      </c>
      <c r="AA191" s="18">
        <v>0</v>
      </c>
      <c r="AB191" s="18"/>
      <c r="AC191" s="18">
        <v>1025</v>
      </c>
      <c r="AD191" s="18">
        <v>0</v>
      </c>
      <c r="AE191" s="18">
        <v>0</v>
      </c>
      <c r="AF191" s="18">
        <v>1</v>
      </c>
      <c r="AG191" s="18">
        <v>0</v>
      </c>
      <c r="AH191" s="18">
        <v>0</v>
      </c>
      <c r="AI191" s="18">
        <v>0</v>
      </c>
    </row>
    <row r="192" spans="1:35" x14ac:dyDescent="0.2">
      <c r="A192">
        <v>0</v>
      </c>
      <c r="B192" t="s">
        <v>4022</v>
      </c>
      <c r="C192" t="s">
        <v>263</v>
      </c>
      <c r="E192" s="18">
        <v>14792</v>
      </c>
      <c r="F192" s="18">
        <v>11599</v>
      </c>
      <c r="G192" s="18">
        <v>12599</v>
      </c>
      <c r="H192" s="39" t="s">
        <v>3894</v>
      </c>
      <c r="I192" s="18">
        <v>2</v>
      </c>
      <c r="J192" s="18">
        <v>2</v>
      </c>
      <c r="K192" s="18">
        <v>24</v>
      </c>
      <c r="L192" s="18">
        <v>5</v>
      </c>
      <c r="M192" s="18">
        <v>0</v>
      </c>
      <c r="N192" s="18">
        <v>300</v>
      </c>
      <c r="O192" s="18">
        <v>10</v>
      </c>
      <c r="P192" s="18">
        <v>0</v>
      </c>
      <c r="Q192" s="18">
        <v>0</v>
      </c>
      <c r="R192" s="18">
        <v>0</v>
      </c>
      <c r="S192" s="39" t="s">
        <v>2838</v>
      </c>
      <c r="T192" s="39">
        <v>14292</v>
      </c>
      <c r="U192" s="95" t="s">
        <v>4499</v>
      </c>
      <c r="V192" s="39">
        <v>101</v>
      </c>
      <c r="W192" s="18">
        <v>0</v>
      </c>
      <c r="X192" s="18">
        <v>0</v>
      </c>
      <c r="Y192" s="18">
        <v>0</v>
      </c>
      <c r="Z192" s="18">
        <v>0</v>
      </c>
      <c r="AA192" s="18">
        <v>0</v>
      </c>
      <c r="AB192" s="18"/>
      <c r="AC192" s="18">
        <v>1025</v>
      </c>
      <c r="AD192" s="18">
        <v>0</v>
      </c>
      <c r="AE192" s="18">
        <v>0</v>
      </c>
      <c r="AF192" s="18">
        <v>1</v>
      </c>
      <c r="AG192" s="18">
        <v>0</v>
      </c>
      <c r="AH192" s="18">
        <v>0</v>
      </c>
      <c r="AI192" s="18">
        <v>0</v>
      </c>
    </row>
    <row r="193" spans="1:35" x14ac:dyDescent="0.2">
      <c r="A193">
        <v>0</v>
      </c>
      <c r="B193" t="s">
        <v>4023</v>
      </c>
      <c r="C193" t="s">
        <v>265</v>
      </c>
      <c r="E193" s="18">
        <v>14793</v>
      </c>
      <c r="F193" s="18">
        <v>11600</v>
      </c>
      <c r="G193" s="18">
        <v>12600</v>
      </c>
      <c r="H193" s="39" t="s">
        <v>3910</v>
      </c>
      <c r="I193" s="18">
        <v>2</v>
      </c>
      <c r="J193" s="18">
        <v>2</v>
      </c>
      <c r="K193" s="18">
        <v>24</v>
      </c>
      <c r="L193" s="18">
        <v>5</v>
      </c>
      <c r="M193" s="18">
        <v>0</v>
      </c>
      <c r="N193" s="18">
        <v>300</v>
      </c>
      <c r="O193" s="18">
        <v>10</v>
      </c>
      <c r="P193" s="18">
        <v>0</v>
      </c>
      <c r="Q193" s="18">
        <v>0</v>
      </c>
      <c r="R193" s="18">
        <v>0</v>
      </c>
      <c r="S193" s="39" t="s">
        <v>2838</v>
      </c>
      <c r="T193" s="39" t="s">
        <v>4166</v>
      </c>
      <c r="U193" s="95" t="s">
        <v>4479</v>
      </c>
      <c r="V193" s="39">
        <v>101</v>
      </c>
      <c r="W193" s="18">
        <v>0</v>
      </c>
      <c r="X193" s="18">
        <v>0</v>
      </c>
      <c r="Y193" s="18">
        <v>0</v>
      </c>
      <c r="Z193" s="18">
        <v>0</v>
      </c>
      <c r="AA193" s="18">
        <v>0</v>
      </c>
      <c r="AB193" s="18"/>
      <c r="AC193" s="18">
        <v>1025</v>
      </c>
      <c r="AD193" s="18">
        <v>0</v>
      </c>
      <c r="AE193" s="18">
        <v>0</v>
      </c>
      <c r="AF193" s="18">
        <v>1</v>
      </c>
      <c r="AG193" s="18">
        <v>0</v>
      </c>
      <c r="AH193" s="18">
        <v>0</v>
      </c>
      <c r="AI193" s="18">
        <v>0</v>
      </c>
    </row>
    <row r="194" spans="1:35" x14ac:dyDescent="0.2">
      <c r="A194" t="s">
        <v>4163</v>
      </c>
      <c r="B194" t="s">
        <v>4024</v>
      </c>
      <c r="C194" t="s">
        <v>267</v>
      </c>
      <c r="E194" s="18">
        <v>14794</v>
      </c>
      <c r="F194" s="18">
        <v>11601</v>
      </c>
      <c r="G194" s="18">
        <v>12601</v>
      </c>
      <c r="H194" s="39" t="s">
        <v>3911</v>
      </c>
      <c r="I194" s="18">
        <v>2</v>
      </c>
      <c r="J194" s="18">
        <v>2</v>
      </c>
      <c r="K194" s="18">
        <v>24</v>
      </c>
      <c r="L194" s="18">
        <v>5</v>
      </c>
      <c r="M194" s="18">
        <v>0</v>
      </c>
      <c r="N194" s="18">
        <v>300</v>
      </c>
      <c r="O194" s="18">
        <v>10</v>
      </c>
      <c r="P194" s="18">
        <v>10</v>
      </c>
      <c r="Q194" s="18">
        <v>10</v>
      </c>
      <c r="R194" s="18">
        <v>0</v>
      </c>
      <c r="S194" s="39" t="s">
        <v>2838</v>
      </c>
      <c r="T194" s="39" t="s">
        <v>2812</v>
      </c>
      <c r="U194" s="95" t="s">
        <v>3268</v>
      </c>
      <c r="V194" s="39">
        <v>101</v>
      </c>
      <c r="W194" s="18">
        <v>0</v>
      </c>
      <c r="X194" s="18">
        <v>0</v>
      </c>
      <c r="Y194" s="18">
        <v>0</v>
      </c>
      <c r="Z194" s="18">
        <v>0</v>
      </c>
      <c r="AA194" s="18">
        <v>0</v>
      </c>
      <c r="AB194" s="18"/>
      <c r="AC194" s="18">
        <v>1025</v>
      </c>
      <c r="AD194" s="18">
        <v>0</v>
      </c>
      <c r="AE194" s="18">
        <v>0</v>
      </c>
      <c r="AF194" s="18">
        <v>5</v>
      </c>
      <c r="AG194" s="18">
        <v>0</v>
      </c>
      <c r="AH194" s="18">
        <v>0</v>
      </c>
      <c r="AI194" s="18">
        <v>0</v>
      </c>
    </row>
    <row r="195" spans="1:35" x14ac:dyDescent="0.2">
      <c r="A195">
        <v>0</v>
      </c>
      <c r="B195" t="s">
        <v>4025</v>
      </c>
      <c r="C195" t="s">
        <v>269</v>
      </c>
      <c r="E195" s="18">
        <v>14795</v>
      </c>
      <c r="F195" s="18">
        <v>11602</v>
      </c>
      <c r="G195" s="18">
        <v>12602</v>
      </c>
      <c r="H195" s="39" t="s">
        <v>3912</v>
      </c>
      <c r="I195" s="18">
        <v>2</v>
      </c>
      <c r="J195" s="18">
        <v>2</v>
      </c>
      <c r="K195" s="18">
        <v>24</v>
      </c>
      <c r="L195" s="18">
        <v>5</v>
      </c>
      <c r="M195" s="18">
        <v>0</v>
      </c>
      <c r="N195" s="18">
        <v>300</v>
      </c>
      <c r="O195" s="18">
        <v>10</v>
      </c>
      <c r="P195" s="18">
        <v>0</v>
      </c>
      <c r="Q195" s="18">
        <v>0</v>
      </c>
      <c r="R195" s="18">
        <v>0</v>
      </c>
      <c r="S195" s="39" t="s">
        <v>2838</v>
      </c>
      <c r="T195" s="39">
        <v>14295</v>
      </c>
      <c r="U195" s="95" t="s">
        <v>4480</v>
      </c>
      <c r="V195" s="39">
        <v>101</v>
      </c>
      <c r="W195" s="18">
        <v>0</v>
      </c>
      <c r="X195" s="18">
        <v>0</v>
      </c>
      <c r="Y195" s="18">
        <v>0</v>
      </c>
      <c r="Z195" s="18">
        <v>0</v>
      </c>
      <c r="AA195" s="18">
        <v>0</v>
      </c>
      <c r="AB195" s="18"/>
      <c r="AC195" s="18">
        <v>1025</v>
      </c>
      <c r="AD195" s="18">
        <v>0</v>
      </c>
      <c r="AE195" s="18">
        <v>0</v>
      </c>
      <c r="AF195" s="18">
        <v>3</v>
      </c>
      <c r="AG195" s="18">
        <v>0</v>
      </c>
      <c r="AH195" s="18">
        <v>0</v>
      </c>
      <c r="AI195" s="18">
        <v>0</v>
      </c>
    </row>
    <row r="196" spans="1:35" x14ac:dyDescent="0.2">
      <c r="A196">
        <v>0</v>
      </c>
      <c r="B196" t="s">
        <v>4026</v>
      </c>
      <c r="C196" t="s">
        <v>271</v>
      </c>
      <c r="E196" s="18">
        <v>14796</v>
      </c>
      <c r="F196" s="18">
        <v>11603</v>
      </c>
      <c r="G196" s="18">
        <v>12603</v>
      </c>
      <c r="H196" s="39" t="s">
        <v>3907</v>
      </c>
      <c r="I196" s="18">
        <v>2</v>
      </c>
      <c r="J196" s="18">
        <v>2</v>
      </c>
      <c r="K196" s="18">
        <v>24</v>
      </c>
      <c r="L196" s="18">
        <v>5</v>
      </c>
      <c r="M196" s="18">
        <v>0</v>
      </c>
      <c r="N196" s="18">
        <v>300</v>
      </c>
      <c r="O196" s="18">
        <v>10</v>
      </c>
      <c r="P196" s="18">
        <v>0</v>
      </c>
      <c r="Q196" s="18">
        <v>0</v>
      </c>
      <c r="R196" s="18">
        <v>0</v>
      </c>
      <c r="S196" s="39" t="s">
        <v>2838</v>
      </c>
      <c r="T196" s="39">
        <v>14296</v>
      </c>
      <c r="U196" s="95" t="s">
        <v>4500</v>
      </c>
      <c r="V196" s="39">
        <v>101</v>
      </c>
      <c r="W196" s="18">
        <v>0</v>
      </c>
      <c r="X196" s="18">
        <v>0</v>
      </c>
      <c r="Y196" s="18">
        <v>0</v>
      </c>
      <c r="Z196" s="18">
        <v>0</v>
      </c>
      <c r="AA196" s="18">
        <v>0</v>
      </c>
      <c r="AB196" s="18"/>
      <c r="AC196" s="18">
        <v>1025</v>
      </c>
      <c r="AD196" s="18">
        <v>0</v>
      </c>
      <c r="AE196" s="18">
        <v>0</v>
      </c>
      <c r="AF196" s="18">
        <v>1</v>
      </c>
      <c r="AG196" s="18">
        <v>0</v>
      </c>
      <c r="AH196" s="18">
        <v>0</v>
      </c>
      <c r="AI196" s="18">
        <v>0</v>
      </c>
    </row>
    <row r="197" spans="1:35" x14ac:dyDescent="0.2">
      <c r="A197">
        <v>0</v>
      </c>
      <c r="B197" t="s">
        <v>4027</v>
      </c>
      <c r="C197" t="s">
        <v>274</v>
      </c>
      <c r="E197" s="18">
        <v>14798</v>
      </c>
      <c r="F197" s="18">
        <v>11605</v>
      </c>
      <c r="G197" s="18">
        <v>12605</v>
      </c>
      <c r="H197" s="39" t="s">
        <v>3906</v>
      </c>
      <c r="I197" s="18">
        <v>2</v>
      </c>
      <c r="J197" s="18">
        <v>2</v>
      </c>
      <c r="K197" s="18">
        <v>24</v>
      </c>
      <c r="L197" s="18">
        <v>5</v>
      </c>
      <c r="M197" s="18">
        <v>0</v>
      </c>
      <c r="N197" s="18">
        <v>300</v>
      </c>
      <c r="O197" s="18">
        <v>10</v>
      </c>
      <c r="P197" s="18">
        <v>0</v>
      </c>
      <c r="Q197" s="18">
        <v>0</v>
      </c>
      <c r="R197" s="18">
        <v>0</v>
      </c>
      <c r="S197" s="39" t="s">
        <v>2838</v>
      </c>
      <c r="T197" s="39">
        <v>14298</v>
      </c>
      <c r="U197" s="95" t="s">
        <v>4293</v>
      </c>
      <c r="V197" s="39">
        <v>101</v>
      </c>
      <c r="W197" s="18">
        <v>0</v>
      </c>
      <c r="X197" s="18">
        <v>0</v>
      </c>
      <c r="Y197" s="18">
        <v>0</v>
      </c>
      <c r="Z197" s="18">
        <v>0</v>
      </c>
      <c r="AA197" s="18">
        <v>0</v>
      </c>
      <c r="AB197" s="18"/>
      <c r="AC197" s="18">
        <v>1025</v>
      </c>
      <c r="AD197" s="18">
        <v>0</v>
      </c>
      <c r="AE197" s="18">
        <v>0</v>
      </c>
      <c r="AF197" s="18">
        <v>3</v>
      </c>
      <c r="AG197" s="18">
        <v>0</v>
      </c>
      <c r="AH197" s="18">
        <v>0</v>
      </c>
      <c r="AI197" s="18">
        <v>0</v>
      </c>
    </row>
    <row r="198" spans="1:35" x14ac:dyDescent="0.2">
      <c r="A198">
        <v>0</v>
      </c>
      <c r="B198" t="s">
        <v>4028</v>
      </c>
      <c r="C198" t="s">
        <v>275</v>
      </c>
      <c r="E198" s="18">
        <v>14799</v>
      </c>
      <c r="F198" s="18">
        <v>11606</v>
      </c>
      <c r="G198" s="18">
        <v>12606</v>
      </c>
      <c r="H198" s="39" t="s">
        <v>3905</v>
      </c>
      <c r="I198" s="18">
        <v>2</v>
      </c>
      <c r="J198" s="18">
        <v>2</v>
      </c>
      <c r="K198" s="18">
        <v>24</v>
      </c>
      <c r="L198" s="18">
        <v>5</v>
      </c>
      <c r="M198" s="18">
        <v>0</v>
      </c>
      <c r="N198" s="18">
        <v>300</v>
      </c>
      <c r="O198" s="18">
        <v>10</v>
      </c>
      <c r="P198" s="18">
        <v>0</v>
      </c>
      <c r="Q198" s="18">
        <v>0</v>
      </c>
      <c r="R198" s="18">
        <v>0</v>
      </c>
      <c r="S198" s="39" t="s">
        <v>2838</v>
      </c>
      <c r="T198" s="39">
        <v>14299</v>
      </c>
      <c r="U198" s="95" t="s">
        <v>4440</v>
      </c>
      <c r="V198" s="39">
        <v>101</v>
      </c>
      <c r="W198" s="18">
        <v>0</v>
      </c>
      <c r="X198" s="18">
        <v>0</v>
      </c>
      <c r="Y198" s="18">
        <v>0</v>
      </c>
      <c r="Z198" s="18">
        <v>0</v>
      </c>
      <c r="AA198" s="18">
        <v>0</v>
      </c>
      <c r="AB198" s="18"/>
      <c r="AC198" s="18">
        <v>1025</v>
      </c>
      <c r="AD198" s="18">
        <v>0</v>
      </c>
      <c r="AE198" s="18">
        <v>0</v>
      </c>
      <c r="AF198" s="18">
        <v>1</v>
      </c>
      <c r="AG198" s="18">
        <v>0</v>
      </c>
      <c r="AH198" s="18">
        <v>0</v>
      </c>
      <c r="AI198" s="18">
        <v>0</v>
      </c>
    </row>
    <row r="199" spans="1:35" x14ac:dyDescent="0.2">
      <c r="A199">
        <v>0</v>
      </c>
      <c r="B199" t="s">
        <v>4029</v>
      </c>
      <c r="C199" t="s">
        <v>277</v>
      </c>
      <c r="E199" s="18">
        <v>14800</v>
      </c>
      <c r="F199" s="18">
        <v>11607</v>
      </c>
      <c r="G199" s="18">
        <v>12607</v>
      </c>
      <c r="H199" s="39" t="s">
        <v>3904</v>
      </c>
      <c r="I199" s="18">
        <v>2</v>
      </c>
      <c r="J199" s="18">
        <v>2</v>
      </c>
      <c r="K199" s="18">
        <v>24</v>
      </c>
      <c r="L199" s="18">
        <v>5</v>
      </c>
      <c r="M199" s="18">
        <v>0</v>
      </c>
      <c r="N199" s="18">
        <v>300</v>
      </c>
      <c r="O199" s="18">
        <v>10</v>
      </c>
      <c r="P199" s="18">
        <v>0</v>
      </c>
      <c r="Q199" s="18">
        <v>0</v>
      </c>
      <c r="R199" s="18">
        <v>0</v>
      </c>
      <c r="S199" s="39" t="s">
        <v>2838</v>
      </c>
      <c r="T199" s="39">
        <v>14300</v>
      </c>
      <c r="U199" s="95" t="s">
        <v>4481</v>
      </c>
      <c r="V199" s="39">
        <v>101</v>
      </c>
      <c r="W199" s="18">
        <v>0</v>
      </c>
      <c r="X199" s="18">
        <v>0</v>
      </c>
      <c r="Y199" s="18">
        <v>0</v>
      </c>
      <c r="Z199" s="18">
        <v>0</v>
      </c>
      <c r="AA199" s="18">
        <v>0</v>
      </c>
      <c r="AB199" s="18"/>
      <c r="AC199" s="18">
        <v>1025</v>
      </c>
      <c r="AD199" s="18">
        <v>0</v>
      </c>
      <c r="AE199" s="18">
        <v>0</v>
      </c>
      <c r="AF199" s="18">
        <v>5</v>
      </c>
      <c r="AG199" s="18">
        <v>0</v>
      </c>
      <c r="AH199" s="18">
        <v>0</v>
      </c>
      <c r="AI199" s="18">
        <v>0</v>
      </c>
    </row>
    <row r="200" spans="1:35" x14ac:dyDescent="0.2">
      <c r="A200">
        <v>0</v>
      </c>
      <c r="B200" t="s">
        <v>4030</v>
      </c>
      <c r="C200" t="s">
        <v>278</v>
      </c>
      <c r="E200" s="18">
        <v>14801</v>
      </c>
      <c r="F200" s="18">
        <v>11608</v>
      </c>
      <c r="G200" s="18">
        <v>12608</v>
      </c>
      <c r="H200" s="39" t="s">
        <v>3903</v>
      </c>
      <c r="I200" s="18">
        <v>2</v>
      </c>
      <c r="J200" s="18">
        <v>2</v>
      </c>
      <c r="K200" s="18">
        <v>24</v>
      </c>
      <c r="L200" s="18">
        <v>5</v>
      </c>
      <c r="M200" s="18">
        <v>0</v>
      </c>
      <c r="N200" s="18">
        <v>300</v>
      </c>
      <c r="O200" s="18">
        <v>10</v>
      </c>
      <c r="P200" s="18">
        <v>0</v>
      </c>
      <c r="Q200" s="18">
        <v>0</v>
      </c>
      <c r="R200" s="18">
        <v>0</v>
      </c>
      <c r="S200" s="39" t="s">
        <v>2838</v>
      </c>
      <c r="T200" s="39">
        <v>14301</v>
      </c>
      <c r="U200" s="95" t="s">
        <v>3289</v>
      </c>
      <c r="V200" s="39">
        <v>101</v>
      </c>
      <c r="W200" s="18">
        <v>0</v>
      </c>
      <c r="X200" s="18">
        <v>0</v>
      </c>
      <c r="Y200" s="18">
        <v>0</v>
      </c>
      <c r="Z200" s="18">
        <v>0</v>
      </c>
      <c r="AA200" s="18">
        <v>0</v>
      </c>
      <c r="AB200" s="18"/>
      <c r="AC200" s="18">
        <v>1025</v>
      </c>
      <c r="AD200" s="18">
        <v>0</v>
      </c>
      <c r="AE200" s="18">
        <v>0</v>
      </c>
      <c r="AF200" s="18">
        <v>5</v>
      </c>
      <c r="AG200" s="18">
        <v>0</v>
      </c>
      <c r="AH200" s="18">
        <v>0</v>
      </c>
      <c r="AI200" s="18">
        <v>0</v>
      </c>
    </row>
    <row r="201" spans="1:35" x14ac:dyDescent="0.2">
      <c r="A201">
        <v>0</v>
      </c>
      <c r="B201" t="s">
        <v>4031</v>
      </c>
      <c r="C201" t="s">
        <v>279</v>
      </c>
      <c r="E201" s="18">
        <v>14802</v>
      </c>
      <c r="F201" s="18">
        <v>11609</v>
      </c>
      <c r="G201" s="18">
        <v>12609</v>
      </c>
      <c r="H201" s="39" t="s">
        <v>3895</v>
      </c>
      <c r="I201" s="18">
        <v>2</v>
      </c>
      <c r="J201" s="18">
        <v>2</v>
      </c>
      <c r="K201" s="18">
        <v>24</v>
      </c>
      <c r="L201" s="18">
        <v>5</v>
      </c>
      <c r="M201" s="18">
        <v>0</v>
      </c>
      <c r="N201" s="18">
        <v>300</v>
      </c>
      <c r="O201" s="18">
        <v>10</v>
      </c>
      <c r="P201" s="18">
        <v>0</v>
      </c>
      <c r="Q201" s="18">
        <v>0</v>
      </c>
      <c r="R201" s="18">
        <v>0</v>
      </c>
      <c r="S201" s="39" t="s">
        <v>2838</v>
      </c>
      <c r="T201" s="39">
        <v>14302</v>
      </c>
      <c r="U201" s="95" t="s">
        <v>4482</v>
      </c>
      <c r="V201" s="39">
        <v>101</v>
      </c>
      <c r="W201" s="18">
        <v>0</v>
      </c>
      <c r="X201" s="18">
        <v>0</v>
      </c>
      <c r="Y201" s="18">
        <v>0</v>
      </c>
      <c r="Z201" s="18">
        <v>0</v>
      </c>
      <c r="AA201" s="18">
        <v>0</v>
      </c>
      <c r="AB201" s="18"/>
      <c r="AC201" s="18">
        <v>1025</v>
      </c>
      <c r="AD201" s="18">
        <v>0</v>
      </c>
      <c r="AE201" s="18">
        <v>0</v>
      </c>
      <c r="AF201" s="18">
        <v>2</v>
      </c>
      <c r="AG201" s="18">
        <v>0</v>
      </c>
      <c r="AH201" s="18">
        <v>0</v>
      </c>
      <c r="AI201" s="18">
        <v>0</v>
      </c>
    </row>
    <row r="202" spans="1:35" x14ac:dyDescent="0.2">
      <c r="A202">
        <v>0</v>
      </c>
      <c r="B202" t="s">
        <v>4129</v>
      </c>
      <c r="C202" t="s">
        <v>2727</v>
      </c>
      <c r="E202" s="18">
        <v>14803</v>
      </c>
      <c r="F202" s="18">
        <v>11610</v>
      </c>
      <c r="G202" s="18">
        <v>12610</v>
      </c>
      <c r="H202" s="18">
        <v>5338</v>
      </c>
      <c r="I202" s="18">
        <v>2</v>
      </c>
      <c r="J202" s="18">
        <v>2</v>
      </c>
      <c r="K202" s="18">
        <v>23</v>
      </c>
      <c r="L202" s="18">
        <v>5</v>
      </c>
      <c r="M202" s="18">
        <v>0</v>
      </c>
      <c r="N202" s="18">
        <v>300</v>
      </c>
      <c r="O202" s="18">
        <v>10</v>
      </c>
      <c r="P202" s="18">
        <v>0</v>
      </c>
      <c r="Q202" s="18">
        <v>0</v>
      </c>
      <c r="R202" s="18">
        <v>0</v>
      </c>
      <c r="S202" s="39" t="s">
        <v>2802</v>
      </c>
      <c r="T202" s="39" t="s">
        <v>2813</v>
      </c>
      <c r="U202" s="95" t="s">
        <v>4923</v>
      </c>
      <c r="V202" s="39">
        <v>101</v>
      </c>
      <c r="W202" s="18">
        <v>0</v>
      </c>
      <c r="X202" s="18">
        <v>0</v>
      </c>
      <c r="Y202" s="18">
        <v>0</v>
      </c>
      <c r="Z202" s="18">
        <v>0</v>
      </c>
      <c r="AA202" s="18">
        <v>0</v>
      </c>
      <c r="AB202" s="18"/>
      <c r="AC202" s="18">
        <v>1028</v>
      </c>
      <c r="AD202" s="18">
        <v>0</v>
      </c>
      <c r="AE202" s="18">
        <v>0</v>
      </c>
      <c r="AF202" s="18">
        <v>6</v>
      </c>
      <c r="AG202" s="18">
        <v>0</v>
      </c>
      <c r="AH202" s="18">
        <v>0</v>
      </c>
      <c r="AI202" s="18">
        <v>0</v>
      </c>
    </row>
    <row r="203" spans="1:35" s="18" customFormat="1" x14ac:dyDescent="0.2">
      <c r="A203" s="18">
        <v>0</v>
      </c>
      <c r="B203" s="18" t="s">
        <v>281</v>
      </c>
      <c r="C203" s="18" t="s">
        <v>2728</v>
      </c>
      <c r="D203" s="18" t="s">
        <v>4117</v>
      </c>
      <c r="E203" s="18">
        <v>14804</v>
      </c>
      <c r="F203" s="18">
        <v>11611</v>
      </c>
      <c r="G203" s="18">
        <v>12611</v>
      </c>
      <c r="H203" s="18">
        <v>5333</v>
      </c>
      <c r="I203" s="18">
        <v>2</v>
      </c>
      <c r="J203" s="18">
        <v>2</v>
      </c>
      <c r="K203" s="18">
        <v>23</v>
      </c>
      <c r="L203" s="18">
        <v>5</v>
      </c>
      <c r="M203" s="18">
        <v>0</v>
      </c>
      <c r="N203" s="18">
        <v>300</v>
      </c>
      <c r="O203" s="18">
        <v>0</v>
      </c>
      <c r="P203" s="18">
        <v>0</v>
      </c>
      <c r="Q203" s="18">
        <v>0</v>
      </c>
      <c r="R203" s="18">
        <v>0</v>
      </c>
      <c r="S203" s="39" t="s">
        <v>2802</v>
      </c>
      <c r="T203" s="18">
        <v>14304</v>
      </c>
      <c r="U203" s="95" t="s">
        <v>4118</v>
      </c>
      <c r="V203" s="18">
        <v>101</v>
      </c>
      <c r="W203" s="18">
        <v>0</v>
      </c>
      <c r="X203" s="18">
        <v>0</v>
      </c>
      <c r="Y203" s="18">
        <v>0</v>
      </c>
      <c r="Z203" s="18">
        <v>0</v>
      </c>
      <c r="AA203" s="18">
        <v>0</v>
      </c>
      <c r="AC203" s="18">
        <v>1028</v>
      </c>
      <c r="AD203" s="18">
        <v>0</v>
      </c>
      <c r="AE203" s="18">
        <v>0</v>
      </c>
      <c r="AF203" s="18">
        <v>0</v>
      </c>
      <c r="AG203" s="18">
        <v>0</v>
      </c>
      <c r="AH203" s="18">
        <v>1</v>
      </c>
      <c r="AI203" s="18">
        <v>0</v>
      </c>
    </row>
    <row r="204" spans="1:35" x14ac:dyDescent="0.2">
      <c r="A204">
        <v>0</v>
      </c>
      <c r="B204" t="s">
        <v>4151</v>
      </c>
      <c r="C204" t="s">
        <v>283</v>
      </c>
      <c r="E204" s="18">
        <v>14805</v>
      </c>
      <c r="F204" s="18">
        <v>11612</v>
      </c>
      <c r="G204" s="18">
        <v>12612</v>
      </c>
      <c r="H204" s="18">
        <v>5345</v>
      </c>
      <c r="I204" s="18">
        <v>2</v>
      </c>
      <c r="J204" s="18">
        <v>2</v>
      </c>
      <c r="K204" s="18">
        <v>23</v>
      </c>
      <c r="L204" s="18">
        <v>5</v>
      </c>
      <c r="M204" s="18">
        <v>0</v>
      </c>
      <c r="N204" s="18">
        <v>300</v>
      </c>
      <c r="O204" s="18">
        <v>10</v>
      </c>
      <c r="P204" s="18">
        <v>0</v>
      </c>
      <c r="Q204" s="18">
        <v>0</v>
      </c>
      <c r="R204" s="18">
        <v>0</v>
      </c>
      <c r="S204" s="39" t="s">
        <v>2802</v>
      </c>
      <c r="T204" s="39">
        <v>14305</v>
      </c>
      <c r="U204" s="95" t="s">
        <v>4501</v>
      </c>
      <c r="V204" s="39">
        <v>101</v>
      </c>
      <c r="W204" s="18">
        <v>0</v>
      </c>
      <c r="X204" s="18">
        <v>0</v>
      </c>
      <c r="Y204" s="18">
        <v>0</v>
      </c>
      <c r="Z204" s="18">
        <v>0</v>
      </c>
      <c r="AA204" s="18">
        <v>0</v>
      </c>
      <c r="AB204" s="18"/>
      <c r="AC204" s="18">
        <v>1028</v>
      </c>
      <c r="AD204" s="18">
        <v>0</v>
      </c>
      <c r="AE204" s="18">
        <v>0</v>
      </c>
      <c r="AF204" s="18">
        <v>1</v>
      </c>
      <c r="AG204" s="18">
        <v>0</v>
      </c>
      <c r="AH204" s="18">
        <v>0</v>
      </c>
      <c r="AI204" s="18">
        <v>0</v>
      </c>
    </row>
    <row r="205" spans="1:35" x14ac:dyDescent="0.2">
      <c r="A205">
        <v>0</v>
      </c>
      <c r="B205" t="s">
        <v>4032</v>
      </c>
      <c r="E205" s="18">
        <v>14806</v>
      </c>
      <c r="F205" s="18">
        <v>11613</v>
      </c>
      <c r="G205" s="18">
        <v>12613</v>
      </c>
      <c r="H205" s="18">
        <v>5314</v>
      </c>
      <c r="I205" s="18">
        <v>2</v>
      </c>
      <c r="J205" s="18">
        <v>2</v>
      </c>
      <c r="K205" s="18">
        <v>23</v>
      </c>
      <c r="L205" s="18">
        <v>5</v>
      </c>
      <c r="M205" s="18">
        <v>0</v>
      </c>
      <c r="N205" s="18">
        <v>300</v>
      </c>
      <c r="O205" s="18">
        <v>10</v>
      </c>
      <c r="P205" s="18">
        <v>0</v>
      </c>
      <c r="Q205" s="18">
        <v>0</v>
      </c>
      <c r="R205" s="18">
        <v>0</v>
      </c>
      <c r="S205" s="39" t="s">
        <v>2802</v>
      </c>
      <c r="T205" s="39">
        <v>14306</v>
      </c>
      <c r="U205" s="95" t="s">
        <v>4108</v>
      </c>
      <c r="V205" s="39">
        <v>101</v>
      </c>
      <c r="W205" s="18">
        <v>0</v>
      </c>
      <c r="X205" s="18">
        <v>0</v>
      </c>
      <c r="Y205" s="18">
        <v>0</v>
      </c>
      <c r="Z205" s="18">
        <v>0</v>
      </c>
      <c r="AA205" s="18">
        <v>0</v>
      </c>
      <c r="AB205" s="18"/>
      <c r="AC205" s="18">
        <v>1028</v>
      </c>
      <c r="AD205" s="18">
        <v>0</v>
      </c>
      <c r="AE205" s="18">
        <v>0</v>
      </c>
      <c r="AF205" s="18">
        <v>1</v>
      </c>
      <c r="AG205" s="18">
        <v>0</v>
      </c>
      <c r="AH205" s="18">
        <v>0</v>
      </c>
      <c r="AI205" s="18">
        <v>0</v>
      </c>
    </row>
    <row r="206" spans="1:35" x14ac:dyDescent="0.2">
      <c r="A206">
        <v>0</v>
      </c>
      <c r="B206" t="s">
        <v>4033</v>
      </c>
      <c r="C206" t="s">
        <v>286</v>
      </c>
      <c r="E206" s="18">
        <v>14807</v>
      </c>
      <c r="F206" s="18">
        <v>11614</v>
      </c>
      <c r="G206" s="18">
        <v>12614</v>
      </c>
      <c r="H206" s="18">
        <v>5315</v>
      </c>
      <c r="I206" s="18">
        <v>2</v>
      </c>
      <c r="J206" s="18">
        <v>2</v>
      </c>
      <c r="K206" s="18">
        <v>23</v>
      </c>
      <c r="L206" s="18">
        <v>5</v>
      </c>
      <c r="M206" s="18">
        <v>0</v>
      </c>
      <c r="N206" s="18">
        <v>300</v>
      </c>
      <c r="O206" s="18">
        <v>10</v>
      </c>
      <c r="P206" s="18">
        <v>0</v>
      </c>
      <c r="Q206" s="18">
        <v>0</v>
      </c>
      <c r="R206" s="18">
        <v>0</v>
      </c>
      <c r="S206" s="39" t="s">
        <v>2802</v>
      </c>
      <c r="T206" s="39">
        <v>14307</v>
      </c>
      <c r="U206" s="95" t="s">
        <v>3290</v>
      </c>
      <c r="V206" s="39">
        <v>101</v>
      </c>
      <c r="W206" s="18">
        <v>0</v>
      </c>
      <c r="X206" s="18">
        <v>0</v>
      </c>
      <c r="Y206" s="18">
        <v>0</v>
      </c>
      <c r="Z206" s="18">
        <v>0</v>
      </c>
      <c r="AA206" s="18">
        <v>0</v>
      </c>
      <c r="AB206" s="18"/>
      <c r="AC206" s="18">
        <v>1028</v>
      </c>
      <c r="AD206" s="18">
        <v>0</v>
      </c>
      <c r="AE206" s="18">
        <v>0</v>
      </c>
      <c r="AF206" s="18">
        <v>1</v>
      </c>
      <c r="AG206" s="18">
        <v>0</v>
      </c>
      <c r="AH206" s="18">
        <v>0</v>
      </c>
      <c r="AI206" s="18">
        <v>0</v>
      </c>
    </row>
    <row r="207" spans="1:35" x14ac:dyDescent="0.2">
      <c r="A207">
        <v>0</v>
      </c>
      <c r="B207" t="s">
        <v>288</v>
      </c>
      <c r="C207" t="s">
        <v>289</v>
      </c>
      <c r="E207" s="18">
        <v>14809</v>
      </c>
      <c r="F207" s="18">
        <v>11616</v>
      </c>
      <c r="G207" s="18">
        <v>12616</v>
      </c>
      <c r="H207" s="18">
        <v>5344</v>
      </c>
      <c r="I207" s="18">
        <v>2</v>
      </c>
      <c r="J207" s="18">
        <v>2</v>
      </c>
      <c r="K207" s="18">
        <v>23</v>
      </c>
      <c r="L207" s="18">
        <v>5</v>
      </c>
      <c r="M207" s="18">
        <v>0</v>
      </c>
      <c r="N207" s="18">
        <v>300</v>
      </c>
      <c r="O207" s="18">
        <v>10</v>
      </c>
      <c r="P207" s="18">
        <v>0</v>
      </c>
      <c r="Q207" s="18">
        <v>0</v>
      </c>
      <c r="R207" s="18">
        <v>0</v>
      </c>
      <c r="S207" s="39" t="s">
        <v>2802</v>
      </c>
      <c r="T207" s="39">
        <v>14309</v>
      </c>
      <c r="U207" s="95" t="s">
        <v>4294</v>
      </c>
      <c r="V207" s="39">
        <v>101</v>
      </c>
      <c r="W207" s="18">
        <v>0</v>
      </c>
      <c r="X207" s="18">
        <v>0</v>
      </c>
      <c r="Y207" s="18">
        <v>0</v>
      </c>
      <c r="Z207" s="18">
        <v>0</v>
      </c>
      <c r="AA207" s="18">
        <v>0</v>
      </c>
      <c r="AB207" s="18"/>
      <c r="AC207" s="18">
        <v>1028</v>
      </c>
      <c r="AD207" s="18">
        <v>0</v>
      </c>
      <c r="AE207" s="18">
        <v>0</v>
      </c>
      <c r="AF207" s="18">
        <v>3</v>
      </c>
      <c r="AG207" s="18">
        <v>0</v>
      </c>
      <c r="AH207" s="18">
        <v>0</v>
      </c>
      <c r="AI207" s="18">
        <v>0</v>
      </c>
    </row>
    <row r="208" spans="1:35" x14ac:dyDescent="0.2">
      <c r="A208">
        <v>0</v>
      </c>
      <c r="B208" t="s">
        <v>4034</v>
      </c>
      <c r="C208" t="s">
        <v>290</v>
      </c>
      <c r="E208" s="18">
        <v>14810</v>
      </c>
      <c r="F208" s="18">
        <v>11617</v>
      </c>
      <c r="G208" s="18">
        <v>12617</v>
      </c>
      <c r="H208" s="18">
        <v>5305</v>
      </c>
      <c r="I208" s="18">
        <v>2</v>
      </c>
      <c r="J208" s="18">
        <v>2</v>
      </c>
      <c r="K208" s="18">
        <v>23</v>
      </c>
      <c r="L208" s="18">
        <v>5</v>
      </c>
      <c r="M208" s="18">
        <v>0</v>
      </c>
      <c r="N208" s="18">
        <v>300</v>
      </c>
      <c r="O208" s="18">
        <v>10</v>
      </c>
      <c r="P208" s="18">
        <v>0</v>
      </c>
      <c r="Q208" s="18">
        <v>0</v>
      </c>
      <c r="R208" s="18">
        <v>0</v>
      </c>
      <c r="S208" s="39" t="s">
        <v>2802</v>
      </c>
      <c r="T208" s="39">
        <v>14310</v>
      </c>
      <c r="U208" s="95" t="s">
        <v>3291</v>
      </c>
      <c r="V208" s="39">
        <v>101</v>
      </c>
      <c r="W208" s="18">
        <v>0</v>
      </c>
      <c r="X208" s="18">
        <v>0</v>
      </c>
      <c r="Y208" s="18">
        <v>0</v>
      </c>
      <c r="Z208" s="18">
        <v>0</v>
      </c>
      <c r="AA208" s="18">
        <v>0</v>
      </c>
      <c r="AB208" s="18"/>
      <c r="AC208" s="18">
        <v>1028</v>
      </c>
      <c r="AD208" s="18">
        <v>0</v>
      </c>
      <c r="AE208" s="18">
        <v>0</v>
      </c>
      <c r="AF208" s="18">
        <v>3</v>
      </c>
      <c r="AG208" s="18">
        <v>0</v>
      </c>
      <c r="AH208" s="18">
        <v>0</v>
      </c>
      <c r="AI208" s="18">
        <v>0</v>
      </c>
    </row>
    <row r="209" spans="1:35" x14ac:dyDescent="0.2">
      <c r="A209">
        <v>0</v>
      </c>
      <c r="B209" t="s">
        <v>4035</v>
      </c>
      <c r="E209" s="18">
        <v>14811</v>
      </c>
      <c r="F209" s="18">
        <v>11618</v>
      </c>
      <c r="G209" s="18">
        <v>12618</v>
      </c>
      <c r="H209" s="18">
        <v>5340</v>
      </c>
      <c r="I209" s="18">
        <v>2</v>
      </c>
      <c r="J209" s="18">
        <v>2</v>
      </c>
      <c r="K209" s="18">
        <v>23</v>
      </c>
      <c r="L209" s="18">
        <v>5</v>
      </c>
      <c r="M209" s="18">
        <v>0</v>
      </c>
      <c r="N209" s="18">
        <v>300</v>
      </c>
      <c r="O209" s="18">
        <v>10</v>
      </c>
      <c r="P209" s="18">
        <v>0</v>
      </c>
      <c r="Q209" s="18">
        <v>0</v>
      </c>
      <c r="R209" s="18">
        <v>0</v>
      </c>
      <c r="S209" s="39" t="s">
        <v>2802</v>
      </c>
      <c r="T209" s="39">
        <v>14311</v>
      </c>
      <c r="U209" s="95" t="s">
        <v>4152</v>
      </c>
      <c r="V209" s="39">
        <v>101</v>
      </c>
      <c r="W209" s="18">
        <v>0</v>
      </c>
      <c r="X209" s="18">
        <v>0</v>
      </c>
      <c r="Y209" s="18">
        <v>0</v>
      </c>
      <c r="Z209" s="18">
        <v>0</v>
      </c>
      <c r="AA209" s="18">
        <v>0</v>
      </c>
      <c r="AB209" s="18"/>
      <c r="AC209" s="18">
        <v>1028</v>
      </c>
      <c r="AD209" s="18">
        <v>0</v>
      </c>
      <c r="AE209" s="18">
        <v>0</v>
      </c>
      <c r="AF209" s="18">
        <v>1</v>
      </c>
      <c r="AG209" s="18">
        <v>0</v>
      </c>
      <c r="AH209" s="18">
        <v>0</v>
      </c>
      <c r="AI209" s="18">
        <v>0</v>
      </c>
    </row>
    <row r="210" spans="1:35" x14ac:dyDescent="0.2">
      <c r="A210">
        <v>0</v>
      </c>
      <c r="B210" t="s">
        <v>4036</v>
      </c>
      <c r="E210" s="18">
        <v>14812</v>
      </c>
      <c r="F210" s="18">
        <v>11619</v>
      </c>
      <c r="G210" s="18">
        <v>12619</v>
      </c>
      <c r="H210" s="18">
        <v>5334</v>
      </c>
      <c r="I210" s="18">
        <v>2</v>
      </c>
      <c r="J210" s="18">
        <v>2</v>
      </c>
      <c r="K210" s="18">
        <v>23</v>
      </c>
      <c r="L210" s="18">
        <v>5</v>
      </c>
      <c r="M210" s="18">
        <v>0</v>
      </c>
      <c r="N210" s="18">
        <v>300</v>
      </c>
      <c r="O210" s="18">
        <v>10</v>
      </c>
      <c r="P210" s="18">
        <v>0</v>
      </c>
      <c r="Q210" s="18">
        <v>0</v>
      </c>
      <c r="R210" s="18">
        <v>0</v>
      </c>
      <c r="S210" s="39" t="s">
        <v>2802</v>
      </c>
      <c r="T210" s="39">
        <v>14312</v>
      </c>
      <c r="U210" s="95" t="s">
        <v>3589</v>
      </c>
      <c r="V210" s="39">
        <v>101</v>
      </c>
      <c r="W210" s="18">
        <v>0</v>
      </c>
      <c r="X210" s="18">
        <v>0</v>
      </c>
      <c r="Y210" s="18">
        <v>0</v>
      </c>
      <c r="Z210" s="18">
        <v>0</v>
      </c>
      <c r="AA210" s="18">
        <v>0</v>
      </c>
      <c r="AB210" s="18"/>
      <c r="AC210" s="18">
        <v>1028</v>
      </c>
      <c r="AD210" s="18">
        <v>0</v>
      </c>
      <c r="AE210" s="18">
        <v>0</v>
      </c>
      <c r="AF210" s="18">
        <v>0</v>
      </c>
      <c r="AG210" s="18">
        <v>0</v>
      </c>
      <c r="AH210" s="18">
        <v>0</v>
      </c>
      <c r="AI210" s="18">
        <v>0</v>
      </c>
    </row>
    <row r="211" spans="1:35" x14ac:dyDescent="0.2">
      <c r="A211">
        <v>0</v>
      </c>
      <c r="B211" t="s">
        <v>4037</v>
      </c>
      <c r="E211" s="18">
        <v>14814</v>
      </c>
      <c r="F211" s="18">
        <v>11621</v>
      </c>
      <c r="G211" s="18">
        <v>12621</v>
      </c>
      <c r="H211" s="18">
        <v>5312</v>
      </c>
      <c r="I211" s="18">
        <v>2</v>
      </c>
      <c r="J211" s="18">
        <v>2</v>
      </c>
      <c r="K211" s="18">
        <v>23</v>
      </c>
      <c r="L211" s="18">
        <v>5</v>
      </c>
      <c r="M211" s="18">
        <v>0</v>
      </c>
      <c r="N211" s="18">
        <v>300</v>
      </c>
      <c r="O211" s="18">
        <v>10</v>
      </c>
      <c r="P211" s="18">
        <v>0</v>
      </c>
      <c r="Q211" s="18">
        <v>0</v>
      </c>
      <c r="R211" s="18">
        <v>0</v>
      </c>
      <c r="S211" s="39" t="s">
        <v>2802</v>
      </c>
      <c r="T211" s="39">
        <v>14314</v>
      </c>
      <c r="U211" s="95" t="s">
        <v>3611</v>
      </c>
      <c r="V211" s="39">
        <v>101</v>
      </c>
      <c r="W211" s="18">
        <v>0</v>
      </c>
      <c r="X211" s="18">
        <v>0</v>
      </c>
      <c r="Y211" s="18">
        <v>0</v>
      </c>
      <c r="Z211" s="18">
        <v>0</v>
      </c>
      <c r="AA211" s="18">
        <v>0</v>
      </c>
      <c r="AB211" s="18"/>
      <c r="AC211" s="18">
        <v>1028</v>
      </c>
      <c r="AD211" s="18">
        <v>0</v>
      </c>
      <c r="AE211" s="18">
        <v>0</v>
      </c>
      <c r="AF211" s="18">
        <v>1</v>
      </c>
      <c r="AG211" s="18">
        <v>0</v>
      </c>
      <c r="AH211" s="18">
        <v>0</v>
      </c>
      <c r="AI211" s="18">
        <v>0</v>
      </c>
    </row>
    <row r="212" spans="1:35" x14ac:dyDescent="0.2">
      <c r="A212">
        <v>0</v>
      </c>
      <c r="B212" t="s">
        <v>4038</v>
      </c>
      <c r="E212" s="18">
        <v>14815</v>
      </c>
      <c r="F212" s="18">
        <v>11622</v>
      </c>
      <c r="G212" s="18">
        <v>12622</v>
      </c>
      <c r="H212" s="18">
        <v>5303</v>
      </c>
      <c r="I212" s="18">
        <v>2</v>
      </c>
      <c r="J212" s="18">
        <v>2</v>
      </c>
      <c r="K212" s="18">
        <v>23</v>
      </c>
      <c r="L212" s="18">
        <v>5</v>
      </c>
      <c r="M212" s="18">
        <v>0</v>
      </c>
      <c r="N212" s="18">
        <v>300</v>
      </c>
      <c r="O212" s="18">
        <v>10</v>
      </c>
      <c r="P212" s="18">
        <v>0</v>
      </c>
      <c r="Q212" s="18">
        <v>0</v>
      </c>
      <c r="R212" s="18">
        <v>0</v>
      </c>
      <c r="S212" s="39" t="s">
        <v>2802</v>
      </c>
      <c r="T212" s="39">
        <v>14315</v>
      </c>
      <c r="U212" s="95" t="s">
        <v>3612</v>
      </c>
      <c r="V212" s="39">
        <v>101</v>
      </c>
      <c r="W212" s="18">
        <v>0</v>
      </c>
      <c r="X212" s="18">
        <v>0</v>
      </c>
      <c r="Y212" s="18">
        <v>0</v>
      </c>
      <c r="Z212" s="18">
        <v>0</v>
      </c>
      <c r="AA212" s="18">
        <v>0</v>
      </c>
      <c r="AB212" s="18"/>
      <c r="AC212" s="18">
        <v>1028</v>
      </c>
      <c r="AD212" s="18">
        <v>0</v>
      </c>
      <c r="AE212" s="18">
        <v>0</v>
      </c>
      <c r="AF212" s="18">
        <v>2</v>
      </c>
      <c r="AG212" s="18">
        <v>0</v>
      </c>
      <c r="AH212" s="18">
        <v>0</v>
      </c>
      <c r="AI212" s="18">
        <v>0</v>
      </c>
    </row>
    <row r="213" spans="1:35" x14ac:dyDescent="0.2">
      <c r="A213">
        <v>0</v>
      </c>
      <c r="B213" t="s">
        <v>4039</v>
      </c>
      <c r="E213" s="18">
        <v>14816</v>
      </c>
      <c r="F213" s="18">
        <v>11623</v>
      </c>
      <c r="G213" s="18">
        <v>12623</v>
      </c>
      <c r="H213" s="18">
        <v>5307</v>
      </c>
      <c r="I213" s="18">
        <v>2</v>
      </c>
      <c r="J213" s="18">
        <v>2</v>
      </c>
      <c r="K213" s="18">
        <v>23</v>
      </c>
      <c r="L213" s="18">
        <v>5</v>
      </c>
      <c r="M213" s="18">
        <v>0</v>
      </c>
      <c r="N213" s="18">
        <v>300</v>
      </c>
      <c r="O213" s="18">
        <v>10</v>
      </c>
      <c r="P213" s="18">
        <v>0</v>
      </c>
      <c r="Q213" s="18">
        <v>0</v>
      </c>
      <c r="R213" s="18">
        <v>0</v>
      </c>
      <c r="S213" s="39" t="s">
        <v>2802</v>
      </c>
      <c r="T213" s="39">
        <v>14316</v>
      </c>
      <c r="U213" s="95" t="s">
        <v>3933</v>
      </c>
      <c r="V213" s="39">
        <v>101</v>
      </c>
      <c r="W213" s="18">
        <v>0</v>
      </c>
      <c r="X213" s="18">
        <v>0</v>
      </c>
      <c r="Y213" s="18">
        <v>0</v>
      </c>
      <c r="Z213" s="18">
        <v>0</v>
      </c>
      <c r="AA213" s="18">
        <v>0</v>
      </c>
      <c r="AB213" s="18"/>
      <c r="AC213" s="18">
        <v>1028</v>
      </c>
      <c r="AD213" s="18">
        <v>0</v>
      </c>
      <c r="AE213" s="18">
        <v>0</v>
      </c>
      <c r="AF213" s="18">
        <v>1</v>
      </c>
      <c r="AG213" s="18">
        <v>0</v>
      </c>
      <c r="AH213" s="18">
        <v>0</v>
      </c>
      <c r="AI213" s="18">
        <v>0</v>
      </c>
    </row>
    <row r="214" spans="1:35" x14ac:dyDescent="0.2">
      <c r="A214">
        <v>0</v>
      </c>
      <c r="B214" t="s">
        <v>4040</v>
      </c>
      <c r="E214" s="18">
        <v>14817</v>
      </c>
      <c r="F214" s="18">
        <v>11624</v>
      </c>
      <c r="G214" s="18">
        <v>12624</v>
      </c>
      <c r="H214" s="18">
        <v>5706</v>
      </c>
      <c r="I214" s="18">
        <v>2</v>
      </c>
      <c r="J214" s="18">
        <v>1</v>
      </c>
      <c r="K214" s="18">
        <v>25</v>
      </c>
      <c r="L214" s="18">
        <v>5</v>
      </c>
      <c r="M214" s="18">
        <v>0</v>
      </c>
      <c r="N214" s="18">
        <v>300</v>
      </c>
      <c r="O214" s="18">
        <v>10</v>
      </c>
      <c r="P214" s="18">
        <v>0</v>
      </c>
      <c r="Q214" s="18">
        <v>0</v>
      </c>
      <c r="R214" s="18">
        <v>0</v>
      </c>
      <c r="S214" s="39" t="s">
        <v>2802</v>
      </c>
      <c r="T214" s="39">
        <v>14317</v>
      </c>
      <c r="U214" s="95" t="s">
        <v>3935</v>
      </c>
      <c r="V214" s="39">
        <v>101</v>
      </c>
      <c r="W214" s="18">
        <v>0</v>
      </c>
      <c r="X214" s="18">
        <v>0</v>
      </c>
      <c r="Y214" s="18">
        <v>0</v>
      </c>
      <c r="Z214" s="18">
        <v>0</v>
      </c>
      <c r="AA214" s="18">
        <v>0</v>
      </c>
      <c r="AB214" s="18"/>
      <c r="AC214" s="18">
        <v>1024</v>
      </c>
      <c r="AD214" s="18">
        <v>0</v>
      </c>
      <c r="AE214" s="18">
        <v>0</v>
      </c>
      <c r="AF214" s="18">
        <v>1</v>
      </c>
      <c r="AG214" s="18">
        <v>0</v>
      </c>
      <c r="AH214" s="18">
        <v>0</v>
      </c>
      <c r="AI214" s="18">
        <v>0</v>
      </c>
    </row>
    <row r="215" spans="1:35" x14ac:dyDescent="0.2">
      <c r="A215">
        <v>0</v>
      </c>
      <c r="B215" t="s">
        <v>4041</v>
      </c>
      <c r="E215" s="18">
        <v>14818</v>
      </c>
      <c r="F215" s="18">
        <v>11625</v>
      </c>
      <c r="G215" s="18">
        <v>12625</v>
      </c>
      <c r="H215" s="18">
        <v>5723</v>
      </c>
      <c r="I215" s="18">
        <v>2</v>
      </c>
      <c r="J215" s="18">
        <v>1</v>
      </c>
      <c r="K215" s="18">
        <v>25</v>
      </c>
      <c r="L215" s="18">
        <v>5</v>
      </c>
      <c r="M215" s="18">
        <v>0</v>
      </c>
      <c r="N215" s="18">
        <v>300</v>
      </c>
      <c r="O215" s="18">
        <v>10</v>
      </c>
      <c r="P215" s="18">
        <v>0</v>
      </c>
      <c r="Q215" s="18">
        <v>0</v>
      </c>
      <c r="R215" s="18">
        <v>0</v>
      </c>
      <c r="S215" s="39" t="s">
        <v>2802</v>
      </c>
      <c r="T215" s="39">
        <v>14318</v>
      </c>
      <c r="U215" s="95" t="s">
        <v>4639</v>
      </c>
      <c r="V215" s="39">
        <v>101</v>
      </c>
      <c r="W215" s="18">
        <v>0</v>
      </c>
      <c r="X215" s="18">
        <v>0</v>
      </c>
      <c r="Y215" s="18">
        <v>0</v>
      </c>
      <c r="Z215" s="18">
        <v>0</v>
      </c>
      <c r="AA215" s="18">
        <v>0</v>
      </c>
      <c r="AB215" s="18"/>
      <c r="AC215" s="18">
        <v>1024</v>
      </c>
      <c r="AD215" s="18">
        <v>0</v>
      </c>
      <c r="AE215" s="18">
        <v>0</v>
      </c>
      <c r="AF215" s="18">
        <v>6</v>
      </c>
      <c r="AG215" s="18">
        <v>0</v>
      </c>
      <c r="AH215" s="18">
        <v>0</v>
      </c>
      <c r="AI215" s="18">
        <v>0</v>
      </c>
    </row>
    <row r="216" spans="1:35" x14ac:dyDescent="0.2">
      <c r="A216">
        <v>1</v>
      </c>
      <c r="B216" t="s">
        <v>4042</v>
      </c>
      <c r="C216" t="s">
        <v>2729</v>
      </c>
      <c r="E216" s="18">
        <v>14819</v>
      </c>
      <c r="F216" s="18">
        <v>11626</v>
      </c>
      <c r="G216" s="18">
        <v>12626</v>
      </c>
      <c r="H216" s="18">
        <v>5715</v>
      </c>
      <c r="I216" s="18">
        <v>2</v>
      </c>
      <c r="J216" s="18">
        <v>1</v>
      </c>
      <c r="K216" s="18">
        <v>25</v>
      </c>
      <c r="L216" s="18">
        <v>5</v>
      </c>
      <c r="M216" s="18">
        <v>0</v>
      </c>
      <c r="N216" s="18">
        <v>300</v>
      </c>
      <c r="O216" s="18">
        <v>10</v>
      </c>
      <c r="P216" s="18">
        <v>0</v>
      </c>
      <c r="Q216" s="18">
        <v>0</v>
      </c>
      <c r="R216" s="18">
        <v>0</v>
      </c>
      <c r="S216" s="39" t="s">
        <v>2802</v>
      </c>
      <c r="T216" s="39" t="s">
        <v>2814</v>
      </c>
      <c r="U216" s="95" t="s">
        <v>3269</v>
      </c>
      <c r="V216" s="39">
        <v>101</v>
      </c>
      <c r="W216" s="18">
        <v>0</v>
      </c>
      <c r="X216" s="18">
        <v>0</v>
      </c>
      <c r="Y216" s="18">
        <v>0</v>
      </c>
      <c r="Z216" s="18">
        <v>0</v>
      </c>
      <c r="AA216" s="18">
        <v>0</v>
      </c>
      <c r="AB216" s="18"/>
      <c r="AC216" s="18">
        <v>1024</v>
      </c>
      <c r="AD216" s="18">
        <v>0</v>
      </c>
      <c r="AE216" s="18">
        <v>0</v>
      </c>
      <c r="AF216" s="18">
        <v>1</v>
      </c>
      <c r="AG216" s="18">
        <v>0</v>
      </c>
      <c r="AH216" s="18">
        <v>0</v>
      </c>
      <c r="AI216" s="18">
        <v>0</v>
      </c>
    </row>
    <row r="217" spans="1:35" x14ac:dyDescent="0.2">
      <c r="A217">
        <v>0</v>
      </c>
      <c r="B217" t="s">
        <v>4043</v>
      </c>
      <c r="E217" s="18">
        <v>14820</v>
      </c>
      <c r="F217" s="18">
        <v>11627</v>
      </c>
      <c r="G217" s="18">
        <v>12627</v>
      </c>
      <c r="H217" s="18">
        <v>5742</v>
      </c>
      <c r="I217" s="18">
        <v>2</v>
      </c>
      <c r="J217" s="18">
        <v>1</v>
      </c>
      <c r="K217" s="18">
        <v>25</v>
      </c>
      <c r="L217" s="18">
        <v>5</v>
      </c>
      <c r="M217" s="18">
        <v>0</v>
      </c>
      <c r="N217" s="18">
        <v>300</v>
      </c>
      <c r="O217" s="18">
        <v>10</v>
      </c>
      <c r="P217" s="18">
        <v>0</v>
      </c>
      <c r="Q217" s="18">
        <v>0</v>
      </c>
      <c r="R217" s="18">
        <v>0</v>
      </c>
      <c r="S217" s="39" t="s">
        <v>2802</v>
      </c>
      <c r="T217" s="39">
        <v>14320</v>
      </c>
      <c r="U217" s="95" t="s">
        <v>3292</v>
      </c>
      <c r="V217" s="39">
        <v>101</v>
      </c>
      <c r="W217" s="18">
        <v>0</v>
      </c>
      <c r="X217" s="18">
        <v>0</v>
      </c>
      <c r="Y217" s="18">
        <v>0</v>
      </c>
      <c r="Z217" s="18">
        <v>0</v>
      </c>
      <c r="AA217" s="18">
        <v>0</v>
      </c>
      <c r="AB217" s="18"/>
      <c r="AC217" s="18">
        <v>1024</v>
      </c>
      <c r="AD217" s="18">
        <v>0</v>
      </c>
      <c r="AE217" s="18">
        <v>0</v>
      </c>
      <c r="AF217" s="18">
        <v>5</v>
      </c>
      <c r="AG217" s="18">
        <v>0</v>
      </c>
      <c r="AH217" s="18">
        <v>0</v>
      </c>
      <c r="AI217" s="18">
        <v>0</v>
      </c>
    </row>
    <row r="218" spans="1:35" x14ac:dyDescent="0.2">
      <c r="A218">
        <v>0</v>
      </c>
      <c r="B218" t="s">
        <v>300</v>
      </c>
      <c r="E218" s="18">
        <v>14821</v>
      </c>
      <c r="F218" s="18">
        <v>11628</v>
      </c>
      <c r="G218" s="18">
        <v>12628</v>
      </c>
      <c r="H218" s="18">
        <v>5704</v>
      </c>
      <c r="I218" s="18">
        <v>2</v>
      </c>
      <c r="J218" s="18">
        <v>1</v>
      </c>
      <c r="K218" s="18">
        <v>25</v>
      </c>
      <c r="L218" s="18">
        <v>5</v>
      </c>
      <c r="M218" s="18">
        <v>0</v>
      </c>
      <c r="N218" s="18">
        <v>300</v>
      </c>
      <c r="O218" s="18">
        <v>10</v>
      </c>
      <c r="P218" s="18">
        <v>0</v>
      </c>
      <c r="Q218" s="18">
        <v>0</v>
      </c>
      <c r="R218" s="18">
        <v>0</v>
      </c>
      <c r="S218" s="39" t="s">
        <v>2802</v>
      </c>
      <c r="T218" s="39">
        <v>14321</v>
      </c>
      <c r="U218" s="95" t="s">
        <v>3293</v>
      </c>
      <c r="V218" s="39">
        <v>101</v>
      </c>
      <c r="W218" s="18">
        <v>0</v>
      </c>
      <c r="X218" s="18">
        <v>0</v>
      </c>
      <c r="Y218" s="18">
        <v>0</v>
      </c>
      <c r="Z218" s="18">
        <v>0</v>
      </c>
      <c r="AA218" s="18">
        <v>0</v>
      </c>
      <c r="AB218" s="18"/>
      <c r="AC218" s="18">
        <v>1024</v>
      </c>
      <c r="AD218" s="18">
        <v>0</v>
      </c>
      <c r="AE218" s="18">
        <v>0</v>
      </c>
      <c r="AF218" s="18">
        <v>1</v>
      </c>
      <c r="AG218" s="18">
        <v>0</v>
      </c>
      <c r="AH218" s="18">
        <v>0</v>
      </c>
      <c r="AI218" s="18">
        <v>0</v>
      </c>
    </row>
    <row r="219" spans="1:35" x14ac:dyDescent="0.2">
      <c r="A219">
        <v>1</v>
      </c>
      <c r="B219" t="s">
        <v>4044</v>
      </c>
      <c r="C219" t="s">
        <v>2730</v>
      </c>
      <c r="E219" s="18">
        <v>14822</v>
      </c>
      <c r="F219" s="18">
        <v>11629</v>
      </c>
      <c r="G219" s="18">
        <v>12629</v>
      </c>
      <c r="H219" s="18">
        <v>5521</v>
      </c>
      <c r="I219" s="18">
        <v>1</v>
      </c>
      <c r="J219" s="18">
        <v>1</v>
      </c>
      <c r="K219" s="18">
        <v>32</v>
      </c>
      <c r="L219" s="18">
        <v>5</v>
      </c>
      <c r="M219" s="18">
        <v>0</v>
      </c>
      <c r="N219" s="18">
        <v>300</v>
      </c>
      <c r="O219" s="18">
        <v>10</v>
      </c>
      <c r="P219" s="18">
        <v>10</v>
      </c>
      <c r="Q219" s="18">
        <v>10</v>
      </c>
      <c r="R219" s="18">
        <v>0</v>
      </c>
      <c r="S219" s="39" t="s">
        <v>85</v>
      </c>
      <c r="T219" s="39" t="s">
        <v>2815</v>
      </c>
      <c r="U219" s="95" t="s">
        <v>3270</v>
      </c>
      <c r="V219" s="39">
        <v>101</v>
      </c>
      <c r="W219" s="18">
        <v>0</v>
      </c>
      <c r="X219" s="18">
        <v>0</v>
      </c>
      <c r="Y219" s="18">
        <v>0</v>
      </c>
      <c r="Z219" s="18">
        <v>0</v>
      </c>
      <c r="AA219" s="18">
        <v>0</v>
      </c>
      <c r="AB219" s="18"/>
      <c r="AC219" s="18">
        <v>1027</v>
      </c>
      <c r="AD219" s="18">
        <v>0</v>
      </c>
      <c r="AE219" s="18">
        <v>0</v>
      </c>
      <c r="AF219" s="18">
        <v>1</v>
      </c>
      <c r="AG219" s="18">
        <v>0</v>
      </c>
      <c r="AH219" s="18">
        <v>0</v>
      </c>
      <c r="AI219" s="18">
        <v>0</v>
      </c>
    </row>
    <row r="220" spans="1:35" x14ac:dyDescent="0.2">
      <c r="A220">
        <v>0</v>
      </c>
      <c r="B220" t="s">
        <v>4045</v>
      </c>
      <c r="E220" s="18">
        <v>14823</v>
      </c>
      <c r="F220" s="18">
        <v>11630</v>
      </c>
      <c r="G220" s="18">
        <v>12630</v>
      </c>
      <c r="H220" s="18">
        <v>5517</v>
      </c>
      <c r="I220" s="18">
        <v>1</v>
      </c>
      <c r="J220" s="18">
        <v>1</v>
      </c>
      <c r="K220" s="18">
        <v>32</v>
      </c>
      <c r="L220" s="18">
        <v>5</v>
      </c>
      <c r="M220" s="18">
        <v>0</v>
      </c>
      <c r="N220" s="18">
        <v>300</v>
      </c>
      <c r="O220" s="18">
        <v>10</v>
      </c>
      <c r="P220" s="18">
        <v>0</v>
      </c>
      <c r="Q220" s="18">
        <v>0</v>
      </c>
      <c r="R220" s="18">
        <v>0</v>
      </c>
      <c r="S220" s="39" t="s">
        <v>85</v>
      </c>
      <c r="T220" s="39">
        <v>14323</v>
      </c>
      <c r="U220" s="95" t="s">
        <v>3294</v>
      </c>
      <c r="V220" s="39">
        <v>101</v>
      </c>
      <c r="W220" s="18">
        <v>0</v>
      </c>
      <c r="X220" s="18">
        <v>0</v>
      </c>
      <c r="Y220" s="18">
        <v>0</v>
      </c>
      <c r="Z220" s="18">
        <v>0</v>
      </c>
      <c r="AA220" s="18">
        <v>0</v>
      </c>
      <c r="AB220" s="18"/>
      <c r="AC220" s="18">
        <v>1027</v>
      </c>
      <c r="AD220" s="18">
        <v>0</v>
      </c>
      <c r="AE220" s="18">
        <v>0</v>
      </c>
      <c r="AF220" s="18">
        <v>1</v>
      </c>
      <c r="AG220" s="18">
        <v>0</v>
      </c>
      <c r="AH220" s="18">
        <v>0</v>
      </c>
      <c r="AI220" s="18">
        <v>0</v>
      </c>
    </row>
    <row r="221" spans="1:35" x14ac:dyDescent="0.2">
      <c r="A221">
        <v>0</v>
      </c>
      <c r="B221" t="s">
        <v>4046</v>
      </c>
      <c r="C221" t="s">
        <v>304</v>
      </c>
      <c r="E221" s="18">
        <v>14824</v>
      </c>
      <c r="F221" s="18">
        <v>11631</v>
      </c>
      <c r="G221" s="18">
        <v>12631</v>
      </c>
      <c r="H221" s="18">
        <v>5516</v>
      </c>
      <c r="I221" s="18">
        <v>1</v>
      </c>
      <c r="J221" s="18">
        <v>1</v>
      </c>
      <c r="K221" s="18">
        <v>32</v>
      </c>
      <c r="L221" s="18">
        <v>5</v>
      </c>
      <c r="M221" s="18">
        <v>0</v>
      </c>
      <c r="N221" s="18">
        <v>300</v>
      </c>
      <c r="O221" s="18">
        <v>10</v>
      </c>
      <c r="P221" s="18">
        <v>0</v>
      </c>
      <c r="Q221" s="18">
        <v>0</v>
      </c>
      <c r="R221" s="18">
        <v>0</v>
      </c>
      <c r="S221" s="39" t="s">
        <v>85</v>
      </c>
      <c r="T221" s="39">
        <v>14324</v>
      </c>
      <c r="U221" s="95" t="s">
        <v>3295</v>
      </c>
      <c r="V221" s="39">
        <v>101</v>
      </c>
      <c r="W221" s="18">
        <v>0</v>
      </c>
      <c r="X221" s="18">
        <v>0</v>
      </c>
      <c r="Y221" s="18">
        <v>0</v>
      </c>
      <c r="Z221" s="18">
        <v>0</v>
      </c>
      <c r="AA221" s="18">
        <v>0</v>
      </c>
      <c r="AB221" s="18"/>
      <c r="AC221" s="18">
        <v>1027</v>
      </c>
      <c r="AD221" s="18">
        <v>0</v>
      </c>
      <c r="AE221" s="18">
        <v>0</v>
      </c>
      <c r="AF221" s="18">
        <v>3</v>
      </c>
      <c r="AG221" s="18">
        <v>0</v>
      </c>
      <c r="AH221" s="18">
        <v>0</v>
      </c>
      <c r="AI221" s="18">
        <v>0</v>
      </c>
    </row>
    <row r="222" spans="1:35" x14ac:dyDescent="0.2">
      <c r="A222">
        <v>1</v>
      </c>
      <c r="B222" t="s">
        <v>4047</v>
      </c>
      <c r="C222" t="s">
        <v>2731</v>
      </c>
      <c r="E222" s="18">
        <v>14825</v>
      </c>
      <c r="F222" s="18">
        <v>11632</v>
      </c>
      <c r="G222" s="18">
        <v>12632</v>
      </c>
      <c r="H222" s="18">
        <v>5521</v>
      </c>
      <c r="I222" s="18">
        <v>1</v>
      </c>
      <c r="J222" s="18">
        <v>1</v>
      </c>
      <c r="K222" s="18">
        <v>32</v>
      </c>
      <c r="L222" s="18">
        <v>5</v>
      </c>
      <c r="M222" s="18">
        <v>0</v>
      </c>
      <c r="N222" s="18">
        <v>300</v>
      </c>
      <c r="O222" s="18">
        <v>10</v>
      </c>
      <c r="P222" s="18">
        <v>0</v>
      </c>
      <c r="Q222" s="18">
        <v>0</v>
      </c>
      <c r="R222" s="18">
        <v>0</v>
      </c>
      <c r="S222" s="39" t="s">
        <v>85</v>
      </c>
      <c r="T222" s="39" t="s">
        <v>2816</v>
      </c>
      <c r="U222" s="95" t="s">
        <v>4169</v>
      </c>
      <c r="V222" s="39">
        <v>101</v>
      </c>
      <c r="W222" s="18">
        <v>0</v>
      </c>
      <c r="X222" s="18">
        <v>0</v>
      </c>
      <c r="Y222" s="18">
        <v>0</v>
      </c>
      <c r="Z222" s="18">
        <v>0</v>
      </c>
      <c r="AA222" s="18">
        <v>0</v>
      </c>
      <c r="AB222" s="18"/>
      <c r="AC222" s="18">
        <v>1027</v>
      </c>
      <c r="AD222" s="18">
        <v>0</v>
      </c>
      <c r="AE222" s="18">
        <v>0</v>
      </c>
      <c r="AF222" s="18">
        <v>1</v>
      </c>
      <c r="AG222" s="18">
        <v>0</v>
      </c>
      <c r="AH222" s="18">
        <v>0</v>
      </c>
      <c r="AI222" s="18">
        <v>0</v>
      </c>
    </row>
    <row r="223" spans="1:35" x14ac:dyDescent="0.2">
      <c r="A223">
        <v>0</v>
      </c>
      <c r="B223" t="s">
        <v>4048</v>
      </c>
      <c r="C223" t="s">
        <v>307</v>
      </c>
      <c r="E223" s="18">
        <v>14826</v>
      </c>
      <c r="F223" s="18">
        <v>11633</v>
      </c>
      <c r="G223" s="18">
        <v>12633</v>
      </c>
      <c r="H223" s="18">
        <v>5525</v>
      </c>
      <c r="I223" s="18">
        <v>1</v>
      </c>
      <c r="J223" s="18">
        <v>1</v>
      </c>
      <c r="K223" s="18">
        <v>32</v>
      </c>
      <c r="L223" s="18">
        <v>5</v>
      </c>
      <c r="M223" s="18">
        <v>0</v>
      </c>
      <c r="N223" s="18">
        <v>300</v>
      </c>
      <c r="O223" s="18">
        <v>10</v>
      </c>
      <c r="P223" s="18">
        <v>0</v>
      </c>
      <c r="Q223" s="18">
        <v>0</v>
      </c>
      <c r="R223" s="18">
        <v>0</v>
      </c>
      <c r="S223" s="39" t="s">
        <v>85</v>
      </c>
      <c r="T223" s="39">
        <v>14326</v>
      </c>
      <c r="U223" s="95" t="s">
        <v>4296</v>
      </c>
      <c r="V223" s="39">
        <v>101</v>
      </c>
      <c r="W223" s="18">
        <v>0</v>
      </c>
      <c r="X223" s="18">
        <v>0</v>
      </c>
      <c r="Y223" s="18">
        <v>0</v>
      </c>
      <c r="Z223" s="18">
        <v>0</v>
      </c>
      <c r="AA223" s="18">
        <v>0</v>
      </c>
      <c r="AB223" s="18"/>
      <c r="AC223" s="18">
        <v>1027</v>
      </c>
      <c r="AD223" s="18">
        <v>0</v>
      </c>
      <c r="AE223" s="18">
        <v>0</v>
      </c>
      <c r="AF223" s="18">
        <v>1</v>
      </c>
      <c r="AG223" s="18">
        <v>0</v>
      </c>
      <c r="AH223" s="18">
        <v>0</v>
      </c>
      <c r="AI223" s="18">
        <v>0</v>
      </c>
    </row>
    <row r="224" spans="1:35" x14ac:dyDescent="0.2">
      <c r="A224">
        <v>0</v>
      </c>
      <c r="B224" t="s">
        <v>4049</v>
      </c>
      <c r="D224" t="s">
        <v>3615</v>
      </c>
      <c r="E224" s="18">
        <v>14827</v>
      </c>
      <c r="F224" s="18">
        <v>11634</v>
      </c>
      <c r="G224" s="18">
        <v>12634</v>
      </c>
      <c r="H224" s="18">
        <v>5523</v>
      </c>
      <c r="I224" s="18">
        <v>1</v>
      </c>
      <c r="J224" s="18">
        <v>1</v>
      </c>
      <c r="K224" s="18">
        <v>32</v>
      </c>
      <c r="L224" s="18">
        <v>5</v>
      </c>
      <c r="M224" s="18">
        <v>0</v>
      </c>
      <c r="N224" s="18">
        <v>300</v>
      </c>
      <c r="O224" s="18">
        <v>0</v>
      </c>
      <c r="P224" s="18">
        <v>0</v>
      </c>
      <c r="Q224" s="18">
        <v>0</v>
      </c>
      <c r="R224" s="18">
        <v>0</v>
      </c>
      <c r="S224" s="39" t="s">
        <v>85</v>
      </c>
      <c r="T224" s="39">
        <v>14327</v>
      </c>
      <c r="U224" s="95" t="s">
        <v>4301</v>
      </c>
      <c r="V224" s="39">
        <v>101</v>
      </c>
      <c r="W224" s="18">
        <v>0</v>
      </c>
      <c r="X224" s="18">
        <v>0</v>
      </c>
      <c r="Y224" s="18">
        <v>0</v>
      </c>
      <c r="Z224" s="18">
        <v>0</v>
      </c>
      <c r="AA224" s="18">
        <v>0</v>
      </c>
      <c r="AB224" s="18"/>
      <c r="AC224" s="18">
        <v>1027</v>
      </c>
      <c r="AD224" s="18">
        <v>0</v>
      </c>
      <c r="AE224" s="18">
        <v>0</v>
      </c>
      <c r="AF224" s="18">
        <v>0</v>
      </c>
      <c r="AG224" s="18">
        <v>0</v>
      </c>
      <c r="AH224" s="18">
        <v>1</v>
      </c>
      <c r="AI224" s="18">
        <v>0</v>
      </c>
    </row>
    <row r="225" spans="1:35" x14ac:dyDescent="0.2">
      <c r="A225">
        <v>1</v>
      </c>
      <c r="B225" t="s">
        <v>309</v>
      </c>
      <c r="C225" t="s">
        <v>2732</v>
      </c>
      <c r="E225" s="18">
        <v>14828</v>
      </c>
      <c r="F225" s="18">
        <v>11635</v>
      </c>
      <c r="G225" s="18">
        <v>12635</v>
      </c>
      <c r="H225" s="18">
        <v>5516</v>
      </c>
      <c r="I225" s="18">
        <v>1</v>
      </c>
      <c r="J225" s="18">
        <v>1</v>
      </c>
      <c r="K225" s="18">
        <v>32</v>
      </c>
      <c r="L225" s="18">
        <v>5</v>
      </c>
      <c r="M225" s="18">
        <v>0</v>
      </c>
      <c r="N225" s="18">
        <v>300</v>
      </c>
      <c r="O225" s="18">
        <v>10</v>
      </c>
      <c r="P225" s="18">
        <v>10</v>
      </c>
      <c r="Q225" s="18">
        <v>10</v>
      </c>
      <c r="R225" s="18">
        <v>0</v>
      </c>
      <c r="S225" s="39" t="s">
        <v>85</v>
      </c>
      <c r="T225" s="39" t="s">
        <v>2817</v>
      </c>
      <c r="U225" s="95" t="s">
        <v>4300</v>
      </c>
      <c r="V225" s="39">
        <v>101</v>
      </c>
      <c r="W225" s="18">
        <v>0</v>
      </c>
      <c r="X225" s="18">
        <v>0</v>
      </c>
      <c r="Y225" s="18">
        <v>0</v>
      </c>
      <c r="Z225" s="18">
        <v>0</v>
      </c>
      <c r="AA225" s="18">
        <v>0</v>
      </c>
      <c r="AB225" s="18"/>
      <c r="AC225" s="18">
        <v>1027</v>
      </c>
      <c r="AD225" s="18">
        <v>0</v>
      </c>
      <c r="AE225" s="18">
        <v>0</v>
      </c>
      <c r="AF225" s="18">
        <v>1</v>
      </c>
      <c r="AG225" s="18">
        <v>0</v>
      </c>
      <c r="AH225" s="18">
        <v>0</v>
      </c>
      <c r="AI225" s="18">
        <v>0</v>
      </c>
    </row>
    <row r="226" spans="1:35" x14ac:dyDescent="0.2">
      <c r="A226">
        <v>1</v>
      </c>
      <c r="B226" t="s">
        <v>4050</v>
      </c>
      <c r="C226" t="s">
        <v>2733</v>
      </c>
      <c r="E226" s="18">
        <v>14829</v>
      </c>
      <c r="F226" s="18">
        <v>11636</v>
      </c>
      <c r="G226" s="18">
        <v>12636</v>
      </c>
      <c r="H226" s="18">
        <v>5520</v>
      </c>
      <c r="I226" s="18">
        <v>1</v>
      </c>
      <c r="J226" s="18">
        <v>1</v>
      </c>
      <c r="K226" s="18">
        <v>32</v>
      </c>
      <c r="L226" s="18">
        <v>5</v>
      </c>
      <c r="M226" s="18">
        <v>0</v>
      </c>
      <c r="N226" s="18">
        <v>300</v>
      </c>
      <c r="O226" s="18">
        <v>10</v>
      </c>
      <c r="P226" s="18">
        <v>10</v>
      </c>
      <c r="Q226" s="18">
        <v>10</v>
      </c>
      <c r="R226" s="18">
        <v>0</v>
      </c>
      <c r="S226" s="39" t="s">
        <v>85</v>
      </c>
      <c r="T226" s="39">
        <v>14329</v>
      </c>
      <c r="U226" s="95" t="s">
        <v>3588</v>
      </c>
      <c r="V226" s="39">
        <v>101</v>
      </c>
      <c r="W226" s="18">
        <v>0</v>
      </c>
      <c r="X226" s="18">
        <v>0</v>
      </c>
      <c r="Y226" s="18">
        <v>0</v>
      </c>
      <c r="Z226" s="18">
        <v>0</v>
      </c>
      <c r="AA226" s="18">
        <v>0</v>
      </c>
      <c r="AB226" s="18"/>
      <c r="AC226" s="18">
        <v>1027</v>
      </c>
      <c r="AD226" s="18">
        <v>0</v>
      </c>
      <c r="AE226" s="18">
        <v>0</v>
      </c>
      <c r="AF226" s="18">
        <v>1</v>
      </c>
      <c r="AG226" s="18">
        <v>0</v>
      </c>
      <c r="AH226" s="18">
        <v>0</v>
      </c>
      <c r="AI226" s="18">
        <v>0</v>
      </c>
    </row>
    <row r="227" spans="1:35" x14ac:dyDescent="0.2">
      <c r="A227">
        <v>0</v>
      </c>
      <c r="B227" t="s">
        <v>4051</v>
      </c>
      <c r="C227" t="s">
        <v>312</v>
      </c>
      <c r="E227" s="18">
        <v>14830</v>
      </c>
      <c r="F227" s="18">
        <v>11637</v>
      </c>
      <c r="G227" s="18">
        <v>12637</v>
      </c>
      <c r="H227" s="18">
        <v>5527</v>
      </c>
      <c r="I227" s="18">
        <v>1</v>
      </c>
      <c r="J227" s="18">
        <v>1</v>
      </c>
      <c r="K227" s="18">
        <v>32</v>
      </c>
      <c r="L227" s="18">
        <v>5</v>
      </c>
      <c r="M227" s="18">
        <v>0</v>
      </c>
      <c r="N227" s="18">
        <v>300</v>
      </c>
      <c r="O227" s="18">
        <v>10</v>
      </c>
      <c r="P227" s="18">
        <v>0</v>
      </c>
      <c r="Q227" s="18">
        <v>0</v>
      </c>
      <c r="R227" s="18">
        <v>0</v>
      </c>
      <c r="S227" s="39" t="s">
        <v>85</v>
      </c>
      <c r="T227" s="39">
        <v>14330</v>
      </c>
      <c r="U227" s="95" t="s">
        <v>3613</v>
      </c>
      <c r="V227" s="39">
        <v>101</v>
      </c>
      <c r="W227" s="18">
        <v>0</v>
      </c>
      <c r="X227" s="18">
        <v>0</v>
      </c>
      <c r="Y227" s="18">
        <v>0</v>
      </c>
      <c r="Z227" s="18">
        <v>0</v>
      </c>
      <c r="AA227" s="18">
        <v>0</v>
      </c>
      <c r="AB227" s="18"/>
      <c r="AC227" s="18">
        <v>1027</v>
      </c>
      <c r="AD227" s="18">
        <v>0</v>
      </c>
      <c r="AE227" s="18">
        <v>0</v>
      </c>
      <c r="AF227" s="18">
        <v>2</v>
      </c>
      <c r="AG227" s="18">
        <v>0</v>
      </c>
      <c r="AH227" s="18">
        <v>0</v>
      </c>
      <c r="AI227" s="18">
        <v>0</v>
      </c>
    </row>
    <row r="228" spans="1:35" x14ac:dyDescent="0.2">
      <c r="A228">
        <v>0</v>
      </c>
      <c r="B228" t="s">
        <v>4052</v>
      </c>
      <c r="E228" s="18">
        <v>14831</v>
      </c>
      <c r="F228" s="18">
        <v>11638</v>
      </c>
      <c r="G228" s="18">
        <v>12638</v>
      </c>
      <c r="H228" s="18">
        <v>5527</v>
      </c>
      <c r="I228" s="18">
        <v>1</v>
      </c>
      <c r="J228" s="18">
        <v>1</v>
      </c>
      <c r="K228" s="18">
        <v>32</v>
      </c>
      <c r="L228" s="18">
        <v>5</v>
      </c>
      <c r="M228" s="18">
        <v>0</v>
      </c>
      <c r="N228" s="18">
        <v>300</v>
      </c>
      <c r="O228" s="18">
        <v>10</v>
      </c>
      <c r="P228" s="18">
        <v>0</v>
      </c>
      <c r="Q228" s="18">
        <v>0</v>
      </c>
      <c r="R228" s="18">
        <v>0</v>
      </c>
      <c r="S228" s="39" t="s">
        <v>85</v>
      </c>
      <c r="T228" s="39">
        <v>14331</v>
      </c>
      <c r="U228" s="95" t="s">
        <v>4162</v>
      </c>
      <c r="V228" s="39">
        <v>101</v>
      </c>
      <c r="W228" s="18">
        <v>0</v>
      </c>
      <c r="X228" s="18">
        <v>0</v>
      </c>
      <c r="Y228" s="18">
        <v>0</v>
      </c>
      <c r="Z228" s="18">
        <v>0</v>
      </c>
      <c r="AA228" s="18">
        <v>0</v>
      </c>
      <c r="AB228" s="18"/>
      <c r="AC228" s="18">
        <v>1027</v>
      </c>
      <c r="AD228" s="18">
        <v>0</v>
      </c>
      <c r="AE228" s="18">
        <v>0</v>
      </c>
      <c r="AF228" s="18">
        <v>1</v>
      </c>
      <c r="AG228" s="18">
        <v>0</v>
      </c>
      <c r="AH228" s="18">
        <v>0</v>
      </c>
      <c r="AI228" s="18">
        <v>0</v>
      </c>
    </row>
    <row r="229" spans="1:35" x14ac:dyDescent="0.2">
      <c r="A229">
        <v>0</v>
      </c>
      <c r="B229" t="s">
        <v>4053</v>
      </c>
      <c r="E229" s="18">
        <v>14832</v>
      </c>
      <c r="F229" s="18">
        <v>11639</v>
      </c>
      <c r="G229" s="18">
        <v>12639</v>
      </c>
      <c r="H229" s="18">
        <v>5525</v>
      </c>
      <c r="I229" s="18">
        <v>1</v>
      </c>
      <c r="J229" s="18">
        <v>1</v>
      </c>
      <c r="K229" s="18">
        <v>32</v>
      </c>
      <c r="L229" s="18">
        <v>5</v>
      </c>
      <c r="M229" s="18">
        <v>0</v>
      </c>
      <c r="N229" s="18">
        <v>300</v>
      </c>
      <c r="O229" s="18">
        <v>10</v>
      </c>
      <c r="P229" s="18">
        <v>0</v>
      </c>
      <c r="Q229" s="18">
        <v>0</v>
      </c>
      <c r="R229" s="18">
        <v>0</v>
      </c>
      <c r="S229" s="39" t="s">
        <v>85</v>
      </c>
      <c r="T229" s="39">
        <v>14332</v>
      </c>
      <c r="U229" s="95" t="s">
        <v>4157</v>
      </c>
      <c r="V229" s="39">
        <v>101</v>
      </c>
      <c r="W229" s="18">
        <v>0</v>
      </c>
      <c r="X229" s="18">
        <v>0</v>
      </c>
      <c r="Y229" s="18">
        <v>0</v>
      </c>
      <c r="Z229" s="18">
        <v>0</v>
      </c>
      <c r="AA229" s="18">
        <v>0</v>
      </c>
      <c r="AB229" s="18"/>
      <c r="AC229" s="18">
        <v>1027</v>
      </c>
      <c r="AD229" s="18">
        <v>0</v>
      </c>
      <c r="AE229" s="18">
        <v>0</v>
      </c>
      <c r="AF229" s="18">
        <v>4</v>
      </c>
      <c r="AG229" s="18">
        <v>0</v>
      </c>
      <c r="AH229" s="18">
        <v>0</v>
      </c>
      <c r="AI229" s="18">
        <v>0</v>
      </c>
    </row>
    <row r="230" spans="1:35" x14ac:dyDescent="0.2">
      <c r="A230">
        <v>0</v>
      </c>
      <c r="B230" t="s">
        <v>315</v>
      </c>
      <c r="C230" t="s">
        <v>316</v>
      </c>
      <c r="E230" s="18">
        <v>14833</v>
      </c>
      <c r="F230" s="18">
        <v>11640</v>
      </c>
      <c r="G230" s="18">
        <v>12640</v>
      </c>
      <c r="H230" s="18">
        <v>5525</v>
      </c>
      <c r="I230" s="18">
        <v>1</v>
      </c>
      <c r="J230" s="18">
        <v>1</v>
      </c>
      <c r="K230" s="18">
        <v>32</v>
      </c>
      <c r="L230" s="18">
        <v>5</v>
      </c>
      <c r="M230" s="18">
        <v>0</v>
      </c>
      <c r="N230" s="18">
        <v>300</v>
      </c>
      <c r="O230" s="18">
        <v>10</v>
      </c>
      <c r="P230" s="18">
        <v>0</v>
      </c>
      <c r="Q230" s="18">
        <v>0</v>
      </c>
      <c r="R230" s="18">
        <v>0</v>
      </c>
      <c r="S230" s="39" t="s">
        <v>85</v>
      </c>
      <c r="T230" s="39">
        <v>14333</v>
      </c>
      <c r="U230" s="95" t="s">
        <v>4154</v>
      </c>
      <c r="V230" s="39">
        <v>101</v>
      </c>
      <c r="W230" s="18">
        <v>0</v>
      </c>
      <c r="X230" s="18">
        <v>0</v>
      </c>
      <c r="Y230" s="18">
        <v>0</v>
      </c>
      <c r="Z230" s="18">
        <v>0</v>
      </c>
      <c r="AA230" s="18">
        <v>0</v>
      </c>
      <c r="AB230" s="18"/>
      <c r="AC230" s="18">
        <v>1027</v>
      </c>
      <c r="AD230" s="18">
        <v>0</v>
      </c>
      <c r="AE230" s="18">
        <v>0</v>
      </c>
      <c r="AF230" s="18">
        <v>5</v>
      </c>
      <c r="AG230" s="18">
        <v>0</v>
      </c>
      <c r="AH230" s="18">
        <v>0</v>
      </c>
      <c r="AI230" s="18">
        <v>0</v>
      </c>
    </row>
    <row r="231" spans="1:35" x14ac:dyDescent="0.2">
      <c r="A231">
        <v>0</v>
      </c>
      <c r="B231" t="s">
        <v>4054</v>
      </c>
      <c r="E231" s="18">
        <v>14834</v>
      </c>
      <c r="F231" s="18">
        <v>11641</v>
      </c>
      <c r="G231" s="18">
        <v>12641</v>
      </c>
      <c r="H231" s="18">
        <v>5527</v>
      </c>
      <c r="I231" s="18">
        <v>1</v>
      </c>
      <c r="J231" s="18">
        <v>1</v>
      </c>
      <c r="K231" s="18">
        <v>32</v>
      </c>
      <c r="L231" s="18">
        <v>5</v>
      </c>
      <c r="M231" s="18">
        <v>0</v>
      </c>
      <c r="N231" s="18">
        <v>300</v>
      </c>
      <c r="O231" s="18">
        <v>10</v>
      </c>
      <c r="P231" s="18">
        <v>0</v>
      </c>
      <c r="Q231" s="18">
        <v>0</v>
      </c>
      <c r="R231" s="18">
        <v>0</v>
      </c>
      <c r="S231" s="39" t="s">
        <v>85</v>
      </c>
      <c r="T231" s="39">
        <v>14334</v>
      </c>
      <c r="U231" s="95" t="s">
        <v>4156</v>
      </c>
      <c r="V231" s="39">
        <v>101</v>
      </c>
      <c r="W231" s="18">
        <v>0</v>
      </c>
      <c r="X231" s="18">
        <v>0</v>
      </c>
      <c r="Y231" s="18">
        <v>0</v>
      </c>
      <c r="Z231" s="18">
        <v>0</v>
      </c>
      <c r="AA231" s="18">
        <v>0</v>
      </c>
      <c r="AB231" s="18"/>
      <c r="AC231" s="18">
        <v>1027</v>
      </c>
      <c r="AD231" s="18">
        <v>0</v>
      </c>
      <c r="AE231" s="18">
        <v>0</v>
      </c>
      <c r="AF231" s="18">
        <v>4</v>
      </c>
      <c r="AG231" s="18">
        <v>0</v>
      </c>
      <c r="AH231" s="18">
        <v>0</v>
      </c>
      <c r="AI231" s="18">
        <v>0</v>
      </c>
    </row>
    <row r="232" spans="1:35" x14ac:dyDescent="0.2">
      <c r="A232">
        <v>0</v>
      </c>
      <c r="B232" t="s">
        <v>4055</v>
      </c>
      <c r="E232" s="18">
        <v>14835</v>
      </c>
      <c r="F232" s="18">
        <v>11642</v>
      </c>
      <c r="G232" s="18">
        <v>12642</v>
      </c>
      <c r="H232" s="18">
        <v>5529</v>
      </c>
      <c r="I232" s="18">
        <v>1</v>
      </c>
      <c r="J232" s="18">
        <v>1</v>
      </c>
      <c r="K232" s="18">
        <v>32</v>
      </c>
      <c r="L232" s="18">
        <v>5</v>
      </c>
      <c r="M232" s="18">
        <v>0</v>
      </c>
      <c r="N232" s="18">
        <v>300</v>
      </c>
      <c r="O232" s="18">
        <v>10</v>
      </c>
      <c r="P232" s="18">
        <v>0</v>
      </c>
      <c r="Q232" s="18">
        <v>0</v>
      </c>
      <c r="R232" s="18">
        <v>0</v>
      </c>
      <c r="S232" s="39" t="s">
        <v>85</v>
      </c>
      <c r="T232" s="39">
        <v>14335</v>
      </c>
      <c r="U232" s="95" t="s">
        <v>4098</v>
      </c>
      <c r="V232" s="39">
        <v>101</v>
      </c>
      <c r="W232" s="18">
        <v>0</v>
      </c>
      <c r="X232" s="18">
        <v>0</v>
      </c>
      <c r="Y232" s="18">
        <v>0</v>
      </c>
      <c r="Z232" s="18">
        <v>0</v>
      </c>
      <c r="AA232" s="18">
        <v>0</v>
      </c>
      <c r="AB232" s="18"/>
      <c r="AC232" s="18">
        <v>1027</v>
      </c>
      <c r="AD232" s="18">
        <v>0</v>
      </c>
      <c r="AE232" s="18">
        <v>0</v>
      </c>
      <c r="AF232" s="18">
        <v>1</v>
      </c>
      <c r="AG232" s="18">
        <v>0</v>
      </c>
      <c r="AH232" s="18">
        <v>0</v>
      </c>
      <c r="AI232" s="18">
        <v>0</v>
      </c>
    </row>
    <row r="233" spans="1:35" x14ac:dyDescent="0.2">
      <c r="A233">
        <v>0</v>
      </c>
      <c r="B233" t="s">
        <v>320</v>
      </c>
      <c r="E233" s="18">
        <v>14837</v>
      </c>
      <c r="F233" s="18">
        <v>11644</v>
      </c>
      <c r="G233" s="18">
        <v>12644</v>
      </c>
      <c r="H233" s="18">
        <v>5521</v>
      </c>
      <c r="I233" s="18">
        <v>1</v>
      </c>
      <c r="J233" s="18">
        <v>1</v>
      </c>
      <c r="K233" s="18">
        <v>32</v>
      </c>
      <c r="L233" s="18">
        <v>5</v>
      </c>
      <c r="M233" s="18">
        <v>0</v>
      </c>
      <c r="N233" s="18">
        <v>300</v>
      </c>
      <c r="O233" s="18">
        <v>10</v>
      </c>
      <c r="P233" s="18">
        <v>0</v>
      </c>
      <c r="Q233" s="18">
        <v>0</v>
      </c>
      <c r="R233" s="18">
        <v>0</v>
      </c>
      <c r="S233" s="39" t="s">
        <v>85</v>
      </c>
      <c r="T233" s="39">
        <v>14337</v>
      </c>
      <c r="U233" s="95" t="s">
        <v>4155</v>
      </c>
      <c r="V233" s="39">
        <v>101</v>
      </c>
      <c r="W233" s="18">
        <v>0</v>
      </c>
      <c r="X233" s="18">
        <v>0</v>
      </c>
      <c r="Y233" s="18">
        <v>0</v>
      </c>
      <c r="Z233" s="18">
        <v>0</v>
      </c>
      <c r="AA233" s="18">
        <v>0</v>
      </c>
      <c r="AB233" s="18"/>
      <c r="AC233" s="18">
        <v>1027</v>
      </c>
      <c r="AD233" s="18">
        <v>0</v>
      </c>
      <c r="AE233" s="18">
        <v>0</v>
      </c>
      <c r="AF233" s="18">
        <v>5</v>
      </c>
      <c r="AG233" s="18">
        <v>0</v>
      </c>
      <c r="AH233" s="18">
        <v>0</v>
      </c>
      <c r="AI233" s="18">
        <v>0</v>
      </c>
    </row>
    <row r="234" spans="1:35" x14ac:dyDescent="0.2">
      <c r="A234">
        <v>0</v>
      </c>
      <c r="B234" t="s">
        <v>321</v>
      </c>
      <c r="E234" s="18">
        <v>14838</v>
      </c>
      <c r="F234" s="18">
        <v>11645</v>
      </c>
      <c r="G234" s="18">
        <v>12645</v>
      </c>
      <c r="H234" s="18">
        <v>5521</v>
      </c>
      <c r="I234" s="18">
        <v>1</v>
      </c>
      <c r="J234" s="18">
        <v>1</v>
      </c>
      <c r="K234" s="18">
        <v>32</v>
      </c>
      <c r="L234" s="18">
        <v>5</v>
      </c>
      <c r="M234" s="18">
        <v>0</v>
      </c>
      <c r="N234" s="18">
        <v>300</v>
      </c>
      <c r="O234" s="18">
        <v>10</v>
      </c>
      <c r="P234" s="18">
        <v>0</v>
      </c>
      <c r="Q234" s="18">
        <v>0</v>
      </c>
      <c r="R234" s="18">
        <v>0</v>
      </c>
      <c r="S234" s="39" t="s">
        <v>85</v>
      </c>
      <c r="T234" s="39">
        <v>14338</v>
      </c>
      <c r="U234" s="95" t="s">
        <v>4102</v>
      </c>
      <c r="V234" s="39">
        <v>101</v>
      </c>
      <c r="W234" s="18">
        <v>0</v>
      </c>
      <c r="X234" s="18">
        <v>0</v>
      </c>
      <c r="Y234" s="18">
        <v>0</v>
      </c>
      <c r="Z234" s="18">
        <v>0</v>
      </c>
      <c r="AA234" s="18">
        <v>0</v>
      </c>
      <c r="AB234" s="18"/>
      <c r="AC234" s="18">
        <v>1027</v>
      </c>
      <c r="AD234" s="18">
        <v>0</v>
      </c>
      <c r="AE234" s="18">
        <v>0</v>
      </c>
      <c r="AF234" s="18">
        <v>5</v>
      </c>
      <c r="AG234" s="18">
        <v>0</v>
      </c>
      <c r="AH234" s="18">
        <v>0</v>
      </c>
      <c r="AI234" s="18">
        <v>0</v>
      </c>
    </row>
    <row r="235" spans="1:35" x14ac:dyDescent="0.2">
      <c r="A235">
        <v>0</v>
      </c>
      <c r="B235" t="s">
        <v>4056</v>
      </c>
      <c r="E235" s="18">
        <v>14839</v>
      </c>
      <c r="F235" s="18">
        <v>11646</v>
      </c>
      <c r="G235" s="18">
        <v>12646</v>
      </c>
      <c r="H235" s="18">
        <v>5521</v>
      </c>
      <c r="I235" s="18">
        <v>1</v>
      </c>
      <c r="J235" s="18">
        <v>1</v>
      </c>
      <c r="K235" s="18">
        <v>32</v>
      </c>
      <c r="L235" s="18">
        <v>5</v>
      </c>
      <c r="M235" s="18">
        <v>0</v>
      </c>
      <c r="N235" s="18">
        <v>300</v>
      </c>
      <c r="O235" s="18">
        <v>10</v>
      </c>
      <c r="P235" s="18">
        <v>0</v>
      </c>
      <c r="Q235" s="18">
        <v>0</v>
      </c>
      <c r="R235" s="18">
        <v>0</v>
      </c>
      <c r="S235" s="39" t="s">
        <v>85</v>
      </c>
      <c r="T235" s="39">
        <v>14339</v>
      </c>
      <c r="U235" s="95" t="s">
        <v>4078</v>
      </c>
      <c r="V235" s="39">
        <v>101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/>
      <c r="AC235" s="18">
        <v>1027</v>
      </c>
      <c r="AD235" s="18">
        <v>0</v>
      </c>
      <c r="AE235" s="18">
        <v>0</v>
      </c>
      <c r="AF235" s="18">
        <v>3</v>
      </c>
      <c r="AG235" s="18">
        <v>0</v>
      </c>
      <c r="AH235" s="18">
        <v>0</v>
      </c>
      <c r="AI235" s="18">
        <v>0</v>
      </c>
    </row>
    <row r="236" spans="1:35" x14ac:dyDescent="0.2">
      <c r="A236">
        <v>0</v>
      </c>
      <c r="B236" t="s">
        <v>323</v>
      </c>
      <c r="E236" s="18">
        <v>14840</v>
      </c>
      <c r="F236" s="18">
        <v>11647</v>
      </c>
      <c r="G236" s="18">
        <v>12647</v>
      </c>
      <c r="H236" s="18">
        <v>5526</v>
      </c>
      <c r="I236" s="18">
        <v>1</v>
      </c>
      <c r="J236" s="18">
        <v>1</v>
      </c>
      <c r="K236" s="18">
        <v>32</v>
      </c>
      <c r="L236" s="18">
        <v>5</v>
      </c>
      <c r="M236" s="18">
        <v>0</v>
      </c>
      <c r="N236" s="18">
        <v>300</v>
      </c>
      <c r="O236" s="18">
        <v>10</v>
      </c>
      <c r="P236" s="18">
        <v>0</v>
      </c>
      <c r="Q236" s="18">
        <v>0</v>
      </c>
      <c r="R236" s="18">
        <v>0</v>
      </c>
      <c r="S236" s="39" t="s">
        <v>85</v>
      </c>
      <c r="T236" s="39">
        <v>14340</v>
      </c>
      <c r="U236" s="95" t="s">
        <v>3296</v>
      </c>
      <c r="V236" s="39">
        <v>101</v>
      </c>
      <c r="W236" s="18">
        <v>0</v>
      </c>
      <c r="X236" s="18">
        <v>0</v>
      </c>
      <c r="Y236" s="18">
        <v>0</v>
      </c>
      <c r="Z236" s="18">
        <v>0</v>
      </c>
      <c r="AA236" s="18">
        <v>0</v>
      </c>
      <c r="AB236" s="18"/>
      <c r="AC236" s="18">
        <v>1027</v>
      </c>
      <c r="AD236" s="18">
        <v>0</v>
      </c>
      <c r="AE236" s="18">
        <v>0</v>
      </c>
      <c r="AF236" s="18">
        <v>3</v>
      </c>
      <c r="AG236" s="18">
        <v>0</v>
      </c>
      <c r="AH236" s="18">
        <v>0</v>
      </c>
      <c r="AI236" s="18">
        <v>0</v>
      </c>
    </row>
    <row r="237" spans="1:35" x14ac:dyDescent="0.2">
      <c r="A237">
        <v>0</v>
      </c>
      <c r="B237" t="s">
        <v>4057</v>
      </c>
      <c r="E237" s="18">
        <v>14841</v>
      </c>
      <c r="F237" s="18">
        <v>11648</v>
      </c>
      <c r="G237" s="18">
        <v>12648</v>
      </c>
      <c r="H237" s="18">
        <v>5529</v>
      </c>
      <c r="I237" s="18">
        <v>1</v>
      </c>
      <c r="J237" s="18">
        <v>1</v>
      </c>
      <c r="K237" s="18">
        <v>32</v>
      </c>
      <c r="L237" s="18">
        <v>5</v>
      </c>
      <c r="M237" s="18">
        <v>0</v>
      </c>
      <c r="N237" s="18">
        <v>300</v>
      </c>
      <c r="O237" s="18">
        <v>10</v>
      </c>
      <c r="P237" s="18">
        <v>0</v>
      </c>
      <c r="Q237" s="18">
        <v>0</v>
      </c>
      <c r="R237" s="18">
        <v>0</v>
      </c>
      <c r="S237" s="39" t="s">
        <v>85</v>
      </c>
      <c r="T237" s="39">
        <v>14341</v>
      </c>
      <c r="U237" s="95" t="s">
        <v>4138</v>
      </c>
      <c r="V237" s="39">
        <v>101</v>
      </c>
      <c r="W237" s="18">
        <v>0</v>
      </c>
      <c r="X237" s="18">
        <v>0</v>
      </c>
      <c r="Y237" s="18">
        <v>0</v>
      </c>
      <c r="Z237" s="18">
        <v>0</v>
      </c>
      <c r="AA237" s="18">
        <v>0</v>
      </c>
      <c r="AB237" s="18"/>
      <c r="AC237" s="18">
        <v>1027</v>
      </c>
      <c r="AD237" s="18">
        <v>0</v>
      </c>
      <c r="AE237" s="18">
        <v>0</v>
      </c>
      <c r="AF237" s="18">
        <v>1</v>
      </c>
      <c r="AG237" s="18">
        <v>0</v>
      </c>
      <c r="AH237" s="18">
        <v>0</v>
      </c>
      <c r="AI237" s="18">
        <v>0</v>
      </c>
    </row>
    <row r="238" spans="1:35" x14ac:dyDescent="0.2">
      <c r="A238">
        <v>0</v>
      </c>
      <c r="B238" t="s">
        <v>325</v>
      </c>
      <c r="E238" s="18">
        <v>14842</v>
      </c>
      <c r="F238" s="18">
        <v>11649</v>
      </c>
      <c r="G238" s="18">
        <v>12649</v>
      </c>
      <c r="H238" s="18">
        <v>5518</v>
      </c>
      <c r="I238" s="18">
        <v>1</v>
      </c>
      <c r="J238" s="18">
        <v>1</v>
      </c>
      <c r="K238" s="18">
        <v>32</v>
      </c>
      <c r="L238" s="18">
        <v>5</v>
      </c>
      <c r="M238" s="18">
        <v>0</v>
      </c>
      <c r="N238" s="18">
        <v>300</v>
      </c>
      <c r="O238" s="18">
        <v>10</v>
      </c>
      <c r="P238" s="18">
        <v>0</v>
      </c>
      <c r="Q238" s="18">
        <v>0</v>
      </c>
      <c r="R238" s="18">
        <v>0</v>
      </c>
      <c r="S238" s="39" t="s">
        <v>85</v>
      </c>
      <c r="T238" s="39">
        <v>14342</v>
      </c>
      <c r="U238" s="95" t="s">
        <v>4483</v>
      </c>
      <c r="V238" s="39">
        <v>101</v>
      </c>
      <c r="W238" s="18">
        <v>0</v>
      </c>
      <c r="X238" s="18">
        <v>0</v>
      </c>
      <c r="Y238" s="18">
        <v>0</v>
      </c>
      <c r="Z238" s="18">
        <v>0</v>
      </c>
      <c r="AA238" s="18">
        <v>0</v>
      </c>
      <c r="AB238" s="18"/>
      <c r="AC238" s="18">
        <v>1027</v>
      </c>
      <c r="AD238" s="18">
        <v>0</v>
      </c>
      <c r="AE238" s="18">
        <v>0</v>
      </c>
      <c r="AF238" s="18">
        <v>3</v>
      </c>
      <c r="AG238" s="18">
        <v>0</v>
      </c>
      <c r="AH238" s="18">
        <v>0</v>
      </c>
      <c r="AI238" s="18">
        <v>0</v>
      </c>
    </row>
    <row r="239" spans="1:35" x14ac:dyDescent="0.2">
      <c r="A239">
        <v>0</v>
      </c>
      <c r="B239" t="s">
        <v>4058</v>
      </c>
      <c r="E239" s="18">
        <v>14843</v>
      </c>
      <c r="F239" s="18">
        <v>11650</v>
      </c>
      <c r="G239" s="18">
        <v>12650</v>
      </c>
      <c r="H239" s="18">
        <v>5524</v>
      </c>
      <c r="I239" s="18">
        <v>1</v>
      </c>
      <c r="J239" s="18">
        <v>1</v>
      </c>
      <c r="K239" s="18">
        <v>32</v>
      </c>
      <c r="L239" s="18">
        <v>5</v>
      </c>
      <c r="M239" s="18">
        <v>0</v>
      </c>
      <c r="N239" s="18">
        <v>300</v>
      </c>
      <c r="O239" s="18">
        <v>10</v>
      </c>
      <c r="P239" s="18">
        <v>0</v>
      </c>
      <c r="Q239" s="18">
        <v>0</v>
      </c>
      <c r="R239" s="18">
        <v>0</v>
      </c>
      <c r="S239" s="39" t="s">
        <v>85</v>
      </c>
      <c r="T239" s="39">
        <v>14343</v>
      </c>
      <c r="U239" s="95" t="s">
        <v>3297</v>
      </c>
      <c r="V239" s="39">
        <v>101</v>
      </c>
      <c r="W239" s="18">
        <v>0</v>
      </c>
      <c r="X239" s="18">
        <v>0</v>
      </c>
      <c r="Y239" s="18">
        <v>0</v>
      </c>
      <c r="Z239" s="18">
        <v>0</v>
      </c>
      <c r="AA239" s="18">
        <v>0</v>
      </c>
      <c r="AB239" s="18"/>
      <c r="AC239" s="18">
        <v>1027</v>
      </c>
      <c r="AD239" s="18">
        <v>0</v>
      </c>
      <c r="AE239" s="18">
        <v>0</v>
      </c>
      <c r="AF239" s="18">
        <v>3</v>
      </c>
      <c r="AG239" s="18">
        <v>0</v>
      </c>
      <c r="AH239" s="18">
        <v>0</v>
      </c>
      <c r="AI239" s="18">
        <v>0</v>
      </c>
    </row>
    <row r="240" spans="1:35" x14ac:dyDescent="0.2">
      <c r="A240">
        <v>1</v>
      </c>
      <c r="B240" t="s">
        <v>4059</v>
      </c>
      <c r="E240" s="18">
        <v>14844</v>
      </c>
      <c r="F240" s="18">
        <v>11651</v>
      </c>
      <c r="G240" s="18">
        <v>12651</v>
      </c>
      <c r="H240" s="18">
        <v>5522</v>
      </c>
      <c r="I240" s="18">
        <v>1</v>
      </c>
      <c r="J240" s="18">
        <v>1</v>
      </c>
      <c r="K240" s="18">
        <v>32</v>
      </c>
      <c r="L240" s="18">
        <v>5</v>
      </c>
      <c r="M240" s="18">
        <v>0</v>
      </c>
      <c r="N240" s="18">
        <v>300</v>
      </c>
      <c r="O240" s="18">
        <v>10</v>
      </c>
      <c r="P240" s="18">
        <v>3</v>
      </c>
      <c r="Q240" s="18">
        <v>3</v>
      </c>
      <c r="R240" s="18">
        <v>0</v>
      </c>
      <c r="S240" s="39" t="s">
        <v>85</v>
      </c>
      <c r="T240" s="39">
        <v>14344</v>
      </c>
      <c r="U240" s="95" t="s">
        <v>4137</v>
      </c>
      <c r="V240" s="39">
        <v>101</v>
      </c>
      <c r="W240" s="18">
        <v>0</v>
      </c>
      <c r="X240" s="18">
        <v>0</v>
      </c>
      <c r="Y240" s="18">
        <v>0</v>
      </c>
      <c r="Z240" s="18">
        <v>0</v>
      </c>
      <c r="AA240" s="18">
        <v>0</v>
      </c>
      <c r="AB240" s="18"/>
      <c r="AC240" s="18">
        <v>1027</v>
      </c>
      <c r="AD240" s="18">
        <v>0</v>
      </c>
      <c r="AE240" s="18">
        <v>0</v>
      </c>
      <c r="AF240" s="18">
        <v>2</v>
      </c>
      <c r="AG240" s="18">
        <v>0</v>
      </c>
      <c r="AH240" s="18">
        <v>0</v>
      </c>
      <c r="AI240" s="18">
        <v>0</v>
      </c>
    </row>
    <row r="241" spans="1:35" x14ac:dyDescent="0.2">
      <c r="A241">
        <v>1</v>
      </c>
      <c r="B241" t="s">
        <v>4060</v>
      </c>
      <c r="E241" s="18">
        <v>14845</v>
      </c>
      <c r="F241" s="18">
        <v>11652</v>
      </c>
      <c r="G241" s="18">
        <v>12652</v>
      </c>
      <c r="H241" s="18">
        <v>5526</v>
      </c>
      <c r="I241" s="18">
        <v>1</v>
      </c>
      <c r="J241" s="18">
        <v>1</v>
      </c>
      <c r="K241" s="18">
        <v>32</v>
      </c>
      <c r="L241" s="18">
        <v>5</v>
      </c>
      <c r="M241" s="18">
        <v>0</v>
      </c>
      <c r="N241" s="18">
        <v>300</v>
      </c>
      <c r="O241" s="18">
        <v>10</v>
      </c>
      <c r="P241" s="18">
        <v>3</v>
      </c>
      <c r="Q241" s="18">
        <v>3</v>
      </c>
      <c r="R241" s="18">
        <v>0</v>
      </c>
      <c r="S241" s="39" t="s">
        <v>85</v>
      </c>
      <c r="T241" s="39">
        <v>14345</v>
      </c>
      <c r="U241" s="95" t="s">
        <v>3271</v>
      </c>
      <c r="V241" s="39">
        <v>101</v>
      </c>
      <c r="W241" s="18">
        <v>0</v>
      </c>
      <c r="X241" s="18">
        <v>0</v>
      </c>
      <c r="Y241" s="18">
        <v>0</v>
      </c>
      <c r="Z241" s="18">
        <v>0</v>
      </c>
      <c r="AA241" s="18">
        <v>0</v>
      </c>
      <c r="AB241" s="18"/>
      <c r="AC241" s="18">
        <v>1027</v>
      </c>
      <c r="AD241" s="18">
        <v>0</v>
      </c>
      <c r="AE241" s="18">
        <v>0</v>
      </c>
      <c r="AF241" s="18">
        <v>1</v>
      </c>
      <c r="AG241" s="18">
        <v>0</v>
      </c>
      <c r="AH241" s="18">
        <v>0</v>
      </c>
      <c r="AI241" s="18">
        <v>0</v>
      </c>
    </row>
    <row r="242" spans="1:35" x14ac:dyDescent="0.2">
      <c r="A242">
        <v>0</v>
      </c>
      <c r="B242" t="s">
        <v>4061</v>
      </c>
      <c r="E242" s="18">
        <v>14846</v>
      </c>
      <c r="F242" s="18">
        <v>11653</v>
      </c>
      <c r="G242" s="18">
        <v>12653</v>
      </c>
      <c r="H242" s="18">
        <v>5530</v>
      </c>
      <c r="I242" s="18">
        <v>1</v>
      </c>
      <c r="J242" s="18">
        <v>1</v>
      </c>
      <c r="K242" s="18">
        <v>32</v>
      </c>
      <c r="L242" s="18">
        <v>5</v>
      </c>
      <c r="M242" s="18">
        <v>0</v>
      </c>
      <c r="N242" s="18">
        <v>300</v>
      </c>
      <c r="O242" s="18">
        <v>10</v>
      </c>
      <c r="P242" s="18">
        <v>0</v>
      </c>
      <c r="Q242" s="18">
        <v>0</v>
      </c>
      <c r="R242" s="18">
        <v>0</v>
      </c>
      <c r="S242" s="39" t="s">
        <v>85</v>
      </c>
      <c r="T242" s="39">
        <v>14346</v>
      </c>
      <c r="U242" s="95" t="s">
        <v>3934</v>
      </c>
      <c r="V242" s="39">
        <v>101</v>
      </c>
      <c r="W242" s="18">
        <v>0</v>
      </c>
      <c r="X242" s="18">
        <v>0</v>
      </c>
      <c r="Y242" s="18">
        <v>0</v>
      </c>
      <c r="Z242" s="18">
        <v>0</v>
      </c>
      <c r="AA242" s="18">
        <v>0</v>
      </c>
      <c r="AB242" s="18"/>
      <c r="AC242" s="18">
        <v>1027</v>
      </c>
      <c r="AD242" s="18">
        <v>0</v>
      </c>
      <c r="AE242" s="18">
        <v>0</v>
      </c>
      <c r="AF242" s="18">
        <v>3</v>
      </c>
      <c r="AG242" s="18">
        <v>0</v>
      </c>
      <c r="AH242" s="18">
        <v>0</v>
      </c>
      <c r="AI242" s="18">
        <v>0</v>
      </c>
    </row>
    <row r="243" spans="1:35" x14ac:dyDescent="0.2">
      <c r="A243">
        <v>0</v>
      </c>
      <c r="B243" t="s">
        <v>330</v>
      </c>
      <c r="E243" s="18">
        <v>14847</v>
      </c>
      <c r="F243" s="18">
        <v>11654</v>
      </c>
      <c r="G243" s="18">
        <v>12654</v>
      </c>
      <c r="H243" s="18">
        <v>5525</v>
      </c>
      <c r="I243" s="18">
        <v>1</v>
      </c>
      <c r="J243" s="18">
        <v>1</v>
      </c>
      <c r="K243" s="18">
        <v>32</v>
      </c>
      <c r="L243" s="18">
        <v>5</v>
      </c>
      <c r="M243" s="18">
        <v>0</v>
      </c>
      <c r="N243" s="18">
        <v>300</v>
      </c>
      <c r="O243" s="18">
        <v>10</v>
      </c>
      <c r="P243" s="18">
        <v>0</v>
      </c>
      <c r="Q243" s="18">
        <v>0</v>
      </c>
      <c r="R243" s="18">
        <v>0</v>
      </c>
      <c r="S243" s="39" t="s">
        <v>85</v>
      </c>
      <c r="T243" s="39">
        <v>14347</v>
      </c>
      <c r="U243" s="95" t="s">
        <v>4484</v>
      </c>
      <c r="V243" s="39">
        <v>101</v>
      </c>
      <c r="W243" s="18">
        <v>0</v>
      </c>
      <c r="X243" s="18">
        <v>0</v>
      </c>
      <c r="Y243" s="18">
        <v>0</v>
      </c>
      <c r="Z243" s="18">
        <v>0</v>
      </c>
      <c r="AA243" s="18">
        <v>0</v>
      </c>
      <c r="AB243" s="18"/>
      <c r="AC243" s="18">
        <v>1027</v>
      </c>
      <c r="AD243" s="18">
        <v>0</v>
      </c>
      <c r="AE243" s="18">
        <v>0</v>
      </c>
      <c r="AF243" s="18">
        <v>1</v>
      </c>
      <c r="AG243" s="18">
        <v>0</v>
      </c>
      <c r="AH243" s="18">
        <v>0</v>
      </c>
      <c r="AI243" s="18">
        <v>0</v>
      </c>
    </row>
    <row r="244" spans="1:35" x14ac:dyDescent="0.2">
      <c r="A244">
        <v>0</v>
      </c>
      <c r="B244" t="s">
        <v>4062</v>
      </c>
      <c r="E244" s="18">
        <v>14848</v>
      </c>
      <c r="F244" s="18">
        <v>11655</v>
      </c>
      <c r="G244" s="18">
        <v>12655</v>
      </c>
      <c r="H244" s="18">
        <v>5521</v>
      </c>
      <c r="I244" s="18">
        <v>1</v>
      </c>
      <c r="J244" s="18">
        <v>1</v>
      </c>
      <c r="K244" s="18">
        <v>32</v>
      </c>
      <c r="L244" s="18">
        <v>5</v>
      </c>
      <c r="M244" s="18">
        <v>0</v>
      </c>
      <c r="N244" s="18">
        <v>300</v>
      </c>
      <c r="O244" s="18">
        <v>10</v>
      </c>
      <c r="P244" s="18">
        <v>0</v>
      </c>
      <c r="Q244" s="18">
        <v>0</v>
      </c>
      <c r="R244" s="18">
        <v>0</v>
      </c>
      <c r="S244" s="39" t="s">
        <v>85</v>
      </c>
      <c r="T244" s="39">
        <v>14348</v>
      </c>
      <c r="U244" s="95" t="s">
        <v>4502</v>
      </c>
      <c r="V244" s="39">
        <v>101</v>
      </c>
      <c r="W244" s="18">
        <v>0</v>
      </c>
      <c r="X244" s="18">
        <v>0</v>
      </c>
      <c r="Y244" s="18">
        <v>0</v>
      </c>
      <c r="Z244" s="18">
        <v>0</v>
      </c>
      <c r="AA244" s="18">
        <v>0</v>
      </c>
      <c r="AB244" s="18"/>
      <c r="AC244" s="18">
        <v>1027</v>
      </c>
      <c r="AD244" s="18">
        <v>0</v>
      </c>
      <c r="AE244" s="18">
        <v>0</v>
      </c>
      <c r="AF244" s="18">
        <v>1</v>
      </c>
      <c r="AG244" s="18">
        <v>0</v>
      </c>
      <c r="AH244" s="18">
        <v>0</v>
      </c>
      <c r="AI244" s="18">
        <v>0</v>
      </c>
    </row>
    <row r="245" spans="1:35" x14ac:dyDescent="0.2">
      <c r="A245">
        <v>0</v>
      </c>
      <c r="B245" t="s">
        <v>4063</v>
      </c>
      <c r="E245" s="18">
        <v>14849</v>
      </c>
      <c r="F245" s="18">
        <v>11656</v>
      </c>
      <c r="G245" s="18">
        <v>12656</v>
      </c>
      <c r="H245" s="18">
        <v>5529</v>
      </c>
      <c r="I245" s="18">
        <v>1</v>
      </c>
      <c r="J245" s="18">
        <v>1</v>
      </c>
      <c r="K245" s="18">
        <v>32</v>
      </c>
      <c r="L245" s="18">
        <v>5</v>
      </c>
      <c r="M245" s="18">
        <v>0</v>
      </c>
      <c r="N245" s="18">
        <v>300</v>
      </c>
      <c r="O245" s="18">
        <v>10</v>
      </c>
      <c r="P245" s="18">
        <v>0</v>
      </c>
      <c r="Q245" s="18">
        <v>0</v>
      </c>
      <c r="R245" s="18">
        <v>0</v>
      </c>
      <c r="S245" s="39" t="s">
        <v>85</v>
      </c>
      <c r="T245" s="39">
        <v>14349</v>
      </c>
      <c r="U245" s="95" t="s">
        <v>4640</v>
      </c>
      <c r="V245" s="39">
        <v>101</v>
      </c>
      <c r="W245" s="18">
        <v>0</v>
      </c>
      <c r="X245" s="18">
        <v>0</v>
      </c>
      <c r="Y245" s="18">
        <v>0</v>
      </c>
      <c r="Z245" s="18">
        <v>0</v>
      </c>
      <c r="AA245" s="18">
        <v>0</v>
      </c>
      <c r="AB245" s="18"/>
      <c r="AC245" s="18">
        <v>1027</v>
      </c>
      <c r="AD245" s="18">
        <v>0</v>
      </c>
      <c r="AE245" s="18">
        <v>0</v>
      </c>
      <c r="AF245" s="18">
        <v>1</v>
      </c>
      <c r="AG245" s="18">
        <v>0</v>
      </c>
      <c r="AH245" s="18">
        <v>0</v>
      </c>
      <c r="AI245" s="18">
        <v>0</v>
      </c>
    </row>
    <row r="246" spans="1:35" x14ac:dyDescent="0.2">
      <c r="A246">
        <v>0</v>
      </c>
      <c r="B246" t="s">
        <v>4064</v>
      </c>
      <c r="E246" s="18">
        <v>14850</v>
      </c>
      <c r="F246" s="18">
        <v>11657</v>
      </c>
      <c r="G246" s="18">
        <v>12657</v>
      </c>
      <c r="H246" s="18">
        <v>5522</v>
      </c>
      <c r="I246" s="18">
        <v>1</v>
      </c>
      <c r="J246" s="18">
        <v>1</v>
      </c>
      <c r="K246" s="18">
        <v>32</v>
      </c>
      <c r="L246" s="18">
        <v>5</v>
      </c>
      <c r="M246" s="18">
        <v>0</v>
      </c>
      <c r="N246" s="18">
        <v>300</v>
      </c>
      <c r="O246" s="18">
        <v>10</v>
      </c>
      <c r="P246" s="18">
        <v>0</v>
      </c>
      <c r="Q246" s="18">
        <v>0</v>
      </c>
      <c r="R246" s="18">
        <v>0</v>
      </c>
      <c r="S246" s="39" t="s">
        <v>85</v>
      </c>
      <c r="T246" s="39">
        <v>14350</v>
      </c>
      <c r="U246" s="95" t="s">
        <v>4099</v>
      </c>
      <c r="V246" s="39">
        <v>101</v>
      </c>
      <c r="W246" s="18">
        <v>0</v>
      </c>
      <c r="X246" s="18">
        <v>0</v>
      </c>
      <c r="Y246" s="18">
        <v>0</v>
      </c>
      <c r="Z246" s="18">
        <v>0</v>
      </c>
      <c r="AA246" s="18">
        <v>0</v>
      </c>
      <c r="AB246" s="18"/>
      <c r="AC246" s="18">
        <v>1026</v>
      </c>
      <c r="AD246" s="18">
        <v>0</v>
      </c>
      <c r="AE246" s="18">
        <v>0</v>
      </c>
      <c r="AF246" s="18">
        <v>1</v>
      </c>
      <c r="AG246" s="18">
        <v>0</v>
      </c>
      <c r="AH246" s="18">
        <v>0</v>
      </c>
      <c r="AI246" s="18">
        <v>0</v>
      </c>
    </row>
    <row r="247" spans="1:35" x14ac:dyDescent="0.2">
      <c r="A247">
        <v>0</v>
      </c>
      <c r="B247" t="s">
        <v>4065</v>
      </c>
      <c r="E247" s="18">
        <v>14851</v>
      </c>
      <c r="F247" s="18">
        <v>11658</v>
      </c>
      <c r="G247" s="18">
        <v>12658</v>
      </c>
      <c r="H247" s="18">
        <v>5519</v>
      </c>
      <c r="I247" s="18">
        <v>1</v>
      </c>
      <c r="J247" s="18">
        <v>1</v>
      </c>
      <c r="K247" s="18">
        <v>32</v>
      </c>
      <c r="L247" s="18">
        <v>5</v>
      </c>
      <c r="M247" s="18">
        <v>0</v>
      </c>
      <c r="N247" s="18">
        <v>300</v>
      </c>
      <c r="O247" s="18">
        <v>10</v>
      </c>
      <c r="P247" s="18">
        <v>0</v>
      </c>
      <c r="Q247" s="18">
        <v>0</v>
      </c>
      <c r="R247" s="18">
        <v>0</v>
      </c>
      <c r="S247" s="39" t="s">
        <v>85</v>
      </c>
      <c r="T247" s="39">
        <v>14351</v>
      </c>
      <c r="U247" s="95" t="s">
        <v>4351</v>
      </c>
      <c r="V247" s="39">
        <v>101</v>
      </c>
      <c r="W247" s="18">
        <v>0</v>
      </c>
      <c r="X247" s="18">
        <v>0</v>
      </c>
      <c r="Y247" s="18">
        <v>0</v>
      </c>
      <c r="Z247" s="18">
        <v>0</v>
      </c>
      <c r="AA247" s="18">
        <v>0</v>
      </c>
      <c r="AB247" s="18"/>
      <c r="AC247" s="18">
        <v>1026</v>
      </c>
      <c r="AD247" s="18">
        <v>0</v>
      </c>
      <c r="AE247" s="18">
        <v>0</v>
      </c>
      <c r="AF247" s="18">
        <v>3</v>
      </c>
      <c r="AG247" s="18">
        <v>0</v>
      </c>
      <c r="AH247" s="18">
        <v>0</v>
      </c>
      <c r="AI247" s="18">
        <v>0</v>
      </c>
    </row>
    <row r="248" spans="1:35" x14ac:dyDescent="0.2">
      <c r="A248">
        <v>0</v>
      </c>
      <c r="B248" t="s">
        <v>335</v>
      </c>
      <c r="E248" s="18">
        <v>14852</v>
      </c>
      <c r="F248" s="18">
        <v>11659</v>
      </c>
      <c r="G248" s="18">
        <v>12659</v>
      </c>
      <c r="H248" s="18">
        <v>5520</v>
      </c>
      <c r="I248" s="18">
        <v>1</v>
      </c>
      <c r="J248" s="18">
        <v>1</v>
      </c>
      <c r="K248" s="18">
        <v>32</v>
      </c>
      <c r="L248" s="18">
        <v>5</v>
      </c>
      <c r="M248" s="18">
        <v>0</v>
      </c>
      <c r="N248" s="18">
        <v>300</v>
      </c>
      <c r="O248" s="18">
        <v>10</v>
      </c>
      <c r="P248" s="18">
        <v>0</v>
      </c>
      <c r="Q248" s="18">
        <v>0</v>
      </c>
      <c r="R248" s="18">
        <v>0</v>
      </c>
      <c r="S248" s="39" t="s">
        <v>85</v>
      </c>
      <c r="T248" s="39">
        <v>14352</v>
      </c>
      <c r="U248" s="95" t="s">
        <v>3298</v>
      </c>
      <c r="V248" s="39">
        <v>101</v>
      </c>
      <c r="W248" s="18">
        <v>0</v>
      </c>
      <c r="X248" s="18">
        <v>0</v>
      </c>
      <c r="Y248" s="18">
        <v>0</v>
      </c>
      <c r="Z248" s="18">
        <v>0</v>
      </c>
      <c r="AA248" s="18">
        <v>0</v>
      </c>
      <c r="AB248" s="18"/>
      <c r="AC248" s="18">
        <v>1027</v>
      </c>
      <c r="AD248" s="18">
        <v>0</v>
      </c>
      <c r="AE248" s="18">
        <v>0</v>
      </c>
      <c r="AF248" s="18">
        <v>1</v>
      </c>
      <c r="AG248" s="18">
        <v>0</v>
      </c>
      <c r="AH248" s="18">
        <v>0</v>
      </c>
      <c r="AI248" s="18">
        <v>0</v>
      </c>
    </row>
    <row r="249" spans="1:35" x14ac:dyDescent="0.2">
      <c r="A249">
        <v>1</v>
      </c>
      <c r="B249" t="s">
        <v>4066</v>
      </c>
      <c r="C249" t="s">
        <v>2734</v>
      </c>
      <c r="E249" s="18">
        <v>14853</v>
      </c>
      <c r="F249" s="18">
        <v>11660</v>
      </c>
      <c r="G249" s="18">
        <v>12660</v>
      </c>
      <c r="H249" s="18">
        <v>5511</v>
      </c>
      <c r="I249" s="18">
        <v>1</v>
      </c>
      <c r="J249" s="18">
        <v>1</v>
      </c>
      <c r="K249" s="18">
        <v>31</v>
      </c>
      <c r="L249" s="18">
        <v>5</v>
      </c>
      <c r="M249" s="18">
        <v>0</v>
      </c>
      <c r="N249" s="18">
        <v>300</v>
      </c>
      <c r="O249" s="18">
        <v>10</v>
      </c>
      <c r="P249" s="18">
        <v>5</v>
      </c>
      <c r="Q249" s="18">
        <v>5</v>
      </c>
      <c r="R249" s="18">
        <v>0</v>
      </c>
      <c r="S249" s="39" t="s">
        <v>85</v>
      </c>
      <c r="T249" s="39" t="s">
        <v>2818</v>
      </c>
      <c r="U249" s="95" t="s">
        <v>3272</v>
      </c>
      <c r="V249" s="39">
        <v>101</v>
      </c>
      <c r="W249" s="18">
        <v>0</v>
      </c>
      <c r="X249" s="18">
        <v>0</v>
      </c>
      <c r="Y249" s="18">
        <v>0</v>
      </c>
      <c r="Z249" s="18">
        <v>0</v>
      </c>
      <c r="AA249" s="18">
        <v>0</v>
      </c>
      <c r="AB249" s="18"/>
      <c r="AC249" s="18">
        <v>1026</v>
      </c>
      <c r="AD249" s="18">
        <v>0</v>
      </c>
      <c r="AE249" s="18">
        <v>0</v>
      </c>
      <c r="AF249" s="18">
        <v>1</v>
      </c>
      <c r="AG249" s="18">
        <v>0</v>
      </c>
      <c r="AH249" s="18">
        <v>0</v>
      </c>
      <c r="AI249" s="18">
        <v>0</v>
      </c>
    </row>
    <row r="250" spans="1:35" x14ac:dyDescent="0.2">
      <c r="A250">
        <v>0</v>
      </c>
      <c r="B250" t="s">
        <v>4067</v>
      </c>
      <c r="C250" t="s">
        <v>344</v>
      </c>
      <c r="E250" s="18">
        <v>14854</v>
      </c>
      <c r="F250" s="18">
        <v>11661</v>
      </c>
      <c r="G250" s="18">
        <v>12661</v>
      </c>
      <c r="H250" s="18">
        <v>5502</v>
      </c>
      <c r="I250" s="18">
        <v>1</v>
      </c>
      <c r="J250" s="18">
        <v>1</v>
      </c>
      <c r="K250" s="18">
        <v>31</v>
      </c>
      <c r="L250" s="18">
        <v>5</v>
      </c>
      <c r="M250" s="18">
        <v>0</v>
      </c>
      <c r="N250" s="18">
        <v>300</v>
      </c>
      <c r="O250" s="18">
        <v>10</v>
      </c>
      <c r="P250" s="18">
        <v>0</v>
      </c>
      <c r="Q250" s="18">
        <v>0</v>
      </c>
      <c r="R250" s="18">
        <v>0</v>
      </c>
      <c r="S250" s="39" t="s">
        <v>85</v>
      </c>
      <c r="T250" s="39">
        <v>14354</v>
      </c>
      <c r="U250" s="95" t="s">
        <v>4100</v>
      </c>
      <c r="V250" s="39">
        <v>101</v>
      </c>
      <c r="W250" s="18">
        <v>0</v>
      </c>
      <c r="X250" s="18">
        <v>0</v>
      </c>
      <c r="Y250" s="18">
        <v>0</v>
      </c>
      <c r="Z250" s="18">
        <v>0</v>
      </c>
      <c r="AA250" s="18">
        <v>0</v>
      </c>
      <c r="AB250" s="18"/>
      <c r="AC250" s="18">
        <v>1026</v>
      </c>
      <c r="AD250" s="18">
        <v>0</v>
      </c>
      <c r="AE250" s="18">
        <v>0</v>
      </c>
      <c r="AF250" s="18">
        <v>1</v>
      </c>
      <c r="AG250" s="18">
        <v>0</v>
      </c>
      <c r="AH250" s="18">
        <v>0</v>
      </c>
      <c r="AI250" s="18">
        <v>0</v>
      </c>
    </row>
    <row r="251" spans="1:35" x14ac:dyDescent="0.2">
      <c r="A251">
        <v>0</v>
      </c>
      <c r="B251" t="s">
        <v>4068</v>
      </c>
      <c r="E251" s="18">
        <v>14855</v>
      </c>
      <c r="F251" s="18">
        <v>11662</v>
      </c>
      <c r="G251" s="18">
        <v>12662</v>
      </c>
      <c r="H251" s="18">
        <v>5508</v>
      </c>
      <c r="I251" s="18">
        <v>1</v>
      </c>
      <c r="J251" s="18">
        <v>1</v>
      </c>
      <c r="K251" s="18">
        <v>31</v>
      </c>
      <c r="L251" s="18">
        <v>5</v>
      </c>
      <c r="M251" s="18">
        <v>0</v>
      </c>
      <c r="N251" s="18">
        <v>300</v>
      </c>
      <c r="O251" s="18">
        <v>10</v>
      </c>
      <c r="P251" s="18">
        <v>0</v>
      </c>
      <c r="Q251" s="18">
        <v>0</v>
      </c>
      <c r="R251" s="18">
        <v>0</v>
      </c>
      <c r="S251" s="39" t="s">
        <v>85</v>
      </c>
      <c r="T251" s="39">
        <v>14355</v>
      </c>
      <c r="U251" s="95" t="s">
        <v>4485</v>
      </c>
      <c r="V251" s="39">
        <v>101</v>
      </c>
      <c r="W251" s="18">
        <v>0</v>
      </c>
      <c r="X251" s="18">
        <v>0</v>
      </c>
      <c r="Y251" s="18">
        <v>0</v>
      </c>
      <c r="Z251" s="18">
        <v>0</v>
      </c>
      <c r="AA251" s="18">
        <v>0</v>
      </c>
      <c r="AB251" s="18"/>
      <c r="AC251" s="18">
        <v>1026</v>
      </c>
      <c r="AD251" s="18">
        <v>0</v>
      </c>
      <c r="AE251" s="18">
        <v>0</v>
      </c>
      <c r="AF251" s="18">
        <v>1</v>
      </c>
      <c r="AG251" s="18">
        <v>0</v>
      </c>
      <c r="AH251" s="18">
        <v>0</v>
      </c>
      <c r="AI251" s="18">
        <v>0</v>
      </c>
    </row>
    <row r="252" spans="1:35" x14ac:dyDescent="0.2">
      <c r="A252">
        <v>0</v>
      </c>
      <c r="B252" t="s">
        <v>337</v>
      </c>
      <c r="D252" t="s">
        <v>4117</v>
      </c>
      <c r="E252" s="18">
        <v>14856</v>
      </c>
      <c r="F252" s="18">
        <v>11663</v>
      </c>
      <c r="G252" s="18">
        <v>12663</v>
      </c>
      <c r="H252" s="18">
        <v>5507</v>
      </c>
      <c r="I252" s="18">
        <v>1</v>
      </c>
      <c r="J252" s="18">
        <v>1</v>
      </c>
      <c r="K252" s="18">
        <v>31</v>
      </c>
      <c r="L252" s="18">
        <v>5</v>
      </c>
      <c r="M252" s="18">
        <v>0</v>
      </c>
      <c r="N252" s="18">
        <v>300</v>
      </c>
      <c r="O252" s="18">
        <v>0</v>
      </c>
      <c r="P252" s="18">
        <v>0</v>
      </c>
      <c r="Q252" s="18">
        <v>0</v>
      </c>
      <c r="R252" s="18">
        <v>0</v>
      </c>
      <c r="S252" s="39" t="s">
        <v>85</v>
      </c>
      <c r="T252" s="39">
        <v>14356</v>
      </c>
      <c r="U252" s="95" t="s">
        <v>4159</v>
      </c>
      <c r="V252" s="39">
        <v>101</v>
      </c>
      <c r="W252" s="18">
        <v>0</v>
      </c>
      <c r="X252" s="18">
        <v>0</v>
      </c>
      <c r="Y252" s="18">
        <v>0</v>
      </c>
      <c r="Z252" s="18">
        <v>0</v>
      </c>
      <c r="AA252" s="18">
        <v>0</v>
      </c>
      <c r="AB252" s="18"/>
      <c r="AC252" s="18">
        <v>1026</v>
      </c>
      <c r="AD252" s="18">
        <v>0</v>
      </c>
      <c r="AE252" s="18">
        <v>0</v>
      </c>
      <c r="AF252" s="18">
        <v>0</v>
      </c>
      <c r="AG252" s="18">
        <v>0</v>
      </c>
      <c r="AH252" s="18">
        <v>1</v>
      </c>
      <c r="AI252" s="18">
        <v>0</v>
      </c>
    </row>
    <row r="253" spans="1:35" x14ac:dyDescent="0.2">
      <c r="A253">
        <v>0</v>
      </c>
      <c r="B253" t="s">
        <v>345</v>
      </c>
      <c r="E253" s="18">
        <v>14857</v>
      </c>
      <c r="F253" s="18">
        <v>11664</v>
      </c>
      <c r="G253" s="18">
        <v>12664</v>
      </c>
      <c r="H253" s="18">
        <v>5510</v>
      </c>
      <c r="I253" s="18">
        <v>1</v>
      </c>
      <c r="J253" s="18">
        <v>1</v>
      </c>
      <c r="K253" s="18">
        <v>31</v>
      </c>
      <c r="L253" s="18">
        <v>5</v>
      </c>
      <c r="M253" s="18">
        <v>0</v>
      </c>
      <c r="N253" s="18">
        <v>300</v>
      </c>
      <c r="O253" s="18">
        <v>10</v>
      </c>
      <c r="P253" s="18">
        <v>0</v>
      </c>
      <c r="Q253" s="18">
        <v>0</v>
      </c>
      <c r="R253" s="18">
        <v>0</v>
      </c>
      <c r="S253" s="39" t="s">
        <v>85</v>
      </c>
      <c r="T253" s="39">
        <v>14357</v>
      </c>
      <c r="U253" s="95" t="s">
        <v>4295</v>
      </c>
      <c r="V253" s="39">
        <v>101</v>
      </c>
      <c r="W253" s="18">
        <v>0</v>
      </c>
      <c r="X253" s="18">
        <v>0</v>
      </c>
      <c r="Y253" s="18">
        <v>0</v>
      </c>
      <c r="Z253" s="18">
        <v>0</v>
      </c>
      <c r="AA253" s="18">
        <v>0</v>
      </c>
      <c r="AB253" s="18"/>
      <c r="AC253" s="18">
        <v>1026</v>
      </c>
      <c r="AD253" s="18">
        <v>0</v>
      </c>
      <c r="AE253" s="18">
        <v>0</v>
      </c>
      <c r="AF253" s="18">
        <v>1</v>
      </c>
      <c r="AG253" s="18">
        <v>0</v>
      </c>
      <c r="AH253" s="18">
        <v>0</v>
      </c>
      <c r="AI253" s="18">
        <v>0</v>
      </c>
    </row>
    <row r="254" spans="1:35" x14ac:dyDescent="0.2">
      <c r="A254">
        <v>0</v>
      </c>
      <c r="B254" t="s">
        <v>4069</v>
      </c>
      <c r="E254" s="18">
        <v>14858</v>
      </c>
      <c r="F254" s="18">
        <v>11665</v>
      </c>
      <c r="G254" s="18">
        <v>12665</v>
      </c>
      <c r="H254" s="18">
        <v>5503</v>
      </c>
      <c r="I254" s="18">
        <v>1</v>
      </c>
      <c r="J254" s="18">
        <v>1</v>
      </c>
      <c r="K254" s="18">
        <v>31</v>
      </c>
      <c r="L254" s="18">
        <v>5</v>
      </c>
      <c r="M254" s="18">
        <v>0</v>
      </c>
      <c r="N254" s="18">
        <v>300</v>
      </c>
      <c r="O254" s="18">
        <v>10</v>
      </c>
      <c r="P254" s="18">
        <v>0</v>
      </c>
      <c r="Q254" s="18">
        <v>0</v>
      </c>
      <c r="R254" s="18">
        <v>0</v>
      </c>
      <c r="S254" s="39" t="s">
        <v>85</v>
      </c>
      <c r="T254" s="39">
        <v>14358</v>
      </c>
      <c r="U254" s="95" t="s">
        <v>4343</v>
      </c>
      <c r="V254" s="39">
        <v>101</v>
      </c>
      <c r="W254" s="18">
        <v>0</v>
      </c>
      <c r="X254" s="18">
        <v>0</v>
      </c>
      <c r="Y254" s="18">
        <v>0</v>
      </c>
      <c r="Z254" s="18">
        <v>0</v>
      </c>
      <c r="AA254" s="18">
        <v>0</v>
      </c>
      <c r="AB254" s="18"/>
      <c r="AC254" s="18">
        <v>1026</v>
      </c>
      <c r="AD254" s="18">
        <v>0</v>
      </c>
      <c r="AE254" s="18">
        <v>0</v>
      </c>
      <c r="AF254" s="18">
        <v>1</v>
      </c>
      <c r="AG254" s="18">
        <v>0</v>
      </c>
      <c r="AH254" s="18">
        <v>0</v>
      </c>
      <c r="AI254" s="18">
        <v>0</v>
      </c>
    </row>
    <row r="255" spans="1:35" x14ac:dyDescent="0.2">
      <c r="A255">
        <v>1</v>
      </c>
      <c r="B255" t="s">
        <v>4070</v>
      </c>
      <c r="C255" t="s">
        <v>2735</v>
      </c>
      <c r="D255" t="s">
        <v>3615</v>
      </c>
      <c r="E255" s="18">
        <v>14859</v>
      </c>
      <c r="F255" s="18">
        <v>11666</v>
      </c>
      <c r="G255" s="18">
        <v>12666</v>
      </c>
      <c r="H255" s="18">
        <v>5506</v>
      </c>
      <c r="I255" s="18">
        <v>1</v>
      </c>
      <c r="J255" s="18">
        <v>1</v>
      </c>
      <c r="K255" s="18">
        <v>31</v>
      </c>
      <c r="L255" s="18">
        <v>5</v>
      </c>
      <c r="M255" s="18">
        <v>0</v>
      </c>
      <c r="N255" s="18">
        <v>300</v>
      </c>
      <c r="O255" s="18">
        <v>0</v>
      </c>
      <c r="P255" s="18">
        <v>0</v>
      </c>
      <c r="Q255" s="18">
        <v>0</v>
      </c>
      <c r="R255" s="18">
        <v>0</v>
      </c>
      <c r="S255" s="39" t="s">
        <v>85</v>
      </c>
      <c r="T255" s="39" t="s">
        <v>2819</v>
      </c>
      <c r="U255" s="95" t="s">
        <v>3273</v>
      </c>
      <c r="V255" s="39">
        <v>101</v>
      </c>
      <c r="W255" s="18">
        <v>0</v>
      </c>
      <c r="X255" s="18">
        <v>0</v>
      </c>
      <c r="Y255" s="18">
        <v>0</v>
      </c>
      <c r="Z255" s="18">
        <v>0</v>
      </c>
      <c r="AA255" s="18">
        <v>0</v>
      </c>
      <c r="AB255" s="18"/>
      <c r="AC255" s="18">
        <v>1026</v>
      </c>
      <c r="AD255" s="18">
        <v>0</v>
      </c>
      <c r="AE255" s="18">
        <v>0</v>
      </c>
      <c r="AF255" s="18">
        <v>0</v>
      </c>
      <c r="AG255" s="18">
        <v>1</v>
      </c>
      <c r="AH255" s="18">
        <v>1</v>
      </c>
      <c r="AI255" s="18">
        <v>0</v>
      </c>
    </row>
    <row r="256" spans="1:35" x14ac:dyDescent="0.2">
      <c r="A256">
        <v>0</v>
      </c>
      <c r="B256" t="s">
        <v>347</v>
      </c>
      <c r="E256" s="18">
        <v>14860</v>
      </c>
      <c r="F256" s="18">
        <v>11667</v>
      </c>
      <c r="G256" s="18">
        <v>12667</v>
      </c>
      <c r="H256" s="18">
        <v>5502</v>
      </c>
      <c r="I256" s="18">
        <v>1</v>
      </c>
      <c r="J256" s="18">
        <v>1</v>
      </c>
      <c r="K256" s="18">
        <v>31</v>
      </c>
      <c r="L256" s="18">
        <v>5</v>
      </c>
      <c r="M256" s="18">
        <v>0</v>
      </c>
      <c r="N256" s="18">
        <v>300</v>
      </c>
      <c r="O256" s="18">
        <v>10</v>
      </c>
      <c r="P256" s="18">
        <v>0</v>
      </c>
      <c r="Q256" s="18">
        <v>0</v>
      </c>
      <c r="R256" s="18">
        <v>0</v>
      </c>
      <c r="S256" s="39" t="s">
        <v>85</v>
      </c>
      <c r="T256" s="39">
        <v>14360</v>
      </c>
      <c r="U256" s="95" t="s">
        <v>4352</v>
      </c>
      <c r="V256" s="39">
        <v>101</v>
      </c>
      <c r="W256" s="18">
        <v>0</v>
      </c>
      <c r="X256" s="18">
        <v>0</v>
      </c>
      <c r="Y256" s="18">
        <v>0</v>
      </c>
      <c r="Z256" s="18">
        <v>0</v>
      </c>
      <c r="AA256" s="18">
        <v>0</v>
      </c>
      <c r="AB256" s="18"/>
      <c r="AC256" s="18">
        <v>1026</v>
      </c>
      <c r="AD256" s="18">
        <v>0</v>
      </c>
      <c r="AE256" s="18">
        <v>0</v>
      </c>
      <c r="AF256" s="18">
        <v>5</v>
      </c>
      <c r="AG256" s="18">
        <v>0</v>
      </c>
      <c r="AH256" s="18">
        <v>0</v>
      </c>
      <c r="AI256" s="18">
        <v>0</v>
      </c>
    </row>
    <row r="257" spans="1:35" x14ac:dyDescent="0.2">
      <c r="A257">
        <v>0</v>
      </c>
      <c r="B257" t="s">
        <v>348</v>
      </c>
      <c r="E257" s="18">
        <v>14861</v>
      </c>
      <c r="F257" s="18">
        <v>11668</v>
      </c>
      <c r="G257" s="18">
        <v>12668</v>
      </c>
      <c r="H257" s="18">
        <v>5514</v>
      </c>
      <c r="I257" s="18">
        <v>1</v>
      </c>
      <c r="J257" s="18">
        <v>1</v>
      </c>
      <c r="K257" s="18">
        <v>31</v>
      </c>
      <c r="L257" s="18">
        <v>5</v>
      </c>
      <c r="M257" s="18">
        <v>0</v>
      </c>
      <c r="N257" s="18">
        <v>300</v>
      </c>
      <c r="O257" s="18">
        <v>10</v>
      </c>
      <c r="P257" s="18">
        <v>0</v>
      </c>
      <c r="Q257" s="18">
        <v>0</v>
      </c>
      <c r="R257" s="18">
        <v>0</v>
      </c>
      <c r="S257" s="39" t="s">
        <v>85</v>
      </c>
      <c r="T257" s="39">
        <v>14361</v>
      </c>
      <c r="U257" s="95" t="s">
        <v>3299</v>
      </c>
      <c r="V257" s="39">
        <v>101</v>
      </c>
      <c r="W257" s="18">
        <v>0</v>
      </c>
      <c r="X257" s="18">
        <v>0</v>
      </c>
      <c r="Y257" s="18">
        <v>0</v>
      </c>
      <c r="Z257" s="18">
        <v>0</v>
      </c>
      <c r="AA257" s="18">
        <v>0</v>
      </c>
      <c r="AB257" s="18"/>
      <c r="AC257" s="18">
        <v>1026</v>
      </c>
      <c r="AD257" s="18">
        <v>0</v>
      </c>
      <c r="AE257" s="18">
        <v>0</v>
      </c>
      <c r="AF257" s="18">
        <v>1</v>
      </c>
      <c r="AG257" s="18">
        <v>0</v>
      </c>
      <c r="AH257" s="18">
        <v>0</v>
      </c>
      <c r="AI257" s="18">
        <v>0</v>
      </c>
    </row>
    <row r="258" spans="1:35" x14ac:dyDescent="0.2">
      <c r="A258">
        <v>0</v>
      </c>
      <c r="B258" t="s">
        <v>4071</v>
      </c>
      <c r="E258" s="18">
        <v>14862</v>
      </c>
      <c r="F258" s="18">
        <v>11669</v>
      </c>
      <c r="G258" s="18">
        <v>12669</v>
      </c>
      <c r="H258" s="18">
        <v>5512</v>
      </c>
      <c r="I258" s="18">
        <v>1</v>
      </c>
      <c r="J258" s="18">
        <v>1</v>
      </c>
      <c r="K258" s="18">
        <v>31</v>
      </c>
      <c r="L258" s="18">
        <v>5</v>
      </c>
      <c r="M258" s="18">
        <v>0</v>
      </c>
      <c r="N258" s="18">
        <v>300</v>
      </c>
      <c r="O258" s="18">
        <v>10</v>
      </c>
      <c r="P258" s="18">
        <v>0</v>
      </c>
      <c r="Q258" s="18">
        <v>0</v>
      </c>
      <c r="R258" s="18">
        <v>0</v>
      </c>
      <c r="S258" s="39" t="s">
        <v>85</v>
      </c>
      <c r="T258" s="39">
        <v>14362</v>
      </c>
      <c r="U258" s="95" t="s">
        <v>3300</v>
      </c>
      <c r="V258" s="39">
        <v>101</v>
      </c>
      <c r="W258" s="18">
        <v>0</v>
      </c>
      <c r="X258" s="18">
        <v>0</v>
      </c>
      <c r="Y258" s="18">
        <v>0</v>
      </c>
      <c r="Z258" s="18">
        <v>0</v>
      </c>
      <c r="AA258" s="18">
        <v>0</v>
      </c>
      <c r="AB258" s="18"/>
      <c r="AC258" s="18">
        <v>1026</v>
      </c>
      <c r="AD258" s="18">
        <v>0</v>
      </c>
      <c r="AE258" s="18">
        <v>0</v>
      </c>
      <c r="AF258" s="18">
        <v>2</v>
      </c>
      <c r="AG258" s="18">
        <v>0</v>
      </c>
      <c r="AH258" s="18">
        <v>0</v>
      </c>
      <c r="AI258" s="18">
        <v>0</v>
      </c>
    </row>
    <row r="259" spans="1:35" x14ac:dyDescent="0.2">
      <c r="A259">
        <v>0</v>
      </c>
      <c r="B259" t="s">
        <v>4072</v>
      </c>
      <c r="E259" s="18">
        <v>14863</v>
      </c>
      <c r="F259" s="18">
        <v>11670</v>
      </c>
      <c r="G259" s="18">
        <v>12670</v>
      </c>
      <c r="H259" s="18">
        <v>5505</v>
      </c>
      <c r="I259" s="18">
        <v>1</v>
      </c>
      <c r="J259" s="18">
        <v>1</v>
      </c>
      <c r="K259" s="18">
        <v>31</v>
      </c>
      <c r="L259" s="18">
        <v>5</v>
      </c>
      <c r="M259" s="18">
        <v>0</v>
      </c>
      <c r="N259" s="18">
        <v>300</v>
      </c>
      <c r="O259" s="18">
        <v>10</v>
      </c>
      <c r="P259" s="18">
        <v>0</v>
      </c>
      <c r="Q259" s="18">
        <v>0</v>
      </c>
      <c r="R259" s="18">
        <v>0</v>
      </c>
      <c r="S259" s="39" t="s">
        <v>85</v>
      </c>
      <c r="T259" s="39">
        <v>14363</v>
      </c>
      <c r="U259" s="95" t="s">
        <v>4121</v>
      </c>
      <c r="V259" s="39">
        <v>101</v>
      </c>
      <c r="W259" s="18">
        <v>0</v>
      </c>
      <c r="X259" s="18">
        <v>0</v>
      </c>
      <c r="Y259" s="18">
        <v>0</v>
      </c>
      <c r="Z259" s="18">
        <v>0</v>
      </c>
      <c r="AA259" s="18">
        <v>0</v>
      </c>
      <c r="AB259" s="18"/>
      <c r="AC259" s="18">
        <v>1026</v>
      </c>
      <c r="AD259" s="18">
        <v>0</v>
      </c>
      <c r="AE259" s="18">
        <v>0</v>
      </c>
      <c r="AF259" s="18">
        <v>1</v>
      </c>
      <c r="AG259" s="18">
        <v>0</v>
      </c>
      <c r="AH259" s="18">
        <v>0</v>
      </c>
      <c r="AI259" s="18">
        <v>0</v>
      </c>
    </row>
    <row r="260" spans="1:35" x14ac:dyDescent="0.2">
      <c r="A260">
        <v>0</v>
      </c>
      <c r="B260" t="s">
        <v>351</v>
      </c>
      <c r="E260" s="18">
        <v>14864</v>
      </c>
      <c r="F260" s="18">
        <v>11671</v>
      </c>
      <c r="G260" s="18">
        <v>12671</v>
      </c>
      <c r="H260" s="18">
        <v>5504</v>
      </c>
      <c r="I260" s="18">
        <v>1</v>
      </c>
      <c r="J260" s="18">
        <v>1</v>
      </c>
      <c r="K260" s="18">
        <v>31</v>
      </c>
      <c r="L260" s="18">
        <v>5</v>
      </c>
      <c r="M260" s="18">
        <v>0</v>
      </c>
      <c r="N260" s="18">
        <v>300</v>
      </c>
      <c r="O260" s="18">
        <v>10</v>
      </c>
      <c r="P260" s="18">
        <v>0</v>
      </c>
      <c r="Q260" s="18">
        <v>0</v>
      </c>
      <c r="R260" s="18">
        <v>0</v>
      </c>
      <c r="S260" s="39" t="s">
        <v>85</v>
      </c>
      <c r="T260" s="39">
        <v>14364</v>
      </c>
      <c r="U260" s="95" t="s">
        <v>4136</v>
      </c>
      <c r="V260" s="39">
        <v>101</v>
      </c>
      <c r="W260" s="18">
        <v>0</v>
      </c>
      <c r="X260" s="18">
        <v>0</v>
      </c>
      <c r="Y260" s="18">
        <v>0</v>
      </c>
      <c r="Z260" s="18">
        <v>0</v>
      </c>
      <c r="AA260" s="18">
        <v>0</v>
      </c>
      <c r="AB260" s="18"/>
      <c r="AC260" s="18">
        <v>1026</v>
      </c>
      <c r="AD260" s="18">
        <v>0</v>
      </c>
      <c r="AE260" s="18">
        <v>0</v>
      </c>
      <c r="AF260" s="18">
        <v>3</v>
      </c>
      <c r="AG260" s="18">
        <v>0</v>
      </c>
      <c r="AH260" s="18">
        <v>0</v>
      </c>
      <c r="AI260" s="18">
        <v>0</v>
      </c>
    </row>
    <row r="261" spans="1:35" x14ac:dyDescent="0.2">
      <c r="A261">
        <v>0</v>
      </c>
      <c r="B261" t="s">
        <v>3707</v>
      </c>
      <c r="E261" s="18">
        <v>14865</v>
      </c>
      <c r="F261" s="18">
        <v>11672</v>
      </c>
      <c r="G261" s="18">
        <v>12672</v>
      </c>
      <c r="H261" s="18">
        <v>5503</v>
      </c>
      <c r="I261" s="18">
        <v>1</v>
      </c>
      <c r="J261" s="18">
        <v>1</v>
      </c>
      <c r="K261" s="18">
        <v>31</v>
      </c>
      <c r="L261" s="18">
        <v>5</v>
      </c>
      <c r="M261" s="18">
        <v>0</v>
      </c>
      <c r="N261" s="18">
        <v>300</v>
      </c>
      <c r="O261" s="18">
        <v>10</v>
      </c>
      <c r="P261" s="18">
        <v>0</v>
      </c>
      <c r="Q261" s="18">
        <v>0</v>
      </c>
      <c r="R261" s="18">
        <v>0</v>
      </c>
      <c r="S261" s="39" t="s">
        <v>85</v>
      </c>
      <c r="T261" s="39" t="s">
        <v>352</v>
      </c>
      <c r="U261" s="95" t="s">
        <v>4291</v>
      </c>
      <c r="V261" s="39">
        <v>101</v>
      </c>
      <c r="W261" s="18">
        <v>0</v>
      </c>
      <c r="X261" s="18">
        <v>0</v>
      </c>
      <c r="Y261" s="18">
        <v>0</v>
      </c>
      <c r="Z261" s="18">
        <v>0</v>
      </c>
      <c r="AA261" s="18">
        <v>0</v>
      </c>
      <c r="AB261" s="18"/>
      <c r="AC261" s="18">
        <v>1026</v>
      </c>
      <c r="AD261" s="18">
        <v>0</v>
      </c>
      <c r="AE261" s="18">
        <v>0</v>
      </c>
      <c r="AF261" s="18">
        <v>1</v>
      </c>
      <c r="AG261" s="18">
        <v>0</v>
      </c>
      <c r="AH261" s="18">
        <v>0</v>
      </c>
      <c r="AI261" s="18">
        <v>0</v>
      </c>
    </row>
    <row r="262" spans="1:35" x14ac:dyDescent="0.2">
      <c r="A262">
        <v>2</v>
      </c>
      <c r="B262" t="s">
        <v>3942</v>
      </c>
      <c r="E262" s="18">
        <v>14866</v>
      </c>
      <c r="F262" s="18">
        <v>11673</v>
      </c>
      <c r="G262" s="18">
        <v>12673</v>
      </c>
      <c r="H262" s="18">
        <v>5705</v>
      </c>
      <c r="I262" s="18">
        <v>2</v>
      </c>
      <c r="J262" s="18">
        <v>1</v>
      </c>
      <c r="K262" s="18">
        <v>25</v>
      </c>
      <c r="L262" s="18">
        <v>5</v>
      </c>
      <c r="M262" s="18">
        <v>0</v>
      </c>
      <c r="N262" s="18">
        <v>300</v>
      </c>
      <c r="O262" s="18">
        <v>10</v>
      </c>
      <c r="P262" s="18">
        <v>0</v>
      </c>
      <c r="Q262" s="18">
        <v>0</v>
      </c>
      <c r="R262" s="18">
        <v>0</v>
      </c>
      <c r="S262" s="39" t="s">
        <v>2802</v>
      </c>
      <c r="T262" s="39" t="s">
        <v>3936</v>
      </c>
      <c r="U262" s="95" t="s">
        <v>3946</v>
      </c>
      <c r="V262" s="39">
        <v>101</v>
      </c>
      <c r="W262" s="18">
        <v>0</v>
      </c>
      <c r="X262" s="18">
        <v>0</v>
      </c>
      <c r="Y262" s="18">
        <v>0</v>
      </c>
      <c r="Z262" s="18">
        <v>0</v>
      </c>
      <c r="AA262" s="18">
        <v>0</v>
      </c>
      <c r="AB262" s="18"/>
      <c r="AC262" s="18">
        <v>1024</v>
      </c>
      <c r="AD262" s="18">
        <v>0</v>
      </c>
      <c r="AE262" s="18">
        <v>0</v>
      </c>
      <c r="AF262" s="18">
        <v>2</v>
      </c>
      <c r="AG262" s="18">
        <v>0</v>
      </c>
      <c r="AH262" s="18">
        <v>0</v>
      </c>
      <c r="AI262" s="18">
        <v>0</v>
      </c>
    </row>
    <row r="263" spans="1:35" x14ac:dyDescent="0.2">
      <c r="A263">
        <v>2</v>
      </c>
      <c r="B263" t="s">
        <v>3941</v>
      </c>
      <c r="E263" s="18">
        <v>14867</v>
      </c>
      <c r="F263" s="18">
        <v>11674</v>
      </c>
      <c r="G263" s="18">
        <v>12674</v>
      </c>
      <c r="H263" s="18">
        <v>5707</v>
      </c>
      <c r="I263" s="18">
        <v>2</v>
      </c>
      <c r="J263" s="18">
        <v>1</v>
      </c>
      <c r="K263" s="18">
        <v>25</v>
      </c>
      <c r="L263" s="18">
        <v>5</v>
      </c>
      <c r="M263" s="18">
        <v>0</v>
      </c>
      <c r="N263" s="18">
        <v>300</v>
      </c>
      <c r="O263" s="18">
        <v>10</v>
      </c>
      <c r="P263" s="18">
        <v>0</v>
      </c>
      <c r="Q263" s="18">
        <v>0</v>
      </c>
      <c r="R263" s="18">
        <v>0</v>
      </c>
      <c r="S263" s="39" t="s">
        <v>2802</v>
      </c>
      <c r="T263" s="39" t="s">
        <v>3937</v>
      </c>
      <c r="U263" s="95" t="s">
        <v>3947</v>
      </c>
      <c r="V263" s="39">
        <v>101</v>
      </c>
      <c r="W263" s="18">
        <v>0</v>
      </c>
      <c r="X263" s="18">
        <v>0</v>
      </c>
      <c r="Y263" s="18">
        <v>0</v>
      </c>
      <c r="Z263" s="18">
        <v>0</v>
      </c>
      <c r="AA263" s="18">
        <v>0</v>
      </c>
      <c r="AB263" s="18"/>
      <c r="AC263" s="18">
        <v>1024</v>
      </c>
      <c r="AD263" s="18">
        <v>0</v>
      </c>
      <c r="AE263" s="18">
        <v>0</v>
      </c>
      <c r="AF263" s="18">
        <v>2</v>
      </c>
      <c r="AG263" s="18">
        <v>0</v>
      </c>
      <c r="AH263" s="18">
        <v>0</v>
      </c>
      <c r="AI263" s="18">
        <v>0</v>
      </c>
    </row>
    <row r="264" spans="1:35" x14ac:dyDescent="0.2">
      <c r="A264">
        <v>2</v>
      </c>
      <c r="B264" t="s">
        <v>3943</v>
      </c>
      <c r="E264" s="18">
        <v>14868</v>
      </c>
      <c r="F264" s="18">
        <v>11675</v>
      </c>
      <c r="G264" s="18">
        <v>12675</v>
      </c>
      <c r="H264" s="18">
        <v>5711</v>
      </c>
      <c r="I264" s="18">
        <v>2</v>
      </c>
      <c r="J264" s="18">
        <v>1</v>
      </c>
      <c r="K264" s="18">
        <v>25</v>
      </c>
      <c r="L264" s="18">
        <v>5</v>
      </c>
      <c r="M264" s="18">
        <v>0</v>
      </c>
      <c r="N264" s="18">
        <v>300</v>
      </c>
      <c r="O264" s="18">
        <v>10</v>
      </c>
      <c r="P264" s="18">
        <v>0</v>
      </c>
      <c r="Q264" s="18">
        <v>0</v>
      </c>
      <c r="R264" s="18">
        <v>0</v>
      </c>
      <c r="S264" s="39" t="s">
        <v>2802</v>
      </c>
      <c r="T264" s="39" t="s">
        <v>3938</v>
      </c>
      <c r="U264" s="95" t="s">
        <v>4158</v>
      </c>
      <c r="V264" s="39">
        <v>101</v>
      </c>
      <c r="W264" s="18">
        <v>0</v>
      </c>
      <c r="X264" s="18">
        <v>0</v>
      </c>
      <c r="Y264" s="18">
        <v>0</v>
      </c>
      <c r="Z264" s="18">
        <v>0</v>
      </c>
      <c r="AA264" s="18">
        <v>0</v>
      </c>
      <c r="AB264" s="18"/>
      <c r="AC264" s="18">
        <v>1024</v>
      </c>
      <c r="AD264" s="18">
        <v>0</v>
      </c>
      <c r="AE264" s="18">
        <v>0</v>
      </c>
      <c r="AF264" s="18">
        <v>4</v>
      </c>
      <c r="AG264" s="18">
        <v>0</v>
      </c>
      <c r="AH264" s="18">
        <v>0</v>
      </c>
      <c r="AI264" s="18">
        <v>0</v>
      </c>
    </row>
    <row r="265" spans="1:35" x14ac:dyDescent="0.2">
      <c r="A265">
        <v>2</v>
      </c>
      <c r="B265" t="s">
        <v>3945</v>
      </c>
      <c r="E265" s="18">
        <v>14869</v>
      </c>
      <c r="F265" s="18">
        <v>11676</v>
      </c>
      <c r="G265" s="18">
        <v>12676</v>
      </c>
      <c r="H265" s="18">
        <v>5713</v>
      </c>
      <c r="I265" s="18">
        <v>2</v>
      </c>
      <c r="J265" s="18">
        <v>1</v>
      </c>
      <c r="K265" s="18">
        <v>25</v>
      </c>
      <c r="L265" s="18">
        <v>5</v>
      </c>
      <c r="M265" s="18">
        <v>0</v>
      </c>
      <c r="N265" s="18">
        <v>300</v>
      </c>
      <c r="O265" s="18">
        <v>10</v>
      </c>
      <c r="P265" s="18">
        <v>0</v>
      </c>
      <c r="Q265" s="18">
        <v>0</v>
      </c>
      <c r="R265" s="18">
        <v>0</v>
      </c>
      <c r="S265" s="39" t="s">
        <v>2802</v>
      </c>
      <c r="T265" s="39" t="s">
        <v>3939</v>
      </c>
      <c r="U265" s="95" t="s">
        <v>4122</v>
      </c>
      <c r="V265" s="39">
        <v>101</v>
      </c>
      <c r="W265" s="18">
        <v>0</v>
      </c>
      <c r="X265" s="18">
        <v>0</v>
      </c>
      <c r="Y265" s="18">
        <v>0</v>
      </c>
      <c r="Z265" s="18">
        <v>0</v>
      </c>
      <c r="AA265" s="18">
        <v>0</v>
      </c>
      <c r="AB265" s="18"/>
      <c r="AC265" s="18">
        <v>1024</v>
      </c>
      <c r="AD265" s="18">
        <v>0</v>
      </c>
      <c r="AE265" s="18">
        <v>0</v>
      </c>
      <c r="AF265" s="18">
        <v>3</v>
      </c>
      <c r="AG265" s="18">
        <v>0</v>
      </c>
      <c r="AH265" s="18">
        <v>0</v>
      </c>
      <c r="AI265" s="18">
        <v>0</v>
      </c>
    </row>
    <row r="266" spans="1:35" x14ac:dyDescent="0.2">
      <c r="A266">
        <v>2</v>
      </c>
      <c r="B266" t="s">
        <v>3944</v>
      </c>
      <c r="E266" s="18">
        <v>14870</v>
      </c>
      <c r="F266" s="18">
        <v>11677</v>
      </c>
      <c r="G266" s="18">
        <v>12677</v>
      </c>
      <c r="H266" s="18">
        <v>5721</v>
      </c>
      <c r="I266" s="18">
        <v>2</v>
      </c>
      <c r="J266" s="18">
        <v>1</v>
      </c>
      <c r="K266" s="18">
        <v>25</v>
      </c>
      <c r="L266" s="18">
        <v>5</v>
      </c>
      <c r="M266" s="18">
        <v>0</v>
      </c>
      <c r="N266" s="18">
        <v>300</v>
      </c>
      <c r="O266" s="18">
        <v>10</v>
      </c>
      <c r="P266" s="18">
        <v>0</v>
      </c>
      <c r="Q266" s="18">
        <v>0</v>
      </c>
      <c r="R266" s="18">
        <v>0</v>
      </c>
      <c r="S266" s="39" t="s">
        <v>2802</v>
      </c>
      <c r="T266" s="39" t="s">
        <v>3940</v>
      </c>
      <c r="U266" s="95" t="s">
        <v>3948</v>
      </c>
      <c r="V266" s="39">
        <v>101</v>
      </c>
      <c r="W266" s="18">
        <v>0</v>
      </c>
      <c r="X266" s="18">
        <v>0</v>
      </c>
      <c r="Y266" s="18">
        <v>0</v>
      </c>
      <c r="Z266" s="18">
        <v>0</v>
      </c>
      <c r="AA266" s="18">
        <v>0</v>
      </c>
      <c r="AB266" s="18"/>
      <c r="AC266" s="18">
        <v>1024</v>
      </c>
      <c r="AD266" s="18">
        <v>0</v>
      </c>
      <c r="AE266" s="18">
        <v>0</v>
      </c>
      <c r="AF266" s="18">
        <v>1</v>
      </c>
      <c r="AG266" s="18">
        <v>0</v>
      </c>
      <c r="AH266" s="18">
        <v>0</v>
      </c>
      <c r="AI266" s="18">
        <v>0</v>
      </c>
    </row>
    <row r="267" spans="1:35" x14ac:dyDescent="0.2">
      <c r="A267">
        <v>0</v>
      </c>
      <c r="B267" t="s">
        <v>4110</v>
      </c>
      <c r="E267" s="18">
        <v>14871</v>
      </c>
      <c r="F267" s="18">
        <v>11678</v>
      </c>
      <c r="G267" s="18">
        <v>12678</v>
      </c>
      <c r="H267" s="39" t="s">
        <v>4114</v>
      </c>
      <c r="I267" s="18">
        <v>1</v>
      </c>
      <c r="J267" s="18">
        <v>4</v>
      </c>
      <c r="K267" s="18">
        <v>8</v>
      </c>
      <c r="L267" s="18">
        <v>5</v>
      </c>
      <c r="M267" s="18">
        <v>0</v>
      </c>
      <c r="N267" s="18">
        <v>300</v>
      </c>
      <c r="O267" s="18">
        <v>10</v>
      </c>
      <c r="P267" s="18">
        <v>0</v>
      </c>
      <c r="Q267" s="18">
        <v>0</v>
      </c>
      <c r="R267" s="18">
        <v>0</v>
      </c>
      <c r="S267" s="39" t="s">
        <v>3664</v>
      </c>
      <c r="T267" s="39" t="s">
        <v>4112</v>
      </c>
      <c r="U267" s="95" t="s">
        <v>4131</v>
      </c>
      <c r="V267" s="39">
        <v>101</v>
      </c>
      <c r="W267" s="18">
        <v>10003</v>
      </c>
      <c r="X267" s="18"/>
      <c r="Y267" s="18">
        <v>1500</v>
      </c>
      <c r="Z267" s="18">
        <v>0</v>
      </c>
      <c r="AA267" s="18">
        <v>1091302</v>
      </c>
      <c r="AB267" s="18" t="s">
        <v>4646</v>
      </c>
      <c r="AC267" s="18">
        <v>1013</v>
      </c>
      <c r="AD267" s="18">
        <v>0</v>
      </c>
      <c r="AE267" s="18">
        <v>0</v>
      </c>
      <c r="AF267" s="18">
        <v>4</v>
      </c>
      <c r="AG267" s="18">
        <v>0</v>
      </c>
      <c r="AH267" s="18">
        <v>0</v>
      </c>
      <c r="AI267" s="18">
        <v>0</v>
      </c>
    </row>
    <row r="268" spans="1:35" x14ac:dyDescent="0.2">
      <c r="A268">
        <v>0</v>
      </c>
      <c r="B268" t="s">
        <v>4111</v>
      </c>
      <c r="E268" s="18">
        <v>14872</v>
      </c>
      <c r="F268" s="18">
        <v>11679</v>
      </c>
      <c r="G268" s="18">
        <v>12679</v>
      </c>
      <c r="H268" s="39" t="s">
        <v>4116</v>
      </c>
      <c r="I268" s="18">
        <v>1</v>
      </c>
      <c r="J268" s="18">
        <v>4</v>
      </c>
      <c r="K268" s="18">
        <v>8</v>
      </c>
      <c r="L268" s="18">
        <v>5</v>
      </c>
      <c r="M268" s="18">
        <v>0</v>
      </c>
      <c r="N268" s="18">
        <v>300</v>
      </c>
      <c r="O268" s="18">
        <v>10</v>
      </c>
      <c r="P268" s="18">
        <v>0</v>
      </c>
      <c r="Q268" s="18">
        <v>0</v>
      </c>
      <c r="R268" s="18">
        <v>0</v>
      </c>
      <c r="S268" s="39" t="s">
        <v>3664</v>
      </c>
      <c r="T268" s="39" t="s">
        <v>4113</v>
      </c>
      <c r="U268" s="95" t="s">
        <v>4132</v>
      </c>
      <c r="V268" s="39">
        <v>101</v>
      </c>
      <c r="W268" s="18">
        <v>10003</v>
      </c>
      <c r="X268" s="18"/>
      <c r="Y268" s="18">
        <v>1500</v>
      </c>
      <c r="Z268" s="18">
        <v>0</v>
      </c>
      <c r="AA268" s="18">
        <v>1091302</v>
      </c>
      <c r="AB268" s="18" t="s">
        <v>4646</v>
      </c>
      <c r="AC268" s="18">
        <v>1013</v>
      </c>
      <c r="AD268" s="18">
        <v>0</v>
      </c>
      <c r="AE268" s="18">
        <v>0</v>
      </c>
      <c r="AF268" s="18">
        <v>4</v>
      </c>
      <c r="AG268" s="18">
        <v>0</v>
      </c>
      <c r="AH268" s="18">
        <v>0</v>
      </c>
      <c r="AI268" s="18">
        <v>0</v>
      </c>
    </row>
    <row r="269" spans="1:35" x14ac:dyDescent="0.2">
      <c r="B269" t="s">
        <v>4171</v>
      </c>
      <c r="C269" t="s">
        <v>4172</v>
      </c>
      <c r="E269" s="18">
        <v>14873</v>
      </c>
      <c r="F269" s="18">
        <v>11680</v>
      </c>
      <c r="G269" s="18">
        <v>12680</v>
      </c>
      <c r="H269" s="39" t="s">
        <v>4173</v>
      </c>
      <c r="I269" s="18">
        <v>2</v>
      </c>
      <c r="J269" s="18">
        <v>2</v>
      </c>
      <c r="K269" s="18">
        <v>23</v>
      </c>
      <c r="L269" s="18">
        <v>5</v>
      </c>
      <c r="M269" s="18">
        <v>0</v>
      </c>
      <c r="N269" s="18">
        <v>300</v>
      </c>
      <c r="O269" s="18">
        <v>10</v>
      </c>
      <c r="P269" s="18">
        <v>0</v>
      </c>
      <c r="Q269" s="18">
        <v>0</v>
      </c>
      <c r="R269" s="18">
        <v>0</v>
      </c>
      <c r="S269" s="39" t="s">
        <v>2802</v>
      </c>
      <c r="T269" s="39" t="s">
        <v>4174</v>
      </c>
      <c r="U269" s="95" t="s">
        <v>4175</v>
      </c>
      <c r="V269" s="39">
        <v>101</v>
      </c>
      <c r="W269" s="18">
        <v>0</v>
      </c>
      <c r="X269" s="18">
        <v>0</v>
      </c>
      <c r="Y269" s="18">
        <v>0</v>
      </c>
      <c r="Z269" s="18">
        <v>0</v>
      </c>
      <c r="AA269" s="18">
        <v>0</v>
      </c>
      <c r="AB269" s="18"/>
      <c r="AC269" s="18">
        <v>1028</v>
      </c>
      <c r="AD269" s="18">
        <v>0</v>
      </c>
      <c r="AE269" s="18">
        <v>0</v>
      </c>
      <c r="AF269" s="18">
        <v>5</v>
      </c>
      <c r="AG269" s="18">
        <v>0</v>
      </c>
      <c r="AH269" s="18">
        <v>0</v>
      </c>
      <c r="AI269" s="18">
        <v>0</v>
      </c>
    </row>
    <row r="270" spans="1:35" x14ac:dyDescent="0.2">
      <c r="B270" t="s">
        <v>4176</v>
      </c>
      <c r="E270" s="18">
        <v>14874</v>
      </c>
      <c r="F270" s="18">
        <v>11681</v>
      </c>
      <c r="G270" s="18">
        <v>12681</v>
      </c>
      <c r="H270" s="39" t="s">
        <v>4279</v>
      </c>
      <c r="I270" s="18">
        <v>2</v>
      </c>
      <c r="J270" s="18">
        <v>2</v>
      </c>
      <c r="K270" s="18">
        <v>23</v>
      </c>
      <c r="L270" s="18">
        <v>5</v>
      </c>
      <c r="M270" s="18">
        <v>0</v>
      </c>
      <c r="N270" s="18">
        <v>300</v>
      </c>
      <c r="O270" s="18">
        <v>10</v>
      </c>
      <c r="P270" s="18">
        <v>0</v>
      </c>
      <c r="Q270" s="18">
        <v>0</v>
      </c>
      <c r="R270" s="18">
        <v>0</v>
      </c>
      <c r="S270" s="39" t="s">
        <v>2802</v>
      </c>
      <c r="T270" s="39" t="s">
        <v>4177</v>
      </c>
      <c r="U270" s="95" t="s">
        <v>4178</v>
      </c>
      <c r="V270" s="39">
        <v>101</v>
      </c>
      <c r="W270" s="18">
        <v>0</v>
      </c>
      <c r="X270" s="18">
        <v>0</v>
      </c>
      <c r="Y270" s="18">
        <v>0</v>
      </c>
      <c r="Z270" s="18">
        <v>0</v>
      </c>
      <c r="AA270" s="18">
        <v>0</v>
      </c>
      <c r="AB270" s="18"/>
      <c r="AC270" s="18">
        <v>1028</v>
      </c>
      <c r="AD270" s="18">
        <v>0</v>
      </c>
      <c r="AE270" s="18">
        <v>0</v>
      </c>
      <c r="AF270" s="18">
        <v>1</v>
      </c>
      <c r="AG270" s="18">
        <v>0</v>
      </c>
      <c r="AH270" s="18">
        <v>0</v>
      </c>
      <c r="AI270" s="18">
        <v>0</v>
      </c>
    </row>
    <row r="271" spans="1:35" x14ac:dyDescent="0.2">
      <c r="B271" t="s">
        <v>4179</v>
      </c>
      <c r="E271" s="18">
        <v>14875</v>
      </c>
      <c r="F271" s="18">
        <v>11682</v>
      </c>
      <c r="G271" s="18">
        <v>12682</v>
      </c>
      <c r="H271" s="39" t="s">
        <v>4180</v>
      </c>
      <c r="I271" s="18">
        <v>2</v>
      </c>
      <c r="J271" s="18">
        <v>2</v>
      </c>
      <c r="K271" s="18">
        <v>23</v>
      </c>
      <c r="L271" s="18">
        <v>5</v>
      </c>
      <c r="M271" s="18">
        <v>0</v>
      </c>
      <c r="N271" s="18">
        <v>300</v>
      </c>
      <c r="O271" s="18">
        <v>10</v>
      </c>
      <c r="P271" s="18">
        <v>0</v>
      </c>
      <c r="Q271" s="18">
        <v>0</v>
      </c>
      <c r="R271" s="18">
        <v>0</v>
      </c>
      <c r="S271" s="39" t="s">
        <v>2802</v>
      </c>
      <c r="T271" s="39" t="s">
        <v>4181</v>
      </c>
      <c r="U271" s="95" t="s">
        <v>4182</v>
      </c>
      <c r="V271" s="39">
        <v>101</v>
      </c>
      <c r="W271" s="18">
        <v>0</v>
      </c>
      <c r="X271" s="18">
        <v>0</v>
      </c>
      <c r="Y271" s="18">
        <v>0</v>
      </c>
      <c r="Z271" s="18">
        <v>0</v>
      </c>
      <c r="AA271" s="18">
        <v>0</v>
      </c>
      <c r="AB271" s="18"/>
      <c r="AC271" s="18">
        <v>1028</v>
      </c>
      <c r="AD271" s="18">
        <v>0</v>
      </c>
      <c r="AE271" s="18">
        <v>0</v>
      </c>
      <c r="AF271" s="18">
        <v>5</v>
      </c>
      <c r="AG271" s="18">
        <v>0</v>
      </c>
      <c r="AH271" s="18">
        <v>0</v>
      </c>
      <c r="AI271" s="18">
        <v>0</v>
      </c>
    </row>
    <row r="272" spans="1:35" x14ac:dyDescent="0.2">
      <c r="B272" t="s">
        <v>4183</v>
      </c>
      <c r="E272" s="18">
        <v>14876</v>
      </c>
      <c r="F272" s="18">
        <v>11683</v>
      </c>
      <c r="G272" s="18">
        <v>12683</v>
      </c>
      <c r="H272" s="39" t="s">
        <v>4184</v>
      </c>
      <c r="I272" s="18">
        <v>2</v>
      </c>
      <c r="J272" s="18">
        <v>2</v>
      </c>
      <c r="K272" s="18">
        <v>23</v>
      </c>
      <c r="L272" s="18">
        <v>5</v>
      </c>
      <c r="M272" s="18">
        <v>0</v>
      </c>
      <c r="N272" s="18">
        <v>300</v>
      </c>
      <c r="O272" s="18">
        <v>10</v>
      </c>
      <c r="P272" s="18">
        <v>0</v>
      </c>
      <c r="Q272" s="18">
        <v>0</v>
      </c>
      <c r="R272" s="18">
        <v>0</v>
      </c>
      <c r="S272" s="39" t="s">
        <v>2802</v>
      </c>
      <c r="T272" s="39" t="s">
        <v>4185</v>
      </c>
      <c r="U272" s="95" t="s">
        <v>4186</v>
      </c>
      <c r="V272" s="39">
        <v>101</v>
      </c>
      <c r="W272" s="18">
        <v>0</v>
      </c>
      <c r="X272" s="18">
        <v>0</v>
      </c>
      <c r="Y272" s="18">
        <v>0</v>
      </c>
      <c r="Z272" s="18">
        <v>0</v>
      </c>
      <c r="AA272" s="18">
        <v>0</v>
      </c>
      <c r="AB272" s="18"/>
      <c r="AC272" s="18">
        <v>1028</v>
      </c>
      <c r="AD272" s="18">
        <v>0</v>
      </c>
      <c r="AE272" s="18">
        <v>0</v>
      </c>
      <c r="AF272" s="18">
        <v>4</v>
      </c>
      <c r="AG272" s="18">
        <v>0</v>
      </c>
      <c r="AH272" s="18">
        <v>0</v>
      </c>
      <c r="AI272" s="18">
        <v>0</v>
      </c>
    </row>
    <row r="273" spans="2:35" x14ac:dyDescent="0.2">
      <c r="B273" t="s">
        <v>4187</v>
      </c>
      <c r="E273" s="18">
        <v>14877</v>
      </c>
      <c r="F273" s="18">
        <v>11684</v>
      </c>
      <c r="G273" s="18">
        <v>12684</v>
      </c>
      <c r="H273" s="39" t="s">
        <v>4188</v>
      </c>
      <c r="I273" s="18">
        <v>2</v>
      </c>
      <c r="J273" s="18">
        <v>2</v>
      </c>
      <c r="K273" s="18">
        <v>23</v>
      </c>
      <c r="L273" s="18">
        <v>5</v>
      </c>
      <c r="M273" s="18">
        <v>0</v>
      </c>
      <c r="N273" s="18">
        <v>300</v>
      </c>
      <c r="O273" s="18">
        <v>10</v>
      </c>
      <c r="P273" s="18">
        <v>0</v>
      </c>
      <c r="Q273" s="18">
        <v>0</v>
      </c>
      <c r="R273" s="18">
        <v>0</v>
      </c>
      <c r="S273" s="39" t="s">
        <v>2802</v>
      </c>
      <c r="T273" s="39" t="s">
        <v>4189</v>
      </c>
      <c r="U273" s="95" t="s">
        <v>4190</v>
      </c>
      <c r="V273" s="39">
        <v>101</v>
      </c>
      <c r="W273" s="18">
        <v>0</v>
      </c>
      <c r="X273" s="18">
        <v>0</v>
      </c>
      <c r="Y273" s="18">
        <v>0</v>
      </c>
      <c r="Z273" s="18">
        <v>0</v>
      </c>
      <c r="AA273" s="18">
        <v>0</v>
      </c>
      <c r="AB273" s="18"/>
      <c r="AC273" s="18">
        <v>1028</v>
      </c>
      <c r="AD273" s="18">
        <v>0</v>
      </c>
      <c r="AE273" s="18">
        <v>0</v>
      </c>
      <c r="AF273" s="18">
        <v>4</v>
      </c>
      <c r="AG273" s="18">
        <v>0</v>
      </c>
      <c r="AH273" s="18">
        <v>0</v>
      </c>
      <c r="AI273" s="18">
        <v>0</v>
      </c>
    </row>
    <row r="274" spans="2:35" x14ac:dyDescent="0.2">
      <c r="B274" t="s">
        <v>4191</v>
      </c>
      <c r="E274" s="18">
        <v>14878</v>
      </c>
      <c r="F274" s="18">
        <v>11685</v>
      </c>
      <c r="G274" s="18">
        <v>12685</v>
      </c>
      <c r="H274" s="39" t="s">
        <v>4192</v>
      </c>
      <c r="I274" s="18">
        <v>2</v>
      </c>
      <c r="J274" s="18">
        <v>2</v>
      </c>
      <c r="K274" s="18">
        <v>23</v>
      </c>
      <c r="L274" s="18">
        <v>5</v>
      </c>
      <c r="M274" s="18">
        <v>0</v>
      </c>
      <c r="N274" s="18">
        <v>300</v>
      </c>
      <c r="O274" s="18">
        <v>10</v>
      </c>
      <c r="P274" s="18">
        <v>0</v>
      </c>
      <c r="Q274" s="18">
        <v>0</v>
      </c>
      <c r="R274" s="18">
        <v>0</v>
      </c>
      <c r="S274" s="39" t="s">
        <v>2802</v>
      </c>
      <c r="T274" s="39" t="s">
        <v>4193</v>
      </c>
      <c r="U274" s="95" t="s">
        <v>4194</v>
      </c>
      <c r="V274" s="39">
        <v>101</v>
      </c>
      <c r="W274" s="18">
        <v>0</v>
      </c>
      <c r="X274" s="18">
        <v>0</v>
      </c>
      <c r="Y274" s="18">
        <v>0</v>
      </c>
      <c r="Z274" s="18">
        <v>0</v>
      </c>
      <c r="AA274" s="18">
        <v>0</v>
      </c>
      <c r="AB274" s="18"/>
      <c r="AC274" s="18">
        <v>1028</v>
      </c>
      <c r="AD274" s="18">
        <v>0</v>
      </c>
      <c r="AE274" s="18">
        <v>0</v>
      </c>
      <c r="AF274" s="18">
        <v>2</v>
      </c>
      <c r="AG274" s="18">
        <v>0</v>
      </c>
      <c r="AH274" s="18">
        <v>0</v>
      </c>
      <c r="AI274" s="18">
        <v>0</v>
      </c>
    </row>
    <row r="275" spans="2:35" x14ac:dyDescent="0.2">
      <c r="B275" t="s">
        <v>4195</v>
      </c>
      <c r="E275" s="18">
        <v>14879</v>
      </c>
      <c r="F275" s="18">
        <v>11686</v>
      </c>
      <c r="G275" s="18">
        <v>12686</v>
      </c>
      <c r="H275" s="39" t="s">
        <v>4196</v>
      </c>
      <c r="I275" s="18">
        <v>2</v>
      </c>
      <c r="J275" s="18">
        <v>2</v>
      </c>
      <c r="K275" s="18">
        <v>23</v>
      </c>
      <c r="L275" s="18">
        <v>5</v>
      </c>
      <c r="M275" s="18">
        <v>0</v>
      </c>
      <c r="N275" s="18">
        <v>300</v>
      </c>
      <c r="O275" s="18">
        <v>10</v>
      </c>
      <c r="P275" s="18">
        <v>0</v>
      </c>
      <c r="Q275" s="18">
        <v>0</v>
      </c>
      <c r="R275" s="18">
        <v>0</v>
      </c>
      <c r="S275" s="39" t="s">
        <v>2802</v>
      </c>
      <c r="T275" s="39" t="s">
        <v>4197</v>
      </c>
      <c r="U275" s="95" t="s">
        <v>4198</v>
      </c>
      <c r="V275" s="39">
        <v>101</v>
      </c>
      <c r="W275" s="18">
        <v>0</v>
      </c>
      <c r="X275" s="18">
        <v>0</v>
      </c>
      <c r="Y275" s="18">
        <v>0</v>
      </c>
      <c r="Z275" s="18">
        <v>0</v>
      </c>
      <c r="AA275" s="18">
        <v>0</v>
      </c>
      <c r="AB275" s="18"/>
      <c r="AC275" s="18">
        <v>1028</v>
      </c>
      <c r="AD275" s="18">
        <v>0</v>
      </c>
      <c r="AE275" s="18">
        <v>0</v>
      </c>
      <c r="AF275" s="18">
        <v>2</v>
      </c>
      <c r="AG275" s="18">
        <v>0</v>
      </c>
      <c r="AH275" s="18">
        <v>0</v>
      </c>
      <c r="AI275" s="18">
        <v>0</v>
      </c>
    </row>
    <row r="276" spans="2:35" x14ac:dyDescent="0.2">
      <c r="B276" t="s">
        <v>4199</v>
      </c>
      <c r="E276" s="18">
        <v>14880</v>
      </c>
      <c r="F276" s="18">
        <v>11687</v>
      </c>
      <c r="G276" s="18">
        <v>12687</v>
      </c>
      <c r="H276" s="39" t="s">
        <v>4200</v>
      </c>
      <c r="I276" s="18">
        <v>2</v>
      </c>
      <c r="J276" s="18">
        <v>2</v>
      </c>
      <c r="K276" s="18">
        <v>23</v>
      </c>
      <c r="L276" s="18">
        <v>5</v>
      </c>
      <c r="M276" s="18">
        <v>0</v>
      </c>
      <c r="N276" s="18">
        <v>300</v>
      </c>
      <c r="O276" s="18">
        <v>10</v>
      </c>
      <c r="P276" s="18">
        <v>0</v>
      </c>
      <c r="Q276" s="18">
        <v>0</v>
      </c>
      <c r="R276" s="18">
        <v>0</v>
      </c>
      <c r="S276" s="39" t="s">
        <v>2802</v>
      </c>
      <c r="T276" s="39" t="s">
        <v>4201</v>
      </c>
      <c r="U276" s="95" t="s">
        <v>4202</v>
      </c>
      <c r="V276" s="39">
        <v>101</v>
      </c>
      <c r="W276" s="18">
        <v>0</v>
      </c>
      <c r="X276" s="18">
        <v>0</v>
      </c>
      <c r="Y276" s="18">
        <v>0</v>
      </c>
      <c r="Z276" s="18">
        <v>0</v>
      </c>
      <c r="AA276" s="18">
        <v>0</v>
      </c>
      <c r="AB276" s="18"/>
      <c r="AC276" s="18">
        <v>1028</v>
      </c>
      <c r="AD276" s="18">
        <v>0</v>
      </c>
      <c r="AE276" s="18">
        <v>0</v>
      </c>
      <c r="AF276" s="18">
        <v>1</v>
      </c>
      <c r="AG276" s="18">
        <v>0</v>
      </c>
      <c r="AH276" s="18">
        <v>0</v>
      </c>
      <c r="AI276" s="18">
        <v>0</v>
      </c>
    </row>
    <row r="277" spans="2:35" x14ac:dyDescent="0.2">
      <c r="B277" t="s">
        <v>4203</v>
      </c>
      <c r="E277" s="18">
        <v>14881</v>
      </c>
      <c r="F277" s="18">
        <v>11688</v>
      </c>
      <c r="G277" s="18">
        <v>12688</v>
      </c>
      <c r="H277" s="39" t="s">
        <v>4204</v>
      </c>
      <c r="I277" s="18">
        <v>2</v>
      </c>
      <c r="J277" s="18">
        <v>2</v>
      </c>
      <c r="K277" s="18">
        <v>23</v>
      </c>
      <c r="L277" s="18">
        <v>5</v>
      </c>
      <c r="M277" s="18">
        <v>0</v>
      </c>
      <c r="N277" s="18">
        <v>300</v>
      </c>
      <c r="O277" s="18">
        <v>10</v>
      </c>
      <c r="P277" s="18">
        <v>0</v>
      </c>
      <c r="Q277" s="18">
        <v>0</v>
      </c>
      <c r="R277" s="18">
        <v>0</v>
      </c>
      <c r="S277" s="39" t="s">
        <v>2802</v>
      </c>
      <c r="T277" s="39" t="s">
        <v>4205</v>
      </c>
      <c r="U277" s="95" t="s">
        <v>4206</v>
      </c>
      <c r="V277" s="39">
        <v>101</v>
      </c>
      <c r="W277" s="18">
        <v>0</v>
      </c>
      <c r="X277" s="18">
        <v>0</v>
      </c>
      <c r="Y277" s="18">
        <v>0</v>
      </c>
      <c r="Z277" s="18">
        <v>0</v>
      </c>
      <c r="AA277" s="18">
        <v>0</v>
      </c>
      <c r="AB277" s="18"/>
      <c r="AC277" s="18">
        <v>1028</v>
      </c>
      <c r="AD277" s="18">
        <v>0</v>
      </c>
      <c r="AE277" s="18">
        <v>0</v>
      </c>
      <c r="AF277" s="18">
        <v>1</v>
      </c>
      <c r="AG277" s="18">
        <v>0</v>
      </c>
      <c r="AH277" s="18">
        <v>0</v>
      </c>
      <c r="AI277" s="18">
        <v>0</v>
      </c>
    </row>
    <row r="278" spans="2:35" x14ac:dyDescent="0.2">
      <c r="B278" t="s">
        <v>4207</v>
      </c>
      <c r="E278" s="18">
        <v>14882</v>
      </c>
      <c r="F278" s="18">
        <v>11689</v>
      </c>
      <c r="G278" s="18">
        <v>12689</v>
      </c>
      <c r="H278" s="39" t="s">
        <v>4208</v>
      </c>
      <c r="I278" s="18">
        <v>2</v>
      </c>
      <c r="J278" s="18">
        <v>2</v>
      </c>
      <c r="K278" s="18">
        <v>23</v>
      </c>
      <c r="L278" s="18">
        <v>5</v>
      </c>
      <c r="M278" s="18">
        <v>0</v>
      </c>
      <c r="N278" s="18">
        <v>300</v>
      </c>
      <c r="O278" s="18">
        <v>10</v>
      </c>
      <c r="P278" s="18">
        <v>0</v>
      </c>
      <c r="Q278" s="18">
        <v>0</v>
      </c>
      <c r="R278" s="18">
        <v>0</v>
      </c>
      <c r="S278" s="39" t="s">
        <v>2802</v>
      </c>
      <c r="T278" s="39" t="s">
        <v>4209</v>
      </c>
      <c r="U278" s="95" t="s">
        <v>4297</v>
      </c>
      <c r="V278" s="39">
        <v>101</v>
      </c>
      <c r="W278" s="18">
        <v>0</v>
      </c>
      <c r="X278" s="18">
        <v>0</v>
      </c>
      <c r="Y278" s="18">
        <v>0</v>
      </c>
      <c r="Z278" s="18">
        <v>0</v>
      </c>
      <c r="AA278" s="18">
        <v>0</v>
      </c>
      <c r="AB278" s="18"/>
      <c r="AC278" s="18">
        <v>1028</v>
      </c>
      <c r="AD278" s="18">
        <v>0</v>
      </c>
      <c r="AE278" s="18">
        <v>0</v>
      </c>
      <c r="AF278" s="18">
        <v>3</v>
      </c>
      <c r="AG278" s="18">
        <v>0</v>
      </c>
      <c r="AH278" s="18">
        <v>0</v>
      </c>
      <c r="AI278" s="18">
        <v>0</v>
      </c>
    </row>
    <row r="279" spans="2:35" x14ac:dyDescent="0.2">
      <c r="B279" t="s">
        <v>4210</v>
      </c>
      <c r="E279" s="18">
        <v>14883</v>
      </c>
      <c r="F279" s="18">
        <v>11690</v>
      </c>
      <c r="G279" s="18">
        <v>12690</v>
      </c>
      <c r="H279" s="39" t="s">
        <v>4211</v>
      </c>
      <c r="I279" s="18">
        <v>2</v>
      </c>
      <c r="J279" s="18">
        <v>2</v>
      </c>
      <c r="K279" s="18">
        <v>23</v>
      </c>
      <c r="L279" s="18">
        <v>5</v>
      </c>
      <c r="M279" s="18">
        <v>0</v>
      </c>
      <c r="N279" s="18">
        <v>300</v>
      </c>
      <c r="O279" s="18">
        <v>10</v>
      </c>
      <c r="P279" s="18">
        <v>0</v>
      </c>
      <c r="Q279" s="18">
        <v>0</v>
      </c>
      <c r="R279" s="18">
        <v>0</v>
      </c>
      <c r="S279" s="39" t="s">
        <v>2802</v>
      </c>
      <c r="T279" s="39" t="s">
        <v>4212</v>
      </c>
      <c r="U279" s="95" t="s">
        <v>4213</v>
      </c>
      <c r="V279" s="39">
        <v>101</v>
      </c>
      <c r="W279" s="18">
        <v>0</v>
      </c>
      <c r="X279" s="18">
        <v>0</v>
      </c>
      <c r="Y279" s="18">
        <v>0</v>
      </c>
      <c r="Z279" s="18">
        <v>0</v>
      </c>
      <c r="AA279" s="18">
        <v>0</v>
      </c>
      <c r="AB279" s="18"/>
      <c r="AC279" s="18">
        <v>1028</v>
      </c>
      <c r="AD279" s="18">
        <v>0</v>
      </c>
      <c r="AE279" s="18">
        <v>0</v>
      </c>
      <c r="AF279" s="18">
        <v>3</v>
      </c>
      <c r="AG279" s="18">
        <v>0</v>
      </c>
      <c r="AH279" s="18">
        <v>0</v>
      </c>
      <c r="AI279" s="18">
        <v>0</v>
      </c>
    </row>
    <row r="280" spans="2:35" x14ac:dyDescent="0.2">
      <c r="B280" t="s">
        <v>4214</v>
      </c>
      <c r="E280" s="18">
        <v>14884</v>
      </c>
      <c r="F280" s="18">
        <v>11691</v>
      </c>
      <c r="G280" s="18">
        <v>12691</v>
      </c>
      <c r="H280" s="39" t="s">
        <v>4215</v>
      </c>
      <c r="I280" s="18">
        <v>2</v>
      </c>
      <c r="J280" s="18">
        <v>1</v>
      </c>
      <c r="K280" s="18">
        <v>25</v>
      </c>
      <c r="L280" s="18">
        <v>5</v>
      </c>
      <c r="M280" s="18">
        <v>0</v>
      </c>
      <c r="N280" s="18">
        <v>300</v>
      </c>
      <c r="O280" s="18">
        <v>10</v>
      </c>
      <c r="P280" s="18">
        <v>0</v>
      </c>
      <c r="Q280" s="18">
        <v>0</v>
      </c>
      <c r="R280" s="18">
        <v>0</v>
      </c>
      <c r="S280" s="39" t="s">
        <v>2802</v>
      </c>
      <c r="T280" s="39" t="s">
        <v>4216</v>
      </c>
      <c r="U280" s="95" t="s">
        <v>4290</v>
      </c>
      <c r="V280" s="39">
        <v>101</v>
      </c>
      <c r="W280" s="18">
        <v>0</v>
      </c>
      <c r="X280" s="18">
        <v>0</v>
      </c>
      <c r="Y280" s="18">
        <v>0</v>
      </c>
      <c r="Z280" s="18">
        <v>0</v>
      </c>
      <c r="AA280" s="18">
        <v>0</v>
      </c>
      <c r="AB280" s="18"/>
      <c r="AC280" s="18">
        <v>1024</v>
      </c>
      <c r="AD280" s="18">
        <v>0</v>
      </c>
      <c r="AE280" s="18">
        <v>0</v>
      </c>
      <c r="AF280" s="18">
        <v>4</v>
      </c>
      <c r="AG280" s="18">
        <v>0</v>
      </c>
      <c r="AH280" s="18">
        <v>0</v>
      </c>
      <c r="AI280" s="18">
        <v>0</v>
      </c>
    </row>
    <row r="281" spans="2:35" x14ac:dyDescent="0.2">
      <c r="B281" t="s">
        <v>4217</v>
      </c>
      <c r="E281" s="18">
        <v>14885</v>
      </c>
      <c r="F281" s="18">
        <v>11692</v>
      </c>
      <c r="G281" s="18">
        <v>12692</v>
      </c>
      <c r="H281" s="39" t="s">
        <v>4218</v>
      </c>
      <c r="I281" s="18">
        <v>2</v>
      </c>
      <c r="J281" s="18">
        <v>1</v>
      </c>
      <c r="K281" s="18">
        <v>25</v>
      </c>
      <c r="L281" s="18">
        <v>5</v>
      </c>
      <c r="M281" s="18">
        <v>0</v>
      </c>
      <c r="N281" s="18">
        <v>300</v>
      </c>
      <c r="O281" s="18">
        <v>10</v>
      </c>
      <c r="P281" s="18">
        <v>0</v>
      </c>
      <c r="Q281" s="18">
        <v>0</v>
      </c>
      <c r="R281" s="18">
        <v>0</v>
      </c>
      <c r="S281" s="39" t="s">
        <v>2802</v>
      </c>
      <c r="T281" s="39" t="s">
        <v>4219</v>
      </c>
      <c r="U281" s="95" t="s">
        <v>4289</v>
      </c>
      <c r="V281" s="39">
        <v>101</v>
      </c>
      <c r="W281" s="18">
        <v>0</v>
      </c>
      <c r="X281" s="18">
        <v>0</v>
      </c>
      <c r="Y281" s="18">
        <v>0</v>
      </c>
      <c r="Z281" s="18">
        <v>0</v>
      </c>
      <c r="AA281" s="18">
        <v>0</v>
      </c>
      <c r="AB281" s="18"/>
      <c r="AC281" s="18">
        <v>1024</v>
      </c>
      <c r="AD281" s="18">
        <v>0</v>
      </c>
      <c r="AE281" s="18">
        <v>0</v>
      </c>
      <c r="AF281" s="18">
        <v>1</v>
      </c>
      <c r="AG281" s="18">
        <v>0</v>
      </c>
      <c r="AH281" s="18">
        <v>0</v>
      </c>
      <c r="AI281" s="18">
        <v>0</v>
      </c>
    </row>
    <row r="282" spans="2:35" x14ac:dyDescent="0.2">
      <c r="B282" t="s">
        <v>4220</v>
      </c>
      <c r="E282" s="18">
        <v>14886</v>
      </c>
      <c r="F282" s="18">
        <v>11693</v>
      </c>
      <c r="G282" s="18">
        <v>12693</v>
      </c>
      <c r="H282" s="39" t="s">
        <v>4221</v>
      </c>
      <c r="I282" s="18">
        <v>2</v>
      </c>
      <c r="J282" s="18">
        <v>1</v>
      </c>
      <c r="K282" s="18">
        <v>25</v>
      </c>
      <c r="L282" s="18">
        <v>5</v>
      </c>
      <c r="M282" s="18">
        <v>0</v>
      </c>
      <c r="N282" s="18">
        <v>300</v>
      </c>
      <c r="O282" s="18">
        <v>10</v>
      </c>
      <c r="P282" s="18">
        <v>0</v>
      </c>
      <c r="Q282" s="18">
        <v>0</v>
      </c>
      <c r="R282" s="18">
        <v>0</v>
      </c>
      <c r="S282" s="39" t="s">
        <v>2802</v>
      </c>
      <c r="T282" s="39" t="s">
        <v>4222</v>
      </c>
      <c r="U282" s="95" t="s">
        <v>4466</v>
      </c>
      <c r="V282" s="39">
        <v>101</v>
      </c>
      <c r="W282" s="18">
        <v>0</v>
      </c>
      <c r="X282" s="18">
        <v>0</v>
      </c>
      <c r="Y282" s="18">
        <v>0</v>
      </c>
      <c r="Z282" s="18">
        <v>0</v>
      </c>
      <c r="AA282" s="18">
        <v>0</v>
      </c>
      <c r="AB282" s="18"/>
      <c r="AC282" s="18">
        <v>1024</v>
      </c>
      <c r="AD282" s="18">
        <v>0</v>
      </c>
      <c r="AE282" s="18">
        <v>0</v>
      </c>
      <c r="AF282" s="18">
        <v>2</v>
      </c>
      <c r="AG282" s="18">
        <v>0</v>
      </c>
      <c r="AH282" s="18">
        <v>0</v>
      </c>
      <c r="AI282" s="18">
        <v>0</v>
      </c>
    </row>
    <row r="283" spans="2:35" x14ac:dyDescent="0.2">
      <c r="B283" t="s">
        <v>4223</v>
      </c>
      <c r="E283" s="18">
        <v>14887</v>
      </c>
      <c r="F283" s="18">
        <v>11694</v>
      </c>
      <c r="G283" s="18">
        <v>12694</v>
      </c>
      <c r="H283" s="39" t="s">
        <v>4224</v>
      </c>
      <c r="I283" s="18">
        <v>2</v>
      </c>
      <c r="J283" s="18">
        <v>1</v>
      </c>
      <c r="K283" s="18">
        <v>25</v>
      </c>
      <c r="L283" s="18">
        <v>5</v>
      </c>
      <c r="M283" s="18">
        <v>0</v>
      </c>
      <c r="N283" s="18">
        <v>300</v>
      </c>
      <c r="O283" s="18">
        <v>10</v>
      </c>
      <c r="P283" s="18">
        <v>0</v>
      </c>
      <c r="Q283" s="18">
        <v>0</v>
      </c>
      <c r="R283" s="18">
        <v>0</v>
      </c>
      <c r="S283" s="39" t="s">
        <v>2802</v>
      </c>
      <c r="T283" s="39" t="s">
        <v>4225</v>
      </c>
      <c r="U283" s="95" t="s">
        <v>4226</v>
      </c>
      <c r="V283" s="39">
        <v>101</v>
      </c>
      <c r="W283" s="18">
        <v>0</v>
      </c>
      <c r="X283" s="18">
        <v>0</v>
      </c>
      <c r="Y283" s="18">
        <v>0</v>
      </c>
      <c r="Z283" s="18">
        <v>0</v>
      </c>
      <c r="AA283" s="18">
        <v>0</v>
      </c>
      <c r="AB283" s="18"/>
      <c r="AC283" s="18">
        <v>1024</v>
      </c>
      <c r="AD283" s="18">
        <v>0</v>
      </c>
      <c r="AE283" s="18">
        <v>0</v>
      </c>
      <c r="AF283" s="18">
        <v>1</v>
      </c>
      <c r="AG283" s="18">
        <v>0</v>
      </c>
      <c r="AH283" s="18">
        <v>0</v>
      </c>
      <c r="AI283" s="18">
        <v>0</v>
      </c>
    </row>
    <row r="284" spans="2:35" x14ac:dyDescent="0.2">
      <c r="B284" t="s">
        <v>4227</v>
      </c>
      <c r="E284" s="18">
        <v>14888</v>
      </c>
      <c r="F284" s="18">
        <v>11695</v>
      </c>
      <c r="G284" s="18">
        <v>12695</v>
      </c>
      <c r="H284" s="39" t="s">
        <v>4228</v>
      </c>
      <c r="I284" s="18">
        <v>2</v>
      </c>
      <c r="J284" s="18">
        <v>1</v>
      </c>
      <c r="K284" s="18">
        <v>25</v>
      </c>
      <c r="L284" s="18">
        <v>5</v>
      </c>
      <c r="M284" s="18">
        <v>0</v>
      </c>
      <c r="N284" s="18">
        <v>300</v>
      </c>
      <c r="O284" s="18">
        <v>10</v>
      </c>
      <c r="P284" s="18">
        <v>0</v>
      </c>
      <c r="Q284" s="18">
        <v>0</v>
      </c>
      <c r="R284" s="18">
        <v>0</v>
      </c>
      <c r="S284" s="39" t="s">
        <v>2802</v>
      </c>
      <c r="T284" s="39" t="s">
        <v>4229</v>
      </c>
      <c r="U284" s="95" t="s">
        <v>4230</v>
      </c>
      <c r="V284" s="39">
        <v>101</v>
      </c>
      <c r="W284" s="18">
        <v>0</v>
      </c>
      <c r="X284" s="18">
        <v>0</v>
      </c>
      <c r="Y284" s="18">
        <v>0</v>
      </c>
      <c r="Z284" s="18">
        <v>0</v>
      </c>
      <c r="AA284" s="18">
        <v>0</v>
      </c>
      <c r="AB284" s="18"/>
      <c r="AC284" s="18">
        <v>1024</v>
      </c>
      <c r="AD284" s="18">
        <v>0</v>
      </c>
      <c r="AE284" s="18">
        <v>0</v>
      </c>
      <c r="AF284" s="18">
        <v>0</v>
      </c>
      <c r="AG284" s="18">
        <v>0</v>
      </c>
      <c r="AH284" s="18">
        <v>0</v>
      </c>
      <c r="AI284" s="18">
        <v>0</v>
      </c>
    </row>
    <row r="285" spans="2:35" x14ac:dyDescent="0.2">
      <c r="B285" t="s">
        <v>4231</v>
      </c>
      <c r="E285" s="18">
        <v>14889</v>
      </c>
      <c r="F285" s="18">
        <v>11696</v>
      </c>
      <c r="G285" s="18">
        <v>12696</v>
      </c>
      <c r="H285" s="39" t="s">
        <v>4232</v>
      </c>
      <c r="I285" s="18">
        <v>2</v>
      </c>
      <c r="J285" s="18">
        <v>1</v>
      </c>
      <c r="K285" s="18">
        <v>25</v>
      </c>
      <c r="L285" s="18">
        <v>5</v>
      </c>
      <c r="M285" s="18">
        <v>0</v>
      </c>
      <c r="N285" s="18">
        <v>300</v>
      </c>
      <c r="O285" s="18">
        <v>10</v>
      </c>
      <c r="P285" s="18">
        <v>0</v>
      </c>
      <c r="Q285" s="18">
        <v>0</v>
      </c>
      <c r="R285" s="18">
        <v>0</v>
      </c>
      <c r="S285" s="39" t="s">
        <v>2802</v>
      </c>
      <c r="T285" s="39" t="s">
        <v>4233</v>
      </c>
      <c r="U285" s="95" t="s">
        <v>4465</v>
      </c>
      <c r="V285" s="39">
        <v>101</v>
      </c>
      <c r="W285" s="18">
        <v>0</v>
      </c>
      <c r="X285" s="18">
        <v>0</v>
      </c>
      <c r="Y285" s="18">
        <v>0</v>
      </c>
      <c r="Z285" s="18">
        <v>0</v>
      </c>
      <c r="AA285" s="18">
        <v>0</v>
      </c>
      <c r="AB285" s="18"/>
      <c r="AC285" s="18">
        <v>1024</v>
      </c>
      <c r="AD285" s="18">
        <v>0</v>
      </c>
      <c r="AE285" s="18">
        <v>0</v>
      </c>
      <c r="AF285" s="18">
        <v>0</v>
      </c>
      <c r="AG285" s="18">
        <v>0</v>
      </c>
      <c r="AH285" s="18">
        <v>0</v>
      </c>
      <c r="AI285" s="18">
        <v>0</v>
      </c>
    </row>
    <row r="286" spans="2:35" x14ac:dyDescent="0.2">
      <c r="B286" t="s">
        <v>4234</v>
      </c>
      <c r="E286" s="18">
        <v>14890</v>
      </c>
      <c r="F286" s="18">
        <v>11697</v>
      </c>
      <c r="G286" s="18">
        <v>12697</v>
      </c>
      <c r="H286" s="39" t="s">
        <v>4235</v>
      </c>
      <c r="I286" s="18">
        <v>2</v>
      </c>
      <c r="J286" s="18">
        <v>1</v>
      </c>
      <c r="K286" s="18">
        <v>25</v>
      </c>
      <c r="L286" s="18">
        <v>5</v>
      </c>
      <c r="M286" s="18">
        <v>0</v>
      </c>
      <c r="N286" s="18">
        <v>300</v>
      </c>
      <c r="O286" s="18">
        <v>10</v>
      </c>
      <c r="P286" s="18">
        <v>0</v>
      </c>
      <c r="Q286" s="18">
        <v>0</v>
      </c>
      <c r="R286" s="18">
        <v>0</v>
      </c>
      <c r="S286" s="39" t="s">
        <v>2802</v>
      </c>
      <c r="T286" s="39" t="s">
        <v>4236</v>
      </c>
      <c r="U286" s="95" t="s">
        <v>4303</v>
      </c>
      <c r="V286" s="39">
        <v>101</v>
      </c>
      <c r="W286" s="18">
        <v>0</v>
      </c>
      <c r="X286" s="18">
        <v>0</v>
      </c>
      <c r="Y286" s="18">
        <v>0</v>
      </c>
      <c r="Z286" s="18">
        <v>0</v>
      </c>
      <c r="AA286" s="18">
        <v>0</v>
      </c>
      <c r="AB286" s="18"/>
      <c r="AC286" s="18">
        <v>1024</v>
      </c>
      <c r="AD286" s="18">
        <v>0</v>
      </c>
      <c r="AE286" s="18">
        <v>0</v>
      </c>
      <c r="AF286" s="18">
        <v>1</v>
      </c>
      <c r="AG286" s="18">
        <v>0</v>
      </c>
      <c r="AH286" s="18">
        <v>0</v>
      </c>
      <c r="AI286" s="18">
        <v>0</v>
      </c>
    </row>
    <row r="287" spans="2:35" x14ac:dyDescent="0.2">
      <c r="B287" t="s">
        <v>4237</v>
      </c>
      <c r="E287" s="18">
        <v>14891</v>
      </c>
      <c r="F287" s="18">
        <v>11698</v>
      </c>
      <c r="G287" s="18">
        <v>12698</v>
      </c>
      <c r="H287" s="39" t="s">
        <v>4238</v>
      </c>
      <c r="I287" s="18">
        <v>2</v>
      </c>
      <c r="J287" s="18">
        <v>1</v>
      </c>
      <c r="K287" s="18">
        <v>25</v>
      </c>
      <c r="L287" s="18">
        <v>5</v>
      </c>
      <c r="M287" s="18">
        <v>0</v>
      </c>
      <c r="N287" s="18">
        <v>300</v>
      </c>
      <c r="O287" s="18">
        <v>10</v>
      </c>
      <c r="P287" s="18">
        <v>0</v>
      </c>
      <c r="Q287" s="18">
        <v>0</v>
      </c>
      <c r="R287" s="18">
        <v>0</v>
      </c>
      <c r="S287" s="39" t="s">
        <v>2802</v>
      </c>
      <c r="T287" s="39" t="s">
        <v>4239</v>
      </c>
      <c r="U287" s="95" t="s">
        <v>4288</v>
      </c>
      <c r="V287" s="39">
        <v>101</v>
      </c>
      <c r="W287" s="18">
        <v>0</v>
      </c>
      <c r="X287" s="18">
        <v>0</v>
      </c>
      <c r="Y287" s="18">
        <v>0</v>
      </c>
      <c r="Z287" s="18">
        <v>0</v>
      </c>
      <c r="AA287" s="18">
        <v>0</v>
      </c>
      <c r="AB287" s="18"/>
      <c r="AC287" s="18">
        <v>1024</v>
      </c>
      <c r="AD287" s="18">
        <v>0</v>
      </c>
      <c r="AE287" s="18">
        <v>0</v>
      </c>
      <c r="AF287" s="18">
        <v>1</v>
      </c>
      <c r="AG287" s="18">
        <v>0</v>
      </c>
      <c r="AH287" s="18">
        <v>0</v>
      </c>
      <c r="AI287" s="18">
        <v>0</v>
      </c>
    </row>
    <row r="288" spans="2:35" x14ac:dyDescent="0.2">
      <c r="B288" t="s">
        <v>4240</v>
      </c>
      <c r="E288" s="18">
        <v>14892</v>
      </c>
      <c r="F288" s="18">
        <v>11699</v>
      </c>
      <c r="G288" s="18">
        <v>12699</v>
      </c>
      <c r="H288" s="39" t="s">
        <v>4241</v>
      </c>
      <c r="I288" s="18">
        <v>1</v>
      </c>
      <c r="J288" s="18">
        <v>1</v>
      </c>
      <c r="K288" s="18">
        <v>31</v>
      </c>
      <c r="L288" s="18">
        <v>5</v>
      </c>
      <c r="M288" s="18">
        <v>0</v>
      </c>
      <c r="N288" s="18">
        <v>300</v>
      </c>
      <c r="O288" s="18">
        <v>10</v>
      </c>
      <c r="P288" s="18">
        <v>0</v>
      </c>
      <c r="Q288" s="18">
        <v>0</v>
      </c>
      <c r="R288" s="18">
        <v>0</v>
      </c>
      <c r="S288" s="39" t="s">
        <v>85</v>
      </c>
      <c r="T288" s="39" t="s">
        <v>4242</v>
      </c>
      <c r="U288" s="95" t="s">
        <v>4243</v>
      </c>
      <c r="V288" s="39">
        <v>101</v>
      </c>
      <c r="W288" s="18">
        <v>0</v>
      </c>
      <c r="X288" s="18">
        <v>0</v>
      </c>
      <c r="Y288" s="18">
        <v>0</v>
      </c>
      <c r="Z288" s="18">
        <v>0</v>
      </c>
      <c r="AA288" s="18">
        <v>0</v>
      </c>
      <c r="AB288" s="18"/>
      <c r="AC288" s="18">
        <v>1026</v>
      </c>
      <c r="AD288" s="18">
        <v>0</v>
      </c>
      <c r="AE288" s="18">
        <v>0</v>
      </c>
      <c r="AF288" s="18">
        <v>2</v>
      </c>
      <c r="AG288" s="18">
        <v>0</v>
      </c>
      <c r="AH288" s="18">
        <v>0</v>
      </c>
      <c r="AI288" s="18">
        <v>0</v>
      </c>
    </row>
    <row r="289" spans="2:35" x14ac:dyDescent="0.2">
      <c r="B289" t="s">
        <v>4244</v>
      </c>
      <c r="E289" s="18">
        <v>14893</v>
      </c>
      <c r="F289" s="18">
        <v>11700</v>
      </c>
      <c r="G289" s="18">
        <v>12700</v>
      </c>
      <c r="H289" s="39" t="s">
        <v>4245</v>
      </c>
      <c r="I289" s="18">
        <v>1</v>
      </c>
      <c r="J289" s="18">
        <v>1</v>
      </c>
      <c r="K289" s="18">
        <v>31</v>
      </c>
      <c r="L289" s="18">
        <v>5</v>
      </c>
      <c r="M289" s="18">
        <v>0</v>
      </c>
      <c r="N289" s="18">
        <v>300</v>
      </c>
      <c r="O289" s="18">
        <v>10</v>
      </c>
      <c r="P289" s="18">
        <v>0</v>
      </c>
      <c r="Q289" s="18">
        <v>0</v>
      </c>
      <c r="R289" s="18">
        <v>0</v>
      </c>
      <c r="S289" s="39" t="s">
        <v>85</v>
      </c>
      <c r="T289" s="39" t="s">
        <v>4246</v>
      </c>
      <c r="U289" s="95" t="s">
        <v>4302</v>
      </c>
      <c r="V289" s="39">
        <v>101</v>
      </c>
      <c r="W289" s="18">
        <v>0</v>
      </c>
      <c r="X289" s="18">
        <v>0</v>
      </c>
      <c r="Y289" s="18">
        <v>0</v>
      </c>
      <c r="Z289" s="18">
        <v>0</v>
      </c>
      <c r="AA289" s="18">
        <v>0</v>
      </c>
      <c r="AB289" s="18"/>
      <c r="AC289" s="18">
        <v>1026</v>
      </c>
      <c r="AD289" s="18">
        <v>0</v>
      </c>
      <c r="AE289" s="18">
        <v>0</v>
      </c>
      <c r="AF289" s="18">
        <v>5</v>
      </c>
      <c r="AG289" s="18">
        <v>0</v>
      </c>
      <c r="AH289" s="18">
        <v>0</v>
      </c>
      <c r="AI289" s="18">
        <v>0</v>
      </c>
    </row>
    <row r="290" spans="2:35" x14ac:dyDescent="0.2">
      <c r="B290" t="s">
        <v>4247</v>
      </c>
      <c r="E290" s="18">
        <v>14894</v>
      </c>
      <c r="F290" s="18">
        <v>11701</v>
      </c>
      <c r="G290" s="18">
        <v>12701</v>
      </c>
      <c r="H290" s="39" t="s">
        <v>4248</v>
      </c>
      <c r="I290" s="18">
        <v>1</v>
      </c>
      <c r="J290" s="18">
        <v>1</v>
      </c>
      <c r="K290" s="18">
        <v>31</v>
      </c>
      <c r="L290" s="18">
        <v>5</v>
      </c>
      <c r="M290" s="18">
        <v>0</v>
      </c>
      <c r="N290" s="18">
        <v>300</v>
      </c>
      <c r="O290" s="18">
        <v>10</v>
      </c>
      <c r="P290" s="18">
        <v>0</v>
      </c>
      <c r="Q290" s="18">
        <v>0</v>
      </c>
      <c r="R290" s="18">
        <v>0</v>
      </c>
      <c r="S290" s="39" t="s">
        <v>85</v>
      </c>
      <c r="T290" s="39" t="s">
        <v>4249</v>
      </c>
      <c r="U290" s="95" t="s">
        <v>4304</v>
      </c>
      <c r="V290" s="39">
        <v>101</v>
      </c>
      <c r="W290" s="18">
        <v>0</v>
      </c>
      <c r="X290" s="18">
        <v>0</v>
      </c>
      <c r="Y290" s="18">
        <v>0</v>
      </c>
      <c r="Z290" s="18">
        <v>0</v>
      </c>
      <c r="AA290" s="18">
        <v>0</v>
      </c>
      <c r="AB290" s="18"/>
      <c r="AC290" s="18">
        <v>1026</v>
      </c>
      <c r="AD290" s="18">
        <v>0</v>
      </c>
      <c r="AE290" s="18">
        <v>0</v>
      </c>
      <c r="AF290" s="18">
        <v>4</v>
      </c>
      <c r="AG290" s="18">
        <v>0</v>
      </c>
      <c r="AH290" s="18">
        <v>0</v>
      </c>
      <c r="AI290" s="18">
        <v>0</v>
      </c>
    </row>
    <row r="291" spans="2:35" x14ac:dyDescent="0.2">
      <c r="B291" t="s">
        <v>4250</v>
      </c>
      <c r="E291" s="18">
        <v>14895</v>
      </c>
      <c r="F291" s="18">
        <v>11702</v>
      </c>
      <c r="G291" s="18">
        <v>12702</v>
      </c>
      <c r="H291" s="39" t="s">
        <v>4251</v>
      </c>
      <c r="I291" s="18">
        <v>1</v>
      </c>
      <c r="J291" s="18">
        <v>1</v>
      </c>
      <c r="K291" s="18">
        <v>31</v>
      </c>
      <c r="L291" s="18">
        <v>5</v>
      </c>
      <c r="M291" s="18">
        <v>0</v>
      </c>
      <c r="N291" s="18">
        <v>300</v>
      </c>
      <c r="O291" s="18">
        <v>10</v>
      </c>
      <c r="P291" s="18">
        <v>0</v>
      </c>
      <c r="Q291" s="18">
        <v>0</v>
      </c>
      <c r="R291" s="18">
        <v>0</v>
      </c>
      <c r="S291" s="39" t="s">
        <v>85</v>
      </c>
      <c r="T291" s="39" t="s">
        <v>4252</v>
      </c>
      <c r="U291" s="95" t="s">
        <v>4292</v>
      </c>
      <c r="V291" s="39">
        <v>101</v>
      </c>
      <c r="W291" s="18">
        <v>0</v>
      </c>
      <c r="X291" s="18">
        <v>0</v>
      </c>
      <c r="Y291" s="18">
        <v>0</v>
      </c>
      <c r="Z291" s="18">
        <v>0</v>
      </c>
      <c r="AA291" s="18">
        <v>0</v>
      </c>
      <c r="AB291" s="18"/>
      <c r="AC291" s="18">
        <v>1026</v>
      </c>
      <c r="AD291" s="18">
        <v>0</v>
      </c>
      <c r="AE291" s="18">
        <v>0</v>
      </c>
      <c r="AF291" s="18">
        <v>3</v>
      </c>
      <c r="AG291" s="18">
        <v>0</v>
      </c>
      <c r="AH291" s="18">
        <v>0</v>
      </c>
      <c r="AI291" s="18">
        <v>0</v>
      </c>
    </row>
    <row r="292" spans="2:35" x14ac:dyDescent="0.2">
      <c r="B292" t="s">
        <v>4253</v>
      </c>
      <c r="E292" s="18">
        <v>14896</v>
      </c>
      <c r="F292" s="18">
        <v>11703</v>
      </c>
      <c r="G292" s="18">
        <v>12703</v>
      </c>
      <c r="H292" s="39" t="s">
        <v>4268</v>
      </c>
      <c r="I292" s="18">
        <v>2</v>
      </c>
      <c r="J292" s="18">
        <v>3</v>
      </c>
      <c r="K292" s="18">
        <v>22</v>
      </c>
      <c r="L292" s="18">
        <v>5</v>
      </c>
      <c r="M292" s="18">
        <v>0</v>
      </c>
      <c r="N292" s="18">
        <v>300</v>
      </c>
      <c r="O292" s="18">
        <v>10</v>
      </c>
      <c r="P292" s="18">
        <v>0</v>
      </c>
      <c r="Q292" s="18">
        <v>0</v>
      </c>
      <c r="R292" s="18">
        <v>0</v>
      </c>
      <c r="S292" s="39" t="s">
        <v>2837</v>
      </c>
      <c r="T292" s="39" t="s">
        <v>4281</v>
      </c>
      <c r="U292" s="95" t="s">
        <v>4832</v>
      </c>
      <c r="V292" s="39">
        <v>101</v>
      </c>
      <c r="W292" s="18">
        <v>0</v>
      </c>
      <c r="X292" s="18">
        <v>0</v>
      </c>
      <c r="Y292" s="18">
        <v>0</v>
      </c>
      <c r="Z292" s="18">
        <v>0</v>
      </c>
      <c r="AA292" s="18">
        <v>0</v>
      </c>
      <c r="AB292" s="18"/>
      <c r="AC292" s="18">
        <v>1022</v>
      </c>
      <c r="AD292" s="18">
        <v>0</v>
      </c>
      <c r="AE292" s="18">
        <v>0</v>
      </c>
      <c r="AF292" s="18">
        <v>1</v>
      </c>
      <c r="AG292" s="18">
        <v>0</v>
      </c>
      <c r="AH292" s="18">
        <v>0</v>
      </c>
      <c r="AI292" s="18">
        <v>0</v>
      </c>
    </row>
    <row r="293" spans="2:35" x14ac:dyDescent="0.2">
      <c r="B293" t="s">
        <v>4254</v>
      </c>
      <c r="E293" s="18">
        <v>14897</v>
      </c>
      <c r="F293" s="18">
        <v>11704</v>
      </c>
      <c r="G293" s="18">
        <v>12704</v>
      </c>
      <c r="H293" s="39" t="s">
        <v>4269</v>
      </c>
      <c r="I293" s="18">
        <v>2</v>
      </c>
      <c r="J293" s="18">
        <v>3</v>
      </c>
      <c r="K293" s="18">
        <v>22</v>
      </c>
      <c r="L293" s="18">
        <v>5</v>
      </c>
      <c r="M293" s="18">
        <v>0</v>
      </c>
      <c r="N293" s="18">
        <v>300</v>
      </c>
      <c r="O293" s="18">
        <v>10</v>
      </c>
      <c r="P293" s="18">
        <v>0</v>
      </c>
      <c r="Q293" s="18">
        <v>0</v>
      </c>
      <c r="R293" s="18">
        <v>0</v>
      </c>
      <c r="S293" s="39" t="s">
        <v>2837</v>
      </c>
      <c r="T293" s="39" t="s">
        <v>4282</v>
      </c>
      <c r="U293" s="95" t="s">
        <v>4287</v>
      </c>
      <c r="V293" s="39">
        <v>101</v>
      </c>
      <c r="W293" s="18">
        <v>0</v>
      </c>
      <c r="X293" s="18">
        <v>0</v>
      </c>
      <c r="Y293" s="18">
        <v>0</v>
      </c>
      <c r="Z293" s="18">
        <v>0</v>
      </c>
      <c r="AA293" s="18">
        <v>0</v>
      </c>
      <c r="AB293" s="18"/>
      <c r="AC293" s="18">
        <v>1022</v>
      </c>
      <c r="AD293" s="18">
        <v>0</v>
      </c>
      <c r="AE293" s="18">
        <v>0</v>
      </c>
      <c r="AF293" s="18">
        <v>1</v>
      </c>
      <c r="AG293" s="18">
        <v>0</v>
      </c>
      <c r="AH293" s="18">
        <v>0</v>
      </c>
      <c r="AI293" s="18">
        <v>0</v>
      </c>
    </row>
    <row r="294" spans="2:35" x14ac:dyDescent="0.2">
      <c r="B294" t="s">
        <v>4255</v>
      </c>
      <c r="E294" s="18">
        <v>14898</v>
      </c>
      <c r="F294" s="18">
        <v>11705</v>
      </c>
      <c r="G294" s="18">
        <v>12705</v>
      </c>
      <c r="H294" s="39" t="s">
        <v>4270</v>
      </c>
      <c r="I294" s="18">
        <v>2</v>
      </c>
      <c r="J294" s="18">
        <v>3</v>
      </c>
      <c r="K294" s="18">
        <v>22</v>
      </c>
      <c r="L294" s="18">
        <v>5</v>
      </c>
      <c r="M294" s="18">
        <v>0</v>
      </c>
      <c r="N294" s="18">
        <v>300</v>
      </c>
      <c r="O294" s="18">
        <v>10</v>
      </c>
      <c r="P294" s="18">
        <v>0</v>
      </c>
      <c r="Q294" s="18">
        <v>0</v>
      </c>
      <c r="R294" s="18">
        <v>0</v>
      </c>
      <c r="S294" s="39" t="s">
        <v>2837</v>
      </c>
      <c r="T294" s="39">
        <v>14398</v>
      </c>
      <c r="U294" s="95" t="s">
        <v>4256</v>
      </c>
      <c r="V294" s="39">
        <v>101</v>
      </c>
      <c r="W294" s="18">
        <v>0</v>
      </c>
      <c r="X294" s="18">
        <v>0</v>
      </c>
      <c r="Y294" s="18">
        <v>0</v>
      </c>
      <c r="Z294" s="18">
        <v>0</v>
      </c>
      <c r="AA294" s="18">
        <v>0</v>
      </c>
      <c r="AB294" s="18"/>
      <c r="AC294" s="18">
        <v>1022</v>
      </c>
      <c r="AD294" s="18">
        <v>0</v>
      </c>
      <c r="AE294" s="18">
        <v>0</v>
      </c>
      <c r="AF294" s="18">
        <v>1</v>
      </c>
      <c r="AG294" s="18">
        <v>0</v>
      </c>
      <c r="AH294" s="18">
        <v>0</v>
      </c>
      <c r="AI294" s="18">
        <v>0</v>
      </c>
    </row>
    <row r="295" spans="2:35" x14ac:dyDescent="0.2">
      <c r="B295" t="s">
        <v>4257</v>
      </c>
      <c r="E295" s="18">
        <v>14899</v>
      </c>
      <c r="F295" s="18">
        <v>11706</v>
      </c>
      <c r="G295" s="18">
        <v>12706</v>
      </c>
      <c r="H295" s="39" t="s">
        <v>4271</v>
      </c>
      <c r="I295" s="18">
        <v>2</v>
      </c>
      <c r="J295" s="18">
        <v>3</v>
      </c>
      <c r="K295" s="18">
        <v>22</v>
      </c>
      <c r="L295" s="18">
        <v>5</v>
      </c>
      <c r="M295" s="18">
        <v>0</v>
      </c>
      <c r="N295" s="18">
        <v>300</v>
      </c>
      <c r="O295" s="18">
        <v>10</v>
      </c>
      <c r="P295" s="18">
        <v>0</v>
      </c>
      <c r="Q295" s="18">
        <v>0</v>
      </c>
      <c r="R295" s="18">
        <v>0</v>
      </c>
      <c r="S295" s="39" t="s">
        <v>2837</v>
      </c>
      <c r="T295" s="39">
        <v>14399</v>
      </c>
      <c r="U295" s="95" t="s">
        <v>4258</v>
      </c>
      <c r="V295" s="39">
        <v>101</v>
      </c>
      <c r="W295" s="18">
        <v>0</v>
      </c>
      <c r="X295" s="18">
        <v>0</v>
      </c>
      <c r="Y295" s="18">
        <v>0</v>
      </c>
      <c r="Z295" s="18">
        <v>0</v>
      </c>
      <c r="AA295" s="18">
        <v>0</v>
      </c>
      <c r="AB295" s="18"/>
      <c r="AC295" s="18">
        <v>1022</v>
      </c>
      <c r="AD295" s="18">
        <v>0</v>
      </c>
      <c r="AE295" s="18">
        <v>0</v>
      </c>
      <c r="AF295" s="18">
        <v>2</v>
      </c>
      <c r="AG295" s="18">
        <v>0</v>
      </c>
      <c r="AH295" s="18">
        <v>0</v>
      </c>
      <c r="AI295" s="18">
        <v>0</v>
      </c>
    </row>
    <row r="296" spans="2:35" x14ac:dyDescent="0.2">
      <c r="B296" t="s">
        <v>4259</v>
      </c>
      <c r="E296" s="18">
        <v>14900</v>
      </c>
      <c r="F296" s="18">
        <v>11707</v>
      </c>
      <c r="G296" s="18">
        <v>12707</v>
      </c>
      <c r="H296" s="39" t="s">
        <v>4273</v>
      </c>
      <c r="I296" s="18">
        <v>2</v>
      </c>
      <c r="J296" s="18">
        <v>3</v>
      </c>
      <c r="K296" s="18">
        <v>22</v>
      </c>
      <c r="L296" s="18">
        <v>5</v>
      </c>
      <c r="M296" s="18">
        <v>0</v>
      </c>
      <c r="N296" s="18">
        <v>300</v>
      </c>
      <c r="O296" s="18">
        <v>10</v>
      </c>
      <c r="P296" s="18">
        <v>0</v>
      </c>
      <c r="Q296" s="18">
        <v>0</v>
      </c>
      <c r="R296" s="18">
        <v>0</v>
      </c>
      <c r="S296" s="39" t="s">
        <v>2837</v>
      </c>
      <c r="T296" s="39">
        <v>14400</v>
      </c>
      <c r="U296" s="95" t="s">
        <v>4286</v>
      </c>
      <c r="V296" s="39">
        <v>101</v>
      </c>
      <c r="W296" s="18">
        <v>0</v>
      </c>
      <c r="X296" s="18">
        <v>0</v>
      </c>
      <c r="Y296" s="18">
        <v>0</v>
      </c>
      <c r="Z296" s="18">
        <v>0</v>
      </c>
      <c r="AA296" s="18">
        <v>0</v>
      </c>
      <c r="AB296" s="18"/>
      <c r="AC296" s="18">
        <v>1022</v>
      </c>
      <c r="AD296" s="18">
        <v>0</v>
      </c>
      <c r="AE296" s="18">
        <v>0</v>
      </c>
      <c r="AF296" s="18">
        <v>5</v>
      </c>
      <c r="AG296" s="18">
        <v>0</v>
      </c>
      <c r="AH296" s="18">
        <v>0</v>
      </c>
      <c r="AI296" s="18">
        <v>0</v>
      </c>
    </row>
    <row r="297" spans="2:35" x14ac:dyDescent="0.2">
      <c r="B297" t="s">
        <v>4260</v>
      </c>
      <c r="E297" s="18">
        <v>14901</v>
      </c>
      <c r="F297" s="18">
        <v>11708</v>
      </c>
      <c r="G297" s="18">
        <v>12708</v>
      </c>
      <c r="H297" s="39" t="s">
        <v>4272</v>
      </c>
      <c r="I297" s="18">
        <v>2</v>
      </c>
      <c r="J297" s="18">
        <v>3</v>
      </c>
      <c r="K297" s="18">
        <v>22</v>
      </c>
      <c r="L297" s="18">
        <v>5</v>
      </c>
      <c r="M297" s="18">
        <v>0</v>
      </c>
      <c r="N297" s="18">
        <v>300</v>
      </c>
      <c r="O297" s="18">
        <v>10</v>
      </c>
      <c r="P297" s="18">
        <v>0</v>
      </c>
      <c r="Q297" s="18">
        <v>0</v>
      </c>
      <c r="R297" s="18">
        <v>0</v>
      </c>
      <c r="S297" s="39" t="s">
        <v>2837</v>
      </c>
      <c r="T297" s="39">
        <v>14401</v>
      </c>
      <c r="U297" s="95" t="s">
        <v>4285</v>
      </c>
      <c r="V297" s="39">
        <v>101</v>
      </c>
      <c r="W297" s="18">
        <v>0</v>
      </c>
      <c r="X297" s="18">
        <v>0</v>
      </c>
      <c r="Y297" s="18">
        <v>0</v>
      </c>
      <c r="Z297" s="18">
        <v>0</v>
      </c>
      <c r="AA297" s="18">
        <v>0</v>
      </c>
      <c r="AB297" s="18"/>
      <c r="AC297" s="18">
        <v>1022</v>
      </c>
      <c r="AD297" s="18">
        <v>0</v>
      </c>
      <c r="AE297" s="18">
        <v>0</v>
      </c>
      <c r="AF297" s="18">
        <v>4</v>
      </c>
      <c r="AG297" s="18">
        <v>0</v>
      </c>
      <c r="AH297" s="18">
        <v>0</v>
      </c>
      <c r="AI297" s="18">
        <v>0</v>
      </c>
    </row>
    <row r="298" spans="2:35" x14ac:dyDescent="0.2">
      <c r="B298" t="s">
        <v>4261</v>
      </c>
      <c r="E298" s="18">
        <v>14902</v>
      </c>
      <c r="F298" s="18">
        <v>11709</v>
      </c>
      <c r="G298" s="18">
        <v>12709</v>
      </c>
      <c r="H298" s="39" t="s">
        <v>4274</v>
      </c>
      <c r="I298" s="18">
        <v>2</v>
      </c>
      <c r="J298" s="18">
        <v>3</v>
      </c>
      <c r="K298" s="18">
        <v>22</v>
      </c>
      <c r="L298" s="18">
        <v>5</v>
      </c>
      <c r="M298" s="18">
        <v>0</v>
      </c>
      <c r="N298" s="18">
        <v>300</v>
      </c>
      <c r="O298" s="18">
        <v>10</v>
      </c>
      <c r="P298" s="18">
        <v>0</v>
      </c>
      <c r="Q298" s="18">
        <v>0</v>
      </c>
      <c r="R298" s="18">
        <v>0</v>
      </c>
      <c r="S298" s="39" t="s">
        <v>2837</v>
      </c>
      <c r="T298" s="39">
        <v>14402</v>
      </c>
      <c r="U298" s="95" t="s">
        <v>4305</v>
      </c>
      <c r="V298" s="39">
        <v>101</v>
      </c>
      <c r="W298" s="18">
        <v>0</v>
      </c>
      <c r="X298" s="18">
        <v>0</v>
      </c>
      <c r="Y298" s="18">
        <v>0</v>
      </c>
      <c r="Z298" s="18">
        <v>0</v>
      </c>
      <c r="AA298" s="18">
        <v>0</v>
      </c>
      <c r="AB298" s="18"/>
      <c r="AC298" s="18">
        <v>1022</v>
      </c>
      <c r="AD298" s="18">
        <v>0</v>
      </c>
      <c r="AE298" s="18">
        <v>0</v>
      </c>
      <c r="AF298" s="18">
        <v>3</v>
      </c>
      <c r="AG298" s="18">
        <v>0</v>
      </c>
      <c r="AH298" s="18">
        <v>0</v>
      </c>
      <c r="AI298" s="18">
        <v>0</v>
      </c>
    </row>
    <row r="299" spans="2:35" x14ac:dyDescent="0.2">
      <c r="B299" t="s">
        <v>4262</v>
      </c>
      <c r="E299" s="18">
        <v>14903</v>
      </c>
      <c r="F299" s="18">
        <v>11710</v>
      </c>
      <c r="G299" s="18">
        <v>12710</v>
      </c>
      <c r="H299" s="39" t="s">
        <v>4275</v>
      </c>
      <c r="I299" s="18">
        <v>2</v>
      </c>
      <c r="J299" s="18">
        <v>3</v>
      </c>
      <c r="K299" s="18">
        <v>22</v>
      </c>
      <c r="L299" s="18">
        <v>5</v>
      </c>
      <c r="M299" s="18">
        <v>0</v>
      </c>
      <c r="N299" s="18">
        <v>300</v>
      </c>
      <c r="O299" s="18">
        <v>10</v>
      </c>
      <c r="P299" s="18">
        <v>0</v>
      </c>
      <c r="Q299" s="18">
        <v>0</v>
      </c>
      <c r="R299" s="18">
        <v>0</v>
      </c>
      <c r="S299" s="39" t="s">
        <v>2837</v>
      </c>
      <c r="T299" s="39">
        <v>14403</v>
      </c>
      <c r="U299" s="95" t="s">
        <v>4284</v>
      </c>
      <c r="V299" s="39">
        <v>101</v>
      </c>
      <c r="W299" s="18">
        <v>0</v>
      </c>
      <c r="X299" s="18">
        <v>0</v>
      </c>
      <c r="Y299" s="18">
        <v>0</v>
      </c>
      <c r="Z299" s="18">
        <v>0</v>
      </c>
      <c r="AA299" s="18">
        <v>0</v>
      </c>
      <c r="AB299" s="18"/>
      <c r="AC299" s="18">
        <v>1022</v>
      </c>
      <c r="AD299" s="18">
        <v>0</v>
      </c>
      <c r="AE299" s="18">
        <v>0</v>
      </c>
      <c r="AF299" s="18">
        <v>0</v>
      </c>
      <c r="AG299" s="18">
        <v>0</v>
      </c>
      <c r="AH299" s="18">
        <v>0</v>
      </c>
      <c r="AI299" s="18">
        <v>0</v>
      </c>
    </row>
    <row r="300" spans="2:35" x14ac:dyDescent="0.2">
      <c r="B300" t="s">
        <v>4263</v>
      </c>
      <c r="E300" s="18">
        <v>14904</v>
      </c>
      <c r="F300" s="18">
        <v>11711</v>
      </c>
      <c r="G300" s="18">
        <v>12711</v>
      </c>
      <c r="H300" s="39" t="s">
        <v>4276</v>
      </c>
      <c r="I300" s="18">
        <v>2</v>
      </c>
      <c r="J300" s="18">
        <v>3</v>
      </c>
      <c r="K300" s="18">
        <v>22</v>
      </c>
      <c r="L300" s="18">
        <v>5</v>
      </c>
      <c r="M300" s="18">
        <v>0</v>
      </c>
      <c r="N300" s="18">
        <v>300</v>
      </c>
      <c r="O300" s="18">
        <v>10</v>
      </c>
      <c r="P300" s="18">
        <v>0</v>
      </c>
      <c r="Q300" s="18">
        <v>0</v>
      </c>
      <c r="R300" s="18">
        <v>0</v>
      </c>
      <c r="S300" s="39" t="s">
        <v>2837</v>
      </c>
      <c r="T300" s="39">
        <v>14404</v>
      </c>
      <c r="U300" s="95" t="s">
        <v>4298</v>
      </c>
      <c r="V300" s="39">
        <v>101</v>
      </c>
      <c r="W300" s="18">
        <v>0</v>
      </c>
      <c r="X300" s="18">
        <v>0</v>
      </c>
      <c r="Y300" s="18">
        <v>0</v>
      </c>
      <c r="Z300" s="18">
        <v>0</v>
      </c>
      <c r="AA300" s="18">
        <v>0</v>
      </c>
      <c r="AB300" s="18"/>
      <c r="AC300" s="18">
        <v>1022</v>
      </c>
      <c r="AD300" s="18">
        <v>0</v>
      </c>
      <c r="AE300" s="18">
        <v>0</v>
      </c>
      <c r="AF300" s="18">
        <v>1</v>
      </c>
      <c r="AG300" s="18">
        <v>0</v>
      </c>
      <c r="AH300" s="18">
        <v>0</v>
      </c>
      <c r="AI300" s="18">
        <v>0</v>
      </c>
    </row>
    <row r="301" spans="2:35" x14ac:dyDescent="0.2">
      <c r="B301" t="s">
        <v>4264</v>
      </c>
      <c r="E301" s="18">
        <v>14905</v>
      </c>
      <c r="F301" s="18">
        <v>11712</v>
      </c>
      <c r="G301" s="18">
        <v>12712</v>
      </c>
      <c r="H301" s="39" t="s">
        <v>4277</v>
      </c>
      <c r="I301" s="18">
        <v>2</v>
      </c>
      <c r="J301" s="18">
        <v>3</v>
      </c>
      <c r="K301" s="18">
        <v>22</v>
      </c>
      <c r="L301" s="18">
        <v>5</v>
      </c>
      <c r="M301" s="18">
        <v>0</v>
      </c>
      <c r="N301" s="18">
        <v>300</v>
      </c>
      <c r="O301" s="18">
        <v>10</v>
      </c>
      <c r="P301" s="18">
        <v>0</v>
      </c>
      <c r="Q301" s="18">
        <v>0</v>
      </c>
      <c r="R301" s="18">
        <v>0</v>
      </c>
      <c r="S301" s="39" t="s">
        <v>2837</v>
      </c>
      <c r="T301" s="39">
        <v>14405</v>
      </c>
      <c r="U301" s="95" t="s">
        <v>4283</v>
      </c>
      <c r="V301" s="39">
        <v>101</v>
      </c>
      <c r="W301" s="18">
        <v>0</v>
      </c>
      <c r="X301" s="18">
        <v>0</v>
      </c>
      <c r="Y301" s="18">
        <v>0</v>
      </c>
      <c r="Z301" s="18">
        <v>0</v>
      </c>
      <c r="AA301" s="18">
        <v>0</v>
      </c>
      <c r="AB301" s="18"/>
      <c r="AC301" s="18">
        <v>1022</v>
      </c>
      <c r="AD301" s="18">
        <v>0</v>
      </c>
      <c r="AE301" s="18">
        <v>0</v>
      </c>
      <c r="AF301" s="18">
        <v>1</v>
      </c>
      <c r="AG301" s="18">
        <v>0</v>
      </c>
      <c r="AH301" s="18">
        <v>0</v>
      </c>
      <c r="AI301" s="18">
        <v>0</v>
      </c>
    </row>
    <row r="302" spans="2:35" x14ac:dyDescent="0.2">
      <c r="B302" t="s">
        <v>4315</v>
      </c>
      <c r="E302" s="18">
        <v>14906</v>
      </c>
      <c r="F302" s="18">
        <v>11713</v>
      </c>
      <c r="G302" s="18">
        <v>12713</v>
      </c>
      <c r="H302" s="39" t="s">
        <v>4316</v>
      </c>
      <c r="I302" s="18">
        <v>2</v>
      </c>
      <c r="J302" s="18">
        <v>3</v>
      </c>
      <c r="K302" s="18">
        <v>22</v>
      </c>
      <c r="L302" s="18">
        <v>5</v>
      </c>
      <c r="M302" s="18">
        <v>0</v>
      </c>
      <c r="N302" s="18">
        <v>300</v>
      </c>
      <c r="O302" s="18">
        <v>10</v>
      </c>
      <c r="P302" s="18">
        <v>0</v>
      </c>
      <c r="Q302" s="18">
        <v>0</v>
      </c>
      <c r="R302" s="18">
        <v>0</v>
      </c>
      <c r="S302" s="39" t="s">
        <v>2837</v>
      </c>
      <c r="T302" s="39">
        <v>14406</v>
      </c>
      <c r="U302" s="95" t="s">
        <v>4830</v>
      </c>
      <c r="V302" s="39">
        <v>101</v>
      </c>
      <c r="W302" s="18">
        <v>0</v>
      </c>
      <c r="X302" s="18">
        <v>0</v>
      </c>
      <c r="Y302" s="18">
        <v>0</v>
      </c>
      <c r="Z302" s="18">
        <v>0</v>
      </c>
      <c r="AA302" s="18">
        <v>0</v>
      </c>
      <c r="AB302" s="18"/>
      <c r="AC302" s="18">
        <v>1022</v>
      </c>
      <c r="AD302" s="18">
        <v>0</v>
      </c>
      <c r="AE302" s="18">
        <v>0</v>
      </c>
      <c r="AF302" s="18">
        <v>1</v>
      </c>
      <c r="AG302" s="18">
        <v>0</v>
      </c>
      <c r="AH302" s="18">
        <v>0</v>
      </c>
      <c r="AI302" s="18">
        <v>0</v>
      </c>
    </row>
    <row r="303" spans="2:35" x14ac:dyDescent="0.2">
      <c r="B303" t="s">
        <v>4317</v>
      </c>
      <c r="E303" s="18">
        <v>14907</v>
      </c>
      <c r="F303" s="18">
        <v>11714</v>
      </c>
      <c r="G303" s="18">
        <v>12714</v>
      </c>
      <c r="H303" s="39" t="s">
        <v>4336</v>
      </c>
      <c r="I303" s="18">
        <v>1</v>
      </c>
      <c r="J303" s="18">
        <v>4</v>
      </c>
      <c r="K303" s="18">
        <v>8</v>
      </c>
      <c r="L303" s="18">
        <v>5</v>
      </c>
      <c r="M303" s="18">
        <v>0</v>
      </c>
      <c r="N303" s="18">
        <v>300</v>
      </c>
      <c r="O303" s="18">
        <v>10</v>
      </c>
      <c r="P303" s="18">
        <v>0</v>
      </c>
      <c r="Q303" s="18">
        <v>0</v>
      </c>
      <c r="R303" s="18">
        <v>0</v>
      </c>
      <c r="S303" s="39" t="s">
        <v>3664</v>
      </c>
      <c r="T303" s="39">
        <v>14407</v>
      </c>
      <c r="U303" s="95" t="s">
        <v>4331</v>
      </c>
      <c r="V303" s="39">
        <v>101</v>
      </c>
      <c r="W303" s="18">
        <v>10006</v>
      </c>
      <c r="X303" s="18"/>
      <c r="Y303" s="18">
        <v>1200</v>
      </c>
      <c r="Z303" s="18">
        <v>0</v>
      </c>
      <c r="AA303" s="18">
        <v>1091302</v>
      </c>
      <c r="AB303" s="18" t="s">
        <v>4646</v>
      </c>
      <c r="AC303" s="18">
        <v>1013</v>
      </c>
      <c r="AD303" s="18">
        <v>0</v>
      </c>
      <c r="AE303" s="18">
        <v>0</v>
      </c>
      <c r="AF303" s="18">
        <v>1</v>
      </c>
      <c r="AG303" s="18">
        <v>0</v>
      </c>
      <c r="AH303" s="18">
        <v>0</v>
      </c>
      <c r="AI303" s="18">
        <v>0</v>
      </c>
    </row>
    <row r="304" spans="2:35" x14ac:dyDescent="0.2">
      <c r="B304" t="s">
        <v>4318</v>
      </c>
      <c r="E304" s="18">
        <v>14908</v>
      </c>
      <c r="F304" s="18">
        <v>11715</v>
      </c>
      <c r="G304" s="18">
        <v>12715</v>
      </c>
      <c r="H304" s="39" t="s">
        <v>4339</v>
      </c>
      <c r="I304" s="18">
        <v>1</v>
      </c>
      <c r="J304" s="18">
        <v>3</v>
      </c>
      <c r="K304" s="18">
        <v>4</v>
      </c>
      <c r="L304" s="18">
        <v>5</v>
      </c>
      <c r="M304" s="18">
        <v>0</v>
      </c>
      <c r="N304" s="18">
        <v>300</v>
      </c>
      <c r="O304" s="18">
        <v>10</v>
      </c>
      <c r="P304" s="18">
        <v>0</v>
      </c>
      <c r="Q304" s="18">
        <v>0</v>
      </c>
      <c r="R304" s="18">
        <v>0</v>
      </c>
      <c r="S304" s="39" t="s">
        <v>3666</v>
      </c>
      <c r="T304" s="39">
        <v>14408</v>
      </c>
      <c r="U304" s="95" t="s">
        <v>4332</v>
      </c>
      <c r="V304" s="39">
        <v>101</v>
      </c>
      <c r="W304" s="18">
        <v>10024</v>
      </c>
      <c r="X304" s="18">
        <v>0</v>
      </c>
      <c r="Y304" s="18">
        <v>800</v>
      </c>
      <c r="Z304" s="18">
        <v>0</v>
      </c>
      <c r="AA304" s="18">
        <v>1090501</v>
      </c>
      <c r="AB304" s="18" t="s">
        <v>4644</v>
      </c>
      <c r="AC304" s="18">
        <v>1001</v>
      </c>
      <c r="AD304" s="18">
        <v>0</v>
      </c>
      <c r="AE304" s="18">
        <v>0</v>
      </c>
      <c r="AF304" s="18">
        <v>1</v>
      </c>
      <c r="AG304" s="18">
        <v>0</v>
      </c>
      <c r="AH304" s="18">
        <v>0</v>
      </c>
      <c r="AI304" s="18">
        <v>0</v>
      </c>
    </row>
    <row r="305" spans="2:35" x14ac:dyDescent="0.2">
      <c r="B305" t="s">
        <v>4319</v>
      </c>
      <c r="E305" s="18">
        <v>14909</v>
      </c>
      <c r="F305" s="18">
        <v>11716</v>
      </c>
      <c r="G305" s="18">
        <v>12716</v>
      </c>
      <c r="H305" s="39" t="s">
        <v>4340</v>
      </c>
      <c r="I305" s="18">
        <v>2</v>
      </c>
      <c r="J305" s="18">
        <v>3</v>
      </c>
      <c r="K305" s="18">
        <v>9</v>
      </c>
      <c r="L305" s="18">
        <v>5</v>
      </c>
      <c r="M305" s="18">
        <v>0</v>
      </c>
      <c r="N305" s="18">
        <v>300</v>
      </c>
      <c r="O305" s="18">
        <v>10</v>
      </c>
      <c r="P305" s="18">
        <v>0</v>
      </c>
      <c r="Q305" s="18">
        <v>0</v>
      </c>
      <c r="R305" s="18">
        <v>0</v>
      </c>
      <c r="S305" s="39" t="s">
        <v>3671</v>
      </c>
      <c r="T305" s="39">
        <v>14409</v>
      </c>
      <c r="U305" s="95" t="s">
        <v>4333</v>
      </c>
      <c r="V305" s="39">
        <v>101</v>
      </c>
      <c r="W305" s="18">
        <v>10026</v>
      </c>
      <c r="X305" s="18">
        <v>0</v>
      </c>
      <c r="Y305" s="18">
        <v>1400</v>
      </c>
      <c r="Z305" s="18">
        <v>0</v>
      </c>
      <c r="AA305" s="18">
        <v>1091701</v>
      </c>
      <c r="AB305" s="18" t="s">
        <v>4647</v>
      </c>
      <c r="AC305" s="18">
        <v>1017</v>
      </c>
      <c r="AD305" s="18">
        <v>0</v>
      </c>
      <c r="AE305" s="18">
        <v>0</v>
      </c>
      <c r="AF305" s="18">
        <v>4</v>
      </c>
      <c r="AG305" s="18">
        <v>0</v>
      </c>
      <c r="AH305" s="18">
        <v>0</v>
      </c>
      <c r="AI305" s="18">
        <v>0</v>
      </c>
    </row>
    <row r="306" spans="2:35" x14ac:dyDescent="0.2">
      <c r="B306" t="s">
        <v>4323</v>
      </c>
      <c r="E306" s="18">
        <v>14910</v>
      </c>
      <c r="F306" s="18">
        <v>11717</v>
      </c>
      <c r="G306" s="18">
        <v>12717</v>
      </c>
      <c r="H306" s="39" t="s">
        <v>4338</v>
      </c>
      <c r="I306" s="18">
        <v>1</v>
      </c>
      <c r="J306" s="18">
        <v>4</v>
      </c>
      <c r="K306" s="18">
        <v>8</v>
      </c>
      <c r="L306" s="18">
        <v>5</v>
      </c>
      <c r="M306" s="18">
        <v>0</v>
      </c>
      <c r="N306" s="18">
        <v>300</v>
      </c>
      <c r="O306" s="18">
        <v>10</v>
      </c>
      <c r="P306" s="18">
        <v>0</v>
      </c>
      <c r="Q306" s="18">
        <v>0</v>
      </c>
      <c r="R306" s="18">
        <v>0</v>
      </c>
      <c r="S306" s="39" t="s">
        <v>3664</v>
      </c>
      <c r="T306" s="39" t="s">
        <v>4350</v>
      </c>
      <c r="U306" s="95" t="s">
        <v>4342</v>
      </c>
      <c r="V306" s="39">
        <v>101</v>
      </c>
      <c r="W306" s="18">
        <v>10003</v>
      </c>
      <c r="X306" s="18"/>
      <c r="Y306" s="18">
        <v>1500</v>
      </c>
      <c r="Z306" s="18">
        <v>0</v>
      </c>
      <c r="AA306" s="18">
        <v>1091302</v>
      </c>
      <c r="AB306" s="18" t="s">
        <v>4646</v>
      </c>
      <c r="AC306" s="18">
        <v>1013</v>
      </c>
      <c r="AD306" s="18">
        <v>0</v>
      </c>
      <c r="AE306" s="18">
        <v>0</v>
      </c>
      <c r="AF306" s="18">
        <v>4</v>
      </c>
      <c r="AG306" s="18">
        <v>0</v>
      </c>
      <c r="AH306" s="18">
        <v>0</v>
      </c>
      <c r="AI306" s="18">
        <v>0</v>
      </c>
    </row>
    <row r="307" spans="2:35" x14ac:dyDescent="0.2">
      <c r="B307" t="s">
        <v>4320</v>
      </c>
      <c r="E307" s="18">
        <v>14911</v>
      </c>
      <c r="F307" s="18">
        <v>11718</v>
      </c>
      <c r="G307" s="18">
        <v>12718</v>
      </c>
      <c r="H307" s="39">
        <v>10505</v>
      </c>
      <c r="I307" s="18">
        <v>2</v>
      </c>
      <c r="J307" s="18">
        <v>3</v>
      </c>
      <c r="K307" s="18">
        <v>6</v>
      </c>
      <c r="L307" s="18">
        <v>5</v>
      </c>
      <c r="M307" s="18">
        <v>0</v>
      </c>
      <c r="N307" s="18">
        <v>300</v>
      </c>
      <c r="O307" s="18">
        <v>10</v>
      </c>
      <c r="P307" s="18">
        <v>0</v>
      </c>
      <c r="Q307" s="18">
        <v>0</v>
      </c>
      <c r="R307" s="18">
        <v>0</v>
      </c>
      <c r="S307" s="39" t="s">
        <v>3668</v>
      </c>
      <c r="T307" s="39">
        <v>14411</v>
      </c>
      <c r="U307" s="95" t="s">
        <v>4349</v>
      </c>
      <c r="V307" s="39">
        <v>101</v>
      </c>
      <c r="W307" s="18">
        <v>10055</v>
      </c>
      <c r="X307" s="18">
        <v>0</v>
      </c>
      <c r="Y307" s="18">
        <v>1400</v>
      </c>
      <c r="Z307" s="18">
        <v>0</v>
      </c>
      <c r="AA307" s="18">
        <v>1091021</v>
      </c>
      <c r="AB307" s="18" t="s">
        <v>4645</v>
      </c>
      <c r="AC307" s="18">
        <v>1004</v>
      </c>
      <c r="AD307" s="18">
        <v>0</v>
      </c>
      <c r="AE307" s="18">
        <v>0</v>
      </c>
      <c r="AF307" s="18">
        <v>4</v>
      </c>
      <c r="AG307" s="18">
        <v>0</v>
      </c>
      <c r="AH307" s="18">
        <v>0</v>
      </c>
      <c r="AI307" s="18">
        <v>0</v>
      </c>
    </row>
    <row r="308" spans="2:35" x14ac:dyDescent="0.2">
      <c r="B308" t="s">
        <v>4321</v>
      </c>
      <c r="E308" s="18">
        <v>14912</v>
      </c>
      <c r="F308" s="18">
        <v>11719</v>
      </c>
      <c r="G308" s="18">
        <v>12719</v>
      </c>
      <c r="H308" s="39" t="s">
        <v>4337</v>
      </c>
      <c r="I308" s="18">
        <v>1</v>
      </c>
      <c r="J308" s="18">
        <v>4</v>
      </c>
      <c r="K308" s="18">
        <v>8</v>
      </c>
      <c r="L308" s="18">
        <v>5</v>
      </c>
      <c r="M308" s="18">
        <v>0</v>
      </c>
      <c r="N308" s="18">
        <v>300</v>
      </c>
      <c r="O308" s="18">
        <v>10</v>
      </c>
      <c r="P308" s="18">
        <v>3</v>
      </c>
      <c r="Q308" s="18">
        <v>3</v>
      </c>
      <c r="R308" s="18">
        <v>0</v>
      </c>
      <c r="S308" s="39" t="s">
        <v>3664</v>
      </c>
      <c r="T308" s="39">
        <v>14412</v>
      </c>
      <c r="U308" s="95" t="s">
        <v>4334</v>
      </c>
      <c r="V308" s="39">
        <v>101</v>
      </c>
      <c r="W308" s="18">
        <v>10004</v>
      </c>
      <c r="X308" s="18"/>
      <c r="Y308" s="18">
        <v>1500</v>
      </c>
      <c r="Z308" s="18">
        <v>0</v>
      </c>
      <c r="AA308" s="18">
        <v>1091302</v>
      </c>
      <c r="AB308" s="18" t="s">
        <v>4646</v>
      </c>
      <c r="AC308" s="18">
        <v>1013</v>
      </c>
      <c r="AD308" s="18">
        <v>0</v>
      </c>
      <c r="AE308" s="18">
        <v>0</v>
      </c>
      <c r="AF308" s="18">
        <v>2</v>
      </c>
      <c r="AG308" s="18">
        <v>0</v>
      </c>
      <c r="AH308" s="18">
        <v>0</v>
      </c>
      <c r="AI308" s="18">
        <v>0</v>
      </c>
    </row>
    <row r="309" spans="2:35" x14ac:dyDescent="0.2">
      <c r="B309" t="s">
        <v>4322</v>
      </c>
      <c r="E309" s="18">
        <v>14913</v>
      </c>
      <c r="F309" s="18">
        <v>11720</v>
      </c>
      <c r="G309" s="18">
        <v>12720</v>
      </c>
      <c r="H309" s="39" t="s">
        <v>3624</v>
      </c>
      <c r="I309" s="18">
        <v>2</v>
      </c>
      <c r="J309" s="18">
        <v>3</v>
      </c>
      <c r="K309" s="18">
        <v>9</v>
      </c>
      <c r="L309" s="18">
        <v>5</v>
      </c>
      <c r="M309" s="18">
        <v>0</v>
      </c>
      <c r="N309" s="18">
        <v>300</v>
      </c>
      <c r="O309" s="18">
        <v>10</v>
      </c>
      <c r="P309" s="18">
        <v>0</v>
      </c>
      <c r="Q309" s="18">
        <v>0</v>
      </c>
      <c r="R309" s="18">
        <v>0</v>
      </c>
      <c r="S309" s="39" t="s">
        <v>3671</v>
      </c>
      <c r="T309" s="39">
        <v>14413</v>
      </c>
      <c r="U309" s="95" t="s">
        <v>4335</v>
      </c>
      <c r="V309" s="39">
        <v>101</v>
      </c>
      <c r="W309" s="18">
        <v>10026</v>
      </c>
      <c r="X309" s="18">
        <v>0</v>
      </c>
      <c r="Y309" s="18">
        <v>1400</v>
      </c>
      <c r="Z309" s="18">
        <v>0</v>
      </c>
      <c r="AA309" s="18">
        <v>1091701</v>
      </c>
      <c r="AB309" s="18" t="s">
        <v>4647</v>
      </c>
      <c r="AC309" s="18">
        <v>1017</v>
      </c>
      <c r="AD309" s="18">
        <v>0</v>
      </c>
      <c r="AE309" s="18">
        <v>0</v>
      </c>
      <c r="AF309" s="18">
        <v>2</v>
      </c>
      <c r="AG309" s="18">
        <v>0</v>
      </c>
      <c r="AH309" s="18">
        <v>0</v>
      </c>
      <c r="AI309" s="18">
        <v>0</v>
      </c>
    </row>
    <row r="310" spans="2:35" x14ac:dyDescent="0.2">
      <c r="B310" s="16" t="s">
        <v>83</v>
      </c>
      <c r="C310" s="17" t="s">
        <v>99</v>
      </c>
      <c r="D310" s="17"/>
      <c r="E310" s="18">
        <v>20001</v>
      </c>
      <c r="F310" s="18">
        <v>18001</v>
      </c>
      <c r="G310" s="18">
        <v>0</v>
      </c>
      <c r="H310" s="39">
        <v>1901</v>
      </c>
      <c r="I310" s="18">
        <v>2</v>
      </c>
      <c r="J310" s="18">
        <v>2</v>
      </c>
      <c r="K310" s="18">
        <v>99</v>
      </c>
      <c r="L310" s="18">
        <v>2</v>
      </c>
      <c r="M310" s="18">
        <v>0</v>
      </c>
      <c r="N310" s="18">
        <v>1</v>
      </c>
      <c r="O310" s="18">
        <v>0</v>
      </c>
      <c r="P310" s="18">
        <v>0</v>
      </c>
      <c r="Q310" s="18">
        <v>0</v>
      </c>
      <c r="R310" s="18">
        <v>0</v>
      </c>
      <c r="S310" s="39" t="s">
        <v>4086</v>
      </c>
      <c r="T310" s="18">
        <v>19001</v>
      </c>
      <c r="U310" s="95" t="s">
        <v>85</v>
      </c>
      <c r="V310" s="39"/>
      <c r="W310" s="18">
        <v>10059</v>
      </c>
      <c r="X310" s="18">
        <v>20014</v>
      </c>
      <c r="Y310" s="18">
        <v>0</v>
      </c>
      <c r="Z310" s="18">
        <v>0</v>
      </c>
      <c r="AA310" s="18">
        <v>1001</v>
      </c>
      <c r="AB310" s="18"/>
      <c r="AC310" s="18">
        <v>1023</v>
      </c>
      <c r="AD310" s="18">
        <v>0</v>
      </c>
      <c r="AE310" s="18">
        <v>0</v>
      </c>
      <c r="AF310" s="18">
        <v>0</v>
      </c>
      <c r="AG310" s="18">
        <v>0</v>
      </c>
      <c r="AH310" s="18">
        <v>1</v>
      </c>
      <c r="AI310" s="18">
        <v>0</v>
      </c>
    </row>
    <row r="311" spans="2:35" x14ac:dyDescent="0.2">
      <c r="C311" t="s">
        <v>100</v>
      </c>
      <c r="E311" s="18">
        <v>20002</v>
      </c>
      <c r="F311" s="18">
        <v>18002</v>
      </c>
      <c r="G311" s="18">
        <v>0</v>
      </c>
      <c r="H311" s="39">
        <v>1902</v>
      </c>
      <c r="I311" s="18">
        <v>2</v>
      </c>
      <c r="J311" s="18">
        <v>2</v>
      </c>
      <c r="K311" s="18">
        <v>99</v>
      </c>
      <c r="L311" s="18">
        <v>5</v>
      </c>
      <c r="M311" s="18">
        <v>0</v>
      </c>
      <c r="N311" s="18">
        <v>1</v>
      </c>
      <c r="O311" s="18">
        <v>0</v>
      </c>
      <c r="P311" s="18">
        <v>0</v>
      </c>
      <c r="Q311" s="18">
        <v>0</v>
      </c>
      <c r="R311" s="18">
        <v>0</v>
      </c>
      <c r="S311" s="39" t="s">
        <v>4087</v>
      </c>
      <c r="T311" s="18">
        <v>19002</v>
      </c>
      <c r="U311" s="95" t="s">
        <v>85</v>
      </c>
      <c r="V311" s="39"/>
      <c r="W311" s="18">
        <v>10061</v>
      </c>
      <c r="X311" s="42" t="s">
        <v>2820</v>
      </c>
      <c r="Y311" s="18">
        <v>0</v>
      </c>
      <c r="Z311" s="18">
        <v>0</v>
      </c>
      <c r="AA311" s="18">
        <v>1002</v>
      </c>
      <c r="AB311" s="18"/>
      <c r="AC311" s="18">
        <v>1022</v>
      </c>
      <c r="AD311" s="18">
        <v>0</v>
      </c>
      <c r="AE311" s="18">
        <v>0</v>
      </c>
      <c r="AF311" s="18">
        <v>0</v>
      </c>
      <c r="AG311" s="18">
        <v>0</v>
      </c>
      <c r="AH311" s="18">
        <v>1</v>
      </c>
      <c r="AI311" s="18">
        <v>0</v>
      </c>
    </row>
    <row r="312" spans="2:35" x14ac:dyDescent="0.2">
      <c r="C312" t="s">
        <v>101</v>
      </c>
      <c r="E312" s="18">
        <v>20003</v>
      </c>
      <c r="F312" s="18">
        <v>18003</v>
      </c>
      <c r="G312" s="18">
        <v>0</v>
      </c>
      <c r="H312" s="39">
        <v>1903</v>
      </c>
      <c r="I312" s="18">
        <v>2</v>
      </c>
      <c r="J312" s="18">
        <v>2</v>
      </c>
      <c r="K312" s="18">
        <v>99</v>
      </c>
      <c r="L312" s="18">
        <v>5</v>
      </c>
      <c r="M312" s="18">
        <v>0</v>
      </c>
      <c r="N312" s="18">
        <v>1</v>
      </c>
      <c r="O312" s="18">
        <v>0</v>
      </c>
      <c r="P312" s="18">
        <v>0</v>
      </c>
      <c r="Q312" s="18">
        <v>0</v>
      </c>
      <c r="R312" s="18">
        <v>0</v>
      </c>
      <c r="S312" s="39" t="s">
        <v>4088</v>
      </c>
      <c r="T312" s="18">
        <v>19003</v>
      </c>
      <c r="U312" s="95" t="s">
        <v>85</v>
      </c>
      <c r="V312" s="39"/>
      <c r="W312" s="18">
        <v>10063</v>
      </c>
      <c r="X312" s="42" t="s">
        <v>2822</v>
      </c>
      <c r="Y312" s="18">
        <v>0</v>
      </c>
      <c r="Z312" s="18">
        <v>0</v>
      </c>
      <c r="AA312" s="18">
        <v>1003</v>
      </c>
      <c r="AB312" s="18"/>
      <c r="AC312" s="18">
        <v>1028</v>
      </c>
      <c r="AD312" s="18">
        <v>0</v>
      </c>
      <c r="AE312" s="18">
        <v>0</v>
      </c>
      <c r="AF312" s="18">
        <v>0</v>
      </c>
      <c r="AG312" s="18">
        <v>0</v>
      </c>
      <c r="AH312" s="18">
        <v>1</v>
      </c>
      <c r="AI312" s="18">
        <v>0</v>
      </c>
    </row>
    <row r="313" spans="2:35" x14ac:dyDescent="0.2">
      <c r="C313" t="s">
        <v>102</v>
      </c>
      <c r="E313" s="18">
        <v>20004</v>
      </c>
      <c r="F313" s="18">
        <v>18004</v>
      </c>
      <c r="G313" s="18">
        <v>0</v>
      </c>
      <c r="H313" s="39">
        <v>1904</v>
      </c>
      <c r="I313" s="18">
        <v>2</v>
      </c>
      <c r="J313" s="18">
        <v>2</v>
      </c>
      <c r="K313" s="18">
        <v>99</v>
      </c>
      <c r="L313" s="18">
        <v>5</v>
      </c>
      <c r="M313" s="18">
        <v>0</v>
      </c>
      <c r="N313" s="18">
        <v>1</v>
      </c>
      <c r="O313" s="18">
        <v>0</v>
      </c>
      <c r="P313" s="18">
        <v>0</v>
      </c>
      <c r="Q313" s="18">
        <v>0</v>
      </c>
      <c r="R313" s="18">
        <v>0</v>
      </c>
      <c r="S313" s="39" t="s">
        <v>4089</v>
      </c>
      <c r="T313" s="18">
        <v>19004</v>
      </c>
      <c r="U313" s="95" t="s">
        <v>85</v>
      </c>
      <c r="V313" s="39"/>
      <c r="W313" s="18">
        <v>10065</v>
      </c>
      <c r="X313" s="42" t="s">
        <v>2821</v>
      </c>
      <c r="Y313" s="18">
        <v>0</v>
      </c>
      <c r="Z313" s="18">
        <v>0</v>
      </c>
      <c r="AA313" s="18">
        <v>1004</v>
      </c>
      <c r="AB313" s="18"/>
      <c r="AC313" s="18">
        <v>1025</v>
      </c>
      <c r="AD313" s="18">
        <v>0</v>
      </c>
      <c r="AE313" s="18">
        <v>0</v>
      </c>
      <c r="AF313" s="18">
        <v>0</v>
      </c>
      <c r="AG313" s="18">
        <v>0</v>
      </c>
      <c r="AH313" s="18">
        <v>1</v>
      </c>
      <c r="AI313" s="18">
        <v>0</v>
      </c>
    </row>
    <row r="314" spans="2:35" x14ac:dyDescent="0.2">
      <c r="C314" t="s">
        <v>103</v>
      </c>
      <c r="E314" s="18">
        <v>20005</v>
      </c>
      <c r="F314" s="18">
        <v>18005</v>
      </c>
      <c r="G314" s="18">
        <v>0</v>
      </c>
      <c r="H314" s="39">
        <v>1905</v>
      </c>
      <c r="I314" s="18">
        <v>2</v>
      </c>
      <c r="J314" s="18">
        <v>2</v>
      </c>
      <c r="K314" s="18">
        <v>99</v>
      </c>
      <c r="L314" s="18">
        <v>5</v>
      </c>
      <c r="M314" s="18">
        <v>0</v>
      </c>
      <c r="N314" s="18">
        <v>1</v>
      </c>
      <c r="O314" s="18">
        <v>0</v>
      </c>
      <c r="P314" s="18">
        <v>0</v>
      </c>
      <c r="Q314" s="18">
        <v>0</v>
      </c>
      <c r="R314" s="18">
        <v>0</v>
      </c>
      <c r="S314" s="39" t="s">
        <v>4090</v>
      </c>
      <c r="T314" s="18">
        <v>19005</v>
      </c>
      <c r="U314" s="95" t="s">
        <v>85</v>
      </c>
      <c r="V314" s="39"/>
      <c r="W314" s="18">
        <v>10067</v>
      </c>
      <c r="X314" s="42" t="s">
        <v>2823</v>
      </c>
      <c r="Y314" s="18">
        <v>0</v>
      </c>
      <c r="Z314" s="18">
        <v>0</v>
      </c>
      <c r="AA314" s="18">
        <v>1005</v>
      </c>
      <c r="AB314" s="18"/>
      <c r="AC314" s="18">
        <v>1024</v>
      </c>
      <c r="AD314" s="18">
        <v>0</v>
      </c>
      <c r="AE314" s="18">
        <v>0</v>
      </c>
      <c r="AF314" s="18">
        <v>0</v>
      </c>
      <c r="AG314" s="18">
        <v>0</v>
      </c>
      <c r="AH314" s="18">
        <v>1</v>
      </c>
      <c r="AI314" s="18">
        <v>0</v>
      </c>
    </row>
    <row r="315" spans="2:35" x14ac:dyDescent="0.2">
      <c r="C315" t="s">
        <v>104</v>
      </c>
      <c r="E315" s="18">
        <v>20006</v>
      </c>
      <c r="F315" s="18">
        <v>18006</v>
      </c>
      <c r="G315" s="18">
        <v>0</v>
      </c>
      <c r="H315" s="39">
        <v>1906</v>
      </c>
      <c r="I315" s="18">
        <v>2</v>
      </c>
      <c r="J315" s="18">
        <v>2</v>
      </c>
      <c r="K315" s="18">
        <v>99</v>
      </c>
      <c r="L315" s="18">
        <v>5</v>
      </c>
      <c r="M315" s="18">
        <v>0</v>
      </c>
      <c r="N315" s="18">
        <v>1</v>
      </c>
      <c r="O315" s="18">
        <v>0</v>
      </c>
      <c r="P315" s="18">
        <v>0</v>
      </c>
      <c r="Q315" s="18">
        <v>0</v>
      </c>
      <c r="R315" s="18">
        <v>0</v>
      </c>
      <c r="S315" s="39" t="s">
        <v>4091</v>
      </c>
      <c r="T315" s="18">
        <v>19006</v>
      </c>
      <c r="U315" s="95" t="s">
        <v>85</v>
      </c>
      <c r="V315" s="39"/>
      <c r="W315" s="18">
        <v>10069</v>
      </c>
      <c r="X315" s="42" t="s">
        <v>2824</v>
      </c>
      <c r="Y315" s="18">
        <v>0</v>
      </c>
      <c r="Z315" s="18">
        <v>0</v>
      </c>
      <c r="AA315" s="18">
        <v>1006</v>
      </c>
      <c r="AB315" s="18"/>
      <c r="AC315" s="18">
        <v>1026</v>
      </c>
      <c r="AD315" s="18">
        <v>0</v>
      </c>
      <c r="AE315" s="18">
        <v>0</v>
      </c>
      <c r="AF315" s="18">
        <v>0</v>
      </c>
      <c r="AG315" s="18">
        <v>0</v>
      </c>
      <c r="AH315" s="18">
        <v>1</v>
      </c>
      <c r="AI315" s="18">
        <v>0</v>
      </c>
    </row>
    <row r="316" spans="2:35" x14ac:dyDescent="0.2">
      <c r="B316" s="112" t="s">
        <v>4306</v>
      </c>
      <c r="C316" s="113" t="s">
        <v>4307</v>
      </c>
      <c r="D316" s="113" t="s">
        <v>4345</v>
      </c>
      <c r="E316" s="18">
        <v>21001</v>
      </c>
      <c r="F316" s="18">
        <v>18101</v>
      </c>
      <c r="G316" s="18">
        <v>0</v>
      </c>
      <c r="H316" s="39">
        <v>80601</v>
      </c>
      <c r="I316" s="18">
        <v>2</v>
      </c>
      <c r="J316" s="18">
        <v>2</v>
      </c>
      <c r="K316" s="18">
        <v>98</v>
      </c>
      <c r="L316" s="18">
        <v>2</v>
      </c>
      <c r="M316" s="18">
        <v>0</v>
      </c>
      <c r="N316" s="18">
        <v>1</v>
      </c>
      <c r="O316" s="18">
        <v>0</v>
      </c>
      <c r="P316" s="18">
        <v>0</v>
      </c>
      <c r="Q316" s="18">
        <v>0</v>
      </c>
      <c r="R316" s="18">
        <v>0</v>
      </c>
      <c r="S316" s="39" t="s">
        <v>4086</v>
      </c>
      <c r="T316" s="18">
        <v>19101</v>
      </c>
      <c r="U316" s="95" t="s">
        <v>85</v>
      </c>
      <c r="V316" s="39" t="s">
        <v>4348</v>
      </c>
      <c r="W316" s="18">
        <v>0</v>
      </c>
      <c r="X316" s="18">
        <v>20014</v>
      </c>
      <c r="Y316" s="18">
        <v>0</v>
      </c>
      <c r="Z316" s="18">
        <v>0</v>
      </c>
      <c r="AA316" s="114">
        <v>1101</v>
      </c>
      <c r="AB316" s="114"/>
      <c r="AC316" s="18">
        <v>1023</v>
      </c>
      <c r="AD316" s="18">
        <v>0</v>
      </c>
      <c r="AE316" s="18">
        <v>0</v>
      </c>
      <c r="AF316" s="18">
        <v>0</v>
      </c>
      <c r="AG316" s="18">
        <v>0</v>
      </c>
      <c r="AH316" s="18">
        <v>1</v>
      </c>
      <c r="AI316" s="18">
        <v>0</v>
      </c>
    </row>
    <row r="317" spans="2:35" x14ac:dyDescent="0.2">
      <c r="C317" t="s">
        <v>4308</v>
      </c>
      <c r="D317" t="s">
        <v>4346</v>
      </c>
      <c r="E317" s="18">
        <v>21002</v>
      </c>
      <c r="F317" s="18">
        <v>18102</v>
      </c>
      <c r="G317" s="18">
        <v>0</v>
      </c>
      <c r="H317" s="39">
        <v>80602</v>
      </c>
      <c r="I317" s="18">
        <v>2</v>
      </c>
      <c r="J317" s="18">
        <v>2</v>
      </c>
      <c r="K317" s="18">
        <v>98</v>
      </c>
      <c r="L317" s="18">
        <v>5</v>
      </c>
      <c r="M317" s="18">
        <v>0</v>
      </c>
      <c r="N317" s="18">
        <v>1</v>
      </c>
      <c r="O317" s="18">
        <v>0</v>
      </c>
      <c r="P317" s="18">
        <v>0</v>
      </c>
      <c r="Q317" s="18">
        <v>0</v>
      </c>
      <c r="R317" s="18">
        <v>0</v>
      </c>
      <c r="S317" s="39" t="s">
        <v>4087</v>
      </c>
      <c r="T317" s="18">
        <v>19102</v>
      </c>
      <c r="U317" s="95" t="s">
        <v>85</v>
      </c>
      <c r="V317" s="39" t="s">
        <v>4347</v>
      </c>
      <c r="W317" s="18">
        <v>0</v>
      </c>
      <c r="X317" s="42" t="s">
        <v>2820</v>
      </c>
      <c r="Y317" s="18">
        <v>0</v>
      </c>
      <c r="Z317" s="18">
        <v>0</v>
      </c>
      <c r="AA317" s="114">
        <v>1102</v>
      </c>
      <c r="AB317" s="114"/>
      <c r="AC317" s="18">
        <v>1022</v>
      </c>
      <c r="AD317" s="18">
        <v>0</v>
      </c>
      <c r="AE317" s="18">
        <v>0</v>
      </c>
      <c r="AF317" s="18">
        <v>0</v>
      </c>
      <c r="AG317" s="18">
        <v>0</v>
      </c>
      <c r="AH317" s="18">
        <v>1</v>
      </c>
      <c r="AI317" s="18">
        <v>0</v>
      </c>
    </row>
    <row r="318" spans="2:35" x14ac:dyDescent="0.2">
      <c r="C318" t="s">
        <v>4309</v>
      </c>
      <c r="D318" t="s">
        <v>4346</v>
      </c>
      <c r="E318" s="18">
        <v>21003</v>
      </c>
      <c r="F318" s="18">
        <v>18103</v>
      </c>
      <c r="G318" s="18">
        <v>0</v>
      </c>
      <c r="H318" s="39">
        <v>80603</v>
      </c>
      <c r="I318" s="18">
        <v>2</v>
      </c>
      <c r="J318" s="18">
        <v>2</v>
      </c>
      <c r="K318" s="18">
        <v>98</v>
      </c>
      <c r="L318" s="18">
        <v>5</v>
      </c>
      <c r="M318" s="18">
        <v>0</v>
      </c>
      <c r="N318" s="18">
        <v>1</v>
      </c>
      <c r="O318" s="18">
        <v>0</v>
      </c>
      <c r="P318" s="18">
        <v>0</v>
      </c>
      <c r="Q318" s="18">
        <v>0</v>
      </c>
      <c r="R318" s="18">
        <v>0</v>
      </c>
      <c r="S318" s="39" t="s">
        <v>4088</v>
      </c>
      <c r="T318" s="18">
        <v>19103</v>
      </c>
      <c r="U318" s="95" t="s">
        <v>85</v>
      </c>
      <c r="V318" s="39" t="s">
        <v>4347</v>
      </c>
      <c r="W318" s="18">
        <v>0</v>
      </c>
      <c r="X318" s="42" t="s">
        <v>2822</v>
      </c>
      <c r="Y318" s="18">
        <v>0</v>
      </c>
      <c r="Z318" s="18">
        <v>0</v>
      </c>
      <c r="AA318" s="114">
        <v>1103</v>
      </c>
      <c r="AB318" s="114"/>
      <c r="AC318" s="18">
        <v>1028</v>
      </c>
      <c r="AD318" s="18">
        <v>0</v>
      </c>
      <c r="AE318" s="18">
        <v>0</v>
      </c>
      <c r="AF318" s="18">
        <v>0</v>
      </c>
      <c r="AG318" s="18">
        <v>0</v>
      </c>
      <c r="AH318" s="18">
        <v>1</v>
      </c>
      <c r="AI318" s="18">
        <v>0</v>
      </c>
    </row>
    <row r="319" spans="2:35" x14ac:dyDescent="0.2">
      <c r="C319" t="s">
        <v>4310</v>
      </c>
      <c r="D319" t="s">
        <v>4346</v>
      </c>
      <c r="E319" s="18">
        <v>21004</v>
      </c>
      <c r="F319" s="18">
        <v>18104</v>
      </c>
      <c r="G319" s="18">
        <v>0</v>
      </c>
      <c r="H319" s="39">
        <v>80604</v>
      </c>
      <c r="I319" s="18">
        <v>2</v>
      </c>
      <c r="J319" s="18">
        <v>2</v>
      </c>
      <c r="K319" s="18">
        <v>98</v>
      </c>
      <c r="L319" s="18">
        <v>5</v>
      </c>
      <c r="M319" s="18">
        <v>0</v>
      </c>
      <c r="N319" s="18">
        <v>1</v>
      </c>
      <c r="O319" s="18">
        <v>0</v>
      </c>
      <c r="P319" s="18">
        <v>0</v>
      </c>
      <c r="Q319" s="18">
        <v>0</v>
      </c>
      <c r="R319" s="18">
        <v>0</v>
      </c>
      <c r="S319" s="39" t="s">
        <v>4089</v>
      </c>
      <c r="T319" s="18">
        <v>19104</v>
      </c>
      <c r="U319" s="95" t="s">
        <v>85</v>
      </c>
      <c r="V319" s="39" t="s">
        <v>4347</v>
      </c>
      <c r="W319" s="18">
        <v>0</v>
      </c>
      <c r="X319" s="42" t="s">
        <v>2821</v>
      </c>
      <c r="Y319" s="18">
        <v>0</v>
      </c>
      <c r="Z319" s="18">
        <v>0</v>
      </c>
      <c r="AA319" s="114">
        <v>1104</v>
      </c>
      <c r="AB319" s="114"/>
      <c r="AC319" s="18">
        <v>1025</v>
      </c>
      <c r="AD319" s="18">
        <v>0</v>
      </c>
      <c r="AE319" s="18">
        <v>0</v>
      </c>
      <c r="AF319" s="18">
        <v>0</v>
      </c>
      <c r="AG319" s="18">
        <v>0</v>
      </c>
      <c r="AH319" s="18">
        <v>1</v>
      </c>
      <c r="AI319" s="18">
        <v>0</v>
      </c>
    </row>
    <row r="320" spans="2:35" x14ac:dyDescent="0.2">
      <c r="C320" t="s">
        <v>4311</v>
      </c>
      <c r="D320" t="s">
        <v>4346</v>
      </c>
      <c r="E320" s="18">
        <v>21005</v>
      </c>
      <c r="F320" s="18">
        <v>18105</v>
      </c>
      <c r="G320" s="18">
        <v>0</v>
      </c>
      <c r="H320" s="39">
        <v>80605</v>
      </c>
      <c r="I320" s="18">
        <v>2</v>
      </c>
      <c r="J320" s="18">
        <v>2</v>
      </c>
      <c r="K320" s="18">
        <v>98</v>
      </c>
      <c r="L320" s="18">
        <v>5</v>
      </c>
      <c r="M320" s="18">
        <v>0</v>
      </c>
      <c r="N320" s="18">
        <v>1</v>
      </c>
      <c r="O320" s="18">
        <v>0</v>
      </c>
      <c r="P320" s="18">
        <v>0</v>
      </c>
      <c r="Q320" s="18">
        <v>0</v>
      </c>
      <c r="R320" s="18">
        <v>0</v>
      </c>
      <c r="S320" s="39" t="s">
        <v>4090</v>
      </c>
      <c r="T320" s="18">
        <v>19105</v>
      </c>
      <c r="U320" s="95" t="s">
        <v>85</v>
      </c>
      <c r="V320" s="39" t="s">
        <v>4347</v>
      </c>
      <c r="W320" s="18">
        <v>0</v>
      </c>
      <c r="X320" s="42" t="s">
        <v>2823</v>
      </c>
      <c r="Y320" s="18">
        <v>0</v>
      </c>
      <c r="Z320" s="18">
        <v>0</v>
      </c>
      <c r="AA320" s="114">
        <v>1105</v>
      </c>
      <c r="AB320" s="114"/>
      <c r="AC320" s="18">
        <v>1024</v>
      </c>
      <c r="AD320" s="18">
        <v>0</v>
      </c>
      <c r="AE320" s="18">
        <v>0</v>
      </c>
      <c r="AF320" s="18">
        <v>0</v>
      </c>
      <c r="AG320" s="18">
        <v>0</v>
      </c>
      <c r="AH320" s="18">
        <v>1</v>
      </c>
      <c r="AI320" s="18">
        <v>0</v>
      </c>
    </row>
    <row r="321" spans="2:35" x14ac:dyDescent="0.2">
      <c r="C321" t="s">
        <v>4312</v>
      </c>
      <c r="D321" t="s">
        <v>4346</v>
      </c>
      <c r="E321" s="18">
        <v>21006</v>
      </c>
      <c r="F321" s="18">
        <v>18106</v>
      </c>
      <c r="G321" s="18">
        <v>0</v>
      </c>
      <c r="H321" s="39">
        <v>80606</v>
      </c>
      <c r="I321" s="18">
        <v>2</v>
      </c>
      <c r="J321" s="18">
        <v>2</v>
      </c>
      <c r="K321" s="18">
        <v>98</v>
      </c>
      <c r="L321" s="18">
        <v>5</v>
      </c>
      <c r="M321" s="18">
        <v>0</v>
      </c>
      <c r="N321" s="18">
        <v>1</v>
      </c>
      <c r="O321" s="18">
        <v>0</v>
      </c>
      <c r="P321" s="18">
        <v>0</v>
      </c>
      <c r="Q321" s="18">
        <v>0</v>
      </c>
      <c r="R321" s="18">
        <v>0</v>
      </c>
      <c r="S321" s="39" t="s">
        <v>4091</v>
      </c>
      <c r="T321" s="18">
        <v>19106</v>
      </c>
      <c r="U321" s="95" t="s">
        <v>85</v>
      </c>
      <c r="V321" s="39" t="s">
        <v>4347</v>
      </c>
      <c r="W321" s="18">
        <v>0</v>
      </c>
      <c r="X321" s="42" t="s">
        <v>2824</v>
      </c>
      <c r="Y321" s="18">
        <v>0</v>
      </c>
      <c r="Z321" s="18">
        <v>0</v>
      </c>
      <c r="AA321" s="114">
        <v>1106</v>
      </c>
      <c r="AB321" s="114"/>
      <c r="AC321" s="18">
        <v>1026</v>
      </c>
      <c r="AD321" s="18">
        <v>0</v>
      </c>
      <c r="AE321" s="18">
        <v>0</v>
      </c>
      <c r="AF321" s="18">
        <v>0</v>
      </c>
      <c r="AG321" s="18">
        <v>0</v>
      </c>
      <c r="AH321" s="18">
        <v>1</v>
      </c>
      <c r="AI321" s="18">
        <v>0</v>
      </c>
    </row>
    <row r="322" spans="2:35" ht="14.25" customHeight="1" x14ac:dyDescent="0.2">
      <c r="B322" s="134" t="s">
        <v>2873</v>
      </c>
      <c r="C322" s="120" t="s">
        <v>3764</v>
      </c>
      <c r="D322" s="92"/>
      <c r="E322" s="18">
        <v>30001</v>
      </c>
      <c r="F322" s="18">
        <v>600002</v>
      </c>
      <c r="G322" s="18">
        <v>600008</v>
      </c>
      <c r="H322" s="41" t="s">
        <v>4115</v>
      </c>
      <c r="I322" s="18">
        <v>1</v>
      </c>
      <c r="J322" s="18">
        <v>4</v>
      </c>
      <c r="K322" s="18">
        <v>8</v>
      </c>
      <c r="L322" s="18">
        <v>6</v>
      </c>
      <c r="M322" s="18">
        <v>1</v>
      </c>
      <c r="N322" s="18">
        <v>10</v>
      </c>
      <c r="O322" s="18">
        <v>5</v>
      </c>
      <c r="P322" s="18">
        <v>0</v>
      </c>
      <c r="Q322" s="18">
        <v>0</v>
      </c>
      <c r="R322" s="18">
        <v>0</v>
      </c>
      <c r="S322" s="39" t="s">
        <v>3736</v>
      </c>
      <c r="T322" s="39" t="s">
        <v>2901</v>
      </c>
      <c r="U322" s="95" t="s">
        <v>3759</v>
      </c>
      <c r="V322" s="39">
        <v>801</v>
      </c>
      <c r="W322" s="18">
        <v>10001</v>
      </c>
      <c r="X322" s="18"/>
      <c r="Y322" s="18">
        <v>1500</v>
      </c>
      <c r="Z322" s="18">
        <v>0</v>
      </c>
      <c r="AA322" s="18">
        <v>1091302</v>
      </c>
      <c r="AB322" s="18" t="s">
        <v>4646</v>
      </c>
      <c r="AC322" s="18">
        <v>1013</v>
      </c>
      <c r="AD322" s="18">
        <v>0</v>
      </c>
      <c r="AE322" s="39">
        <v>0</v>
      </c>
      <c r="AF322" s="18">
        <v>0</v>
      </c>
      <c r="AG322" s="18">
        <v>0</v>
      </c>
      <c r="AH322" s="18">
        <v>0</v>
      </c>
      <c r="AI322" s="18">
        <v>0</v>
      </c>
    </row>
    <row r="323" spans="2:35" x14ac:dyDescent="0.2">
      <c r="B323" s="135"/>
      <c r="C323" s="120" t="s">
        <v>2875</v>
      </c>
      <c r="D323" s="92"/>
      <c r="E323" s="18">
        <v>30002</v>
      </c>
      <c r="F323" s="18">
        <v>600003</v>
      </c>
      <c r="G323" s="18">
        <v>600009</v>
      </c>
      <c r="H323" s="39" t="s">
        <v>3866</v>
      </c>
      <c r="I323" s="18">
        <v>2</v>
      </c>
      <c r="J323" s="18">
        <v>2</v>
      </c>
      <c r="K323" s="18">
        <v>21</v>
      </c>
      <c r="L323" s="18">
        <v>6</v>
      </c>
      <c r="M323" s="18">
        <v>1</v>
      </c>
      <c r="N323" s="18">
        <v>10</v>
      </c>
      <c r="O323" s="18">
        <v>5</v>
      </c>
      <c r="P323" s="18">
        <v>0</v>
      </c>
      <c r="Q323" s="18">
        <v>0</v>
      </c>
      <c r="R323" s="18">
        <v>0</v>
      </c>
      <c r="S323" s="39" t="s">
        <v>2834</v>
      </c>
      <c r="T323" s="39" t="s">
        <v>2902</v>
      </c>
      <c r="U323" s="95" t="s">
        <v>3760</v>
      </c>
      <c r="V323" s="39">
        <v>2101</v>
      </c>
      <c r="W323" s="18">
        <v>0</v>
      </c>
      <c r="X323" s="18"/>
      <c r="Y323" s="18">
        <v>0</v>
      </c>
      <c r="Z323" s="18">
        <v>0</v>
      </c>
      <c r="AA323" s="18">
        <v>0</v>
      </c>
      <c r="AB323" s="18"/>
      <c r="AC323" s="18">
        <v>1023</v>
      </c>
      <c r="AD323" s="18">
        <v>0</v>
      </c>
      <c r="AE323" s="39">
        <v>0</v>
      </c>
      <c r="AF323" s="18">
        <v>0</v>
      </c>
      <c r="AG323" s="18">
        <v>0</v>
      </c>
      <c r="AH323" s="18">
        <v>0</v>
      </c>
      <c r="AI323" s="18">
        <v>0</v>
      </c>
    </row>
    <row r="324" spans="2:35" x14ac:dyDescent="0.2">
      <c r="B324" s="135"/>
      <c r="C324" s="120" t="s">
        <v>2876</v>
      </c>
      <c r="D324" s="92"/>
      <c r="E324" s="18">
        <v>30003</v>
      </c>
      <c r="F324" s="18">
        <v>600004</v>
      </c>
      <c r="G324" s="18">
        <v>600010</v>
      </c>
      <c r="H324" s="39" t="s">
        <v>3877</v>
      </c>
      <c r="I324" s="18">
        <v>2</v>
      </c>
      <c r="J324" s="18">
        <v>3</v>
      </c>
      <c r="K324" s="18">
        <v>22</v>
      </c>
      <c r="L324" s="18">
        <v>6</v>
      </c>
      <c r="M324" s="18">
        <v>1</v>
      </c>
      <c r="N324" s="18">
        <v>10</v>
      </c>
      <c r="O324" s="18">
        <v>5</v>
      </c>
      <c r="P324" s="18">
        <v>0</v>
      </c>
      <c r="Q324" s="18">
        <v>0</v>
      </c>
      <c r="R324" s="18">
        <v>0</v>
      </c>
      <c r="S324" s="39" t="s">
        <v>3746</v>
      </c>
      <c r="T324" s="39" t="s">
        <v>2903</v>
      </c>
      <c r="U324" s="95" t="s">
        <v>3761</v>
      </c>
      <c r="V324" s="39">
        <v>2201</v>
      </c>
      <c r="W324" s="18">
        <v>0</v>
      </c>
      <c r="X324" s="18"/>
      <c r="Y324" s="18">
        <v>0</v>
      </c>
      <c r="Z324" s="18">
        <v>0</v>
      </c>
      <c r="AA324" s="18">
        <v>0</v>
      </c>
      <c r="AB324" s="18"/>
      <c r="AC324" s="18">
        <v>1022</v>
      </c>
      <c r="AD324" s="18">
        <v>0</v>
      </c>
      <c r="AE324" s="39">
        <v>0</v>
      </c>
      <c r="AF324" s="18">
        <v>0</v>
      </c>
      <c r="AG324" s="18">
        <v>0</v>
      </c>
      <c r="AH324" s="18">
        <v>0</v>
      </c>
      <c r="AI324" s="18">
        <v>0</v>
      </c>
    </row>
    <row r="325" spans="2:35" x14ac:dyDescent="0.2">
      <c r="B325" s="135"/>
      <c r="C325" s="120" t="s">
        <v>2877</v>
      </c>
      <c r="D325" s="92"/>
      <c r="E325" s="18">
        <v>30004</v>
      </c>
      <c r="F325" s="18">
        <v>600005</v>
      </c>
      <c r="G325" s="18">
        <v>600011</v>
      </c>
      <c r="H325" s="39" t="s">
        <v>3861</v>
      </c>
      <c r="I325" s="18">
        <v>2</v>
      </c>
      <c r="J325" s="18">
        <v>2</v>
      </c>
      <c r="K325" s="18">
        <v>23</v>
      </c>
      <c r="L325" s="18">
        <v>6</v>
      </c>
      <c r="M325" s="18">
        <v>1</v>
      </c>
      <c r="N325" s="18">
        <v>10</v>
      </c>
      <c r="O325" s="18">
        <v>5</v>
      </c>
      <c r="P325" s="18">
        <v>0</v>
      </c>
      <c r="Q325" s="18">
        <v>0</v>
      </c>
      <c r="R325" s="18">
        <v>0</v>
      </c>
      <c r="S325" s="39" t="s">
        <v>2834</v>
      </c>
      <c r="T325" s="39" t="s">
        <v>2904</v>
      </c>
      <c r="U325" s="95" t="s">
        <v>3758</v>
      </c>
      <c r="V325" s="39">
        <v>2301</v>
      </c>
      <c r="W325" s="18">
        <v>0</v>
      </c>
      <c r="X325" s="18"/>
      <c r="Y325" s="18">
        <v>0</v>
      </c>
      <c r="Z325" s="18">
        <v>0</v>
      </c>
      <c r="AA325" s="18">
        <v>0</v>
      </c>
      <c r="AB325" s="18"/>
      <c r="AC325" s="18">
        <v>1028</v>
      </c>
      <c r="AD325" s="18">
        <v>0</v>
      </c>
      <c r="AE325" s="39">
        <v>0</v>
      </c>
      <c r="AF325" s="18">
        <v>0</v>
      </c>
      <c r="AG325" s="18">
        <v>0</v>
      </c>
      <c r="AH325" s="18">
        <v>0</v>
      </c>
      <c r="AI325" s="18">
        <v>0</v>
      </c>
    </row>
    <row r="326" spans="2:35" x14ac:dyDescent="0.2">
      <c r="B326" s="135"/>
      <c r="C326" s="120" t="s">
        <v>2878</v>
      </c>
      <c r="D326" s="92"/>
      <c r="E326" s="18">
        <v>30005</v>
      </c>
      <c r="F326" s="18">
        <v>600006</v>
      </c>
      <c r="G326" s="18">
        <v>600012</v>
      </c>
      <c r="H326" s="39" t="s">
        <v>3888</v>
      </c>
      <c r="I326" s="18">
        <v>2</v>
      </c>
      <c r="J326" s="18">
        <v>2</v>
      </c>
      <c r="K326" s="18">
        <v>24</v>
      </c>
      <c r="L326" s="18">
        <v>6</v>
      </c>
      <c r="M326" s="18">
        <v>1</v>
      </c>
      <c r="N326" s="18">
        <v>10</v>
      </c>
      <c r="O326" s="18">
        <v>5</v>
      </c>
      <c r="P326" s="18">
        <v>0</v>
      </c>
      <c r="Q326" s="18">
        <v>0</v>
      </c>
      <c r="R326" s="18">
        <v>0</v>
      </c>
      <c r="S326" s="39" t="s">
        <v>3743</v>
      </c>
      <c r="T326" s="39" t="s">
        <v>2905</v>
      </c>
      <c r="U326" s="95" t="s">
        <v>4486</v>
      </c>
      <c r="V326" s="39">
        <v>2401</v>
      </c>
      <c r="W326" s="18">
        <v>0</v>
      </c>
      <c r="X326" s="18"/>
      <c r="Y326" s="18">
        <v>0</v>
      </c>
      <c r="Z326" s="18">
        <v>0</v>
      </c>
      <c r="AA326" s="18">
        <v>0</v>
      </c>
      <c r="AB326" s="18"/>
      <c r="AC326" s="18">
        <v>1025</v>
      </c>
      <c r="AD326" s="18">
        <v>0</v>
      </c>
      <c r="AE326" s="39">
        <v>0</v>
      </c>
      <c r="AF326" s="18">
        <v>0</v>
      </c>
      <c r="AG326" s="18">
        <v>0</v>
      </c>
      <c r="AH326" s="18">
        <v>0</v>
      </c>
      <c r="AI326" s="18">
        <v>0</v>
      </c>
    </row>
    <row r="327" spans="2:35" x14ac:dyDescent="0.2">
      <c r="B327" s="135"/>
      <c r="C327" s="120" t="s">
        <v>2879</v>
      </c>
      <c r="D327" s="92"/>
      <c r="E327" s="18">
        <v>30006</v>
      </c>
      <c r="F327" s="18">
        <v>600007</v>
      </c>
      <c r="G327" s="18">
        <v>600013</v>
      </c>
      <c r="H327" s="39" t="s">
        <v>3925</v>
      </c>
      <c r="I327" s="18">
        <v>1</v>
      </c>
      <c r="J327" s="18">
        <v>1</v>
      </c>
      <c r="K327" s="18">
        <v>32</v>
      </c>
      <c r="L327" s="18">
        <v>6</v>
      </c>
      <c r="M327" s="18">
        <v>1</v>
      </c>
      <c r="N327" s="18">
        <v>10</v>
      </c>
      <c r="O327" s="18">
        <v>5</v>
      </c>
      <c r="P327" s="18">
        <v>0</v>
      </c>
      <c r="Q327" s="18">
        <v>0</v>
      </c>
      <c r="R327" s="18">
        <v>0</v>
      </c>
      <c r="S327" s="39" t="s">
        <v>85</v>
      </c>
      <c r="T327" s="39" t="s">
        <v>3479</v>
      </c>
      <c r="U327" s="95" t="s">
        <v>3762</v>
      </c>
      <c r="V327" s="39">
        <v>3201</v>
      </c>
      <c r="W327" s="18">
        <v>0</v>
      </c>
      <c r="X327" s="18"/>
      <c r="Y327" s="18">
        <v>0</v>
      </c>
      <c r="Z327" s="18">
        <v>0</v>
      </c>
      <c r="AA327" s="18">
        <v>0</v>
      </c>
      <c r="AB327" s="18"/>
      <c r="AC327" s="18">
        <v>1027</v>
      </c>
      <c r="AD327" s="18">
        <v>0</v>
      </c>
      <c r="AE327" s="39">
        <v>0</v>
      </c>
      <c r="AF327" s="18">
        <v>0</v>
      </c>
      <c r="AG327" s="18">
        <v>0</v>
      </c>
      <c r="AH327" s="18">
        <v>0</v>
      </c>
      <c r="AI327" s="18">
        <v>0</v>
      </c>
    </row>
    <row r="328" spans="2:35" ht="14.25" customHeight="1" x14ac:dyDescent="0.2">
      <c r="B328" s="136" t="s">
        <v>2874</v>
      </c>
      <c r="C328" s="121" t="s">
        <v>3753</v>
      </c>
      <c r="D328" s="97"/>
      <c r="E328" s="18">
        <v>30007</v>
      </c>
      <c r="F328" s="18">
        <v>600015</v>
      </c>
      <c r="G328" s="18">
        <v>600021</v>
      </c>
      <c r="H328" s="41" t="s">
        <v>3620</v>
      </c>
      <c r="I328" s="18">
        <v>1</v>
      </c>
      <c r="J328" s="18">
        <v>4</v>
      </c>
      <c r="K328" s="18">
        <v>5</v>
      </c>
      <c r="L328" s="18">
        <v>6</v>
      </c>
      <c r="M328" s="18">
        <v>2</v>
      </c>
      <c r="N328" s="18">
        <v>10</v>
      </c>
      <c r="O328" s="18">
        <v>5</v>
      </c>
      <c r="P328" s="18">
        <v>0</v>
      </c>
      <c r="Q328" s="18">
        <v>0</v>
      </c>
      <c r="R328" s="18">
        <v>0</v>
      </c>
      <c r="S328" s="39" t="s">
        <v>3739</v>
      </c>
      <c r="T328" s="39" t="s">
        <v>2906</v>
      </c>
      <c r="U328" s="95" t="s">
        <v>3763</v>
      </c>
      <c r="V328" s="39">
        <v>501</v>
      </c>
      <c r="W328" s="18">
        <v>10053</v>
      </c>
      <c r="X328" s="18"/>
      <c r="Y328" s="18">
        <v>1300</v>
      </c>
      <c r="Z328" s="18">
        <v>0</v>
      </c>
      <c r="AA328" s="18">
        <v>1090201</v>
      </c>
      <c r="AB328" s="18" t="s">
        <v>4645</v>
      </c>
      <c r="AC328" s="18">
        <v>1002</v>
      </c>
      <c r="AD328" s="18">
        <v>0</v>
      </c>
      <c r="AE328" s="39">
        <v>0</v>
      </c>
      <c r="AF328" s="18">
        <v>0</v>
      </c>
      <c r="AG328" s="18">
        <v>0</v>
      </c>
      <c r="AH328" s="18">
        <v>0</v>
      </c>
      <c r="AI328" s="18">
        <v>0</v>
      </c>
    </row>
    <row r="329" spans="2:35" x14ac:dyDescent="0.2">
      <c r="B329" s="137"/>
      <c r="C329" s="121" t="s">
        <v>3754</v>
      </c>
      <c r="D329" s="97"/>
      <c r="E329" s="18">
        <v>30008</v>
      </c>
      <c r="F329" s="18">
        <v>600016</v>
      </c>
      <c r="G329" s="18">
        <v>600022</v>
      </c>
      <c r="H329" s="39" t="s">
        <v>3867</v>
      </c>
      <c r="I329" s="18">
        <v>2</v>
      </c>
      <c r="J329" s="18">
        <v>2</v>
      </c>
      <c r="K329" s="18">
        <v>21</v>
      </c>
      <c r="L329" s="18">
        <v>6</v>
      </c>
      <c r="M329" s="18">
        <v>2</v>
      </c>
      <c r="N329" s="18">
        <v>10</v>
      </c>
      <c r="O329" s="18">
        <v>5</v>
      </c>
      <c r="P329" s="18">
        <v>0</v>
      </c>
      <c r="Q329" s="18">
        <v>0</v>
      </c>
      <c r="R329" s="18">
        <v>0</v>
      </c>
      <c r="S329" s="39" t="s">
        <v>3746</v>
      </c>
      <c r="T329" s="39" t="s">
        <v>3774</v>
      </c>
      <c r="U329" s="95" t="s">
        <v>4101</v>
      </c>
      <c r="V329" s="39">
        <v>2101</v>
      </c>
      <c r="W329" s="18">
        <v>0</v>
      </c>
      <c r="X329" s="18"/>
      <c r="Y329" s="18">
        <v>0</v>
      </c>
      <c r="Z329" s="18">
        <v>0</v>
      </c>
      <c r="AA329" s="18">
        <v>0</v>
      </c>
      <c r="AB329" s="18"/>
      <c r="AC329" s="18">
        <v>1023</v>
      </c>
      <c r="AD329" s="18">
        <v>0</v>
      </c>
      <c r="AE329" s="39">
        <v>0</v>
      </c>
      <c r="AF329" s="18">
        <v>0</v>
      </c>
      <c r="AG329" s="18">
        <v>0</v>
      </c>
      <c r="AH329" s="18">
        <v>0</v>
      </c>
      <c r="AI329" s="18">
        <v>0</v>
      </c>
    </row>
    <row r="330" spans="2:35" x14ac:dyDescent="0.2">
      <c r="B330" s="137"/>
      <c r="C330" s="121" t="s">
        <v>2881</v>
      </c>
      <c r="D330" s="97"/>
      <c r="E330" s="18">
        <v>30009</v>
      </c>
      <c r="F330" s="18">
        <v>600017</v>
      </c>
      <c r="G330" s="18">
        <v>600023</v>
      </c>
      <c r="H330" s="39" t="s">
        <v>3880</v>
      </c>
      <c r="I330" s="18">
        <v>2</v>
      </c>
      <c r="J330" s="18">
        <v>3</v>
      </c>
      <c r="K330" s="18">
        <v>22</v>
      </c>
      <c r="L330" s="18">
        <v>6</v>
      </c>
      <c r="M330" s="18">
        <v>2</v>
      </c>
      <c r="N330" s="18">
        <v>10</v>
      </c>
      <c r="O330" s="18">
        <v>5</v>
      </c>
      <c r="P330" s="18">
        <v>0</v>
      </c>
      <c r="Q330" s="18">
        <v>0</v>
      </c>
      <c r="R330" s="18">
        <v>0</v>
      </c>
      <c r="S330" s="39" t="s">
        <v>3747</v>
      </c>
      <c r="T330" s="39" t="s">
        <v>2907</v>
      </c>
      <c r="U330" s="95" t="s">
        <v>4487</v>
      </c>
      <c r="V330" s="39">
        <v>2201</v>
      </c>
      <c r="W330" s="18">
        <v>0</v>
      </c>
      <c r="X330" s="18"/>
      <c r="Y330" s="18">
        <v>0</v>
      </c>
      <c r="Z330" s="18">
        <v>0</v>
      </c>
      <c r="AA330" s="18">
        <v>0</v>
      </c>
      <c r="AB330" s="18"/>
      <c r="AC330" s="18">
        <v>1022</v>
      </c>
      <c r="AD330" s="18">
        <v>0</v>
      </c>
      <c r="AE330" s="39">
        <v>0</v>
      </c>
      <c r="AF330" s="18">
        <v>0</v>
      </c>
      <c r="AG330" s="18">
        <v>0</v>
      </c>
      <c r="AH330" s="18">
        <v>0</v>
      </c>
      <c r="AI330" s="18">
        <v>0</v>
      </c>
    </row>
    <row r="331" spans="2:35" x14ac:dyDescent="0.2">
      <c r="B331" s="137"/>
      <c r="C331" s="121" t="s">
        <v>2882</v>
      </c>
      <c r="D331" s="97"/>
      <c r="E331" s="18">
        <v>30010</v>
      </c>
      <c r="F331" s="18">
        <v>600018</v>
      </c>
      <c r="G331" s="18">
        <v>600024</v>
      </c>
      <c r="H331" s="39" t="s">
        <v>3862</v>
      </c>
      <c r="I331" s="18">
        <v>2</v>
      </c>
      <c r="J331" s="18">
        <v>2</v>
      </c>
      <c r="K331" s="18">
        <v>23</v>
      </c>
      <c r="L331" s="18">
        <v>6</v>
      </c>
      <c r="M331" s="18">
        <v>2</v>
      </c>
      <c r="N331" s="18">
        <v>10</v>
      </c>
      <c r="O331" s="18">
        <v>5</v>
      </c>
      <c r="P331" s="18">
        <v>0</v>
      </c>
      <c r="Q331" s="18">
        <v>0</v>
      </c>
      <c r="R331" s="18">
        <v>0</v>
      </c>
      <c r="S331" s="39" t="s">
        <v>3746</v>
      </c>
      <c r="T331" s="39" t="s">
        <v>4835</v>
      </c>
      <c r="U331" s="95" t="s">
        <v>4831</v>
      </c>
      <c r="V331" s="39">
        <v>2301</v>
      </c>
      <c r="W331" s="18">
        <v>0</v>
      </c>
      <c r="X331" s="18"/>
      <c r="Y331" s="18">
        <v>0</v>
      </c>
      <c r="Z331" s="18">
        <v>0</v>
      </c>
      <c r="AA331" s="18">
        <v>0</v>
      </c>
      <c r="AB331" s="18"/>
      <c r="AC331" s="18">
        <v>1028</v>
      </c>
      <c r="AD331" s="18">
        <v>0</v>
      </c>
      <c r="AE331" s="39">
        <v>0</v>
      </c>
      <c r="AF331" s="18">
        <v>0</v>
      </c>
      <c r="AG331" s="18">
        <v>0</v>
      </c>
      <c r="AH331" s="18">
        <v>0</v>
      </c>
      <c r="AI331" s="18">
        <v>0</v>
      </c>
    </row>
    <row r="332" spans="2:35" x14ac:dyDescent="0.2">
      <c r="B332" s="137"/>
      <c r="C332" s="121" t="s">
        <v>2883</v>
      </c>
      <c r="D332" s="97"/>
      <c r="E332" s="18">
        <v>30011</v>
      </c>
      <c r="F332" s="18">
        <v>600019</v>
      </c>
      <c r="G332" s="18">
        <v>600025</v>
      </c>
      <c r="H332" s="39" t="s">
        <v>3896</v>
      </c>
      <c r="I332" s="18">
        <v>2</v>
      </c>
      <c r="J332" s="18">
        <v>2</v>
      </c>
      <c r="K332" s="18">
        <v>24</v>
      </c>
      <c r="L332" s="18">
        <v>6</v>
      </c>
      <c r="M332" s="18">
        <v>2</v>
      </c>
      <c r="N332" s="18">
        <v>10</v>
      </c>
      <c r="O332" s="18">
        <v>5</v>
      </c>
      <c r="P332" s="18">
        <v>0</v>
      </c>
      <c r="Q332" s="18">
        <v>0</v>
      </c>
      <c r="R332" s="18">
        <v>0</v>
      </c>
      <c r="S332" s="39" t="s">
        <v>3738</v>
      </c>
      <c r="T332" s="39" t="s">
        <v>2909</v>
      </c>
      <c r="U332" s="117" t="s">
        <v>4503</v>
      </c>
      <c r="V332" s="39">
        <v>2401</v>
      </c>
      <c r="W332" s="18">
        <v>0</v>
      </c>
      <c r="X332" s="18"/>
      <c r="Y332" s="18">
        <v>0</v>
      </c>
      <c r="Z332" s="18">
        <v>0</v>
      </c>
      <c r="AA332" s="18">
        <v>0</v>
      </c>
      <c r="AB332" s="18"/>
      <c r="AC332" s="18">
        <v>1025</v>
      </c>
      <c r="AD332" s="18">
        <v>0</v>
      </c>
      <c r="AE332" s="39">
        <v>0</v>
      </c>
      <c r="AF332" s="18">
        <v>0</v>
      </c>
      <c r="AG332" s="18">
        <v>0</v>
      </c>
      <c r="AH332" s="18">
        <v>0</v>
      </c>
      <c r="AI332" s="18">
        <v>0</v>
      </c>
    </row>
    <row r="333" spans="2:35" x14ac:dyDescent="0.2">
      <c r="B333" s="137"/>
      <c r="C333" s="121" t="s">
        <v>2884</v>
      </c>
      <c r="D333" s="97"/>
      <c r="E333" s="18">
        <v>30012</v>
      </c>
      <c r="F333" s="18">
        <v>600020</v>
      </c>
      <c r="G333" s="18">
        <v>600026</v>
      </c>
      <c r="H333" s="39" t="s">
        <v>3918</v>
      </c>
      <c r="I333" s="18">
        <v>2</v>
      </c>
      <c r="J333" s="18">
        <v>1</v>
      </c>
      <c r="K333" s="18">
        <v>25</v>
      </c>
      <c r="L333" s="18">
        <v>6</v>
      </c>
      <c r="M333" s="18">
        <v>2</v>
      </c>
      <c r="N333" s="18">
        <v>10</v>
      </c>
      <c r="O333" s="18">
        <v>5</v>
      </c>
      <c r="P333" s="18">
        <v>0</v>
      </c>
      <c r="Q333" s="18">
        <v>0</v>
      </c>
      <c r="R333" s="18">
        <v>0</v>
      </c>
      <c r="S333" s="39" t="s">
        <v>3746</v>
      </c>
      <c r="T333" s="39" t="s">
        <v>2910</v>
      </c>
      <c r="U333" s="95" t="s">
        <v>4123</v>
      </c>
      <c r="V333" s="39">
        <v>2501</v>
      </c>
      <c r="W333" s="18">
        <v>0</v>
      </c>
      <c r="X333" s="18"/>
      <c r="Y333" s="18">
        <v>0</v>
      </c>
      <c r="Z333" s="18">
        <v>0</v>
      </c>
      <c r="AA333" s="18">
        <v>0</v>
      </c>
      <c r="AB333" s="18"/>
      <c r="AC333" s="18">
        <v>1024</v>
      </c>
      <c r="AD333" s="18">
        <v>0</v>
      </c>
      <c r="AE333" s="39">
        <v>0</v>
      </c>
      <c r="AF333" s="18">
        <v>0</v>
      </c>
      <c r="AG333" s="18">
        <v>0</v>
      </c>
      <c r="AH333" s="18">
        <v>0</v>
      </c>
      <c r="AI333" s="18">
        <v>0</v>
      </c>
    </row>
    <row r="334" spans="2:35" x14ac:dyDescent="0.2">
      <c r="B334" s="138" t="s">
        <v>3480</v>
      </c>
      <c r="C334" s="85" t="s">
        <v>3481</v>
      </c>
      <c r="D334" s="92"/>
      <c r="E334" s="18">
        <v>30013</v>
      </c>
      <c r="F334" s="18">
        <v>600028</v>
      </c>
      <c r="G334" s="18">
        <v>600034</v>
      </c>
      <c r="H334" s="41" t="s">
        <v>3621</v>
      </c>
      <c r="I334" s="18">
        <v>1</v>
      </c>
      <c r="J334" s="18">
        <v>4</v>
      </c>
      <c r="K334" s="18">
        <v>8</v>
      </c>
      <c r="L334" s="18">
        <v>6</v>
      </c>
      <c r="M334" s="18">
        <v>3</v>
      </c>
      <c r="N334" s="18">
        <v>10</v>
      </c>
      <c r="O334" s="18">
        <v>5</v>
      </c>
      <c r="P334" s="18">
        <v>0</v>
      </c>
      <c r="Q334" s="18">
        <v>0</v>
      </c>
      <c r="R334" s="18">
        <v>0</v>
      </c>
      <c r="S334" s="39" t="s">
        <v>3736</v>
      </c>
      <c r="T334" s="39" t="s">
        <v>3482</v>
      </c>
      <c r="U334" s="117" t="s">
        <v>3857</v>
      </c>
      <c r="V334" s="39">
        <v>801</v>
      </c>
      <c r="W334" s="18">
        <v>10001</v>
      </c>
      <c r="X334" s="18"/>
      <c r="Y334" s="18">
        <v>1500</v>
      </c>
      <c r="Z334" s="18">
        <v>0</v>
      </c>
      <c r="AA334" s="18">
        <v>1091302</v>
      </c>
      <c r="AB334" s="18" t="s">
        <v>4646</v>
      </c>
      <c r="AC334" s="18">
        <v>1013</v>
      </c>
      <c r="AD334" s="18">
        <v>0</v>
      </c>
      <c r="AE334" s="39">
        <v>0</v>
      </c>
      <c r="AF334" s="18">
        <v>0</v>
      </c>
      <c r="AG334" s="18">
        <v>0</v>
      </c>
      <c r="AH334" s="18">
        <v>0</v>
      </c>
      <c r="AI334" s="18">
        <v>0</v>
      </c>
    </row>
    <row r="335" spans="2:35" x14ac:dyDescent="0.2">
      <c r="B335" s="139"/>
      <c r="C335" s="85" t="s">
        <v>3483</v>
      </c>
      <c r="D335" s="92"/>
      <c r="E335" s="18">
        <v>30014</v>
      </c>
      <c r="F335" s="18">
        <v>600029</v>
      </c>
      <c r="G335" s="18">
        <v>600035</v>
      </c>
      <c r="H335" s="39" t="s">
        <v>3868</v>
      </c>
      <c r="I335" s="18">
        <v>2</v>
      </c>
      <c r="J335" s="18">
        <v>2</v>
      </c>
      <c r="K335" s="18">
        <v>21</v>
      </c>
      <c r="L335" s="18">
        <v>6</v>
      </c>
      <c r="M335" s="18">
        <v>3</v>
      </c>
      <c r="N335" s="18">
        <v>10</v>
      </c>
      <c r="O335" s="18">
        <v>5</v>
      </c>
      <c r="P335" s="18">
        <v>0</v>
      </c>
      <c r="Q335" s="18">
        <v>0</v>
      </c>
      <c r="R335" s="18">
        <v>0</v>
      </c>
      <c r="S335" s="39" t="s">
        <v>2834</v>
      </c>
      <c r="T335" s="39" t="s">
        <v>3484</v>
      </c>
      <c r="U335" s="95" t="s">
        <v>3834</v>
      </c>
      <c r="V335" s="39">
        <v>2101</v>
      </c>
      <c r="W335" s="18">
        <v>0</v>
      </c>
      <c r="X335" s="18"/>
      <c r="Y335" s="18">
        <v>0</v>
      </c>
      <c r="Z335" s="18">
        <v>0</v>
      </c>
      <c r="AA335" s="18">
        <v>0</v>
      </c>
      <c r="AB335" s="18"/>
      <c r="AC335" s="18">
        <v>1023</v>
      </c>
      <c r="AD335" s="18">
        <v>0</v>
      </c>
      <c r="AE335" s="39">
        <v>0</v>
      </c>
      <c r="AF335" s="18">
        <v>0</v>
      </c>
      <c r="AG335" s="18">
        <v>0</v>
      </c>
      <c r="AH335" s="18">
        <v>0</v>
      </c>
      <c r="AI335" s="18">
        <v>0</v>
      </c>
    </row>
    <row r="336" spans="2:35" x14ac:dyDescent="0.2">
      <c r="B336" s="139"/>
      <c r="C336" s="85" t="s">
        <v>3485</v>
      </c>
      <c r="D336" s="92"/>
      <c r="E336" s="18">
        <v>30015</v>
      </c>
      <c r="F336" s="18">
        <v>600030</v>
      </c>
      <c r="G336" s="18">
        <v>600036</v>
      </c>
      <c r="H336" s="39" t="s">
        <v>3879</v>
      </c>
      <c r="I336" s="18">
        <v>2</v>
      </c>
      <c r="J336" s="18">
        <v>3</v>
      </c>
      <c r="K336" s="18">
        <v>22</v>
      </c>
      <c r="L336" s="18">
        <v>6</v>
      </c>
      <c r="M336" s="18">
        <v>3</v>
      </c>
      <c r="N336" s="18">
        <v>10</v>
      </c>
      <c r="O336" s="18">
        <v>5</v>
      </c>
      <c r="P336" s="18">
        <v>0</v>
      </c>
      <c r="Q336" s="18">
        <v>0</v>
      </c>
      <c r="R336" s="18">
        <v>0</v>
      </c>
      <c r="S336" s="39" t="s">
        <v>3746</v>
      </c>
      <c r="T336" s="39" t="s">
        <v>3486</v>
      </c>
      <c r="U336" s="95" t="s">
        <v>4073</v>
      </c>
      <c r="V336" s="39">
        <v>2201</v>
      </c>
      <c r="W336" s="18">
        <v>0</v>
      </c>
      <c r="X336" s="18"/>
      <c r="Y336" s="18">
        <v>0</v>
      </c>
      <c r="Z336" s="18">
        <v>0</v>
      </c>
      <c r="AA336" s="18">
        <v>0</v>
      </c>
      <c r="AB336" s="18"/>
      <c r="AC336" s="18">
        <v>1022</v>
      </c>
      <c r="AD336" s="18">
        <v>0</v>
      </c>
      <c r="AE336" s="39">
        <v>0</v>
      </c>
      <c r="AF336" s="18">
        <v>0</v>
      </c>
      <c r="AG336" s="18">
        <v>0</v>
      </c>
      <c r="AH336" s="18">
        <v>0</v>
      </c>
      <c r="AI336" s="18">
        <v>0</v>
      </c>
    </row>
    <row r="337" spans="2:35" x14ac:dyDescent="0.2">
      <c r="B337" s="139"/>
      <c r="C337" s="85" t="s">
        <v>3487</v>
      </c>
      <c r="D337" s="92"/>
      <c r="E337" s="18">
        <v>30016</v>
      </c>
      <c r="F337" s="18">
        <v>600031</v>
      </c>
      <c r="G337" s="18">
        <v>600037</v>
      </c>
      <c r="H337" s="39" t="s">
        <v>3859</v>
      </c>
      <c r="I337" s="18">
        <v>2</v>
      </c>
      <c r="J337" s="18">
        <v>2</v>
      </c>
      <c r="K337" s="18">
        <v>23</v>
      </c>
      <c r="L337" s="18">
        <v>6</v>
      </c>
      <c r="M337" s="18">
        <v>3</v>
      </c>
      <c r="N337" s="18">
        <v>10</v>
      </c>
      <c r="O337" s="18">
        <v>5</v>
      </c>
      <c r="P337" s="18">
        <v>0</v>
      </c>
      <c r="Q337" s="18">
        <v>0</v>
      </c>
      <c r="R337" s="18">
        <v>0</v>
      </c>
      <c r="S337" s="39" t="s">
        <v>2834</v>
      </c>
      <c r="T337" s="39" t="s">
        <v>3488</v>
      </c>
      <c r="U337" s="95" t="s">
        <v>3835</v>
      </c>
      <c r="V337" s="39">
        <v>2301</v>
      </c>
      <c r="W337" s="18">
        <v>0</v>
      </c>
      <c r="X337" s="18"/>
      <c r="Y337" s="18">
        <v>0</v>
      </c>
      <c r="Z337" s="18">
        <v>0</v>
      </c>
      <c r="AA337" s="18">
        <v>0</v>
      </c>
      <c r="AB337" s="18"/>
      <c r="AC337" s="18">
        <v>1028</v>
      </c>
      <c r="AD337" s="18">
        <v>0</v>
      </c>
      <c r="AE337" s="39">
        <v>0</v>
      </c>
      <c r="AF337" s="18">
        <v>0</v>
      </c>
      <c r="AG337" s="18">
        <v>0</v>
      </c>
      <c r="AH337" s="18">
        <v>0</v>
      </c>
      <c r="AI337" s="18">
        <v>0</v>
      </c>
    </row>
    <row r="338" spans="2:35" x14ac:dyDescent="0.2">
      <c r="B338" s="139"/>
      <c r="C338" s="85" t="s">
        <v>3489</v>
      </c>
      <c r="D338" s="92"/>
      <c r="E338" s="18">
        <v>30017</v>
      </c>
      <c r="F338" s="18">
        <v>600032</v>
      </c>
      <c r="G338" s="18">
        <v>600038</v>
      </c>
      <c r="H338" s="39" t="s">
        <v>3897</v>
      </c>
      <c r="I338" s="18">
        <v>2</v>
      </c>
      <c r="J338" s="18">
        <v>2</v>
      </c>
      <c r="K338" s="18">
        <v>24</v>
      </c>
      <c r="L338" s="18">
        <v>6</v>
      </c>
      <c r="M338" s="18">
        <v>3</v>
      </c>
      <c r="N338" s="18">
        <v>10</v>
      </c>
      <c r="O338" s="18">
        <v>5</v>
      </c>
      <c r="P338" s="18">
        <v>0</v>
      </c>
      <c r="Q338" s="18">
        <v>0</v>
      </c>
      <c r="R338" s="18">
        <v>0</v>
      </c>
      <c r="S338" s="39" t="s">
        <v>3743</v>
      </c>
      <c r="T338" s="39" t="s">
        <v>3490</v>
      </c>
      <c r="U338" s="95" t="s">
        <v>4488</v>
      </c>
      <c r="V338" s="39">
        <v>2401</v>
      </c>
      <c r="W338" s="18">
        <v>0</v>
      </c>
      <c r="X338" s="18"/>
      <c r="Y338" s="18">
        <v>0</v>
      </c>
      <c r="Z338" s="18">
        <v>0</v>
      </c>
      <c r="AA338" s="18">
        <v>0</v>
      </c>
      <c r="AB338" s="18"/>
      <c r="AC338" s="18">
        <v>1025</v>
      </c>
      <c r="AD338" s="18">
        <v>0</v>
      </c>
      <c r="AE338" s="39">
        <v>0</v>
      </c>
      <c r="AF338" s="18">
        <v>0</v>
      </c>
      <c r="AG338" s="18">
        <v>0</v>
      </c>
      <c r="AH338" s="18">
        <v>0</v>
      </c>
      <c r="AI338" s="18">
        <v>0</v>
      </c>
    </row>
    <row r="339" spans="2:35" x14ac:dyDescent="0.2">
      <c r="B339" s="139"/>
      <c r="C339" s="85" t="s">
        <v>3491</v>
      </c>
      <c r="D339" s="92"/>
      <c r="E339" s="18">
        <v>30018</v>
      </c>
      <c r="F339" s="18">
        <v>600033</v>
      </c>
      <c r="G339" s="18">
        <v>600039</v>
      </c>
      <c r="H339" s="39" t="s">
        <v>3913</v>
      </c>
      <c r="I339" s="18">
        <v>2</v>
      </c>
      <c r="J339" s="18">
        <v>1</v>
      </c>
      <c r="K339" s="18">
        <v>25</v>
      </c>
      <c r="L339" s="18">
        <v>6</v>
      </c>
      <c r="M339" s="18">
        <v>3</v>
      </c>
      <c r="N339" s="18">
        <v>10</v>
      </c>
      <c r="O339" s="18">
        <v>5</v>
      </c>
      <c r="P339" s="18">
        <v>0</v>
      </c>
      <c r="Q339" s="18">
        <v>0</v>
      </c>
      <c r="R339" s="18">
        <v>0</v>
      </c>
      <c r="S339" s="39" t="s">
        <v>2834</v>
      </c>
      <c r="T339" s="39" t="s">
        <v>3492</v>
      </c>
      <c r="U339" s="95" t="s">
        <v>3836</v>
      </c>
      <c r="V339" s="39">
        <v>3201</v>
      </c>
      <c r="W339" s="18">
        <v>0</v>
      </c>
      <c r="X339" s="18"/>
      <c r="Y339" s="18">
        <v>0</v>
      </c>
      <c r="Z339" s="18">
        <v>0</v>
      </c>
      <c r="AA339" s="18">
        <v>0</v>
      </c>
      <c r="AB339" s="18"/>
      <c r="AC339" s="18">
        <v>1027</v>
      </c>
      <c r="AD339" s="18">
        <v>0</v>
      </c>
      <c r="AE339" s="39">
        <v>0</v>
      </c>
      <c r="AF339" s="18">
        <v>0</v>
      </c>
      <c r="AG339" s="18">
        <v>0</v>
      </c>
      <c r="AH339" s="18">
        <v>0</v>
      </c>
      <c r="AI339" s="18">
        <v>0</v>
      </c>
    </row>
    <row r="340" spans="2:35" x14ac:dyDescent="0.2">
      <c r="B340" s="127" t="s">
        <v>4107</v>
      </c>
      <c r="C340" s="17" t="s">
        <v>3494</v>
      </c>
      <c r="D340" s="97"/>
      <c r="E340" s="18">
        <v>30019</v>
      </c>
      <c r="F340" s="18">
        <v>600041</v>
      </c>
      <c r="G340" s="18">
        <v>600047</v>
      </c>
      <c r="H340" s="41" t="s">
        <v>3618</v>
      </c>
      <c r="I340" s="18">
        <v>1</v>
      </c>
      <c r="J340" s="18">
        <v>3</v>
      </c>
      <c r="K340" s="18">
        <v>1</v>
      </c>
      <c r="L340" s="18">
        <v>6</v>
      </c>
      <c r="M340" s="18">
        <v>4</v>
      </c>
      <c r="N340" s="18">
        <v>10</v>
      </c>
      <c r="O340" s="18">
        <v>5</v>
      </c>
      <c r="P340" s="18">
        <v>0</v>
      </c>
      <c r="Q340" s="18">
        <v>0</v>
      </c>
      <c r="R340" s="18">
        <v>0</v>
      </c>
      <c r="S340" s="39" t="s">
        <v>3740</v>
      </c>
      <c r="T340" s="39" t="s">
        <v>3496</v>
      </c>
      <c r="U340" s="95" t="s">
        <v>4504</v>
      </c>
      <c r="V340" s="18">
        <v>101</v>
      </c>
      <c r="W340" s="18">
        <v>10049</v>
      </c>
      <c r="X340" s="18"/>
      <c r="Y340" s="18">
        <v>900</v>
      </c>
      <c r="Z340" s="18">
        <v>0</v>
      </c>
      <c r="AA340" s="18">
        <v>1090101</v>
      </c>
      <c r="AB340" s="18" t="s">
        <v>4643</v>
      </c>
      <c r="AC340" s="18">
        <v>1001</v>
      </c>
      <c r="AD340" s="18">
        <v>0</v>
      </c>
      <c r="AE340" s="39">
        <v>0</v>
      </c>
      <c r="AF340" s="18">
        <v>0</v>
      </c>
      <c r="AG340" s="18">
        <v>0</v>
      </c>
      <c r="AH340" s="18">
        <v>0</v>
      </c>
      <c r="AI340" s="18">
        <v>0</v>
      </c>
    </row>
    <row r="341" spans="2:35" x14ac:dyDescent="0.2">
      <c r="B341" s="128"/>
      <c r="C341" s="17" t="s">
        <v>3495</v>
      </c>
      <c r="D341" s="97"/>
      <c r="E341" s="18">
        <v>30020</v>
      </c>
      <c r="F341" s="18">
        <v>600042</v>
      </c>
      <c r="G341" s="18">
        <v>600048</v>
      </c>
      <c r="H341" s="41" t="s">
        <v>3619</v>
      </c>
      <c r="I341" s="18">
        <v>2</v>
      </c>
      <c r="J341" s="18">
        <v>3</v>
      </c>
      <c r="K341" s="18">
        <v>2</v>
      </c>
      <c r="L341" s="18">
        <v>6</v>
      </c>
      <c r="M341" s="18">
        <v>4</v>
      </c>
      <c r="N341" s="18">
        <v>10</v>
      </c>
      <c r="O341" s="18">
        <v>5</v>
      </c>
      <c r="P341" s="18">
        <v>0</v>
      </c>
      <c r="Q341" s="18">
        <v>0</v>
      </c>
      <c r="R341" s="18">
        <v>0</v>
      </c>
      <c r="S341" s="39" t="s">
        <v>3741</v>
      </c>
      <c r="T341" s="39" t="s">
        <v>3498</v>
      </c>
      <c r="U341" s="95" t="s">
        <v>4505</v>
      </c>
      <c r="V341" s="18">
        <v>201</v>
      </c>
      <c r="W341" s="18">
        <v>10008</v>
      </c>
      <c r="X341" s="18"/>
      <c r="Y341" s="18">
        <v>1100</v>
      </c>
      <c r="Z341" s="18">
        <v>0</v>
      </c>
      <c r="AA341" s="18">
        <v>1090401</v>
      </c>
      <c r="AB341" s="18" t="s">
        <v>4644</v>
      </c>
      <c r="AC341" s="18">
        <v>1003</v>
      </c>
      <c r="AD341" s="18">
        <v>0</v>
      </c>
      <c r="AE341" s="39">
        <v>0</v>
      </c>
      <c r="AF341" s="18">
        <v>0</v>
      </c>
      <c r="AG341" s="18">
        <v>0</v>
      </c>
      <c r="AH341" s="18">
        <v>0</v>
      </c>
      <c r="AI341" s="18">
        <v>0</v>
      </c>
    </row>
    <row r="342" spans="2:35" x14ac:dyDescent="0.2">
      <c r="B342" s="128"/>
      <c r="C342" s="17" t="s">
        <v>3497</v>
      </c>
      <c r="D342" s="97"/>
      <c r="E342" s="18">
        <v>30021</v>
      </c>
      <c r="F342" s="18">
        <v>600043</v>
      </c>
      <c r="G342" s="18">
        <v>600049</v>
      </c>
      <c r="H342" s="39" t="s">
        <v>3869</v>
      </c>
      <c r="I342" s="18">
        <v>2</v>
      </c>
      <c r="J342" s="18">
        <v>2</v>
      </c>
      <c r="K342" s="18">
        <v>21</v>
      </c>
      <c r="L342" s="18">
        <v>6</v>
      </c>
      <c r="M342" s="18">
        <v>4</v>
      </c>
      <c r="N342" s="18">
        <v>10</v>
      </c>
      <c r="O342" s="18">
        <v>5</v>
      </c>
      <c r="P342" s="18">
        <v>0</v>
      </c>
      <c r="Q342" s="18">
        <v>0</v>
      </c>
      <c r="R342" s="18">
        <v>0</v>
      </c>
      <c r="S342" s="39" t="s">
        <v>2837</v>
      </c>
      <c r="T342" s="39" t="s">
        <v>3500</v>
      </c>
      <c r="U342" s="117" t="s">
        <v>3858</v>
      </c>
      <c r="V342" s="18">
        <v>2101</v>
      </c>
      <c r="W342" s="18">
        <v>0</v>
      </c>
      <c r="X342" s="18"/>
      <c r="Y342" s="18">
        <v>0</v>
      </c>
      <c r="Z342" s="18">
        <v>0</v>
      </c>
      <c r="AA342" s="18">
        <v>0</v>
      </c>
      <c r="AB342" s="18"/>
      <c r="AC342" s="18">
        <v>1023</v>
      </c>
      <c r="AD342" s="18">
        <v>0</v>
      </c>
      <c r="AE342" s="39">
        <v>0</v>
      </c>
      <c r="AF342" s="18">
        <v>0</v>
      </c>
      <c r="AG342" s="18">
        <v>0</v>
      </c>
      <c r="AH342" s="18">
        <v>0</v>
      </c>
      <c r="AI342" s="18">
        <v>0</v>
      </c>
    </row>
    <row r="343" spans="2:35" x14ac:dyDescent="0.2">
      <c r="B343" s="128"/>
      <c r="C343" s="17" t="s">
        <v>3499</v>
      </c>
      <c r="D343" s="97"/>
      <c r="E343" s="18">
        <v>30022</v>
      </c>
      <c r="F343" s="18">
        <v>600044</v>
      </c>
      <c r="G343" s="18">
        <v>600050</v>
      </c>
      <c r="H343" s="39" t="s">
        <v>3878</v>
      </c>
      <c r="I343" s="18">
        <v>2</v>
      </c>
      <c r="J343" s="18">
        <v>3</v>
      </c>
      <c r="K343" s="18">
        <v>22</v>
      </c>
      <c r="L343" s="18">
        <v>6</v>
      </c>
      <c r="M343" s="18">
        <v>4</v>
      </c>
      <c r="N343" s="18">
        <v>10</v>
      </c>
      <c r="O343" s="18">
        <v>5</v>
      </c>
      <c r="P343" s="18">
        <v>0</v>
      </c>
      <c r="Q343" s="18">
        <v>0</v>
      </c>
      <c r="R343" s="18">
        <v>0</v>
      </c>
      <c r="S343" s="39" t="s">
        <v>3744</v>
      </c>
      <c r="T343" s="39" t="s">
        <v>3502</v>
      </c>
      <c r="U343" s="95" t="s">
        <v>4506</v>
      </c>
      <c r="V343" s="18">
        <v>2201</v>
      </c>
      <c r="W343" s="18">
        <v>0</v>
      </c>
      <c r="X343" s="18"/>
      <c r="Y343" s="18">
        <v>0</v>
      </c>
      <c r="Z343" s="18">
        <v>0</v>
      </c>
      <c r="AA343" s="18">
        <v>0</v>
      </c>
      <c r="AB343" s="18"/>
      <c r="AC343" s="18">
        <v>1022</v>
      </c>
      <c r="AD343" s="18">
        <v>0</v>
      </c>
      <c r="AE343" s="39">
        <v>0</v>
      </c>
      <c r="AF343" s="18">
        <v>0</v>
      </c>
      <c r="AG343" s="18">
        <v>0</v>
      </c>
      <c r="AH343" s="18">
        <v>0</v>
      </c>
      <c r="AI343" s="18">
        <v>0</v>
      </c>
    </row>
    <row r="344" spans="2:35" x14ac:dyDescent="0.2">
      <c r="B344" s="128"/>
      <c r="C344" s="17" t="s">
        <v>3501</v>
      </c>
      <c r="D344" s="97"/>
      <c r="E344" s="18">
        <v>30023</v>
      </c>
      <c r="F344" s="18">
        <v>600045</v>
      </c>
      <c r="G344" s="18">
        <v>600051</v>
      </c>
      <c r="H344" s="39" t="s">
        <v>3914</v>
      </c>
      <c r="I344" s="18">
        <v>2</v>
      </c>
      <c r="J344" s="18">
        <v>1</v>
      </c>
      <c r="K344" s="18">
        <v>25</v>
      </c>
      <c r="L344" s="18">
        <v>6</v>
      </c>
      <c r="M344" s="18">
        <v>4</v>
      </c>
      <c r="N344" s="18">
        <v>10</v>
      </c>
      <c r="O344" s="18">
        <v>5</v>
      </c>
      <c r="P344" s="18">
        <v>0</v>
      </c>
      <c r="Q344" s="18">
        <v>0</v>
      </c>
      <c r="R344" s="18">
        <v>0</v>
      </c>
      <c r="S344" s="39" t="s">
        <v>2837</v>
      </c>
      <c r="T344" s="39" t="s">
        <v>3504</v>
      </c>
      <c r="U344" s="95" t="s">
        <v>3837</v>
      </c>
      <c r="V344" s="18">
        <v>2501</v>
      </c>
      <c r="W344" s="18">
        <v>0</v>
      </c>
      <c r="X344" s="18"/>
      <c r="Y344" s="18">
        <v>0</v>
      </c>
      <c r="Z344" s="18">
        <v>0</v>
      </c>
      <c r="AA344" s="18">
        <v>0</v>
      </c>
      <c r="AB344" s="18"/>
      <c r="AC344" s="18">
        <v>1027</v>
      </c>
      <c r="AD344" s="18">
        <v>0</v>
      </c>
      <c r="AE344" s="39">
        <v>0</v>
      </c>
      <c r="AF344" s="18">
        <v>0</v>
      </c>
      <c r="AG344" s="18">
        <v>0</v>
      </c>
      <c r="AH344" s="18">
        <v>0</v>
      </c>
      <c r="AI344" s="18">
        <v>0</v>
      </c>
    </row>
    <row r="345" spans="2:35" x14ac:dyDescent="0.2">
      <c r="B345" s="128"/>
      <c r="C345" s="17" t="s">
        <v>3503</v>
      </c>
      <c r="D345" s="97"/>
      <c r="E345" s="18">
        <v>30024</v>
      </c>
      <c r="F345" s="18">
        <v>600046</v>
      </c>
      <c r="G345" s="18">
        <v>600052</v>
      </c>
      <c r="H345" s="39" t="s">
        <v>3864</v>
      </c>
      <c r="I345" s="18">
        <v>2</v>
      </c>
      <c r="J345" s="18">
        <v>2</v>
      </c>
      <c r="K345" s="18">
        <v>23</v>
      </c>
      <c r="L345" s="18">
        <v>6</v>
      </c>
      <c r="M345" s="18">
        <v>4</v>
      </c>
      <c r="N345" s="18">
        <v>10</v>
      </c>
      <c r="O345" s="18">
        <v>5</v>
      </c>
      <c r="P345" s="18">
        <v>0</v>
      </c>
      <c r="Q345" s="18">
        <v>0</v>
      </c>
      <c r="R345" s="18">
        <v>0</v>
      </c>
      <c r="S345" s="39" t="s">
        <v>2837</v>
      </c>
      <c r="T345" s="39" t="s">
        <v>3558</v>
      </c>
      <c r="U345" s="95" t="s">
        <v>3926</v>
      </c>
      <c r="V345" s="18">
        <v>2301</v>
      </c>
      <c r="W345" s="18">
        <v>0</v>
      </c>
      <c r="X345" s="18"/>
      <c r="Y345" s="18">
        <v>0</v>
      </c>
      <c r="Z345" s="18">
        <v>0</v>
      </c>
      <c r="AA345" s="18">
        <v>0</v>
      </c>
      <c r="AB345" s="18"/>
      <c r="AC345" s="18">
        <v>1028</v>
      </c>
      <c r="AD345" s="18">
        <v>0</v>
      </c>
      <c r="AE345" s="39">
        <v>0</v>
      </c>
      <c r="AF345" s="18">
        <v>0</v>
      </c>
      <c r="AG345" s="18">
        <v>0</v>
      </c>
      <c r="AH345" s="18">
        <v>0</v>
      </c>
      <c r="AI345" s="18">
        <v>0</v>
      </c>
    </row>
    <row r="346" spans="2:35" x14ac:dyDescent="0.2">
      <c r="B346" s="130" t="s">
        <v>4858</v>
      </c>
      <c r="C346" s="120" t="s">
        <v>3506</v>
      </c>
      <c r="D346" s="92"/>
      <c r="E346" s="18">
        <v>30025</v>
      </c>
      <c r="F346" s="18">
        <v>600054</v>
      </c>
      <c r="G346" s="18">
        <v>600060</v>
      </c>
      <c r="H346" s="41" t="s">
        <v>3624</v>
      </c>
      <c r="I346" s="18">
        <v>2</v>
      </c>
      <c r="J346" s="18">
        <v>3</v>
      </c>
      <c r="K346" s="18">
        <v>9</v>
      </c>
      <c r="L346" s="18">
        <v>6</v>
      </c>
      <c r="M346" s="18">
        <v>5</v>
      </c>
      <c r="N346" s="18">
        <v>10</v>
      </c>
      <c r="O346" s="18">
        <v>5</v>
      </c>
      <c r="P346" s="18">
        <v>0</v>
      </c>
      <c r="Q346" s="18">
        <v>0</v>
      </c>
      <c r="R346" s="18">
        <v>0</v>
      </c>
      <c r="S346" s="39" t="s">
        <v>3742</v>
      </c>
      <c r="T346" s="39" t="s">
        <v>3559</v>
      </c>
      <c r="U346" s="95" t="s">
        <v>3838</v>
      </c>
      <c r="V346" s="18">
        <v>901</v>
      </c>
      <c r="W346" s="18">
        <v>10026</v>
      </c>
      <c r="X346" s="18"/>
      <c r="Y346" s="18">
        <v>1400</v>
      </c>
      <c r="Z346" s="18">
        <v>0</v>
      </c>
      <c r="AA346" s="18">
        <v>1091701</v>
      </c>
      <c r="AB346" s="18" t="s">
        <v>4647</v>
      </c>
      <c r="AC346" s="18">
        <v>1017</v>
      </c>
      <c r="AD346" s="18">
        <v>0</v>
      </c>
      <c r="AE346" s="39">
        <v>0</v>
      </c>
      <c r="AF346" s="18">
        <v>0</v>
      </c>
      <c r="AG346" s="18">
        <v>0</v>
      </c>
      <c r="AH346" s="18">
        <v>0</v>
      </c>
      <c r="AI346" s="18">
        <v>0</v>
      </c>
    </row>
    <row r="347" spans="2:35" x14ac:dyDescent="0.2">
      <c r="B347" s="130"/>
      <c r="C347" s="120" t="s">
        <v>3507</v>
      </c>
      <c r="D347" s="92"/>
      <c r="E347" s="18">
        <v>30026</v>
      </c>
      <c r="F347" s="18">
        <v>600055</v>
      </c>
      <c r="G347" s="18">
        <v>600061</v>
      </c>
      <c r="H347" s="39" t="s">
        <v>3870</v>
      </c>
      <c r="I347" s="18">
        <v>2</v>
      </c>
      <c r="J347" s="18">
        <v>2</v>
      </c>
      <c r="K347" s="18">
        <v>21</v>
      </c>
      <c r="L347" s="18">
        <v>6</v>
      </c>
      <c r="M347" s="18">
        <v>5</v>
      </c>
      <c r="N347" s="18">
        <v>10</v>
      </c>
      <c r="O347" s="18">
        <v>5</v>
      </c>
      <c r="P347" s="18">
        <v>0</v>
      </c>
      <c r="Q347" s="18">
        <v>0</v>
      </c>
      <c r="R347" s="18">
        <v>0</v>
      </c>
      <c r="S347" s="39" t="s">
        <v>2834</v>
      </c>
      <c r="T347" s="39" t="s">
        <v>3509</v>
      </c>
      <c r="U347" s="95" t="s">
        <v>4074</v>
      </c>
      <c r="V347" s="18">
        <v>2101</v>
      </c>
      <c r="W347" s="18">
        <v>0</v>
      </c>
      <c r="X347" s="18"/>
      <c r="Y347" s="18">
        <v>0</v>
      </c>
      <c r="Z347" s="18">
        <v>0</v>
      </c>
      <c r="AA347" s="18">
        <v>0</v>
      </c>
      <c r="AB347" s="18"/>
      <c r="AC347" s="18">
        <v>1023</v>
      </c>
      <c r="AD347" s="18">
        <v>0</v>
      </c>
      <c r="AE347" s="39">
        <v>0</v>
      </c>
      <c r="AF347" s="18">
        <v>0</v>
      </c>
      <c r="AG347" s="18">
        <v>0</v>
      </c>
      <c r="AH347" s="18">
        <v>0</v>
      </c>
      <c r="AI347" s="18">
        <v>0</v>
      </c>
    </row>
    <row r="348" spans="2:35" x14ac:dyDescent="0.2">
      <c r="B348" s="130"/>
      <c r="C348" s="120" t="s">
        <v>3508</v>
      </c>
      <c r="D348" s="92"/>
      <c r="E348" s="18">
        <v>30027</v>
      </c>
      <c r="F348" s="18">
        <v>600056</v>
      </c>
      <c r="G348" s="18">
        <v>600062</v>
      </c>
      <c r="H348" s="39" t="s">
        <v>3881</v>
      </c>
      <c r="I348" s="18">
        <v>2</v>
      </c>
      <c r="J348" s="18">
        <v>3</v>
      </c>
      <c r="K348" s="18">
        <v>22</v>
      </c>
      <c r="L348" s="18">
        <v>6</v>
      </c>
      <c r="M348" s="18">
        <v>5</v>
      </c>
      <c r="N348" s="18">
        <v>10</v>
      </c>
      <c r="O348" s="18">
        <v>5</v>
      </c>
      <c r="P348" s="18">
        <v>0</v>
      </c>
      <c r="Q348" s="18">
        <v>0</v>
      </c>
      <c r="R348" s="18">
        <v>0</v>
      </c>
      <c r="S348" s="39" t="s">
        <v>3746</v>
      </c>
      <c r="T348" s="39" t="s">
        <v>3511</v>
      </c>
      <c r="U348" s="95" t="s">
        <v>4507</v>
      </c>
      <c r="V348" s="18">
        <v>2201</v>
      </c>
      <c r="W348" s="18">
        <v>0</v>
      </c>
      <c r="X348" s="18"/>
      <c r="Y348" s="18">
        <v>0</v>
      </c>
      <c r="Z348" s="18">
        <v>0</v>
      </c>
      <c r="AA348" s="18">
        <v>0</v>
      </c>
      <c r="AB348" s="18"/>
      <c r="AC348" s="18">
        <v>1022</v>
      </c>
      <c r="AD348" s="18">
        <v>0</v>
      </c>
      <c r="AE348" s="39">
        <v>0</v>
      </c>
      <c r="AF348" s="18">
        <v>0</v>
      </c>
      <c r="AG348" s="18">
        <v>0</v>
      </c>
      <c r="AH348" s="18">
        <v>0</v>
      </c>
      <c r="AI348" s="18">
        <v>0</v>
      </c>
    </row>
    <row r="349" spans="2:35" x14ac:dyDescent="0.2">
      <c r="B349" s="130"/>
      <c r="C349" s="120" t="s">
        <v>3510</v>
      </c>
      <c r="D349" s="92"/>
      <c r="E349" s="18">
        <v>30028</v>
      </c>
      <c r="F349" s="18">
        <v>600057</v>
      </c>
      <c r="G349" s="18">
        <v>600063</v>
      </c>
      <c r="H349" s="39" t="s">
        <v>3865</v>
      </c>
      <c r="I349" s="18">
        <v>2</v>
      </c>
      <c r="J349" s="18">
        <v>2</v>
      </c>
      <c r="K349" s="18">
        <v>23</v>
      </c>
      <c r="L349" s="18">
        <v>6</v>
      </c>
      <c r="M349" s="18">
        <v>5</v>
      </c>
      <c r="N349" s="18">
        <v>10</v>
      </c>
      <c r="O349" s="18">
        <v>5</v>
      </c>
      <c r="P349" s="18">
        <v>0</v>
      </c>
      <c r="Q349" s="18">
        <v>0</v>
      </c>
      <c r="R349" s="18">
        <v>0</v>
      </c>
      <c r="S349" s="39" t="s">
        <v>2834</v>
      </c>
      <c r="T349" s="39" t="s">
        <v>3513</v>
      </c>
      <c r="U349" s="110" t="s">
        <v>4170</v>
      </c>
      <c r="V349" s="18">
        <v>2301</v>
      </c>
      <c r="W349" s="18">
        <v>0</v>
      </c>
      <c r="X349" s="18"/>
      <c r="Y349" s="18">
        <v>0</v>
      </c>
      <c r="Z349" s="18">
        <v>0</v>
      </c>
      <c r="AA349" s="18">
        <v>0</v>
      </c>
      <c r="AB349" s="18"/>
      <c r="AC349" s="18">
        <v>1028</v>
      </c>
      <c r="AD349" s="18">
        <v>0</v>
      </c>
      <c r="AE349" s="39">
        <v>0</v>
      </c>
      <c r="AF349" s="18">
        <v>0</v>
      </c>
      <c r="AG349" s="18">
        <v>0</v>
      </c>
      <c r="AH349" s="18">
        <v>0</v>
      </c>
      <c r="AI349" s="18">
        <v>0</v>
      </c>
    </row>
    <row r="350" spans="2:35" x14ac:dyDescent="0.2">
      <c r="B350" s="130"/>
      <c r="C350" s="120" t="s">
        <v>3512</v>
      </c>
      <c r="D350" s="92"/>
      <c r="E350" s="18">
        <v>30029</v>
      </c>
      <c r="F350" s="18">
        <v>600058</v>
      </c>
      <c r="G350" s="18">
        <v>600064</v>
      </c>
      <c r="H350" s="39" t="s">
        <v>3898</v>
      </c>
      <c r="I350" s="18">
        <v>2</v>
      </c>
      <c r="J350" s="18">
        <v>2</v>
      </c>
      <c r="K350" s="18">
        <v>24</v>
      </c>
      <c r="L350" s="18">
        <v>6</v>
      </c>
      <c r="M350" s="18">
        <v>5</v>
      </c>
      <c r="N350" s="18">
        <v>10</v>
      </c>
      <c r="O350" s="18">
        <v>5</v>
      </c>
      <c r="P350" s="18">
        <v>0</v>
      </c>
      <c r="Q350" s="18">
        <v>0</v>
      </c>
      <c r="R350" s="18">
        <v>0</v>
      </c>
      <c r="S350" s="39" t="s">
        <v>3743</v>
      </c>
      <c r="T350" s="39" t="s">
        <v>3515</v>
      </c>
      <c r="U350" s="95" t="s">
        <v>4508</v>
      </c>
      <c r="V350" s="18">
        <v>2401</v>
      </c>
      <c r="W350" s="18">
        <v>0</v>
      </c>
      <c r="X350" s="18"/>
      <c r="Y350" s="18">
        <v>0</v>
      </c>
      <c r="Z350" s="18">
        <v>0</v>
      </c>
      <c r="AA350" s="18">
        <v>0</v>
      </c>
      <c r="AB350" s="18"/>
      <c r="AC350" s="18">
        <v>1025</v>
      </c>
      <c r="AD350" s="18">
        <v>0</v>
      </c>
      <c r="AE350" s="39">
        <v>0</v>
      </c>
      <c r="AF350" s="18">
        <v>0</v>
      </c>
      <c r="AG350" s="18">
        <v>0</v>
      </c>
      <c r="AH350" s="18">
        <v>0</v>
      </c>
      <c r="AI350" s="18">
        <v>0</v>
      </c>
    </row>
    <row r="351" spans="2:35" x14ac:dyDescent="0.2">
      <c r="B351" s="130"/>
      <c r="C351" s="120" t="s">
        <v>3514</v>
      </c>
      <c r="D351" s="92"/>
      <c r="E351" s="18">
        <v>30030</v>
      </c>
      <c r="F351" s="18">
        <v>600059</v>
      </c>
      <c r="G351" s="18">
        <v>600065</v>
      </c>
      <c r="H351" s="39" t="s">
        <v>3924</v>
      </c>
      <c r="I351" s="18">
        <v>1</v>
      </c>
      <c r="J351" s="18">
        <v>1</v>
      </c>
      <c r="K351" s="18">
        <v>32</v>
      </c>
      <c r="L351" s="18">
        <v>6</v>
      </c>
      <c r="M351" s="18">
        <v>5</v>
      </c>
      <c r="N351" s="18">
        <v>10</v>
      </c>
      <c r="O351" s="18">
        <v>5</v>
      </c>
      <c r="P351" s="18">
        <v>0</v>
      </c>
      <c r="Q351" s="18">
        <v>0</v>
      </c>
      <c r="R351" s="18">
        <v>0</v>
      </c>
      <c r="S351" s="39" t="s">
        <v>85</v>
      </c>
      <c r="T351" s="39" t="s">
        <v>3684</v>
      </c>
      <c r="U351" s="95" t="s">
        <v>4124</v>
      </c>
      <c r="V351" s="18">
        <v>3201</v>
      </c>
      <c r="W351" s="18">
        <v>0</v>
      </c>
      <c r="X351" s="18"/>
      <c r="Y351" s="18">
        <v>0</v>
      </c>
      <c r="Z351" s="18">
        <v>0</v>
      </c>
      <c r="AA351" s="18">
        <v>0</v>
      </c>
      <c r="AB351" s="18"/>
      <c r="AC351" s="18">
        <v>1027</v>
      </c>
      <c r="AD351" s="18">
        <v>0</v>
      </c>
      <c r="AE351" s="39">
        <v>0</v>
      </c>
      <c r="AF351" s="18">
        <v>0</v>
      </c>
      <c r="AG351" s="18">
        <v>0</v>
      </c>
      <c r="AH351" s="18">
        <v>0</v>
      </c>
      <c r="AI351" s="18">
        <v>0</v>
      </c>
    </row>
    <row r="352" spans="2:35" x14ac:dyDescent="0.2">
      <c r="B352" s="131" t="s">
        <v>4859</v>
      </c>
      <c r="C352" s="121" t="s">
        <v>3517</v>
      </c>
      <c r="D352" s="97"/>
      <c r="E352" s="18">
        <v>30031</v>
      </c>
      <c r="F352" s="18">
        <v>600067</v>
      </c>
      <c r="G352" s="18">
        <v>600073</v>
      </c>
      <c r="H352" s="39" t="s">
        <v>3871</v>
      </c>
      <c r="I352" s="18">
        <v>2</v>
      </c>
      <c r="J352" s="18">
        <v>2</v>
      </c>
      <c r="K352" s="18">
        <v>21</v>
      </c>
      <c r="L352" s="18">
        <v>6</v>
      </c>
      <c r="M352" s="18">
        <v>6</v>
      </c>
      <c r="N352" s="18">
        <v>10</v>
      </c>
      <c r="O352" s="18">
        <v>5</v>
      </c>
      <c r="P352" s="18">
        <v>0</v>
      </c>
      <c r="Q352" s="18">
        <v>0</v>
      </c>
      <c r="R352" s="18">
        <v>0</v>
      </c>
      <c r="S352" s="39" t="s">
        <v>2837</v>
      </c>
      <c r="T352" s="39" t="s">
        <v>3560</v>
      </c>
      <c r="U352" s="95" t="s">
        <v>3839</v>
      </c>
      <c r="V352" s="18">
        <v>2101</v>
      </c>
      <c r="W352" s="18">
        <v>0</v>
      </c>
      <c r="X352" s="18"/>
      <c r="Y352" s="18">
        <v>0</v>
      </c>
      <c r="Z352" s="18">
        <v>0</v>
      </c>
      <c r="AA352" s="18">
        <v>0</v>
      </c>
      <c r="AB352" s="18"/>
      <c r="AC352" s="18">
        <v>1017</v>
      </c>
      <c r="AD352" s="18">
        <v>0</v>
      </c>
      <c r="AE352" s="39">
        <v>0</v>
      </c>
      <c r="AF352" s="18">
        <v>0</v>
      </c>
      <c r="AG352" s="18">
        <v>0</v>
      </c>
      <c r="AH352" s="18">
        <v>0</v>
      </c>
      <c r="AI352" s="18">
        <v>0</v>
      </c>
    </row>
    <row r="353" spans="2:35" x14ac:dyDescent="0.2">
      <c r="B353" s="131"/>
      <c r="C353" s="121" t="s">
        <v>3518</v>
      </c>
      <c r="D353" s="97"/>
      <c r="E353" s="18">
        <v>30032</v>
      </c>
      <c r="F353" s="18">
        <v>600068</v>
      </c>
      <c r="G353" s="18">
        <v>600074</v>
      </c>
      <c r="H353" s="39" t="s">
        <v>3882</v>
      </c>
      <c r="I353" s="18">
        <v>2</v>
      </c>
      <c r="J353" s="18">
        <v>3</v>
      </c>
      <c r="K353" s="18">
        <v>22</v>
      </c>
      <c r="L353" s="18">
        <v>6</v>
      </c>
      <c r="M353" s="18">
        <v>6</v>
      </c>
      <c r="N353" s="18">
        <v>10</v>
      </c>
      <c r="O353" s="18">
        <v>5</v>
      </c>
      <c r="P353" s="18">
        <v>0</v>
      </c>
      <c r="Q353" s="18">
        <v>0</v>
      </c>
      <c r="R353" s="18">
        <v>0</v>
      </c>
      <c r="S353" s="39" t="s">
        <v>3744</v>
      </c>
      <c r="T353" s="39" t="s">
        <v>3520</v>
      </c>
      <c r="U353" s="95" t="s">
        <v>4103</v>
      </c>
      <c r="V353" s="18">
        <v>2201</v>
      </c>
      <c r="W353" s="18">
        <v>0</v>
      </c>
      <c r="X353" s="18"/>
      <c r="Y353" s="18">
        <v>0</v>
      </c>
      <c r="Z353" s="18">
        <v>0</v>
      </c>
      <c r="AA353" s="18">
        <v>0</v>
      </c>
      <c r="AB353" s="18"/>
      <c r="AC353" s="18">
        <v>1023</v>
      </c>
      <c r="AD353" s="18">
        <v>0</v>
      </c>
      <c r="AE353" s="39">
        <v>0</v>
      </c>
      <c r="AF353" s="18">
        <v>0</v>
      </c>
      <c r="AG353" s="18">
        <v>0</v>
      </c>
      <c r="AH353" s="18">
        <v>0</v>
      </c>
      <c r="AI353" s="18">
        <v>0</v>
      </c>
    </row>
    <row r="354" spans="2:35" x14ac:dyDescent="0.2">
      <c r="B354" s="131"/>
      <c r="C354" s="121" t="s">
        <v>3519</v>
      </c>
      <c r="D354" s="97"/>
      <c r="E354" s="18">
        <v>30033</v>
      </c>
      <c r="F354" s="18">
        <v>600069</v>
      </c>
      <c r="G354" s="18">
        <v>600075</v>
      </c>
      <c r="H354" s="39" t="s">
        <v>3863</v>
      </c>
      <c r="I354" s="18">
        <v>2</v>
      </c>
      <c r="J354" s="18">
        <v>2</v>
      </c>
      <c r="K354" s="18">
        <v>23</v>
      </c>
      <c r="L354" s="18">
        <v>6</v>
      </c>
      <c r="M354" s="18">
        <v>6</v>
      </c>
      <c r="N354" s="18">
        <v>10</v>
      </c>
      <c r="O354" s="18">
        <v>5</v>
      </c>
      <c r="P354" s="18">
        <v>0</v>
      </c>
      <c r="Q354" s="18">
        <v>0</v>
      </c>
      <c r="R354" s="18">
        <v>0</v>
      </c>
      <c r="S354" s="39" t="s">
        <v>2837</v>
      </c>
      <c r="T354" s="39" t="s">
        <v>3522</v>
      </c>
      <c r="U354" s="95" t="s">
        <v>4649</v>
      </c>
      <c r="V354" s="18">
        <v>2301</v>
      </c>
      <c r="W354" s="18">
        <v>0</v>
      </c>
      <c r="X354" s="18"/>
      <c r="Y354" s="18">
        <v>0</v>
      </c>
      <c r="Z354" s="18">
        <v>0</v>
      </c>
      <c r="AA354" s="18">
        <v>0</v>
      </c>
      <c r="AB354" s="18"/>
      <c r="AC354" s="18">
        <v>1022</v>
      </c>
      <c r="AD354" s="18">
        <v>0</v>
      </c>
      <c r="AE354" s="39">
        <v>0</v>
      </c>
      <c r="AF354" s="18">
        <v>0</v>
      </c>
      <c r="AG354" s="18">
        <v>0</v>
      </c>
      <c r="AH354" s="18">
        <v>0</v>
      </c>
      <c r="AI354" s="18">
        <v>0</v>
      </c>
    </row>
    <row r="355" spans="2:35" x14ac:dyDescent="0.2">
      <c r="B355" s="131"/>
      <c r="C355" s="121" t="s">
        <v>3521</v>
      </c>
      <c r="D355" s="97"/>
      <c r="E355" s="18">
        <v>30034</v>
      </c>
      <c r="F355" s="18">
        <v>600070</v>
      </c>
      <c r="G355" s="18">
        <v>600076</v>
      </c>
      <c r="H355" s="39" t="s">
        <v>3899</v>
      </c>
      <c r="I355" s="18">
        <v>2</v>
      </c>
      <c r="J355" s="18">
        <v>2</v>
      </c>
      <c r="K355" s="18">
        <v>24</v>
      </c>
      <c r="L355" s="18">
        <v>6</v>
      </c>
      <c r="M355" s="18">
        <v>6</v>
      </c>
      <c r="N355" s="18">
        <v>10</v>
      </c>
      <c r="O355" s="18">
        <v>5</v>
      </c>
      <c r="P355" s="18">
        <v>0</v>
      </c>
      <c r="Q355" s="18">
        <v>0</v>
      </c>
      <c r="R355" s="18">
        <v>0</v>
      </c>
      <c r="S355" s="39" t="s">
        <v>3745</v>
      </c>
      <c r="T355" s="39" t="s">
        <v>3524</v>
      </c>
      <c r="U355" s="95" t="s">
        <v>4509</v>
      </c>
      <c r="V355" s="18">
        <v>2401</v>
      </c>
      <c r="W355" s="18">
        <v>0</v>
      </c>
      <c r="X355" s="18"/>
      <c r="Y355" s="18">
        <v>0</v>
      </c>
      <c r="Z355" s="18">
        <v>0</v>
      </c>
      <c r="AA355" s="18">
        <v>0</v>
      </c>
      <c r="AB355" s="18"/>
      <c r="AC355" s="18">
        <v>1025</v>
      </c>
      <c r="AD355" s="18">
        <v>0</v>
      </c>
      <c r="AE355" s="39">
        <v>0</v>
      </c>
      <c r="AF355" s="18">
        <v>0</v>
      </c>
      <c r="AG355" s="18">
        <v>0</v>
      </c>
      <c r="AH355" s="18">
        <v>0</v>
      </c>
      <c r="AI355" s="18">
        <v>0</v>
      </c>
    </row>
    <row r="356" spans="2:35" x14ac:dyDescent="0.2">
      <c r="B356" s="131"/>
      <c r="C356" s="121" t="s">
        <v>3523</v>
      </c>
      <c r="D356" s="97"/>
      <c r="E356" s="18">
        <v>30035</v>
      </c>
      <c r="F356" s="18">
        <v>600071</v>
      </c>
      <c r="G356" s="18">
        <v>600077</v>
      </c>
      <c r="H356" s="39" t="s">
        <v>3915</v>
      </c>
      <c r="I356" s="18">
        <v>2</v>
      </c>
      <c r="J356" s="18">
        <v>1</v>
      </c>
      <c r="K356" s="18">
        <v>25</v>
      </c>
      <c r="L356" s="18">
        <v>6</v>
      </c>
      <c r="M356" s="18">
        <v>6</v>
      </c>
      <c r="N356" s="18">
        <v>10</v>
      </c>
      <c r="O356" s="18">
        <v>5</v>
      </c>
      <c r="P356" s="18">
        <v>0</v>
      </c>
      <c r="Q356" s="18">
        <v>0</v>
      </c>
      <c r="R356" s="18">
        <v>0</v>
      </c>
      <c r="S356" s="39" t="s">
        <v>2837</v>
      </c>
      <c r="T356" s="39" t="s">
        <v>3526</v>
      </c>
      <c r="U356" s="95" t="s">
        <v>4344</v>
      </c>
      <c r="V356" s="18">
        <v>2501</v>
      </c>
      <c r="W356" s="18">
        <v>0</v>
      </c>
      <c r="X356" s="18"/>
      <c r="Y356" s="18">
        <v>0</v>
      </c>
      <c r="Z356" s="18">
        <v>0</v>
      </c>
      <c r="AA356" s="18">
        <v>0</v>
      </c>
      <c r="AB356" s="18"/>
      <c r="AC356" s="18">
        <v>1027</v>
      </c>
      <c r="AD356" s="18">
        <v>0</v>
      </c>
      <c r="AE356" s="39">
        <v>0</v>
      </c>
      <c r="AF356" s="18">
        <v>0</v>
      </c>
      <c r="AG356" s="18">
        <v>0</v>
      </c>
      <c r="AH356" s="18">
        <v>0</v>
      </c>
      <c r="AI356" s="18">
        <v>0</v>
      </c>
    </row>
    <row r="357" spans="2:35" x14ac:dyDescent="0.2">
      <c r="B357" s="131"/>
      <c r="C357" s="121" t="s">
        <v>3525</v>
      </c>
      <c r="D357" s="97"/>
      <c r="E357" s="18">
        <v>30036</v>
      </c>
      <c r="F357" s="18">
        <v>600072</v>
      </c>
      <c r="G357" s="18">
        <v>600078</v>
      </c>
      <c r="H357" s="39" t="s">
        <v>3921</v>
      </c>
      <c r="I357" s="18">
        <v>1</v>
      </c>
      <c r="J357" s="18">
        <v>1</v>
      </c>
      <c r="K357" s="18">
        <v>31</v>
      </c>
      <c r="L357" s="18">
        <v>6</v>
      </c>
      <c r="M357" s="18">
        <v>6</v>
      </c>
      <c r="N357" s="18">
        <v>10</v>
      </c>
      <c r="O357" s="18">
        <v>5</v>
      </c>
      <c r="P357" s="18">
        <v>0</v>
      </c>
      <c r="Q357" s="18">
        <v>0</v>
      </c>
      <c r="R357" s="18">
        <v>0</v>
      </c>
      <c r="S357" s="39" t="s">
        <v>85</v>
      </c>
      <c r="T357" s="39" t="s">
        <v>3561</v>
      </c>
      <c r="U357" s="117" t="s">
        <v>4489</v>
      </c>
      <c r="V357" s="18">
        <v>3101</v>
      </c>
      <c r="W357" s="18">
        <v>0</v>
      </c>
      <c r="X357" s="18"/>
      <c r="Y357" s="18">
        <v>0</v>
      </c>
      <c r="Z357" s="18">
        <v>0</v>
      </c>
      <c r="AA357" s="18">
        <v>0</v>
      </c>
      <c r="AB357" s="18"/>
      <c r="AC357" s="18">
        <v>1027</v>
      </c>
      <c r="AD357" s="18">
        <v>0</v>
      </c>
      <c r="AE357" s="39">
        <v>0</v>
      </c>
      <c r="AF357" s="18">
        <v>0</v>
      </c>
      <c r="AG357" s="18">
        <v>0</v>
      </c>
      <c r="AH357" s="18">
        <v>0</v>
      </c>
      <c r="AI357" s="18">
        <v>0</v>
      </c>
    </row>
    <row r="358" spans="2:35" x14ac:dyDescent="0.2">
      <c r="B358" s="130" t="s">
        <v>4860</v>
      </c>
      <c r="C358" s="120" t="s">
        <v>3528</v>
      </c>
      <c r="D358" s="92"/>
      <c r="E358" s="18">
        <v>30037</v>
      </c>
      <c r="F358" s="18">
        <v>600080</v>
      </c>
      <c r="G358" s="18">
        <v>600086</v>
      </c>
      <c r="H358" s="90" t="s">
        <v>3622</v>
      </c>
      <c r="I358" s="86">
        <v>1</v>
      </c>
      <c r="J358" s="86">
        <v>4</v>
      </c>
      <c r="K358" s="86">
        <v>8</v>
      </c>
      <c r="L358" s="18">
        <v>6</v>
      </c>
      <c r="M358" s="86">
        <v>7</v>
      </c>
      <c r="N358" s="18">
        <v>10</v>
      </c>
      <c r="O358" s="18">
        <v>5</v>
      </c>
      <c r="P358" s="18">
        <v>0</v>
      </c>
      <c r="Q358" s="18">
        <v>0</v>
      </c>
      <c r="R358" s="86">
        <v>0</v>
      </c>
      <c r="S358" s="39" t="s">
        <v>3736</v>
      </c>
      <c r="T358" s="39" t="s">
        <v>3562</v>
      </c>
      <c r="U358" s="95" t="s">
        <v>4833</v>
      </c>
      <c r="V358" s="18">
        <v>801</v>
      </c>
      <c r="W358" s="86">
        <v>10006</v>
      </c>
      <c r="X358" s="86"/>
      <c r="Y358" s="86">
        <v>1200</v>
      </c>
      <c r="Z358" s="86">
        <v>0</v>
      </c>
      <c r="AA358" s="86">
        <v>1091302</v>
      </c>
      <c r="AB358" s="18" t="s">
        <v>4646</v>
      </c>
      <c r="AC358" s="86">
        <v>1013</v>
      </c>
      <c r="AD358" s="86">
        <v>0</v>
      </c>
      <c r="AE358" s="87">
        <v>0</v>
      </c>
      <c r="AF358" s="18">
        <v>0</v>
      </c>
      <c r="AG358" s="18">
        <v>0</v>
      </c>
      <c r="AH358" s="18">
        <v>0</v>
      </c>
      <c r="AI358" s="18">
        <v>0</v>
      </c>
    </row>
    <row r="359" spans="2:35" x14ac:dyDescent="0.2">
      <c r="B359" s="130"/>
      <c r="C359" s="120" t="s">
        <v>3529</v>
      </c>
      <c r="D359" s="92"/>
      <c r="E359" s="18">
        <v>30038</v>
      </c>
      <c r="F359" s="18">
        <v>600081</v>
      </c>
      <c r="G359" s="18">
        <v>600087</v>
      </c>
      <c r="H359" s="39" t="s">
        <v>3872</v>
      </c>
      <c r="I359" s="18">
        <v>2</v>
      </c>
      <c r="J359" s="18">
        <v>2</v>
      </c>
      <c r="K359" s="18">
        <v>21</v>
      </c>
      <c r="L359" s="18">
        <v>6</v>
      </c>
      <c r="M359" s="18">
        <v>7</v>
      </c>
      <c r="N359" s="18">
        <v>10</v>
      </c>
      <c r="O359" s="18">
        <v>5</v>
      </c>
      <c r="P359" s="18">
        <v>0</v>
      </c>
      <c r="Q359" s="18">
        <v>0</v>
      </c>
      <c r="R359" s="18">
        <v>0</v>
      </c>
      <c r="S359" s="39" t="s">
        <v>3840</v>
      </c>
      <c r="T359" s="39" t="s">
        <v>3531</v>
      </c>
      <c r="U359" s="95" t="s">
        <v>4079</v>
      </c>
      <c r="V359" s="18">
        <v>2101</v>
      </c>
      <c r="W359" s="18">
        <v>0</v>
      </c>
      <c r="X359" s="18"/>
      <c r="Y359" s="18">
        <v>0</v>
      </c>
      <c r="Z359" s="18">
        <v>0</v>
      </c>
      <c r="AA359" s="18">
        <v>0</v>
      </c>
      <c r="AB359" s="18"/>
      <c r="AC359" s="18">
        <v>1023</v>
      </c>
      <c r="AD359" s="18">
        <v>0</v>
      </c>
      <c r="AE359" s="39">
        <v>0</v>
      </c>
      <c r="AF359" s="18">
        <v>0</v>
      </c>
      <c r="AG359" s="18">
        <v>0</v>
      </c>
      <c r="AH359" s="18">
        <v>0</v>
      </c>
      <c r="AI359" s="18">
        <v>0</v>
      </c>
    </row>
    <row r="360" spans="2:35" x14ac:dyDescent="0.2">
      <c r="B360" s="130"/>
      <c r="C360" s="120" t="s">
        <v>3530</v>
      </c>
      <c r="D360" s="92"/>
      <c r="E360" s="18">
        <v>30039</v>
      </c>
      <c r="F360" s="18">
        <v>600082</v>
      </c>
      <c r="G360" s="18">
        <v>600088</v>
      </c>
      <c r="H360" s="39" t="s">
        <v>3883</v>
      </c>
      <c r="I360" s="18">
        <v>2</v>
      </c>
      <c r="J360" s="18">
        <v>3</v>
      </c>
      <c r="K360" s="18">
        <v>22</v>
      </c>
      <c r="L360" s="18">
        <v>6</v>
      </c>
      <c r="M360" s="18">
        <v>7</v>
      </c>
      <c r="N360" s="18">
        <v>10</v>
      </c>
      <c r="O360" s="18">
        <v>5</v>
      </c>
      <c r="P360" s="18">
        <v>0</v>
      </c>
      <c r="Q360" s="18">
        <v>0</v>
      </c>
      <c r="R360" s="18">
        <v>0</v>
      </c>
      <c r="S360" s="39" t="s">
        <v>3841</v>
      </c>
      <c r="T360" s="39" t="s">
        <v>3533</v>
      </c>
      <c r="U360" s="95" t="s">
        <v>4125</v>
      </c>
      <c r="V360" s="18">
        <v>2201</v>
      </c>
      <c r="W360" s="18">
        <v>0</v>
      </c>
      <c r="X360" s="18"/>
      <c r="Y360" s="18">
        <v>0</v>
      </c>
      <c r="Z360" s="18">
        <v>0</v>
      </c>
      <c r="AA360" s="18">
        <v>0</v>
      </c>
      <c r="AB360" s="18"/>
      <c r="AC360" s="18">
        <v>1022</v>
      </c>
      <c r="AD360" s="18">
        <v>0</v>
      </c>
      <c r="AE360" s="39">
        <v>0</v>
      </c>
      <c r="AF360" s="18">
        <v>0</v>
      </c>
      <c r="AG360" s="18">
        <v>0</v>
      </c>
      <c r="AH360" s="18">
        <v>0</v>
      </c>
      <c r="AI360" s="18">
        <v>0</v>
      </c>
    </row>
    <row r="361" spans="2:35" x14ac:dyDescent="0.2">
      <c r="B361" s="130"/>
      <c r="C361" s="120" t="s">
        <v>3532</v>
      </c>
      <c r="D361" s="92"/>
      <c r="E361" s="18">
        <v>30040</v>
      </c>
      <c r="F361" s="18">
        <v>600083</v>
      </c>
      <c r="G361" s="18">
        <v>600089</v>
      </c>
      <c r="H361" s="39" t="s">
        <v>3917</v>
      </c>
      <c r="I361" s="18">
        <v>2</v>
      </c>
      <c r="J361" s="18">
        <v>1</v>
      </c>
      <c r="K361" s="18">
        <v>25</v>
      </c>
      <c r="L361" s="18">
        <v>6</v>
      </c>
      <c r="M361" s="18">
        <v>7</v>
      </c>
      <c r="N361" s="18">
        <v>10</v>
      </c>
      <c r="O361" s="18">
        <v>5</v>
      </c>
      <c r="P361" s="18">
        <v>0</v>
      </c>
      <c r="Q361" s="18">
        <v>0</v>
      </c>
      <c r="R361" s="18">
        <v>0</v>
      </c>
      <c r="S361" s="39" t="s">
        <v>3840</v>
      </c>
      <c r="T361" s="39" t="s">
        <v>3535</v>
      </c>
      <c r="U361" s="95" t="s">
        <v>4080</v>
      </c>
      <c r="V361" s="18">
        <v>2501</v>
      </c>
      <c r="W361" s="18">
        <v>0</v>
      </c>
      <c r="X361" s="18"/>
      <c r="Y361" s="18">
        <v>0</v>
      </c>
      <c r="Z361" s="18">
        <v>0</v>
      </c>
      <c r="AA361" s="18">
        <v>0</v>
      </c>
      <c r="AB361" s="18"/>
      <c r="AC361" s="18">
        <v>1027</v>
      </c>
      <c r="AD361" s="18">
        <v>0</v>
      </c>
      <c r="AE361" s="39">
        <v>0</v>
      </c>
      <c r="AF361" s="18">
        <v>0</v>
      </c>
      <c r="AG361" s="18">
        <v>0</v>
      </c>
      <c r="AH361" s="18">
        <v>0</v>
      </c>
      <c r="AI361" s="18">
        <v>0</v>
      </c>
    </row>
    <row r="362" spans="2:35" x14ac:dyDescent="0.2">
      <c r="B362" s="130"/>
      <c r="C362" s="120" t="s">
        <v>3534</v>
      </c>
      <c r="D362" s="92"/>
      <c r="E362" s="18">
        <v>30041</v>
      </c>
      <c r="F362" s="18">
        <v>600084</v>
      </c>
      <c r="G362" s="18">
        <v>600090</v>
      </c>
      <c r="H362" s="39" t="s">
        <v>3923</v>
      </c>
      <c r="I362" s="18">
        <v>1</v>
      </c>
      <c r="J362" s="18">
        <v>1</v>
      </c>
      <c r="K362" s="18">
        <v>32</v>
      </c>
      <c r="L362" s="18">
        <v>6</v>
      </c>
      <c r="M362" s="18">
        <v>7</v>
      </c>
      <c r="N362" s="18">
        <v>10</v>
      </c>
      <c r="O362" s="18">
        <v>5</v>
      </c>
      <c r="P362" s="18">
        <v>0</v>
      </c>
      <c r="Q362" s="18">
        <v>0</v>
      </c>
      <c r="R362" s="18">
        <v>0</v>
      </c>
      <c r="S362" s="39" t="s">
        <v>85</v>
      </c>
      <c r="T362" s="39" t="s">
        <v>3537</v>
      </c>
      <c r="U362" s="95" t="s">
        <v>4081</v>
      </c>
      <c r="V362" s="18">
        <v>3201</v>
      </c>
      <c r="W362" s="18">
        <v>0</v>
      </c>
      <c r="X362" s="18"/>
      <c r="Y362" s="18">
        <v>0</v>
      </c>
      <c r="Z362" s="18">
        <v>0</v>
      </c>
      <c r="AA362" s="18">
        <v>0</v>
      </c>
      <c r="AB362" s="18"/>
      <c r="AC362" s="18">
        <v>1027</v>
      </c>
      <c r="AD362" s="18">
        <v>0</v>
      </c>
      <c r="AE362" s="39">
        <v>0</v>
      </c>
      <c r="AF362" s="18">
        <v>0</v>
      </c>
      <c r="AG362" s="18">
        <v>0</v>
      </c>
      <c r="AH362" s="18">
        <v>0</v>
      </c>
      <c r="AI362" s="18">
        <v>0</v>
      </c>
    </row>
    <row r="363" spans="2:35" x14ac:dyDescent="0.2">
      <c r="B363" s="130"/>
      <c r="C363" s="120" t="s">
        <v>3536</v>
      </c>
      <c r="D363" s="92"/>
      <c r="E363" s="18">
        <v>30042</v>
      </c>
      <c r="F363" s="18">
        <v>600085</v>
      </c>
      <c r="G363" s="18">
        <v>600091</v>
      </c>
      <c r="H363" s="39" t="s">
        <v>3920</v>
      </c>
      <c r="I363" s="18">
        <v>1</v>
      </c>
      <c r="J363" s="18">
        <v>1</v>
      </c>
      <c r="K363" s="18">
        <v>31</v>
      </c>
      <c r="L363" s="18">
        <v>6</v>
      </c>
      <c r="M363" s="18">
        <v>7</v>
      </c>
      <c r="N363" s="18">
        <v>10</v>
      </c>
      <c r="O363" s="18">
        <v>5</v>
      </c>
      <c r="P363" s="18">
        <v>0</v>
      </c>
      <c r="Q363" s="18">
        <v>0</v>
      </c>
      <c r="R363" s="18">
        <v>0</v>
      </c>
      <c r="S363" s="39" t="s">
        <v>85</v>
      </c>
      <c r="T363" s="39" t="s">
        <v>3685</v>
      </c>
      <c r="U363" s="95" t="s">
        <v>4490</v>
      </c>
      <c r="V363" s="18">
        <v>3101</v>
      </c>
      <c r="W363" s="18">
        <v>0</v>
      </c>
      <c r="X363" s="18"/>
      <c r="Y363" s="18">
        <v>0</v>
      </c>
      <c r="Z363" s="18">
        <v>0</v>
      </c>
      <c r="AA363" s="18">
        <v>0</v>
      </c>
      <c r="AB363" s="18"/>
      <c r="AC363" s="18">
        <v>1027</v>
      </c>
      <c r="AD363" s="18">
        <v>0</v>
      </c>
      <c r="AE363" s="39">
        <v>0</v>
      </c>
      <c r="AF363" s="18">
        <v>0</v>
      </c>
      <c r="AG363" s="18">
        <v>0</v>
      </c>
      <c r="AH363" s="18">
        <v>0</v>
      </c>
      <c r="AI363" s="18">
        <v>0</v>
      </c>
    </row>
    <row r="364" spans="2:35" x14ac:dyDescent="0.2">
      <c r="B364" s="131" t="s">
        <v>4861</v>
      </c>
      <c r="C364" s="121" t="s">
        <v>3539</v>
      </c>
      <c r="D364" s="97"/>
      <c r="E364" s="18">
        <v>30043</v>
      </c>
      <c r="F364" s="18">
        <v>600093</v>
      </c>
      <c r="G364" s="18">
        <v>600099</v>
      </c>
      <c r="H364" s="91" t="s">
        <v>3623</v>
      </c>
      <c r="I364" s="88">
        <v>1</v>
      </c>
      <c r="J364" s="88">
        <v>4</v>
      </c>
      <c r="K364" s="88">
        <v>8</v>
      </c>
      <c r="L364" s="18">
        <v>6</v>
      </c>
      <c r="M364" s="88">
        <v>8</v>
      </c>
      <c r="N364" s="18">
        <v>10</v>
      </c>
      <c r="O364" s="18">
        <v>5</v>
      </c>
      <c r="P364" s="18">
        <v>0</v>
      </c>
      <c r="Q364" s="18">
        <v>0</v>
      </c>
      <c r="R364" s="88">
        <v>0</v>
      </c>
      <c r="S364" s="39" t="s">
        <v>3736</v>
      </c>
      <c r="T364" s="39" t="s">
        <v>3563</v>
      </c>
      <c r="U364" s="95" t="s">
        <v>4075</v>
      </c>
      <c r="V364" s="18">
        <v>801</v>
      </c>
      <c r="W364" s="88">
        <v>10007</v>
      </c>
      <c r="X364" s="88"/>
      <c r="Y364" s="88">
        <v>1500</v>
      </c>
      <c r="Z364" s="88">
        <v>0</v>
      </c>
      <c r="AA364" s="88">
        <v>1091302</v>
      </c>
      <c r="AB364" s="18" t="s">
        <v>4646</v>
      </c>
      <c r="AC364" s="88">
        <v>1013</v>
      </c>
      <c r="AD364" s="88">
        <v>0</v>
      </c>
      <c r="AE364" s="89">
        <v>0</v>
      </c>
      <c r="AF364" s="18">
        <v>0</v>
      </c>
      <c r="AG364" s="18">
        <v>0</v>
      </c>
      <c r="AH364" s="18">
        <v>0</v>
      </c>
      <c r="AI364" s="18">
        <v>0</v>
      </c>
    </row>
    <row r="365" spans="2:35" x14ac:dyDescent="0.2">
      <c r="B365" s="131"/>
      <c r="C365" s="121" t="s">
        <v>3540</v>
      </c>
      <c r="D365" s="97"/>
      <c r="E365" s="18">
        <v>30044</v>
      </c>
      <c r="F365" s="18">
        <v>600094</v>
      </c>
      <c r="G365" s="18">
        <v>600100</v>
      </c>
      <c r="H365" s="39" t="s">
        <v>3873</v>
      </c>
      <c r="I365" s="18">
        <v>2</v>
      </c>
      <c r="J365" s="18">
        <v>2</v>
      </c>
      <c r="K365" s="18">
        <v>21</v>
      </c>
      <c r="L365" s="18">
        <v>6</v>
      </c>
      <c r="M365" s="18">
        <v>8</v>
      </c>
      <c r="N365" s="18">
        <v>10</v>
      </c>
      <c r="O365" s="18">
        <v>5</v>
      </c>
      <c r="P365" s="18">
        <v>0</v>
      </c>
      <c r="Q365" s="18">
        <v>0</v>
      </c>
      <c r="R365" s="18">
        <v>0</v>
      </c>
      <c r="S365" s="39" t="s">
        <v>2834</v>
      </c>
      <c r="T365" s="39" t="s">
        <v>3542</v>
      </c>
      <c r="U365" s="95" t="s">
        <v>4076</v>
      </c>
      <c r="V365" s="18">
        <v>2101</v>
      </c>
      <c r="W365" s="18">
        <v>0</v>
      </c>
      <c r="X365" s="18"/>
      <c r="Y365" s="18">
        <v>0</v>
      </c>
      <c r="Z365" s="18">
        <v>0</v>
      </c>
      <c r="AA365" s="18">
        <v>0</v>
      </c>
      <c r="AB365" s="18"/>
      <c r="AC365" s="18">
        <v>1023</v>
      </c>
      <c r="AD365" s="18">
        <v>0</v>
      </c>
      <c r="AE365" s="39">
        <v>0</v>
      </c>
      <c r="AF365" s="18">
        <v>0</v>
      </c>
      <c r="AG365" s="18">
        <v>0</v>
      </c>
      <c r="AH365" s="18">
        <v>0</v>
      </c>
      <c r="AI365" s="18">
        <v>0</v>
      </c>
    </row>
    <row r="366" spans="2:35" x14ac:dyDescent="0.2">
      <c r="B366" s="131"/>
      <c r="C366" s="121" t="s">
        <v>3541</v>
      </c>
      <c r="D366" s="97"/>
      <c r="E366" s="18">
        <v>30045</v>
      </c>
      <c r="F366" s="18">
        <v>600095</v>
      </c>
      <c r="G366" s="18">
        <v>600101</v>
      </c>
      <c r="H366" s="39" t="s">
        <v>3884</v>
      </c>
      <c r="I366" s="18">
        <v>2</v>
      </c>
      <c r="J366" s="18">
        <v>3</v>
      </c>
      <c r="K366" s="18">
        <v>22</v>
      </c>
      <c r="L366" s="18">
        <v>6</v>
      </c>
      <c r="M366" s="18">
        <v>8</v>
      </c>
      <c r="N366" s="18">
        <v>10</v>
      </c>
      <c r="O366" s="18">
        <v>5</v>
      </c>
      <c r="P366" s="18">
        <v>0</v>
      </c>
      <c r="Q366" s="18">
        <v>0</v>
      </c>
      <c r="R366" s="18">
        <v>0</v>
      </c>
      <c r="S366" s="39" t="s">
        <v>3746</v>
      </c>
      <c r="T366" s="39" t="s">
        <v>3544</v>
      </c>
      <c r="U366" s="95" t="s">
        <v>4077</v>
      </c>
      <c r="V366" s="18">
        <v>2201</v>
      </c>
      <c r="W366" s="18">
        <v>0</v>
      </c>
      <c r="X366" s="18"/>
      <c r="Y366" s="18">
        <v>0</v>
      </c>
      <c r="Z366" s="18">
        <v>0</v>
      </c>
      <c r="AA366" s="18">
        <v>0</v>
      </c>
      <c r="AB366" s="18"/>
      <c r="AC366" s="18">
        <v>1022</v>
      </c>
      <c r="AD366" s="18">
        <v>0</v>
      </c>
      <c r="AE366" s="39">
        <v>0</v>
      </c>
      <c r="AF366" s="18">
        <v>0</v>
      </c>
      <c r="AG366" s="18">
        <v>0</v>
      </c>
      <c r="AH366" s="18">
        <v>0</v>
      </c>
      <c r="AI366" s="18">
        <v>0</v>
      </c>
    </row>
    <row r="367" spans="2:35" x14ac:dyDescent="0.2">
      <c r="B367" s="131"/>
      <c r="C367" s="121" t="s">
        <v>3543</v>
      </c>
      <c r="D367" s="97"/>
      <c r="E367" s="18">
        <v>30046</v>
      </c>
      <c r="F367" s="18">
        <v>600096</v>
      </c>
      <c r="G367" s="18">
        <v>600102</v>
      </c>
      <c r="H367" s="39" t="s">
        <v>3929</v>
      </c>
      <c r="I367" s="18">
        <v>2</v>
      </c>
      <c r="J367" s="18">
        <v>2</v>
      </c>
      <c r="K367" s="18">
        <v>23</v>
      </c>
      <c r="L367" s="18">
        <v>6</v>
      </c>
      <c r="M367" s="18">
        <v>8</v>
      </c>
      <c r="N367" s="18">
        <v>10</v>
      </c>
      <c r="O367" s="18">
        <v>5</v>
      </c>
      <c r="P367" s="18">
        <v>0</v>
      </c>
      <c r="Q367" s="18">
        <v>0</v>
      </c>
      <c r="R367" s="18">
        <v>0</v>
      </c>
      <c r="S367" s="39" t="s">
        <v>2834</v>
      </c>
      <c r="T367" s="39" t="s">
        <v>3546</v>
      </c>
      <c r="U367" s="95" t="s">
        <v>4082</v>
      </c>
      <c r="V367" s="18">
        <v>2301</v>
      </c>
      <c r="W367" s="18">
        <v>0</v>
      </c>
      <c r="X367" s="18"/>
      <c r="Y367" s="18">
        <v>0</v>
      </c>
      <c r="Z367" s="18">
        <v>0</v>
      </c>
      <c r="AA367" s="18">
        <v>0</v>
      </c>
      <c r="AB367" s="18"/>
      <c r="AC367" s="18">
        <v>1028</v>
      </c>
      <c r="AD367" s="18">
        <v>0</v>
      </c>
      <c r="AE367" s="39">
        <v>0</v>
      </c>
      <c r="AF367" s="18">
        <v>0</v>
      </c>
      <c r="AG367" s="18">
        <v>0</v>
      </c>
      <c r="AH367" s="18">
        <v>0</v>
      </c>
      <c r="AI367" s="18">
        <v>0</v>
      </c>
    </row>
    <row r="368" spans="2:35" x14ac:dyDescent="0.2">
      <c r="B368" s="131"/>
      <c r="C368" s="121" t="s">
        <v>3545</v>
      </c>
      <c r="D368" s="97"/>
      <c r="E368" s="18">
        <v>30047</v>
      </c>
      <c r="F368" s="18">
        <v>600097</v>
      </c>
      <c r="G368" s="18">
        <v>600103</v>
      </c>
      <c r="H368" s="39" t="s">
        <v>3919</v>
      </c>
      <c r="I368" s="18">
        <v>2</v>
      </c>
      <c r="J368" s="18">
        <v>1</v>
      </c>
      <c r="K368" s="18">
        <v>25</v>
      </c>
      <c r="L368" s="18">
        <v>6</v>
      </c>
      <c r="M368" s="18">
        <v>8</v>
      </c>
      <c r="N368" s="18">
        <v>10</v>
      </c>
      <c r="O368" s="18">
        <v>5</v>
      </c>
      <c r="P368" s="18">
        <v>0</v>
      </c>
      <c r="Q368" s="18">
        <v>0</v>
      </c>
      <c r="R368" s="18">
        <v>0</v>
      </c>
      <c r="S368" s="39" t="s">
        <v>2834</v>
      </c>
      <c r="T368" s="39" t="s">
        <v>3548</v>
      </c>
      <c r="U368" s="95" t="s">
        <v>4083</v>
      </c>
      <c r="V368" s="18">
        <v>2501</v>
      </c>
      <c r="W368" s="18">
        <v>0</v>
      </c>
      <c r="X368" s="18"/>
      <c r="Y368" s="18">
        <v>0</v>
      </c>
      <c r="Z368" s="18">
        <v>0</v>
      </c>
      <c r="AA368" s="18">
        <v>0</v>
      </c>
      <c r="AB368" s="18"/>
      <c r="AC368" s="18">
        <v>1027</v>
      </c>
      <c r="AD368" s="18">
        <v>0</v>
      </c>
      <c r="AE368" s="39">
        <v>0</v>
      </c>
      <c r="AF368" s="18">
        <v>0</v>
      </c>
      <c r="AG368" s="18">
        <v>0</v>
      </c>
      <c r="AH368" s="18">
        <v>0</v>
      </c>
      <c r="AI368" s="18">
        <v>0</v>
      </c>
    </row>
    <row r="369" spans="2:35" x14ac:dyDescent="0.2">
      <c r="B369" s="131"/>
      <c r="C369" s="121" t="s">
        <v>3547</v>
      </c>
      <c r="D369" s="97"/>
      <c r="E369" s="18">
        <v>30048</v>
      </c>
      <c r="F369" s="18">
        <v>600098</v>
      </c>
      <c r="G369" s="18">
        <v>600104</v>
      </c>
      <c r="H369" s="39" t="s">
        <v>3900</v>
      </c>
      <c r="I369" s="18">
        <v>2</v>
      </c>
      <c r="J369" s="18">
        <v>2</v>
      </c>
      <c r="K369" s="18">
        <v>24</v>
      </c>
      <c r="L369" s="18">
        <v>6</v>
      </c>
      <c r="M369" s="18">
        <v>8</v>
      </c>
      <c r="N369" s="18">
        <v>10</v>
      </c>
      <c r="O369" s="18">
        <v>5</v>
      </c>
      <c r="P369" s="18">
        <v>0</v>
      </c>
      <c r="Q369" s="18">
        <v>0</v>
      </c>
      <c r="R369" s="18">
        <v>0</v>
      </c>
      <c r="S369" s="39" t="s">
        <v>3743</v>
      </c>
      <c r="T369" s="39" t="s">
        <v>3564</v>
      </c>
      <c r="U369" s="95" t="s">
        <v>4492</v>
      </c>
      <c r="V369" s="18">
        <v>2401</v>
      </c>
      <c r="W369" s="18">
        <v>0</v>
      </c>
      <c r="X369" s="18"/>
      <c r="Y369" s="18">
        <v>0</v>
      </c>
      <c r="Z369" s="18">
        <v>0</v>
      </c>
      <c r="AA369" s="18">
        <v>0</v>
      </c>
      <c r="AB369" s="18"/>
      <c r="AC369" s="18">
        <v>1025</v>
      </c>
      <c r="AD369" s="18">
        <v>0</v>
      </c>
      <c r="AE369" s="39">
        <v>0</v>
      </c>
      <c r="AF369" s="18">
        <v>0</v>
      </c>
      <c r="AG369" s="18">
        <v>0</v>
      </c>
      <c r="AH369" s="18">
        <v>0</v>
      </c>
      <c r="AI369" s="18">
        <v>0</v>
      </c>
    </row>
    <row r="370" spans="2:35" x14ac:dyDescent="0.2">
      <c r="B370" s="124" t="s">
        <v>3726</v>
      </c>
      <c r="C370" s="120" t="s">
        <v>3715</v>
      </c>
      <c r="D370" s="92"/>
      <c r="E370" s="18">
        <v>30049</v>
      </c>
      <c r="F370" s="18">
        <v>600106</v>
      </c>
      <c r="G370" s="18">
        <v>600108</v>
      </c>
      <c r="H370" s="39" t="s">
        <v>3874</v>
      </c>
      <c r="I370" s="18">
        <v>2</v>
      </c>
      <c r="J370" s="18">
        <v>2</v>
      </c>
      <c r="K370" s="18">
        <v>21</v>
      </c>
      <c r="L370" s="18">
        <v>6</v>
      </c>
      <c r="M370" s="18">
        <v>9</v>
      </c>
      <c r="N370" s="18">
        <v>10</v>
      </c>
      <c r="O370" s="18">
        <v>5</v>
      </c>
      <c r="P370" s="18">
        <v>0</v>
      </c>
      <c r="Q370" s="18">
        <v>0</v>
      </c>
      <c r="R370" s="18">
        <v>0</v>
      </c>
      <c r="S370" s="39" t="s">
        <v>3737</v>
      </c>
      <c r="T370" s="39">
        <v>610073</v>
      </c>
      <c r="U370" s="95" t="s">
        <v>4439</v>
      </c>
      <c r="V370" s="18">
        <v>2101</v>
      </c>
      <c r="W370" s="18">
        <v>0</v>
      </c>
      <c r="X370" s="18"/>
      <c r="Y370" s="18">
        <v>0</v>
      </c>
      <c r="Z370" s="18">
        <v>0</v>
      </c>
      <c r="AA370" s="18">
        <v>0</v>
      </c>
      <c r="AB370" s="18"/>
      <c r="AC370" s="18">
        <v>1023</v>
      </c>
      <c r="AD370" s="18">
        <v>0</v>
      </c>
      <c r="AE370" s="39">
        <v>0</v>
      </c>
      <c r="AF370" s="18">
        <v>0</v>
      </c>
      <c r="AG370" s="18">
        <v>0</v>
      </c>
      <c r="AH370" s="18">
        <v>0</v>
      </c>
      <c r="AI370" s="18">
        <v>0</v>
      </c>
    </row>
    <row r="371" spans="2:35" x14ac:dyDescent="0.2">
      <c r="B371" s="125"/>
      <c r="C371" s="120" t="s">
        <v>3716</v>
      </c>
      <c r="D371" s="92"/>
      <c r="E371" s="18">
        <v>30050</v>
      </c>
      <c r="F371" s="18">
        <v>600107</v>
      </c>
      <c r="G371" s="18">
        <v>600109</v>
      </c>
      <c r="H371" s="39" t="s">
        <v>3886</v>
      </c>
      <c r="I371" s="18">
        <v>2</v>
      </c>
      <c r="J371" s="18">
        <v>3</v>
      </c>
      <c r="K371" s="18">
        <v>22</v>
      </c>
      <c r="L371" s="18">
        <v>6</v>
      </c>
      <c r="M371" s="18">
        <v>9</v>
      </c>
      <c r="N371" s="18">
        <v>10</v>
      </c>
      <c r="O371" s="18">
        <v>5</v>
      </c>
      <c r="P371" s="18">
        <v>0</v>
      </c>
      <c r="Q371" s="18">
        <v>0</v>
      </c>
      <c r="R371" s="18">
        <v>0</v>
      </c>
      <c r="S371" s="39" t="s">
        <v>3751</v>
      </c>
      <c r="T371" s="39">
        <v>610074</v>
      </c>
      <c r="U371" s="95" t="s">
        <v>4093</v>
      </c>
      <c r="V371" s="18">
        <v>2201</v>
      </c>
      <c r="W371" s="18">
        <v>0</v>
      </c>
      <c r="X371" s="18"/>
      <c r="Y371" s="18">
        <v>0</v>
      </c>
      <c r="Z371" s="18">
        <v>0</v>
      </c>
      <c r="AA371" s="18">
        <v>0</v>
      </c>
      <c r="AB371" s="18"/>
      <c r="AC371" s="18">
        <v>1022</v>
      </c>
      <c r="AD371" s="18">
        <v>0</v>
      </c>
      <c r="AE371" s="39">
        <v>0</v>
      </c>
      <c r="AF371" s="18">
        <v>0</v>
      </c>
      <c r="AG371" s="18">
        <v>0</v>
      </c>
      <c r="AH371" s="18">
        <v>0</v>
      </c>
      <c r="AI371" s="18">
        <v>0</v>
      </c>
    </row>
    <row r="372" spans="2:35" x14ac:dyDescent="0.2">
      <c r="B372" s="127" t="s">
        <v>3727</v>
      </c>
      <c r="C372" s="121" t="s">
        <v>3717</v>
      </c>
      <c r="D372" s="97"/>
      <c r="E372" s="18">
        <v>30051</v>
      </c>
      <c r="F372" s="18">
        <v>600111</v>
      </c>
      <c r="G372" s="18">
        <v>600114</v>
      </c>
      <c r="H372" s="39" t="s">
        <v>3875</v>
      </c>
      <c r="I372" s="18">
        <v>2</v>
      </c>
      <c r="J372" s="18">
        <v>2</v>
      </c>
      <c r="K372" s="18">
        <v>21</v>
      </c>
      <c r="L372" s="18">
        <v>6</v>
      </c>
      <c r="M372" s="18">
        <v>10</v>
      </c>
      <c r="N372" s="18">
        <v>10</v>
      </c>
      <c r="O372" s="18">
        <v>5</v>
      </c>
      <c r="P372" s="18">
        <v>0</v>
      </c>
      <c r="Q372" s="18">
        <v>0</v>
      </c>
      <c r="R372" s="18">
        <v>0</v>
      </c>
      <c r="S372" s="39" t="s">
        <v>2802</v>
      </c>
      <c r="T372" s="39">
        <v>610076</v>
      </c>
      <c r="U372" s="95" t="s">
        <v>3842</v>
      </c>
      <c r="V372" s="18">
        <v>2101</v>
      </c>
      <c r="W372" s="18">
        <v>0</v>
      </c>
      <c r="X372" s="18"/>
      <c r="Y372" s="18">
        <v>0</v>
      </c>
      <c r="Z372" s="18">
        <v>0</v>
      </c>
      <c r="AA372" s="18">
        <v>0</v>
      </c>
      <c r="AB372" s="18"/>
      <c r="AC372" s="18">
        <v>1023</v>
      </c>
      <c r="AD372" s="18">
        <v>0</v>
      </c>
      <c r="AE372" s="39">
        <v>0</v>
      </c>
      <c r="AF372" s="18">
        <v>0</v>
      </c>
      <c r="AG372" s="18">
        <v>0</v>
      </c>
      <c r="AH372" s="18">
        <v>0</v>
      </c>
      <c r="AI372" s="18">
        <v>0</v>
      </c>
    </row>
    <row r="373" spans="2:35" x14ac:dyDescent="0.2">
      <c r="B373" s="128"/>
      <c r="C373" s="121" t="s">
        <v>3718</v>
      </c>
      <c r="D373" s="97"/>
      <c r="E373" s="18">
        <v>30052</v>
      </c>
      <c r="F373" s="18">
        <v>600112</v>
      </c>
      <c r="G373" s="18">
        <v>600115</v>
      </c>
      <c r="H373" s="39" t="s">
        <v>3887</v>
      </c>
      <c r="I373" s="18">
        <v>2</v>
      </c>
      <c r="J373" s="18">
        <v>3</v>
      </c>
      <c r="K373" s="18">
        <v>22</v>
      </c>
      <c r="L373" s="18">
        <v>6</v>
      </c>
      <c r="M373" s="18">
        <v>10</v>
      </c>
      <c r="N373" s="18">
        <v>10</v>
      </c>
      <c r="O373" s="18">
        <v>5</v>
      </c>
      <c r="P373" s="18">
        <v>0</v>
      </c>
      <c r="Q373" s="18">
        <v>0</v>
      </c>
      <c r="R373" s="18">
        <v>0</v>
      </c>
      <c r="S373" s="39" t="s">
        <v>2837</v>
      </c>
      <c r="T373" s="39">
        <v>610077</v>
      </c>
      <c r="U373" s="95" t="s">
        <v>4127</v>
      </c>
      <c r="V373" s="18">
        <v>2201</v>
      </c>
      <c r="W373" s="18">
        <v>0</v>
      </c>
      <c r="X373" s="18"/>
      <c r="Y373" s="18">
        <v>0</v>
      </c>
      <c r="Z373" s="18">
        <v>0</v>
      </c>
      <c r="AA373" s="18">
        <v>0</v>
      </c>
      <c r="AB373" s="18"/>
      <c r="AC373" s="18">
        <v>1022</v>
      </c>
      <c r="AD373" s="18">
        <v>0</v>
      </c>
      <c r="AE373" s="39">
        <v>0</v>
      </c>
      <c r="AF373" s="18">
        <v>0</v>
      </c>
      <c r="AG373" s="18">
        <v>0</v>
      </c>
      <c r="AH373" s="18">
        <v>0</v>
      </c>
      <c r="AI373" s="18">
        <v>0</v>
      </c>
    </row>
    <row r="374" spans="2:35" x14ac:dyDescent="0.2">
      <c r="B374" s="128"/>
      <c r="C374" s="121" t="s">
        <v>3719</v>
      </c>
      <c r="D374" s="97"/>
      <c r="E374" s="18">
        <v>30053</v>
      </c>
      <c r="F374" s="18">
        <v>600113</v>
      </c>
      <c r="G374" s="18">
        <v>600116</v>
      </c>
      <c r="H374" s="39" t="s">
        <v>3901</v>
      </c>
      <c r="I374" s="18">
        <v>2</v>
      </c>
      <c r="J374" s="18">
        <v>2</v>
      </c>
      <c r="K374" s="18">
        <v>24</v>
      </c>
      <c r="L374" s="18">
        <v>6</v>
      </c>
      <c r="M374" s="18">
        <v>10</v>
      </c>
      <c r="N374" s="18">
        <v>10</v>
      </c>
      <c r="O374" s="18">
        <v>5</v>
      </c>
      <c r="P374" s="18">
        <v>0</v>
      </c>
      <c r="Q374" s="18">
        <v>0</v>
      </c>
      <c r="R374" s="18">
        <v>0</v>
      </c>
      <c r="S374" s="39" t="s">
        <v>3743</v>
      </c>
      <c r="T374" s="39">
        <v>610078</v>
      </c>
      <c r="U374" s="95" t="s">
        <v>4491</v>
      </c>
      <c r="V374" s="18">
        <v>2401</v>
      </c>
      <c r="W374" s="18">
        <v>0</v>
      </c>
      <c r="X374" s="18"/>
      <c r="Y374" s="18">
        <v>0</v>
      </c>
      <c r="Z374" s="18">
        <v>0</v>
      </c>
      <c r="AA374" s="18">
        <v>0</v>
      </c>
      <c r="AB374" s="18"/>
      <c r="AC374" s="18">
        <v>1025</v>
      </c>
      <c r="AD374" s="18">
        <v>0</v>
      </c>
      <c r="AE374" s="39">
        <v>0</v>
      </c>
      <c r="AF374" s="18">
        <v>0</v>
      </c>
      <c r="AG374" s="18">
        <v>0</v>
      </c>
      <c r="AH374" s="18">
        <v>0</v>
      </c>
      <c r="AI374" s="18">
        <v>0</v>
      </c>
    </row>
    <row r="375" spans="2:35" x14ac:dyDescent="0.2">
      <c r="B375" s="124" t="s">
        <v>3728</v>
      </c>
      <c r="C375" s="120" t="s">
        <v>3720</v>
      </c>
      <c r="D375" s="92"/>
      <c r="E375" s="18">
        <v>30054</v>
      </c>
      <c r="F375" s="18">
        <v>600118</v>
      </c>
      <c r="G375" s="18">
        <v>600121</v>
      </c>
      <c r="H375" s="39" t="s">
        <v>3876</v>
      </c>
      <c r="I375" s="18">
        <v>2</v>
      </c>
      <c r="J375" s="18">
        <v>2</v>
      </c>
      <c r="K375" s="18">
        <v>21</v>
      </c>
      <c r="L375" s="18">
        <v>6</v>
      </c>
      <c r="M375" s="18">
        <v>11</v>
      </c>
      <c r="N375" s="18">
        <v>10</v>
      </c>
      <c r="O375" s="18">
        <v>5</v>
      </c>
      <c r="P375" s="18">
        <v>0</v>
      </c>
      <c r="Q375" s="18">
        <v>0</v>
      </c>
      <c r="R375" s="18">
        <v>0</v>
      </c>
      <c r="S375" s="39" t="s">
        <v>2837</v>
      </c>
      <c r="T375" s="39">
        <v>610080</v>
      </c>
      <c r="U375" s="95" t="s">
        <v>4084</v>
      </c>
      <c r="V375" s="18">
        <v>2101</v>
      </c>
      <c r="W375" s="18">
        <v>0</v>
      </c>
      <c r="X375" s="18"/>
      <c r="Y375" s="18">
        <v>0</v>
      </c>
      <c r="Z375" s="18">
        <v>0</v>
      </c>
      <c r="AA375" s="18">
        <v>0</v>
      </c>
      <c r="AB375" s="18"/>
      <c r="AC375" s="18">
        <v>1023</v>
      </c>
      <c r="AD375" s="18">
        <v>0</v>
      </c>
      <c r="AE375" s="39">
        <v>0</v>
      </c>
      <c r="AF375" s="18">
        <v>0</v>
      </c>
      <c r="AG375" s="18">
        <v>0</v>
      </c>
      <c r="AH375" s="18">
        <v>0</v>
      </c>
      <c r="AI375" s="18">
        <v>0</v>
      </c>
    </row>
    <row r="376" spans="2:35" x14ac:dyDescent="0.2">
      <c r="B376" s="125"/>
      <c r="C376" s="120" t="s">
        <v>3721</v>
      </c>
      <c r="D376" s="92"/>
      <c r="E376" s="18">
        <v>30055</v>
      </c>
      <c r="F376" s="18">
        <v>600119</v>
      </c>
      <c r="G376" s="18">
        <v>600122</v>
      </c>
      <c r="H376" s="39" t="s">
        <v>3885</v>
      </c>
      <c r="I376" s="18">
        <v>2</v>
      </c>
      <c r="J376" s="18">
        <v>3</v>
      </c>
      <c r="K376" s="18">
        <v>22</v>
      </c>
      <c r="L376" s="18">
        <v>6</v>
      </c>
      <c r="M376" s="18">
        <v>11</v>
      </c>
      <c r="N376" s="18">
        <v>10</v>
      </c>
      <c r="O376" s="18">
        <v>5</v>
      </c>
      <c r="P376" s="18">
        <v>0</v>
      </c>
      <c r="Q376" s="18">
        <v>0</v>
      </c>
      <c r="R376" s="18">
        <v>0</v>
      </c>
      <c r="S376" s="39" t="s">
        <v>3744</v>
      </c>
      <c r="T376" s="39">
        <v>610081</v>
      </c>
      <c r="U376" s="95" t="s">
        <v>3843</v>
      </c>
      <c r="V376" s="18">
        <v>2201</v>
      </c>
      <c r="W376" s="18">
        <v>0</v>
      </c>
      <c r="X376" s="18"/>
      <c r="Y376" s="18">
        <v>0</v>
      </c>
      <c r="Z376" s="18">
        <v>0</v>
      </c>
      <c r="AA376" s="18">
        <v>0</v>
      </c>
      <c r="AB376" s="18"/>
      <c r="AC376" s="18">
        <v>1022</v>
      </c>
      <c r="AD376" s="18">
        <v>0</v>
      </c>
      <c r="AE376" s="39">
        <v>0</v>
      </c>
      <c r="AF376" s="18">
        <v>0</v>
      </c>
      <c r="AG376" s="18">
        <v>0</v>
      </c>
      <c r="AH376" s="18">
        <v>0</v>
      </c>
      <c r="AI376" s="18">
        <v>0</v>
      </c>
    </row>
    <row r="377" spans="2:35" x14ac:dyDescent="0.2">
      <c r="B377" s="125"/>
      <c r="C377" s="120" t="s">
        <v>3722</v>
      </c>
      <c r="D377" s="92"/>
      <c r="E377" s="18">
        <v>30056</v>
      </c>
      <c r="F377" s="18">
        <v>600120</v>
      </c>
      <c r="G377" s="18">
        <v>600123</v>
      </c>
      <c r="H377" s="39" t="s">
        <v>3902</v>
      </c>
      <c r="I377" s="18">
        <v>2</v>
      </c>
      <c r="J377" s="18">
        <v>2</v>
      </c>
      <c r="K377" s="18">
        <v>24</v>
      </c>
      <c r="L377" s="18">
        <v>6</v>
      </c>
      <c r="M377" s="18">
        <v>11</v>
      </c>
      <c r="N377" s="18">
        <v>10</v>
      </c>
      <c r="O377" s="18">
        <v>5</v>
      </c>
      <c r="P377" s="18">
        <v>0</v>
      </c>
      <c r="Q377" s="18">
        <v>0</v>
      </c>
      <c r="R377" s="18">
        <v>0</v>
      </c>
      <c r="S377" s="39" t="s">
        <v>3745</v>
      </c>
      <c r="T377" s="39">
        <v>610082</v>
      </c>
      <c r="U377" s="95" t="s">
        <v>4493</v>
      </c>
      <c r="V377" s="18">
        <v>2401</v>
      </c>
      <c r="W377" s="18">
        <v>0</v>
      </c>
      <c r="X377" s="18"/>
      <c r="Y377" s="18">
        <v>0</v>
      </c>
      <c r="Z377" s="18">
        <v>0</v>
      </c>
      <c r="AA377" s="18">
        <v>0</v>
      </c>
      <c r="AB377" s="18"/>
      <c r="AC377" s="18">
        <v>1025</v>
      </c>
      <c r="AD377" s="18">
        <v>0</v>
      </c>
      <c r="AE377" s="39">
        <v>0</v>
      </c>
      <c r="AF377" s="18">
        <v>0</v>
      </c>
      <c r="AG377" s="18">
        <v>0</v>
      </c>
      <c r="AH377" s="18">
        <v>0</v>
      </c>
      <c r="AI377" s="18">
        <v>0</v>
      </c>
    </row>
    <row r="378" spans="2:35" x14ac:dyDescent="0.2">
      <c r="B378" s="127" t="s">
        <v>3729</v>
      </c>
      <c r="C378" s="121" t="s">
        <v>3723</v>
      </c>
      <c r="D378" s="97"/>
      <c r="E378" s="18">
        <v>30057</v>
      </c>
      <c r="F378" s="18">
        <v>600125</v>
      </c>
      <c r="G378" s="18">
        <v>600128</v>
      </c>
      <c r="H378" s="39" t="s">
        <v>3916</v>
      </c>
      <c r="I378" s="18">
        <v>2</v>
      </c>
      <c r="J378" s="18">
        <v>1</v>
      </c>
      <c r="K378" s="18">
        <v>25</v>
      </c>
      <c r="L378" s="18">
        <v>6</v>
      </c>
      <c r="M378" s="18">
        <v>12</v>
      </c>
      <c r="N378" s="18">
        <v>10</v>
      </c>
      <c r="O378" s="18">
        <v>5</v>
      </c>
      <c r="P378" s="18">
        <v>0</v>
      </c>
      <c r="Q378" s="18">
        <v>0</v>
      </c>
      <c r="R378" s="18">
        <v>0</v>
      </c>
      <c r="S378" s="39" t="s">
        <v>2837</v>
      </c>
      <c r="T378" s="39">
        <v>610084</v>
      </c>
      <c r="U378" s="95" t="s">
        <v>3844</v>
      </c>
      <c r="V378" s="18">
        <v>2501</v>
      </c>
      <c r="W378" s="18">
        <v>0</v>
      </c>
      <c r="X378" s="18"/>
      <c r="Y378" s="18">
        <v>0</v>
      </c>
      <c r="Z378" s="18">
        <v>0</v>
      </c>
      <c r="AA378" s="18">
        <v>0</v>
      </c>
      <c r="AB378" s="18"/>
      <c r="AC378" s="18">
        <v>1027</v>
      </c>
      <c r="AD378" s="18">
        <v>0</v>
      </c>
      <c r="AE378" s="39">
        <v>0</v>
      </c>
      <c r="AF378" s="18">
        <v>0</v>
      </c>
      <c r="AG378" s="18">
        <v>0</v>
      </c>
      <c r="AH378" s="18">
        <v>0</v>
      </c>
      <c r="AI378" s="18">
        <v>0</v>
      </c>
    </row>
    <row r="379" spans="2:35" x14ac:dyDescent="0.2">
      <c r="B379" s="128"/>
      <c r="C379" s="121" t="s">
        <v>3724</v>
      </c>
      <c r="D379" s="97"/>
      <c r="E379" s="18">
        <v>30058</v>
      </c>
      <c r="F379" s="18">
        <v>600126</v>
      </c>
      <c r="G379" s="18">
        <v>600129</v>
      </c>
      <c r="H379" s="39" t="s">
        <v>3860</v>
      </c>
      <c r="I379" s="18">
        <v>2</v>
      </c>
      <c r="J379" s="18">
        <v>2</v>
      </c>
      <c r="K379" s="18">
        <v>23</v>
      </c>
      <c r="L379" s="18">
        <v>6</v>
      </c>
      <c r="M379" s="18">
        <v>12</v>
      </c>
      <c r="N379" s="18">
        <v>10</v>
      </c>
      <c r="O379" s="18">
        <v>5</v>
      </c>
      <c r="P379" s="18">
        <v>0</v>
      </c>
      <c r="Q379" s="18">
        <v>0</v>
      </c>
      <c r="R379" s="18">
        <v>0</v>
      </c>
      <c r="S379" s="39" t="s">
        <v>2837</v>
      </c>
      <c r="T379" s="39">
        <v>610085</v>
      </c>
      <c r="U379" s="95" t="s">
        <v>3927</v>
      </c>
      <c r="V379" s="18">
        <v>2301</v>
      </c>
      <c r="W379" s="18">
        <v>0</v>
      </c>
      <c r="X379" s="18"/>
      <c r="Y379" s="18">
        <v>0</v>
      </c>
      <c r="Z379" s="18">
        <v>0</v>
      </c>
      <c r="AA379" s="18">
        <v>0</v>
      </c>
      <c r="AB379" s="18"/>
      <c r="AC379" s="18">
        <v>1028</v>
      </c>
      <c r="AD379" s="18">
        <v>0</v>
      </c>
      <c r="AE379" s="39">
        <v>0</v>
      </c>
      <c r="AF379" s="18">
        <v>0</v>
      </c>
      <c r="AG379" s="18">
        <v>0</v>
      </c>
      <c r="AH379" s="18">
        <v>0</v>
      </c>
      <c r="AI379" s="18">
        <v>0</v>
      </c>
    </row>
    <row r="380" spans="2:35" x14ac:dyDescent="0.2">
      <c r="B380" s="128"/>
      <c r="C380" s="121" t="s">
        <v>3856</v>
      </c>
      <c r="D380" s="97"/>
      <c r="E380" s="18">
        <v>30059</v>
      </c>
      <c r="F380" s="18">
        <v>600127</v>
      </c>
      <c r="G380" s="18">
        <v>600130</v>
      </c>
      <c r="H380" s="39" t="s">
        <v>3922</v>
      </c>
      <c r="I380" s="18">
        <v>1</v>
      </c>
      <c r="J380" s="18">
        <v>1</v>
      </c>
      <c r="K380" s="18">
        <v>32</v>
      </c>
      <c r="L380" s="18">
        <v>6</v>
      </c>
      <c r="M380" s="18">
        <v>12</v>
      </c>
      <c r="N380" s="18">
        <v>10</v>
      </c>
      <c r="O380" s="18">
        <v>5</v>
      </c>
      <c r="P380" s="18">
        <v>0</v>
      </c>
      <c r="Q380" s="18">
        <v>0</v>
      </c>
      <c r="R380" s="18">
        <v>0</v>
      </c>
      <c r="S380" s="39" t="s">
        <v>85</v>
      </c>
      <c r="T380" s="39">
        <v>610086</v>
      </c>
      <c r="U380" s="95" t="s">
        <v>4494</v>
      </c>
      <c r="V380" s="18">
        <v>3201</v>
      </c>
      <c r="W380" s="18">
        <v>0</v>
      </c>
      <c r="X380" s="18"/>
      <c r="Y380" s="18">
        <v>0</v>
      </c>
      <c r="Z380" s="18">
        <v>0</v>
      </c>
      <c r="AA380" s="18">
        <v>0</v>
      </c>
      <c r="AB380" s="18"/>
      <c r="AC380" s="18">
        <v>1027</v>
      </c>
      <c r="AD380" s="18">
        <v>0</v>
      </c>
      <c r="AE380" s="39">
        <v>0</v>
      </c>
      <c r="AF380" s="18">
        <v>0</v>
      </c>
      <c r="AG380" s="18">
        <v>0</v>
      </c>
      <c r="AH380" s="18">
        <v>0</v>
      </c>
      <c r="AI380" s="18">
        <v>0</v>
      </c>
    </row>
    <row r="381" spans="2:35" ht="14.25" customHeight="1" x14ac:dyDescent="0.2">
      <c r="B381" s="124" t="s">
        <v>4531</v>
      </c>
      <c r="C381" s="122" t="s">
        <v>4532</v>
      </c>
      <c r="D381" s="92" t="s">
        <v>28</v>
      </c>
      <c r="E381" s="18">
        <v>30060</v>
      </c>
      <c r="F381" s="18">
        <v>600132</v>
      </c>
      <c r="G381" s="18">
        <v>600138</v>
      </c>
      <c r="H381" s="39" t="s">
        <v>4115</v>
      </c>
      <c r="I381" s="18">
        <v>1</v>
      </c>
      <c r="J381" s="18">
        <v>4</v>
      </c>
      <c r="K381" s="18">
        <v>8</v>
      </c>
      <c r="L381" s="18">
        <v>6</v>
      </c>
      <c r="M381" s="18">
        <v>13</v>
      </c>
      <c r="N381" s="18">
        <v>300</v>
      </c>
      <c r="O381" s="18">
        <v>3</v>
      </c>
      <c r="P381" s="18">
        <v>0</v>
      </c>
      <c r="Q381" s="18">
        <v>0</v>
      </c>
      <c r="R381" s="18">
        <v>0</v>
      </c>
      <c r="S381" s="39" t="s">
        <v>4618</v>
      </c>
      <c r="T381" s="39" t="s">
        <v>4566</v>
      </c>
      <c r="U381" s="95" t="s">
        <v>4879</v>
      </c>
      <c r="V381" s="39">
        <v>101</v>
      </c>
      <c r="W381" s="18">
        <v>10003</v>
      </c>
      <c r="X381" s="18"/>
      <c r="Y381" s="18">
        <v>1200</v>
      </c>
      <c r="Z381" s="18">
        <v>0</v>
      </c>
      <c r="AA381" s="18">
        <v>1091302</v>
      </c>
      <c r="AB381" s="18" t="s">
        <v>4646</v>
      </c>
      <c r="AC381" s="18">
        <v>1013</v>
      </c>
      <c r="AD381" s="18">
        <v>0</v>
      </c>
      <c r="AE381" s="39">
        <v>0</v>
      </c>
      <c r="AF381" s="18">
        <v>0</v>
      </c>
      <c r="AG381" s="18">
        <v>0</v>
      </c>
      <c r="AH381" s="18">
        <v>0</v>
      </c>
      <c r="AI381" s="18">
        <v>0</v>
      </c>
    </row>
    <row r="382" spans="2:35" x14ac:dyDescent="0.2">
      <c r="B382" s="125"/>
      <c r="C382" s="122" t="s">
        <v>4533</v>
      </c>
      <c r="D382" s="92" t="s">
        <v>4560</v>
      </c>
      <c r="E382" s="18">
        <v>30061</v>
      </c>
      <c r="F382" s="18">
        <v>600133</v>
      </c>
      <c r="G382" s="18">
        <v>600139</v>
      </c>
      <c r="H382" s="39" t="s">
        <v>3873</v>
      </c>
      <c r="I382" s="18">
        <v>2</v>
      </c>
      <c r="J382" s="18">
        <v>2</v>
      </c>
      <c r="K382" s="18">
        <v>21</v>
      </c>
      <c r="L382" s="18">
        <v>6</v>
      </c>
      <c r="M382" s="18">
        <v>13</v>
      </c>
      <c r="N382" s="18">
        <v>300</v>
      </c>
      <c r="O382" s="18">
        <v>3</v>
      </c>
      <c r="P382" s="18">
        <v>0</v>
      </c>
      <c r="Q382" s="18">
        <v>0</v>
      </c>
      <c r="R382" s="18">
        <v>0</v>
      </c>
      <c r="S382" s="39" t="s">
        <v>3840</v>
      </c>
      <c r="T382" s="39" t="s">
        <v>4567</v>
      </c>
      <c r="U382" s="95" t="s">
        <v>4621</v>
      </c>
      <c r="V382" s="39">
        <v>101</v>
      </c>
      <c r="W382" s="18">
        <v>0</v>
      </c>
      <c r="X382" s="18"/>
      <c r="Y382" s="18">
        <v>0</v>
      </c>
      <c r="Z382" s="18">
        <v>0</v>
      </c>
      <c r="AA382" s="18">
        <v>0</v>
      </c>
      <c r="AB382" s="18"/>
      <c r="AC382" s="18">
        <v>1027</v>
      </c>
      <c r="AD382" s="18">
        <v>0</v>
      </c>
      <c r="AE382" s="39">
        <v>0</v>
      </c>
      <c r="AF382" s="18">
        <v>0</v>
      </c>
      <c r="AG382" s="18">
        <v>0</v>
      </c>
      <c r="AH382" s="18">
        <v>0</v>
      </c>
      <c r="AI382" s="18">
        <v>0</v>
      </c>
    </row>
    <row r="383" spans="2:35" x14ac:dyDescent="0.2">
      <c r="B383" s="125"/>
      <c r="C383" s="122" t="s">
        <v>4534</v>
      </c>
      <c r="D383" s="92" t="s">
        <v>4561</v>
      </c>
      <c r="E383" s="18">
        <v>30062</v>
      </c>
      <c r="F383" s="18">
        <v>600134</v>
      </c>
      <c r="G383" s="18">
        <v>600140</v>
      </c>
      <c r="H383" s="39" t="s">
        <v>4607</v>
      </c>
      <c r="I383" s="18">
        <v>2</v>
      </c>
      <c r="J383" s="18">
        <v>3</v>
      </c>
      <c r="K383" s="18">
        <v>22</v>
      </c>
      <c r="L383" s="18">
        <v>6</v>
      </c>
      <c r="M383" s="18">
        <v>13</v>
      </c>
      <c r="N383" s="18">
        <v>300</v>
      </c>
      <c r="O383" s="18">
        <v>3</v>
      </c>
      <c r="P383" s="18">
        <v>0</v>
      </c>
      <c r="Q383" s="18">
        <v>0</v>
      </c>
      <c r="R383" s="18">
        <v>0</v>
      </c>
      <c r="S383" s="39" t="s">
        <v>3841</v>
      </c>
      <c r="T383" s="39" t="s">
        <v>4568</v>
      </c>
      <c r="U383" s="95" t="s">
        <v>4862</v>
      </c>
      <c r="V383" s="39">
        <v>101</v>
      </c>
      <c r="W383" s="18">
        <v>0</v>
      </c>
      <c r="X383" s="18"/>
      <c r="Y383" s="18">
        <v>0</v>
      </c>
      <c r="Z383" s="18">
        <v>0</v>
      </c>
      <c r="AA383" s="18">
        <v>0</v>
      </c>
      <c r="AB383" s="18"/>
      <c r="AC383" s="18">
        <v>1022</v>
      </c>
      <c r="AD383" s="18">
        <v>0</v>
      </c>
      <c r="AE383" s="39">
        <v>0</v>
      </c>
      <c r="AF383" s="18">
        <v>0</v>
      </c>
      <c r="AG383" s="18">
        <v>0</v>
      </c>
      <c r="AH383" s="18">
        <v>0</v>
      </c>
      <c r="AI383" s="18">
        <v>0</v>
      </c>
    </row>
    <row r="384" spans="2:35" x14ac:dyDescent="0.2">
      <c r="B384" s="125"/>
      <c r="C384" s="122" t="s">
        <v>4535</v>
      </c>
      <c r="D384" s="92" t="s">
        <v>4562</v>
      </c>
      <c r="E384" s="18">
        <v>30063</v>
      </c>
      <c r="F384" s="18">
        <v>600135</v>
      </c>
      <c r="G384" s="18">
        <v>600141</v>
      </c>
      <c r="H384" s="39" t="s">
        <v>4608</v>
      </c>
      <c r="I384" s="18">
        <v>2</v>
      </c>
      <c r="J384" s="18">
        <v>2</v>
      </c>
      <c r="K384" s="18">
        <v>23</v>
      </c>
      <c r="L384" s="18">
        <v>6</v>
      </c>
      <c r="M384" s="18">
        <v>13</v>
      </c>
      <c r="N384" s="18">
        <v>300</v>
      </c>
      <c r="O384" s="18">
        <v>3</v>
      </c>
      <c r="P384" s="18">
        <v>0</v>
      </c>
      <c r="Q384" s="18">
        <v>0</v>
      </c>
      <c r="R384" s="18">
        <v>0</v>
      </c>
      <c r="S384" s="39" t="s">
        <v>3840</v>
      </c>
      <c r="T384" s="39" t="s">
        <v>4569</v>
      </c>
      <c r="U384" s="95" t="s">
        <v>4622</v>
      </c>
      <c r="V384" s="39">
        <v>101</v>
      </c>
      <c r="W384" s="18">
        <v>0</v>
      </c>
      <c r="X384" s="18"/>
      <c r="Y384" s="18">
        <v>0</v>
      </c>
      <c r="Z384" s="18">
        <v>0</v>
      </c>
      <c r="AA384" s="18">
        <v>0</v>
      </c>
      <c r="AB384" s="18"/>
      <c r="AC384" s="18">
        <v>1023</v>
      </c>
      <c r="AD384" s="18">
        <v>0</v>
      </c>
      <c r="AE384" s="39">
        <v>0</v>
      </c>
      <c r="AF384" s="18">
        <v>0</v>
      </c>
      <c r="AG384" s="18">
        <v>0</v>
      </c>
      <c r="AH384" s="18">
        <v>0</v>
      </c>
      <c r="AI384" s="18">
        <v>0</v>
      </c>
    </row>
    <row r="385" spans="2:35" x14ac:dyDescent="0.2">
      <c r="B385" s="125"/>
      <c r="C385" s="122" t="s">
        <v>4536</v>
      </c>
      <c r="D385" s="92" t="s">
        <v>4563</v>
      </c>
      <c r="E385" s="18">
        <v>30064</v>
      </c>
      <c r="F385" s="18">
        <v>600136</v>
      </c>
      <c r="G385" s="18">
        <v>600142</v>
      </c>
      <c r="H385" s="39" t="s">
        <v>3907</v>
      </c>
      <c r="I385" s="18">
        <v>2</v>
      </c>
      <c r="J385" s="18">
        <v>2</v>
      </c>
      <c r="K385" s="18">
        <v>24</v>
      </c>
      <c r="L385" s="18">
        <v>6</v>
      </c>
      <c r="M385" s="18">
        <v>13</v>
      </c>
      <c r="N385" s="18">
        <v>300</v>
      </c>
      <c r="O385" s="18">
        <v>3</v>
      </c>
      <c r="P385" s="18">
        <v>0</v>
      </c>
      <c r="Q385" s="18">
        <v>0</v>
      </c>
      <c r="R385" s="18">
        <v>0</v>
      </c>
      <c r="S385" s="39" t="s">
        <v>3840</v>
      </c>
      <c r="T385" s="39" t="s">
        <v>4570</v>
      </c>
      <c r="U385" s="95" t="s">
        <v>4863</v>
      </c>
      <c r="V385" s="39">
        <v>101</v>
      </c>
      <c r="W385" s="18">
        <v>0</v>
      </c>
      <c r="X385" s="18"/>
      <c r="Y385" s="18">
        <v>0</v>
      </c>
      <c r="Z385" s="18">
        <v>0</v>
      </c>
      <c r="AA385" s="18">
        <v>0</v>
      </c>
      <c r="AB385" s="18"/>
      <c r="AC385" s="18">
        <v>1025</v>
      </c>
      <c r="AD385" s="18">
        <v>0</v>
      </c>
      <c r="AE385" s="39">
        <v>0</v>
      </c>
      <c r="AF385" s="18">
        <v>0</v>
      </c>
      <c r="AG385" s="18">
        <v>0</v>
      </c>
      <c r="AH385" s="18">
        <v>0</v>
      </c>
      <c r="AI385" s="18">
        <v>0</v>
      </c>
    </row>
    <row r="386" spans="2:35" x14ac:dyDescent="0.2">
      <c r="B386" s="126"/>
      <c r="C386" s="122" t="s">
        <v>4537</v>
      </c>
      <c r="D386" s="92" t="s">
        <v>2753</v>
      </c>
      <c r="E386" s="18">
        <v>30065</v>
      </c>
      <c r="F386" s="18">
        <v>600137</v>
      </c>
      <c r="G386" s="18">
        <v>600143</v>
      </c>
      <c r="H386" s="39" t="s">
        <v>4614</v>
      </c>
      <c r="I386" s="18">
        <v>1</v>
      </c>
      <c r="J386" s="18">
        <v>1</v>
      </c>
      <c r="K386" s="18">
        <v>32</v>
      </c>
      <c r="L386" s="18">
        <v>6</v>
      </c>
      <c r="M386" s="18">
        <v>13</v>
      </c>
      <c r="N386" s="18">
        <v>300</v>
      </c>
      <c r="O386" s="18">
        <v>3</v>
      </c>
      <c r="P386" s="18">
        <v>0</v>
      </c>
      <c r="Q386" s="18">
        <v>0</v>
      </c>
      <c r="R386" s="18">
        <v>0</v>
      </c>
      <c r="S386" s="39" t="s">
        <v>85</v>
      </c>
      <c r="T386" s="39" t="s">
        <v>4571</v>
      </c>
      <c r="U386" s="95" t="s">
        <v>4623</v>
      </c>
      <c r="V386" s="39">
        <v>101</v>
      </c>
      <c r="W386" s="18">
        <v>0</v>
      </c>
      <c r="X386" s="18"/>
      <c r="Y386" s="18">
        <v>0</v>
      </c>
      <c r="Z386" s="18">
        <v>0</v>
      </c>
      <c r="AA386" s="18">
        <v>0</v>
      </c>
      <c r="AB386" s="18"/>
      <c r="AC386" s="18">
        <v>1027</v>
      </c>
      <c r="AD386" s="18">
        <v>0</v>
      </c>
      <c r="AE386" s="39">
        <v>0</v>
      </c>
      <c r="AF386" s="18">
        <v>0</v>
      </c>
      <c r="AG386" s="18">
        <v>0</v>
      </c>
      <c r="AH386" s="18">
        <v>0</v>
      </c>
      <c r="AI386" s="18">
        <v>0</v>
      </c>
    </row>
    <row r="387" spans="2:35" ht="14.25" customHeight="1" x14ac:dyDescent="0.2">
      <c r="B387" s="127" t="s">
        <v>4538</v>
      </c>
      <c r="C387" s="123" t="s">
        <v>4539</v>
      </c>
      <c r="D387" s="97" t="s">
        <v>2744</v>
      </c>
      <c r="E387" s="18">
        <v>30066</v>
      </c>
      <c r="F387" s="18">
        <v>600145</v>
      </c>
      <c r="G387" s="18">
        <v>600151</v>
      </c>
      <c r="H387" s="18">
        <v>10107</v>
      </c>
      <c r="I387" s="18">
        <v>1</v>
      </c>
      <c r="J387" s="18">
        <v>3</v>
      </c>
      <c r="K387" s="18">
        <v>1</v>
      </c>
      <c r="L387" s="18">
        <v>6</v>
      </c>
      <c r="M387" s="18">
        <v>14</v>
      </c>
      <c r="N387" s="18">
        <v>300</v>
      </c>
      <c r="O387" s="18">
        <v>3</v>
      </c>
      <c r="P387" s="18">
        <v>0</v>
      </c>
      <c r="Q387" s="18">
        <v>0</v>
      </c>
      <c r="R387" s="18">
        <v>0</v>
      </c>
      <c r="S387" s="39" t="s">
        <v>4435</v>
      </c>
      <c r="T387" s="39" t="s">
        <v>4573</v>
      </c>
      <c r="U387" s="95" t="s">
        <v>4624</v>
      </c>
      <c r="V387" s="39">
        <v>101</v>
      </c>
      <c r="W387" s="18">
        <v>10049</v>
      </c>
      <c r="X387" s="18"/>
      <c r="Y387" s="18">
        <v>1200</v>
      </c>
      <c r="Z387" s="18">
        <v>0</v>
      </c>
      <c r="AA387" s="18">
        <v>1090101</v>
      </c>
      <c r="AB387" s="18" t="s">
        <v>4643</v>
      </c>
      <c r="AC387" s="18">
        <v>1001</v>
      </c>
      <c r="AD387" s="18">
        <v>0</v>
      </c>
      <c r="AE387" s="39">
        <v>0</v>
      </c>
      <c r="AF387" s="18">
        <v>0</v>
      </c>
      <c r="AG387" s="18">
        <v>0</v>
      </c>
      <c r="AH387" s="18">
        <v>0</v>
      </c>
      <c r="AI387" s="18">
        <v>0</v>
      </c>
    </row>
    <row r="388" spans="2:35" x14ac:dyDescent="0.2">
      <c r="B388" s="128"/>
      <c r="C388" s="123" t="s">
        <v>4540</v>
      </c>
      <c r="D388" s="97" t="s">
        <v>4565</v>
      </c>
      <c r="E388" s="18">
        <v>30067</v>
      </c>
      <c r="F388" s="18">
        <v>600146</v>
      </c>
      <c r="G388" s="18">
        <v>600152</v>
      </c>
      <c r="H388" s="39" t="s">
        <v>4268</v>
      </c>
      <c r="I388" s="18">
        <v>2</v>
      </c>
      <c r="J388" s="18">
        <v>3</v>
      </c>
      <c r="K388" s="18">
        <v>22</v>
      </c>
      <c r="L388" s="18">
        <v>6</v>
      </c>
      <c r="M388" s="18">
        <v>14</v>
      </c>
      <c r="N388" s="18">
        <v>300</v>
      </c>
      <c r="O388" s="18">
        <v>3</v>
      </c>
      <c r="P388" s="18">
        <v>0</v>
      </c>
      <c r="Q388" s="18">
        <v>0</v>
      </c>
      <c r="R388" s="18">
        <v>0</v>
      </c>
      <c r="S388" s="39" t="s">
        <v>3841</v>
      </c>
      <c r="T388" s="39" t="s">
        <v>4574</v>
      </c>
      <c r="U388" s="95" t="s">
        <v>4625</v>
      </c>
      <c r="V388" s="39">
        <v>101</v>
      </c>
      <c r="W388" s="18">
        <v>0</v>
      </c>
      <c r="X388" s="18"/>
      <c r="Y388" s="18">
        <v>0</v>
      </c>
      <c r="Z388" s="18">
        <v>0</v>
      </c>
      <c r="AA388" s="18">
        <v>0</v>
      </c>
      <c r="AB388" s="18"/>
      <c r="AC388" s="18">
        <v>1022</v>
      </c>
      <c r="AD388" s="18">
        <v>0</v>
      </c>
      <c r="AE388" s="39">
        <v>0</v>
      </c>
      <c r="AF388" s="18">
        <v>0</v>
      </c>
      <c r="AG388" s="18">
        <v>0</v>
      </c>
      <c r="AH388" s="18">
        <v>0</v>
      </c>
      <c r="AI388" s="18">
        <v>0</v>
      </c>
    </row>
    <row r="389" spans="2:35" x14ac:dyDescent="0.2">
      <c r="B389" s="128"/>
      <c r="C389" s="123" t="s">
        <v>4541</v>
      </c>
      <c r="D389" s="97" t="s">
        <v>4562</v>
      </c>
      <c r="E389" s="18">
        <v>30068</v>
      </c>
      <c r="F389" s="18">
        <v>600147</v>
      </c>
      <c r="G389" s="18">
        <v>600153</v>
      </c>
      <c r="H389" s="39" t="s">
        <v>4279</v>
      </c>
      <c r="I389" s="18">
        <v>2</v>
      </c>
      <c r="J389" s="18">
        <v>2</v>
      </c>
      <c r="K389" s="18">
        <v>23</v>
      </c>
      <c r="L389" s="18">
        <v>6</v>
      </c>
      <c r="M389" s="18">
        <v>14</v>
      </c>
      <c r="N389" s="18">
        <v>300</v>
      </c>
      <c r="O389" s="18">
        <v>3</v>
      </c>
      <c r="P389" s="18">
        <v>0</v>
      </c>
      <c r="Q389" s="18">
        <v>0</v>
      </c>
      <c r="R389" s="18">
        <v>0</v>
      </c>
      <c r="S389" s="39" t="s">
        <v>3840</v>
      </c>
      <c r="T389" s="39" t="s">
        <v>4575</v>
      </c>
      <c r="U389" s="95" t="s">
        <v>4626</v>
      </c>
      <c r="V389" s="39">
        <v>101</v>
      </c>
      <c r="W389" s="18">
        <v>0</v>
      </c>
      <c r="X389" s="18"/>
      <c r="Y389" s="18">
        <v>0</v>
      </c>
      <c r="Z389" s="18">
        <v>0</v>
      </c>
      <c r="AA389" s="18">
        <v>0</v>
      </c>
      <c r="AB389" s="18"/>
      <c r="AC389" s="18">
        <v>1023</v>
      </c>
      <c r="AD389" s="18">
        <v>0</v>
      </c>
      <c r="AE389" s="39">
        <v>0</v>
      </c>
      <c r="AF389" s="18">
        <v>0</v>
      </c>
      <c r="AG389" s="18">
        <v>0</v>
      </c>
      <c r="AH389" s="18">
        <v>0</v>
      </c>
      <c r="AI389" s="18">
        <v>0</v>
      </c>
    </row>
    <row r="390" spans="2:35" x14ac:dyDescent="0.2">
      <c r="B390" s="128"/>
      <c r="C390" s="123" t="s">
        <v>4542</v>
      </c>
      <c r="D390" s="97" t="s">
        <v>4563</v>
      </c>
      <c r="E390" s="18">
        <v>30069</v>
      </c>
      <c r="F390" s="18">
        <v>600148</v>
      </c>
      <c r="G390" s="18">
        <v>600154</v>
      </c>
      <c r="H390" s="39" t="s">
        <v>3891</v>
      </c>
      <c r="I390" s="18">
        <v>2</v>
      </c>
      <c r="J390" s="18">
        <v>2</v>
      </c>
      <c r="K390" s="18">
        <v>24</v>
      </c>
      <c r="L390" s="18">
        <v>6</v>
      </c>
      <c r="M390" s="18">
        <v>14</v>
      </c>
      <c r="N390" s="18">
        <v>300</v>
      </c>
      <c r="O390" s="18">
        <v>3</v>
      </c>
      <c r="P390" s="18">
        <v>0</v>
      </c>
      <c r="Q390" s="18">
        <v>0</v>
      </c>
      <c r="R390" s="18">
        <v>0</v>
      </c>
      <c r="S390" s="39" t="s">
        <v>3840</v>
      </c>
      <c r="T390" s="39" t="s">
        <v>4576</v>
      </c>
      <c r="U390" s="95" t="s">
        <v>4864</v>
      </c>
      <c r="V390" s="39">
        <v>101</v>
      </c>
      <c r="W390" s="18">
        <v>0</v>
      </c>
      <c r="X390" s="18"/>
      <c r="Y390" s="18">
        <v>0</v>
      </c>
      <c r="Z390" s="18">
        <v>0</v>
      </c>
      <c r="AA390" s="18">
        <v>0</v>
      </c>
      <c r="AB390" s="18"/>
      <c r="AC390" s="18">
        <v>1025</v>
      </c>
      <c r="AD390" s="18">
        <v>0</v>
      </c>
      <c r="AE390" s="39">
        <v>0</v>
      </c>
      <c r="AF390" s="18">
        <v>0</v>
      </c>
      <c r="AG390" s="18">
        <v>0</v>
      </c>
      <c r="AH390" s="18">
        <v>0</v>
      </c>
      <c r="AI390" s="18">
        <v>0</v>
      </c>
    </row>
    <row r="391" spans="2:35" x14ac:dyDescent="0.2">
      <c r="B391" s="128"/>
      <c r="C391" s="123" t="s">
        <v>4543</v>
      </c>
      <c r="D391" s="97" t="s">
        <v>2751</v>
      </c>
      <c r="E391" s="18">
        <v>30070</v>
      </c>
      <c r="F391" s="18">
        <v>600149</v>
      </c>
      <c r="G391" s="18">
        <v>600155</v>
      </c>
      <c r="H391" s="39" t="s">
        <v>4611</v>
      </c>
      <c r="I391" s="18">
        <v>2</v>
      </c>
      <c r="J391" s="18">
        <v>1</v>
      </c>
      <c r="K391" s="18">
        <v>25</v>
      </c>
      <c r="L391" s="18">
        <v>6</v>
      </c>
      <c r="M391" s="18">
        <v>14</v>
      </c>
      <c r="N391" s="18">
        <v>300</v>
      </c>
      <c r="O391" s="18">
        <v>3</v>
      </c>
      <c r="P391" s="18">
        <v>0</v>
      </c>
      <c r="Q391" s="18">
        <v>0</v>
      </c>
      <c r="R391" s="18">
        <v>0</v>
      </c>
      <c r="S391" s="39" t="s">
        <v>3840</v>
      </c>
      <c r="T391" s="39" t="s">
        <v>4577</v>
      </c>
      <c r="U391" s="95" t="s">
        <v>4865</v>
      </c>
      <c r="V391" s="39">
        <v>101</v>
      </c>
      <c r="W391" s="18">
        <v>0</v>
      </c>
      <c r="X391" s="18"/>
      <c r="Y391" s="18">
        <v>0</v>
      </c>
      <c r="Z391" s="18">
        <v>0</v>
      </c>
      <c r="AA391" s="18">
        <v>0</v>
      </c>
      <c r="AB391" s="18"/>
      <c r="AC391" s="18">
        <v>1024</v>
      </c>
      <c r="AD391" s="18">
        <v>0</v>
      </c>
      <c r="AE391" s="39">
        <v>0</v>
      </c>
      <c r="AF391" s="18">
        <v>0</v>
      </c>
      <c r="AG391" s="18">
        <v>0</v>
      </c>
      <c r="AH391" s="18">
        <v>0</v>
      </c>
      <c r="AI391" s="18">
        <v>0</v>
      </c>
    </row>
    <row r="392" spans="2:35" x14ac:dyDescent="0.2">
      <c r="B392" s="129"/>
      <c r="C392" s="123" t="s">
        <v>4544</v>
      </c>
      <c r="D392" s="97" t="s">
        <v>4564</v>
      </c>
      <c r="E392" s="18">
        <v>30071</v>
      </c>
      <c r="F392" s="18">
        <v>600150</v>
      </c>
      <c r="G392" s="18">
        <v>600156</v>
      </c>
      <c r="H392" s="39" t="s">
        <v>4617</v>
      </c>
      <c r="I392" s="18">
        <v>1</v>
      </c>
      <c r="J392" s="18">
        <v>1</v>
      </c>
      <c r="K392" s="18">
        <v>31</v>
      </c>
      <c r="L392" s="18">
        <v>6</v>
      </c>
      <c r="M392" s="18">
        <v>14</v>
      </c>
      <c r="N392" s="18">
        <v>300</v>
      </c>
      <c r="O392" s="18">
        <v>3</v>
      </c>
      <c r="P392" s="18">
        <v>0</v>
      </c>
      <c r="Q392" s="18">
        <v>0</v>
      </c>
      <c r="R392" s="18">
        <v>0</v>
      </c>
      <c r="S392" s="39" t="s">
        <v>85</v>
      </c>
      <c r="T392" s="39" t="s">
        <v>4578</v>
      </c>
      <c r="U392" s="95" t="s">
        <v>4866</v>
      </c>
      <c r="V392" s="39">
        <v>101</v>
      </c>
      <c r="W392" s="18">
        <v>0</v>
      </c>
      <c r="X392" s="18"/>
      <c r="Y392" s="18">
        <v>0</v>
      </c>
      <c r="Z392" s="18">
        <v>0</v>
      </c>
      <c r="AA392" s="18">
        <v>0</v>
      </c>
      <c r="AB392" s="18"/>
      <c r="AC392" s="18">
        <v>1026</v>
      </c>
      <c r="AD392" s="18">
        <v>0</v>
      </c>
      <c r="AE392" s="39">
        <v>0</v>
      </c>
      <c r="AF392" s="18">
        <v>0</v>
      </c>
      <c r="AG392" s="18">
        <v>0</v>
      </c>
      <c r="AH392" s="18">
        <v>0</v>
      </c>
      <c r="AI392" s="18">
        <v>0</v>
      </c>
    </row>
    <row r="393" spans="2:35" ht="14.25" customHeight="1" x14ac:dyDescent="0.2">
      <c r="B393" s="124" t="s">
        <v>4545</v>
      </c>
      <c r="C393" s="122" t="s">
        <v>4546</v>
      </c>
      <c r="D393" s="92" t="s">
        <v>29</v>
      </c>
      <c r="E393" s="18">
        <v>30072</v>
      </c>
      <c r="F393" s="18">
        <v>600158</v>
      </c>
      <c r="G393" s="18">
        <v>600164</v>
      </c>
      <c r="H393" s="39" t="s">
        <v>4340</v>
      </c>
      <c r="I393" s="18">
        <v>2</v>
      </c>
      <c r="J393" s="18">
        <v>3</v>
      </c>
      <c r="K393" s="18">
        <v>9</v>
      </c>
      <c r="L393" s="18">
        <v>6</v>
      </c>
      <c r="M393" s="18">
        <v>15</v>
      </c>
      <c r="N393" s="18">
        <v>300</v>
      </c>
      <c r="O393" s="18">
        <v>3</v>
      </c>
      <c r="P393" s="18">
        <v>0</v>
      </c>
      <c r="Q393" s="18">
        <v>0</v>
      </c>
      <c r="R393" s="18">
        <v>0</v>
      </c>
      <c r="S393" s="39" t="s">
        <v>4619</v>
      </c>
      <c r="T393" s="39" t="s">
        <v>4580</v>
      </c>
      <c r="U393" s="95" t="s">
        <v>4627</v>
      </c>
      <c r="V393" s="39">
        <v>101</v>
      </c>
      <c r="W393" s="18">
        <v>10026</v>
      </c>
      <c r="X393" s="18"/>
      <c r="Y393" s="18">
        <v>1400</v>
      </c>
      <c r="Z393" s="18">
        <v>0</v>
      </c>
      <c r="AA393" s="18">
        <v>1091701</v>
      </c>
      <c r="AB393" s="18" t="s">
        <v>4647</v>
      </c>
      <c r="AC393" s="18">
        <v>1017</v>
      </c>
      <c r="AD393" s="18">
        <v>0</v>
      </c>
      <c r="AE393" s="39">
        <v>0</v>
      </c>
      <c r="AF393" s="18">
        <v>0</v>
      </c>
      <c r="AG393" s="18">
        <v>0</v>
      </c>
      <c r="AH393" s="18">
        <v>0</v>
      </c>
      <c r="AI393" s="18">
        <v>0</v>
      </c>
    </row>
    <row r="394" spans="2:35" x14ac:dyDescent="0.2">
      <c r="B394" s="125"/>
      <c r="C394" s="122" t="s">
        <v>4547</v>
      </c>
      <c r="D394" s="92" t="s">
        <v>4561</v>
      </c>
      <c r="E394" s="18">
        <v>30073</v>
      </c>
      <c r="F394" s="18">
        <v>600159</v>
      </c>
      <c r="G394" s="18">
        <v>600165</v>
      </c>
      <c r="H394" s="39" t="s">
        <v>4270</v>
      </c>
      <c r="I394" s="18">
        <v>2</v>
      </c>
      <c r="J394" s="18">
        <v>3</v>
      </c>
      <c r="K394" s="18">
        <v>22</v>
      </c>
      <c r="L394" s="18">
        <v>6</v>
      </c>
      <c r="M394" s="18">
        <v>15</v>
      </c>
      <c r="N394" s="18">
        <v>300</v>
      </c>
      <c r="O394" s="18">
        <v>3</v>
      </c>
      <c r="P394" s="18">
        <v>0</v>
      </c>
      <c r="Q394" s="18">
        <v>0</v>
      </c>
      <c r="R394" s="18">
        <v>0</v>
      </c>
      <c r="S394" s="39" t="s">
        <v>3841</v>
      </c>
      <c r="T394" s="39" t="s">
        <v>4581</v>
      </c>
      <c r="U394" s="95" t="s">
        <v>4628</v>
      </c>
      <c r="V394" s="39">
        <v>101</v>
      </c>
      <c r="W394" s="18">
        <v>0</v>
      </c>
      <c r="X394" s="18"/>
      <c r="Y394" s="18">
        <v>0</v>
      </c>
      <c r="Z394" s="18">
        <v>0</v>
      </c>
      <c r="AA394" s="18">
        <v>0</v>
      </c>
      <c r="AB394" s="18"/>
      <c r="AC394" s="18">
        <v>1022</v>
      </c>
      <c r="AD394" s="18">
        <v>0</v>
      </c>
      <c r="AE394" s="39">
        <v>0</v>
      </c>
      <c r="AF394" s="18">
        <v>0</v>
      </c>
      <c r="AG394" s="18">
        <v>0</v>
      </c>
      <c r="AH394" s="18">
        <v>0</v>
      </c>
      <c r="AI394" s="18">
        <v>0</v>
      </c>
    </row>
    <row r="395" spans="2:35" x14ac:dyDescent="0.2">
      <c r="B395" s="125"/>
      <c r="C395" s="122" t="s">
        <v>4548</v>
      </c>
      <c r="D395" s="92" t="s">
        <v>4562</v>
      </c>
      <c r="E395" s="18">
        <v>30074</v>
      </c>
      <c r="F395" s="18">
        <v>600160</v>
      </c>
      <c r="G395" s="18">
        <v>600166</v>
      </c>
      <c r="H395" s="39" t="s">
        <v>4609</v>
      </c>
      <c r="I395" s="18">
        <v>2</v>
      </c>
      <c r="J395" s="18">
        <v>2</v>
      </c>
      <c r="K395" s="18">
        <v>23</v>
      </c>
      <c r="L395" s="18">
        <v>6</v>
      </c>
      <c r="M395" s="18">
        <v>15</v>
      </c>
      <c r="N395" s="18">
        <v>300</v>
      </c>
      <c r="O395" s="18">
        <v>3</v>
      </c>
      <c r="P395" s="18">
        <v>0</v>
      </c>
      <c r="Q395" s="18">
        <v>0</v>
      </c>
      <c r="R395" s="18">
        <v>0</v>
      </c>
      <c r="S395" s="39" t="s">
        <v>3840</v>
      </c>
      <c r="T395" s="39" t="s">
        <v>4582</v>
      </c>
      <c r="U395" s="95" t="s">
        <v>4629</v>
      </c>
      <c r="V395" s="39">
        <v>101</v>
      </c>
      <c r="W395" s="18">
        <v>0</v>
      </c>
      <c r="X395" s="18"/>
      <c r="Y395" s="18">
        <v>0</v>
      </c>
      <c r="Z395" s="18">
        <v>0</v>
      </c>
      <c r="AA395" s="18">
        <v>0</v>
      </c>
      <c r="AB395" s="18"/>
      <c r="AC395" s="18">
        <v>1023</v>
      </c>
      <c r="AD395" s="18">
        <v>0</v>
      </c>
      <c r="AE395" s="39">
        <v>0</v>
      </c>
      <c r="AF395" s="18">
        <v>0</v>
      </c>
      <c r="AG395" s="18">
        <v>0</v>
      </c>
      <c r="AH395" s="18">
        <v>0</v>
      </c>
      <c r="AI395" s="18">
        <v>0</v>
      </c>
    </row>
    <row r="396" spans="2:35" x14ac:dyDescent="0.2">
      <c r="B396" s="125"/>
      <c r="C396" s="122" t="s">
        <v>4549</v>
      </c>
      <c r="D396" s="92" t="s">
        <v>4563</v>
      </c>
      <c r="E396" s="18">
        <v>30075</v>
      </c>
      <c r="F396" s="18">
        <v>600161</v>
      </c>
      <c r="G396" s="18">
        <v>600167</v>
      </c>
      <c r="H396" s="39" t="s">
        <v>3889</v>
      </c>
      <c r="I396" s="18">
        <v>2</v>
      </c>
      <c r="J396" s="18">
        <v>2</v>
      </c>
      <c r="K396" s="18">
        <v>24</v>
      </c>
      <c r="L396" s="18">
        <v>6</v>
      </c>
      <c r="M396" s="18">
        <v>15</v>
      </c>
      <c r="N396" s="18">
        <v>300</v>
      </c>
      <c r="O396" s="18">
        <v>3</v>
      </c>
      <c r="P396" s="18">
        <v>0</v>
      </c>
      <c r="Q396" s="18">
        <v>0</v>
      </c>
      <c r="R396" s="18">
        <v>0</v>
      </c>
      <c r="S396" s="39" t="s">
        <v>3840</v>
      </c>
      <c r="T396" s="39" t="s">
        <v>4583</v>
      </c>
      <c r="U396" s="95" t="s">
        <v>4630</v>
      </c>
      <c r="V396" s="39">
        <v>101</v>
      </c>
      <c r="W396" s="18">
        <v>0</v>
      </c>
      <c r="X396" s="18"/>
      <c r="Y396" s="18">
        <v>0</v>
      </c>
      <c r="Z396" s="18">
        <v>0</v>
      </c>
      <c r="AA396" s="18">
        <v>0</v>
      </c>
      <c r="AB396" s="18"/>
      <c r="AC396" s="18">
        <v>1025</v>
      </c>
      <c r="AD396" s="18">
        <v>0</v>
      </c>
      <c r="AE396" s="39">
        <v>0</v>
      </c>
      <c r="AF396" s="18">
        <v>0</v>
      </c>
      <c r="AG396" s="18">
        <v>0</v>
      </c>
      <c r="AH396" s="18">
        <v>0</v>
      </c>
      <c r="AI396" s="18">
        <v>0</v>
      </c>
    </row>
    <row r="397" spans="2:35" x14ac:dyDescent="0.2">
      <c r="B397" s="125"/>
      <c r="C397" s="122" t="s">
        <v>4550</v>
      </c>
      <c r="D397" s="92" t="s">
        <v>2751</v>
      </c>
      <c r="E397" s="18">
        <v>30076</v>
      </c>
      <c r="F397" s="18">
        <v>600162</v>
      </c>
      <c r="G397" s="18">
        <v>600168</v>
      </c>
      <c r="H397" s="39" t="s">
        <v>4612</v>
      </c>
      <c r="I397" s="18">
        <v>2</v>
      </c>
      <c r="J397" s="18">
        <v>1</v>
      </c>
      <c r="K397" s="18">
        <v>25</v>
      </c>
      <c r="L397" s="18">
        <v>6</v>
      </c>
      <c r="M397" s="18">
        <v>15</v>
      </c>
      <c r="N397" s="18">
        <v>300</v>
      </c>
      <c r="O397" s="18">
        <v>3</v>
      </c>
      <c r="P397" s="18">
        <v>0</v>
      </c>
      <c r="Q397" s="18">
        <v>0</v>
      </c>
      <c r="R397" s="18">
        <v>0</v>
      </c>
      <c r="S397" s="39" t="s">
        <v>3840</v>
      </c>
      <c r="T397" s="39" t="s">
        <v>4584</v>
      </c>
      <c r="U397" s="95" t="s">
        <v>4631</v>
      </c>
      <c r="V397" s="39">
        <v>101</v>
      </c>
      <c r="W397" s="18">
        <v>0</v>
      </c>
      <c r="X397" s="18"/>
      <c r="Y397" s="18">
        <v>0</v>
      </c>
      <c r="Z397" s="18">
        <v>0</v>
      </c>
      <c r="AA397" s="18">
        <v>0</v>
      </c>
      <c r="AB397" s="18"/>
      <c r="AC397" s="18">
        <v>1024</v>
      </c>
      <c r="AD397" s="18">
        <v>0</v>
      </c>
      <c r="AE397" s="39">
        <v>0</v>
      </c>
      <c r="AF397" s="18">
        <v>0</v>
      </c>
      <c r="AG397" s="18">
        <v>0</v>
      </c>
      <c r="AH397" s="18">
        <v>0</v>
      </c>
      <c r="AI397" s="18">
        <v>0</v>
      </c>
    </row>
    <row r="398" spans="2:35" x14ac:dyDescent="0.2">
      <c r="B398" s="126"/>
      <c r="C398" s="122" t="s">
        <v>4551</v>
      </c>
      <c r="D398" s="92" t="s">
        <v>2753</v>
      </c>
      <c r="E398" s="18">
        <v>30077</v>
      </c>
      <c r="F398" s="18">
        <v>600163</v>
      </c>
      <c r="G398" s="18">
        <v>600169</v>
      </c>
      <c r="H398" s="39" t="s">
        <v>4615</v>
      </c>
      <c r="I398" s="18">
        <v>1</v>
      </c>
      <c r="J398" s="18">
        <v>1</v>
      </c>
      <c r="K398" s="18">
        <v>32</v>
      </c>
      <c r="L398" s="18">
        <v>6</v>
      </c>
      <c r="M398" s="18">
        <v>15</v>
      </c>
      <c r="N398" s="18">
        <v>300</v>
      </c>
      <c r="O398" s="18">
        <v>3</v>
      </c>
      <c r="P398" s="18">
        <v>0</v>
      </c>
      <c r="Q398" s="18">
        <v>0</v>
      </c>
      <c r="R398" s="18">
        <v>0</v>
      </c>
      <c r="S398" s="39" t="s">
        <v>85</v>
      </c>
      <c r="T398" s="39" t="s">
        <v>4585</v>
      </c>
      <c r="U398" s="95" t="s">
        <v>4867</v>
      </c>
      <c r="V398" s="39">
        <v>101</v>
      </c>
      <c r="W398" s="18">
        <v>0</v>
      </c>
      <c r="X398" s="18"/>
      <c r="Y398" s="18">
        <v>0</v>
      </c>
      <c r="Z398" s="18">
        <v>0</v>
      </c>
      <c r="AA398" s="18">
        <v>0</v>
      </c>
      <c r="AB398" s="18"/>
      <c r="AC398" s="18">
        <v>1027</v>
      </c>
      <c r="AD398" s="18">
        <v>0</v>
      </c>
      <c r="AE398" s="39">
        <v>0</v>
      </c>
      <c r="AF398" s="18">
        <v>0</v>
      </c>
      <c r="AG398" s="18">
        <v>0</v>
      </c>
      <c r="AH398" s="18">
        <v>0</v>
      </c>
      <c r="AI398" s="18">
        <v>0</v>
      </c>
    </row>
    <row r="399" spans="2:35" ht="14.25" customHeight="1" x14ac:dyDescent="0.2">
      <c r="B399" s="127" t="s">
        <v>4552</v>
      </c>
      <c r="C399" s="123" t="s">
        <v>4553</v>
      </c>
      <c r="D399" s="97" t="s">
        <v>4560</v>
      </c>
      <c r="E399" s="18">
        <v>30078</v>
      </c>
      <c r="F399" s="18">
        <v>600171</v>
      </c>
      <c r="G399" s="18">
        <v>600177</v>
      </c>
      <c r="H399" s="39" t="s">
        <v>3866</v>
      </c>
      <c r="I399" s="18">
        <v>2</v>
      </c>
      <c r="J399" s="18">
        <v>2</v>
      </c>
      <c r="K399" s="18">
        <v>21</v>
      </c>
      <c r="L399" s="18">
        <v>6</v>
      </c>
      <c r="M399" s="18">
        <v>16</v>
      </c>
      <c r="N399" s="18">
        <v>300</v>
      </c>
      <c r="O399" s="18">
        <v>3</v>
      </c>
      <c r="P399" s="18">
        <v>0</v>
      </c>
      <c r="Q399" s="18">
        <v>0</v>
      </c>
      <c r="R399" s="18">
        <v>0</v>
      </c>
      <c r="S399" s="39" t="s">
        <v>4594</v>
      </c>
      <c r="T399" s="39" t="s">
        <v>4587</v>
      </c>
      <c r="U399" s="95" t="s">
        <v>4632</v>
      </c>
      <c r="V399" s="39">
        <v>101</v>
      </c>
      <c r="W399" s="18">
        <v>0</v>
      </c>
      <c r="X399" s="18"/>
      <c r="Y399" s="18">
        <v>0</v>
      </c>
      <c r="Z399" s="18">
        <v>0</v>
      </c>
      <c r="AA399" s="18">
        <v>0</v>
      </c>
      <c r="AB399" s="18"/>
      <c r="AC399" s="18">
        <v>1027</v>
      </c>
      <c r="AD399" s="18">
        <v>0</v>
      </c>
      <c r="AE399" s="39">
        <v>0</v>
      </c>
      <c r="AF399" s="18">
        <v>0</v>
      </c>
      <c r="AG399" s="18">
        <v>0</v>
      </c>
      <c r="AH399" s="18">
        <v>0</v>
      </c>
      <c r="AI399" s="18">
        <v>0</v>
      </c>
    </row>
    <row r="400" spans="2:35" ht="16.5" customHeight="1" x14ac:dyDescent="0.2">
      <c r="B400" s="128"/>
      <c r="C400" s="123" t="s">
        <v>4554</v>
      </c>
      <c r="D400" s="97" t="s">
        <v>4561</v>
      </c>
      <c r="E400" s="18">
        <v>30079</v>
      </c>
      <c r="F400" s="18">
        <v>600172</v>
      </c>
      <c r="G400" s="18">
        <v>600178</v>
      </c>
      <c r="H400" s="39" t="s">
        <v>3883</v>
      </c>
      <c r="I400" s="18">
        <v>2</v>
      </c>
      <c r="J400" s="18">
        <v>3</v>
      </c>
      <c r="K400" s="18">
        <v>22</v>
      </c>
      <c r="L400" s="18">
        <v>6</v>
      </c>
      <c r="M400" s="18">
        <v>16</v>
      </c>
      <c r="N400" s="18">
        <v>300</v>
      </c>
      <c r="O400" s="18">
        <v>3</v>
      </c>
      <c r="P400" s="18">
        <v>0</v>
      </c>
      <c r="Q400" s="18">
        <v>0</v>
      </c>
      <c r="R400" s="18">
        <v>0</v>
      </c>
      <c r="S400" s="39" t="s">
        <v>4620</v>
      </c>
      <c r="T400" s="39" t="s">
        <v>4588</v>
      </c>
      <c r="U400" s="95" t="s">
        <v>4633</v>
      </c>
      <c r="V400" s="39">
        <v>101</v>
      </c>
      <c r="W400" s="18">
        <v>0</v>
      </c>
      <c r="X400" s="18"/>
      <c r="Y400" s="18">
        <v>0</v>
      </c>
      <c r="Z400" s="18">
        <v>0</v>
      </c>
      <c r="AA400" s="18">
        <v>0</v>
      </c>
      <c r="AB400" s="18"/>
      <c r="AC400" s="18">
        <v>1022</v>
      </c>
      <c r="AD400" s="18">
        <v>0</v>
      </c>
      <c r="AE400" s="39">
        <v>0</v>
      </c>
      <c r="AF400" s="18">
        <v>0</v>
      </c>
      <c r="AG400" s="18">
        <v>0</v>
      </c>
      <c r="AH400" s="18">
        <v>0</v>
      </c>
      <c r="AI400" s="18">
        <v>0</v>
      </c>
    </row>
    <row r="401" spans="2:35" x14ac:dyDescent="0.2">
      <c r="B401" s="128"/>
      <c r="C401" s="123" t="s">
        <v>4555</v>
      </c>
      <c r="D401" s="97" t="s">
        <v>4562</v>
      </c>
      <c r="E401" s="18">
        <v>30080</v>
      </c>
      <c r="F401" s="18">
        <v>600173</v>
      </c>
      <c r="G401" s="18">
        <v>600179</v>
      </c>
      <c r="H401" s="39" t="s">
        <v>4610</v>
      </c>
      <c r="I401" s="18">
        <v>2</v>
      </c>
      <c r="J401" s="18">
        <v>2</v>
      </c>
      <c r="K401" s="18">
        <v>23</v>
      </c>
      <c r="L401" s="18">
        <v>6</v>
      </c>
      <c r="M401" s="18">
        <v>16</v>
      </c>
      <c r="N401" s="18">
        <v>300</v>
      </c>
      <c r="O401" s="18">
        <v>3</v>
      </c>
      <c r="P401" s="18">
        <v>0</v>
      </c>
      <c r="Q401" s="18">
        <v>0</v>
      </c>
      <c r="R401" s="18">
        <v>0</v>
      </c>
      <c r="S401" s="39" t="s">
        <v>4594</v>
      </c>
      <c r="T401" s="39" t="s">
        <v>4589</v>
      </c>
      <c r="U401" s="95" t="s">
        <v>4634</v>
      </c>
      <c r="V401" s="39">
        <v>101</v>
      </c>
      <c r="W401" s="18">
        <v>0</v>
      </c>
      <c r="X401" s="18"/>
      <c r="Y401" s="18">
        <v>0</v>
      </c>
      <c r="Z401" s="18">
        <v>0</v>
      </c>
      <c r="AA401" s="18">
        <v>0</v>
      </c>
      <c r="AB401" s="18"/>
      <c r="AC401" s="18">
        <v>1023</v>
      </c>
      <c r="AD401" s="18">
        <v>0</v>
      </c>
      <c r="AE401" s="39">
        <v>0</v>
      </c>
      <c r="AF401" s="18">
        <v>0</v>
      </c>
      <c r="AG401" s="18">
        <v>0</v>
      </c>
      <c r="AH401" s="18">
        <v>0</v>
      </c>
      <c r="AI401" s="18">
        <v>0</v>
      </c>
    </row>
    <row r="402" spans="2:35" x14ac:dyDescent="0.2">
      <c r="B402" s="128"/>
      <c r="C402" s="123" t="s">
        <v>4556</v>
      </c>
      <c r="D402" s="97" t="s">
        <v>2751</v>
      </c>
      <c r="E402" s="18">
        <v>30081</v>
      </c>
      <c r="F402" s="18">
        <v>600174</v>
      </c>
      <c r="G402" s="18">
        <v>600180</v>
      </c>
      <c r="H402" s="39" t="s">
        <v>4613</v>
      </c>
      <c r="I402" s="18">
        <v>2</v>
      </c>
      <c r="J402" s="18">
        <v>1</v>
      </c>
      <c r="K402" s="18">
        <v>25</v>
      </c>
      <c r="L402" s="18">
        <v>6</v>
      </c>
      <c r="M402" s="18">
        <v>16</v>
      </c>
      <c r="N402" s="18">
        <v>300</v>
      </c>
      <c r="O402" s="18">
        <v>3</v>
      </c>
      <c r="P402" s="18">
        <v>0</v>
      </c>
      <c r="Q402" s="18">
        <v>0</v>
      </c>
      <c r="R402" s="18">
        <v>0</v>
      </c>
      <c r="S402" s="39" t="s">
        <v>4594</v>
      </c>
      <c r="T402" s="39" t="s">
        <v>4590</v>
      </c>
      <c r="U402" s="95" t="s">
        <v>4635</v>
      </c>
      <c r="V402" s="39">
        <v>101</v>
      </c>
      <c r="W402" s="18">
        <v>0</v>
      </c>
      <c r="X402" s="18"/>
      <c r="Y402" s="18">
        <v>0</v>
      </c>
      <c r="Z402" s="18">
        <v>0</v>
      </c>
      <c r="AA402" s="18">
        <v>0</v>
      </c>
      <c r="AB402" s="18"/>
      <c r="AC402" s="18">
        <v>1024</v>
      </c>
      <c r="AD402" s="18">
        <v>0</v>
      </c>
      <c r="AE402" s="39">
        <v>0</v>
      </c>
      <c r="AF402" s="18">
        <v>0</v>
      </c>
      <c r="AG402" s="18">
        <v>0</v>
      </c>
      <c r="AH402" s="18">
        <v>0</v>
      </c>
      <c r="AI402" s="18">
        <v>0</v>
      </c>
    </row>
    <row r="403" spans="2:35" x14ac:dyDescent="0.2">
      <c r="B403" s="128"/>
      <c r="C403" s="123" t="s">
        <v>4557</v>
      </c>
      <c r="D403" s="97" t="s">
        <v>2753</v>
      </c>
      <c r="E403" s="18">
        <v>30082</v>
      </c>
      <c r="F403" s="18">
        <v>600175</v>
      </c>
      <c r="G403" s="18">
        <v>600181</v>
      </c>
      <c r="H403" s="39" t="s">
        <v>4616</v>
      </c>
      <c r="I403" s="18">
        <v>1</v>
      </c>
      <c r="J403" s="18">
        <v>1</v>
      </c>
      <c r="K403" s="18">
        <v>32</v>
      </c>
      <c r="L403" s="18">
        <v>6</v>
      </c>
      <c r="M403" s="18">
        <v>16</v>
      </c>
      <c r="N403" s="18">
        <v>300</v>
      </c>
      <c r="O403" s="18">
        <v>3</v>
      </c>
      <c r="P403" s="18">
        <v>0</v>
      </c>
      <c r="Q403" s="18">
        <v>0</v>
      </c>
      <c r="R403" s="18">
        <v>0</v>
      </c>
      <c r="S403" s="39" t="s">
        <v>85</v>
      </c>
      <c r="T403" s="39" t="s">
        <v>4591</v>
      </c>
      <c r="U403" s="95" t="s">
        <v>4636</v>
      </c>
      <c r="V403" s="39">
        <v>101</v>
      </c>
      <c r="W403" s="18">
        <v>0</v>
      </c>
      <c r="X403" s="18"/>
      <c r="Y403" s="18">
        <v>0</v>
      </c>
      <c r="Z403" s="18">
        <v>0</v>
      </c>
      <c r="AA403" s="18">
        <v>0</v>
      </c>
      <c r="AB403" s="18"/>
      <c r="AC403" s="18">
        <v>1027</v>
      </c>
      <c r="AD403" s="18">
        <v>0</v>
      </c>
      <c r="AE403" s="39">
        <v>0</v>
      </c>
      <c r="AF403" s="18">
        <v>0</v>
      </c>
      <c r="AG403" s="18">
        <v>0</v>
      </c>
      <c r="AH403" s="18">
        <v>0</v>
      </c>
      <c r="AI403" s="18">
        <v>0</v>
      </c>
    </row>
    <row r="404" spans="2:35" x14ac:dyDescent="0.2">
      <c r="B404" s="129"/>
      <c r="C404" s="123" t="s">
        <v>4558</v>
      </c>
      <c r="D404" s="97" t="s">
        <v>4564</v>
      </c>
      <c r="E404" s="18">
        <v>30083</v>
      </c>
      <c r="F404" s="18">
        <v>600176</v>
      </c>
      <c r="G404" s="18">
        <v>600182</v>
      </c>
      <c r="H404" s="39" t="s">
        <v>3920</v>
      </c>
      <c r="I404" s="18">
        <v>1</v>
      </c>
      <c r="J404" s="18">
        <v>1</v>
      </c>
      <c r="K404" s="18">
        <v>31</v>
      </c>
      <c r="L404" s="18">
        <v>6</v>
      </c>
      <c r="M404" s="18">
        <v>16</v>
      </c>
      <c r="N404" s="18">
        <v>300</v>
      </c>
      <c r="O404" s="18">
        <v>3</v>
      </c>
      <c r="P404" s="18">
        <v>0</v>
      </c>
      <c r="Q404" s="18">
        <v>0</v>
      </c>
      <c r="R404" s="18">
        <v>0</v>
      </c>
      <c r="S404" s="39" t="s">
        <v>85</v>
      </c>
      <c r="T404" s="39" t="s">
        <v>4592</v>
      </c>
      <c r="U404" s="95" t="s">
        <v>4868</v>
      </c>
      <c r="V404" s="39">
        <v>101</v>
      </c>
      <c r="W404" s="18">
        <v>0</v>
      </c>
      <c r="X404" s="18"/>
      <c r="Y404" s="18">
        <v>0</v>
      </c>
      <c r="Z404" s="18">
        <v>0</v>
      </c>
      <c r="AA404" s="18">
        <v>0</v>
      </c>
      <c r="AB404" s="18"/>
      <c r="AC404" s="18">
        <v>1026</v>
      </c>
      <c r="AD404" s="18">
        <v>0</v>
      </c>
      <c r="AE404" s="39">
        <v>0</v>
      </c>
      <c r="AF404" s="18">
        <v>0</v>
      </c>
      <c r="AG404" s="18">
        <v>0</v>
      </c>
      <c r="AH404" s="18">
        <v>0</v>
      </c>
      <c r="AI404" s="18">
        <v>0</v>
      </c>
    </row>
    <row r="405" spans="2:35" x14ac:dyDescent="0.2">
      <c r="B405" s="124" t="s">
        <v>4689</v>
      </c>
      <c r="C405" s="122" t="s">
        <v>4652</v>
      </c>
      <c r="D405" s="92" t="s">
        <v>4669</v>
      </c>
      <c r="E405" s="18">
        <v>30084</v>
      </c>
      <c r="F405" s="18">
        <v>600184</v>
      </c>
      <c r="G405" s="18">
        <v>600190</v>
      </c>
      <c r="H405" s="39" t="s">
        <v>4807</v>
      </c>
      <c r="I405" s="18">
        <v>2</v>
      </c>
      <c r="J405" s="18">
        <v>3</v>
      </c>
      <c r="K405" s="18">
        <v>11</v>
      </c>
      <c r="L405" s="18">
        <v>6</v>
      </c>
      <c r="M405" s="18">
        <v>17</v>
      </c>
      <c r="N405" s="18">
        <v>300</v>
      </c>
      <c r="O405" s="18">
        <v>10</v>
      </c>
      <c r="P405" s="18">
        <v>0</v>
      </c>
      <c r="Q405" s="18">
        <v>0</v>
      </c>
      <c r="R405" s="18">
        <v>0</v>
      </c>
      <c r="S405" s="39" t="s">
        <v>4825</v>
      </c>
      <c r="T405" s="39" t="s">
        <v>4695</v>
      </c>
      <c r="U405" s="95" t="s">
        <v>4763</v>
      </c>
      <c r="V405" s="39">
        <v>101</v>
      </c>
      <c r="W405" s="18">
        <v>0</v>
      </c>
      <c r="X405" s="18">
        <v>0</v>
      </c>
      <c r="Y405" s="18">
        <v>0</v>
      </c>
      <c r="Z405" s="18">
        <v>0</v>
      </c>
      <c r="AA405" s="18">
        <v>1091901</v>
      </c>
      <c r="AB405" s="18"/>
      <c r="AC405" s="18">
        <v>1019</v>
      </c>
      <c r="AD405" s="18">
        <v>0</v>
      </c>
      <c r="AE405" s="18">
        <v>0</v>
      </c>
      <c r="AF405" s="18">
        <v>0</v>
      </c>
      <c r="AG405" s="18">
        <v>0</v>
      </c>
      <c r="AH405" s="18">
        <v>0</v>
      </c>
      <c r="AI405" s="18">
        <v>0</v>
      </c>
    </row>
    <row r="406" spans="2:35" x14ac:dyDescent="0.2">
      <c r="B406" s="125"/>
      <c r="C406" s="122" t="s">
        <v>4654</v>
      </c>
      <c r="D406" s="92" t="s">
        <v>4560</v>
      </c>
      <c r="E406" s="18">
        <v>30085</v>
      </c>
      <c r="F406" s="18">
        <v>600185</v>
      </c>
      <c r="G406" s="18">
        <v>600191</v>
      </c>
      <c r="H406" s="39" t="s">
        <v>4809</v>
      </c>
      <c r="I406" s="18">
        <v>2</v>
      </c>
      <c r="J406" s="18">
        <v>2</v>
      </c>
      <c r="K406" s="18">
        <v>21</v>
      </c>
      <c r="L406" s="18">
        <v>6</v>
      </c>
      <c r="M406" s="18">
        <v>17</v>
      </c>
      <c r="N406" s="18">
        <v>300</v>
      </c>
      <c r="O406" s="18">
        <v>3</v>
      </c>
      <c r="P406" s="18">
        <v>0</v>
      </c>
      <c r="Q406" s="18">
        <v>0</v>
      </c>
      <c r="R406" s="18">
        <v>0</v>
      </c>
      <c r="S406" s="39" t="s">
        <v>4737</v>
      </c>
      <c r="T406" s="39" t="s">
        <v>4696</v>
      </c>
      <c r="U406" s="95" t="s">
        <v>4761</v>
      </c>
      <c r="V406" s="39">
        <v>101</v>
      </c>
      <c r="W406" s="18">
        <v>0</v>
      </c>
      <c r="X406" s="18"/>
      <c r="Y406" s="18">
        <v>0</v>
      </c>
      <c r="Z406" s="18">
        <v>0</v>
      </c>
      <c r="AA406" s="18">
        <v>0</v>
      </c>
      <c r="AB406" s="18"/>
      <c r="AC406" s="18">
        <v>1027</v>
      </c>
      <c r="AD406" s="18">
        <v>0</v>
      </c>
      <c r="AE406" s="39">
        <v>0</v>
      </c>
      <c r="AF406" s="18">
        <v>0</v>
      </c>
      <c r="AG406" s="18">
        <v>0</v>
      </c>
      <c r="AH406" s="18">
        <v>0</v>
      </c>
      <c r="AI406" s="18">
        <v>0</v>
      </c>
    </row>
    <row r="407" spans="2:35" x14ac:dyDescent="0.2">
      <c r="B407" s="125"/>
      <c r="C407" s="122" t="s">
        <v>4653</v>
      </c>
      <c r="D407" s="92" t="s">
        <v>2748</v>
      </c>
      <c r="E407" s="18">
        <v>30086</v>
      </c>
      <c r="F407" s="18">
        <v>600186</v>
      </c>
      <c r="G407" s="18">
        <v>600192</v>
      </c>
      <c r="H407" s="39" t="s">
        <v>4814</v>
      </c>
      <c r="I407" s="18">
        <v>2</v>
      </c>
      <c r="J407" s="18">
        <v>3</v>
      </c>
      <c r="K407" s="18">
        <v>22</v>
      </c>
      <c r="L407" s="18">
        <v>6</v>
      </c>
      <c r="M407" s="18">
        <v>17</v>
      </c>
      <c r="N407" s="18">
        <v>300</v>
      </c>
      <c r="O407" s="18">
        <v>3</v>
      </c>
      <c r="P407" s="18">
        <v>0</v>
      </c>
      <c r="Q407" s="18">
        <v>0</v>
      </c>
      <c r="R407" s="18">
        <v>0</v>
      </c>
      <c r="S407" s="39" t="s">
        <v>4738</v>
      </c>
      <c r="T407" s="39" t="s">
        <v>4697</v>
      </c>
      <c r="U407" s="95" t="s">
        <v>4768</v>
      </c>
      <c r="V407" s="39">
        <v>101</v>
      </c>
      <c r="W407" s="18">
        <v>0</v>
      </c>
      <c r="X407" s="18"/>
      <c r="Y407" s="18">
        <v>0</v>
      </c>
      <c r="Z407" s="18">
        <v>0</v>
      </c>
      <c r="AA407" s="18">
        <v>0</v>
      </c>
      <c r="AB407" s="18"/>
      <c r="AC407" s="18">
        <v>1022</v>
      </c>
      <c r="AD407" s="18">
        <v>0</v>
      </c>
      <c r="AE407" s="39">
        <v>0</v>
      </c>
      <c r="AF407" s="18">
        <v>0</v>
      </c>
      <c r="AG407" s="18">
        <v>0</v>
      </c>
      <c r="AH407" s="18">
        <v>0</v>
      </c>
      <c r="AI407" s="18">
        <v>0</v>
      </c>
    </row>
    <row r="408" spans="2:35" x14ac:dyDescent="0.2">
      <c r="B408" s="125"/>
      <c r="C408" s="122" t="s">
        <v>4655</v>
      </c>
      <c r="D408" s="92" t="s">
        <v>4562</v>
      </c>
      <c r="E408" s="18">
        <v>30087</v>
      </c>
      <c r="F408" s="18">
        <v>600187</v>
      </c>
      <c r="G408" s="18">
        <v>600193</v>
      </c>
      <c r="H408" s="39" t="s">
        <v>4817</v>
      </c>
      <c r="I408" s="18">
        <v>2</v>
      </c>
      <c r="J408" s="18">
        <v>2</v>
      </c>
      <c r="K408" s="18">
        <v>23</v>
      </c>
      <c r="L408" s="18">
        <v>6</v>
      </c>
      <c r="M408" s="18">
        <v>17</v>
      </c>
      <c r="N408" s="18">
        <v>300</v>
      </c>
      <c r="O408" s="18">
        <v>3</v>
      </c>
      <c r="P408" s="18">
        <v>0</v>
      </c>
      <c r="Q408" s="18">
        <v>0</v>
      </c>
      <c r="R408" s="18">
        <v>0</v>
      </c>
      <c r="S408" s="39" t="s">
        <v>4739</v>
      </c>
      <c r="T408" s="39" t="s">
        <v>4698</v>
      </c>
      <c r="U408" s="95" t="s">
        <v>4869</v>
      </c>
      <c r="V408" s="39">
        <v>101</v>
      </c>
      <c r="W408" s="18">
        <v>0</v>
      </c>
      <c r="X408" s="18"/>
      <c r="Y408" s="18">
        <v>0</v>
      </c>
      <c r="Z408" s="18">
        <v>0</v>
      </c>
      <c r="AA408" s="18">
        <v>0</v>
      </c>
      <c r="AB408" s="18"/>
      <c r="AC408" s="18">
        <v>1023</v>
      </c>
      <c r="AD408" s="18">
        <v>0</v>
      </c>
      <c r="AE408" s="39">
        <v>0</v>
      </c>
      <c r="AF408" s="18">
        <v>0</v>
      </c>
      <c r="AG408" s="18">
        <v>0</v>
      </c>
      <c r="AH408" s="18">
        <v>0</v>
      </c>
      <c r="AI408" s="18">
        <v>0</v>
      </c>
    </row>
    <row r="409" spans="2:35" x14ac:dyDescent="0.2">
      <c r="B409" s="125"/>
      <c r="C409" s="122" t="s">
        <v>4656</v>
      </c>
      <c r="D409" s="92" t="s">
        <v>4670</v>
      </c>
      <c r="E409" s="18">
        <v>30088</v>
      </c>
      <c r="F409" s="18">
        <v>600188</v>
      </c>
      <c r="G409" s="18">
        <v>600194</v>
      </c>
      <c r="H409" s="39" t="s">
        <v>3897</v>
      </c>
      <c r="I409" s="18">
        <v>2</v>
      </c>
      <c r="J409" s="18">
        <v>2</v>
      </c>
      <c r="K409" s="18">
        <v>24</v>
      </c>
      <c r="L409" s="18">
        <v>6</v>
      </c>
      <c r="M409" s="18">
        <v>17</v>
      </c>
      <c r="N409" s="18">
        <v>300</v>
      </c>
      <c r="O409" s="18">
        <v>3</v>
      </c>
      <c r="P409" s="18">
        <v>0</v>
      </c>
      <c r="Q409" s="18">
        <v>0</v>
      </c>
      <c r="R409" s="18">
        <v>0</v>
      </c>
      <c r="S409" s="39" t="s">
        <v>4740</v>
      </c>
      <c r="T409" s="39" t="s">
        <v>4699</v>
      </c>
      <c r="U409" s="95" t="s">
        <v>4762</v>
      </c>
      <c r="V409" s="39">
        <v>101</v>
      </c>
      <c r="W409" s="18">
        <v>0</v>
      </c>
      <c r="X409" s="18"/>
      <c r="Y409" s="18">
        <v>0</v>
      </c>
      <c r="Z409" s="18">
        <v>0</v>
      </c>
      <c r="AA409" s="18">
        <v>0</v>
      </c>
      <c r="AB409" s="18"/>
      <c r="AC409" s="18">
        <v>1025</v>
      </c>
      <c r="AD409" s="18">
        <v>0</v>
      </c>
      <c r="AE409" s="39">
        <v>0</v>
      </c>
      <c r="AF409" s="18">
        <v>0</v>
      </c>
      <c r="AG409" s="18">
        <v>0</v>
      </c>
      <c r="AH409" s="18">
        <v>0</v>
      </c>
      <c r="AI409" s="18">
        <v>0</v>
      </c>
    </row>
    <row r="410" spans="2:35" x14ac:dyDescent="0.2">
      <c r="B410" s="126"/>
      <c r="C410" s="122" t="s">
        <v>4657</v>
      </c>
      <c r="D410" s="92" t="s">
        <v>2752</v>
      </c>
      <c r="E410" s="18">
        <v>30089</v>
      </c>
      <c r="F410" s="18">
        <v>600189</v>
      </c>
      <c r="G410" s="18">
        <v>600195</v>
      </c>
      <c r="H410" s="39" t="s">
        <v>4823</v>
      </c>
      <c r="I410" s="18">
        <v>1</v>
      </c>
      <c r="J410" s="18">
        <v>1</v>
      </c>
      <c r="K410" s="18">
        <v>31</v>
      </c>
      <c r="L410" s="18">
        <v>6</v>
      </c>
      <c r="M410" s="18">
        <v>17</v>
      </c>
      <c r="N410" s="18">
        <v>300</v>
      </c>
      <c r="O410" s="18">
        <v>3</v>
      </c>
      <c r="P410" s="18">
        <v>0</v>
      </c>
      <c r="Q410" s="18">
        <v>0</v>
      </c>
      <c r="R410" s="18">
        <v>0</v>
      </c>
      <c r="S410" s="39" t="s">
        <v>85</v>
      </c>
      <c r="T410" s="39" t="s">
        <v>4700</v>
      </c>
      <c r="U410" s="95" t="s">
        <v>4769</v>
      </c>
      <c r="V410" s="39">
        <v>101</v>
      </c>
      <c r="W410" s="18">
        <v>0</v>
      </c>
      <c r="X410" s="18"/>
      <c r="Y410" s="18">
        <v>0</v>
      </c>
      <c r="Z410" s="18">
        <v>0</v>
      </c>
      <c r="AA410" s="18">
        <v>0</v>
      </c>
      <c r="AB410" s="18"/>
      <c r="AC410" s="18">
        <v>1026</v>
      </c>
      <c r="AD410" s="18">
        <v>0</v>
      </c>
      <c r="AE410" s="39">
        <v>0</v>
      </c>
      <c r="AF410" s="18">
        <v>0</v>
      </c>
      <c r="AG410" s="18">
        <v>0</v>
      </c>
      <c r="AH410" s="18">
        <v>0</v>
      </c>
      <c r="AI410" s="18">
        <v>0</v>
      </c>
    </row>
    <row r="411" spans="2:35" x14ac:dyDescent="0.2">
      <c r="B411" s="127" t="s">
        <v>4690</v>
      </c>
      <c r="C411" s="123" t="s">
        <v>4658</v>
      </c>
      <c r="D411" s="97" t="s">
        <v>4669</v>
      </c>
      <c r="E411" s="18">
        <v>30090</v>
      </c>
      <c r="F411" s="18">
        <v>600197</v>
      </c>
      <c r="G411" s="18">
        <v>600203</v>
      </c>
      <c r="H411" s="39" t="s">
        <v>4808</v>
      </c>
      <c r="I411" s="18">
        <v>2</v>
      </c>
      <c r="J411" s="18">
        <v>3</v>
      </c>
      <c r="K411" s="18">
        <v>11</v>
      </c>
      <c r="L411" s="18">
        <v>6</v>
      </c>
      <c r="M411" s="18">
        <v>18</v>
      </c>
      <c r="N411" s="18">
        <v>300</v>
      </c>
      <c r="O411" s="18">
        <v>10</v>
      </c>
      <c r="P411" s="18">
        <v>0</v>
      </c>
      <c r="Q411" s="18">
        <v>0</v>
      </c>
      <c r="R411" s="18">
        <v>0</v>
      </c>
      <c r="S411" s="39" t="s">
        <v>4826</v>
      </c>
      <c r="T411" s="39" t="s">
        <v>4722</v>
      </c>
      <c r="U411" s="95" t="s">
        <v>4764</v>
      </c>
      <c r="V411" s="39">
        <v>101</v>
      </c>
      <c r="W411" s="18">
        <v>0</v>
      </c>
      <c r="X411" s="18">
        <v>0</v>
      </c>
      <c r="Y411" s="18">
        <v>0</v>
      </c>
      <c r="Z411" s="18">
        <v>0</v>
      </c>
      <c r="AA411" s="18">
        <v>1091901</v>
      </c>
      <c r="AB411" s="18"/>
      <c r="AC411" s="18">
        <v>1019</v>
      </c>
      <c r="AD411" s="18">
        <v>0</v>
      </c>
      <c r="AE411" s="18">
        <v>0</v>
      </c>
      <c r="AF411" s="18">
        <v>0</v>
      </c>
      <c r="AG411" s="18">
        <v>0</v>
      </c>
      <c r="AH411" s="18">
        <v>0</v>
      </c>
      <c r="AI411" s="18">
        <v>0</v>
      </c>
    </row>
    <row r="412" spans="2:35" x14ac:dyDescent="0.2">
      <c r="B412" s="128"/>
      <c r="C412" s="123" t="s">
        <v>4660</v>
      </c>
      <c r="D412" s="97" t="s">
        <v>4560</v>
      </c>
      <c r="E412" s="18">
        <v>30091</v>
      </c>
      <c r="F412" s="18">
        <v>600198</v>
      </c>
      <c r="G412" s="18">
        <v>600204</v>
      </c>
      <c r="H412" s="39" t="s">
        <v>4813</v>
      </c>
      <c r="I412" s="18">
        <v>2</v>
      </c>
      <c r="J412" s="18">
        <v>2</v>
      </c>
      <c r="K412" s="18">
        <v>21</v>
      </c>
      <c r="L412" s="18">
        <v>6</v>
      </c>
      <c r="M412" s="18">
        <v>18</v>
      </c>
      <c r="N412" s="18">
        <v>300</v>
      </c>
      <c r="O412" s="18">
        <v>3</v>
      </c>
      <c r="P412" s="18">
        <v>0</v>
      </c>
      <c r="Q412" s="18">
        <v>0</v>
      </c>
      <c r="R412" s="18">
        <v>0</v>
      </c>
      <c r="S412" s="39" t="s">
        <v>4742</v>
      </c>
      <c r="T412" s="39" t="s">
        <v>4701</v>
      </c>
      <c r="U412" s="95" t="s">
        <v>4856</v>
      </c>
      <c r="V412" s="39">
        <v>101</v>
      </c>
      <c r="W412" s="18">
        <v>0</v>
      </c>
      <c r="X412" s="18"/>
      <c r="Y412" s="18">
        <v>0</v>
      </c>
      <c r="Z412" s="18">
        <v>0</v>
      </c>
      <c r="AA412" s="18">
        <v>0</v>
      </c>
      <c r="AB412" s="18"/>
      <c r="AC412" s="18">
        <v>1027</v>
      </c>
      <c r="AD412" s="18">
        <v>0</v>
      </c>
      <c r="AE412" s="39">
        <v>0</v>
      </c>
      <c r="AF412" s="18">
        <v>0</v>
      </c>
      <c r="AG412" s="18">
        <v>0</v>
      </c>
      <c r="AH412" s="18">
        <v>0</v>
      </c>
      <c r="AI412" s="18">
        <v>0</v>
      </c>
    </row>
    <row r="413" spans="2:35" x14ac:dyDescent="0.2">
      <c r="B413" s="128"/>
      <c r="C413" s="123" t="s">
        <v>4659</v>
      </c>
      <c r="D413" s="97" t="s">
        <v>4561</v>
      </c>
      <c r="E413" s="18">
        <v>30092</v>
      </c>
      <c r="F413" s="18">
        <v>600199</v>
      </c>
      <c r="G413" s="18">
        <v>600205</v>
      </c>
      <c r="H413" s="39" t="s">
        <v>3886</v>
      </c>
      <c r="I413" s="18">
        <v>2</v>
      </c>
      <c r="J413" s="18">
        <v>3</v>
      </c>
      <c r="K413" s="18">
        <v>22</v>
      </c>
      <c r="L413" s="18">
        <v>6</v>
      </c>
      <c r="M413" s="18">
        <v>18</v>
      </c>
      <c r="N413" s="18">
        <v>300</v>
      </c>
      <c r="O413" s="18">
        <v>3</v>
      </c>
      <c r="P413" s="18">
        <v>0</v>
      </c>
      <c r="Q413" s="18">
        <v>0</v>
      </c>
      <c r="R413" s="18">
        <v>0</v>
      </c>
      <c r="S413" s="39" t="s">
        <v>4743</v>
      </c>
      <c r="T413" s="39" t="s">
        <v>4702</v>
      </c>
      <c r="U413" s="95" t="s">
        <v>4765</v>
      </c>
      <c r="V413" s="39">
        <v>101</v>
      </c>
      <c r="W413" s="18">
        <v>0</v>
      </c>
      <c r="X413" s="18"/>
      <c r="Y413" s="18">
        <v>0</v>
      </c>
      <c r="Z413" s="18">
        <v>0</v>
      </c>
      <c r="AA413" s="18">
        <v>0</v>
      </c>
      <c r="AB413" s="18"/>
      <c r="AC413" s="18">
        <v>1022</v>
      </c>
      <c r="AD413" s="18">
        <v>0</v>
      </c>
      <c r="AE413" s="39">
        <v>0</v>
      </c>
      <c r="AF413" s="18">
        <v>0</v>
      </c>
      <c r="AG413" s="18">
        <v>0</v>
      </c>
      <c r="AH413" s="18">
        <v>0</v>
      </c>
      <c r="AI413" s="18">
        <v>0</v>
      </c>
    </row>
    <row r="414" spans="2:35" x14ac:dyDescent="0.2">
      <c r="B414" s="128"/>
      <c r="C414" s="123" t="s">
        <v>4661</v>
      </c>
      <c r="D414" s="97" t="s">
        <v>4562</v>
      </c>
      <c r="E414" s="18">
        <v>30093</v>
      </c>
      <c r="F414" s="18">
        <v>600200</v>
      </c>
      <c r="G414" s="18">
        <v>600206</v>
      </c>
      <c r="H414" s="39" t="s">
        <v>3864</v>
      </c>
      <c r="I414" s="18">
        <v>2</v>
      </c>
      <c r="J414" s="18">
        <v>2</v>
      </c>
      <c r="K414" s="18">
        <v>23</v>
      </c>
      <c r="L414" s="18">
        <v>6</v>
      </c>
      <c r="M414" s="18">
        <v>18</v>
      </c>
      <c r="N414" s="18">
        <v>300</v>
      </c>
      <c r="O414" s="18">
        <v>3</v>
      </c>
      <c r="P414" s="18">
        <v>0</v>
      </c>
      <c r="Q414" s="18">
        <v>0</v>
      </c>
      <c r="R414" s="18">
        <v>0</v>
      </c>
      <c r="S414" s="39" t="s">
        <v>4744</v>
      </c>
      <c r="T414" s="39" t="s">
        <v>4703</v>
      </c>
      <c r="U414" s="95" t="s">
        <v>4780</v>
      </c>
      <c r="V414" s="39">
        <v>101</v>
      </c>
      <c r="W414" s="18">
        <v>0</v>
      </c>
      <c r="X414" s="18"/>
      <c r="Y414" s="18">
        <v>0</v>
      </c>
      <c r="Z414" s="18">
        <v>0</v>
      </c>
      <c r="AA414" s="18">
        <v>0</v>
      </c>
      <c r="AB414" s="18"/>
      <c r="AC414" s="18">
        <v>1023</v>
      </c>
      <c r="AD414" s="18">
        <v>0</v>
      </c>
      <c r="AE414" s="39">
        <v>0</v>
      </c>
      <c r="AF414" s="18">
        <v>0</v>
      </c>
      <c r="AG414" s="18">
        <v>0</v>
      </c>
      <c r="AH414" s="18">
        <v>0</v>
      </c>
      <c r="AI414" s="18">
        <v>0</v>
      </c>
    </row>
    <row r="415" spans="2:35" x14ac:dyDescent="0.2">
      <c r="B415" s="128"/>
      <c r="C415" s="123" t="s">
        <v>4662</v>
      </c>
      <c r="D415" s="97" t="s">
        <v>4563</v>
      </c>
      <c r="E415" s="18">
        <v>30094</v>
      </c>
      <c r="F415" s="18">
        <v>600201</v>
      </c>
      <c r="G415" s="18">
        <v>600207</v>
      </c>
      <c r="H415" s="39" t="s">
        <v>3891</v>
      </c>
      <c r="I415" s="18">
        <v>2</v>
      </c>
      <c r="J415" s="18">
        <v>2</v>
      </c>
      <c r="K415" s="18">
        <v>24</v>
      </c>
      <c r="L415" s="18">
        <v>6</v>
      </c>
      <c r="M415" s="18">
        <v>18</v>
      </c>
      <c r="N415" s="18">
        <v>300</v>
      </c>
      <c r="O415" s="18">
        <v>3</v>
      </c>
      <c r="P415" s="18">
        <v>0</v>
      </c>
      <c r="Q415" s="18">
        <v>0</v>
      </c>
      <c r="R415" s="18">
        <v>0</v>
      </c>
      <c r="S415" s="39" t="s">
        <v>4745</v>
      </c>
      <c r="T415" s="39" t="s">
        <v>4704</v>
      </c>
      <c r="U415" s="95" t="s">
        <v>4870</v>
      </c>
      <c r="V415" s="39">
        <v>101</v>
      </c>
      <c r="W415" s="18">
        <v>0</v>
      </c>
      <c r="X415" s="18"/>
      <c r="Y415" s="18">
        <v>0</v>
      </c>
      <c r="Z415" s="18">
        <v>0</v>
      </c>
      <c r="AA415" s="18">
        <v>0</v>
      </c>
      <c r="AB415" s="18"/>
      <c r="AC415" s="18">
        <v>1025</v>
      </c>
      <c r="AD415" s="18">
        <v>0</v>
      </c>
      <c r="AE415" s="39">
        <v>0</v>
      </c>
      <c r="AF415" s="18">
        <v>0</v>
      </c>
      <c r="AG415" s="18">
        <v>0</v>
      </c>
      <c r="AH415" s="18">
        <v>0</v>
      </c>
      <c r="AI415" s="18">
        <v>0</v>
      </c>
    </row>
    <row r="416" spans="2:35" x14ac:dyDescent="0.2">
      <c r="B416" s="129"/>
      <c r="C416" s="123" t="s">
        <v>4663</v>
      </c>
      <c r="D416" s="97" t="s">
        <v>2751</v>
      </c>
      <c r="E416" s="18">
        <v>30095</v>
      </c>
      <c r="F416" s="18">
        <v>600202</v>
      </c>
      <c r="G416" s="18">
        <v>600208</v>
      </c>
      <c r="H416" s="39" t="s">
        <v>4611</v>
      </c>
      <c r="I416" s="18">
        <v>2</v>
      </c>
      <c r="J416" s="18">
        <v>1</v>
      </c>
      <c r="K416" s="18">
        <v>25</v>
      </c>
      <c r="L416" s="18">
        <v>6</v>
      </c>
      <c r="M416" s="18">
        <v>18</v>
      </c>
      <c r="N416" s="18">
        <v>300</v>
      </c>
      <c r="O416" s="18">
        <v>3</v>
      </c>
      <c r="P416" s="18">
        <v>0</v>
      </c>
      <c r="Q416" s="18">
        <v>0</v>
      </c>
      <c r="R416" s="18">
        <v>0</v>
      </c>
      <c r="S416" s="39" t="s">
        <v>4739</v>
      </c>
      <c r="T416" s="39" t="s">
        <v>4723</v>
      </c>
      <c r="U416" s="95" t="s">
        <v>4766</v>
      </c>
      <c r="V416" s="39">
        <v>101</v>
      </c>
      <c r="W416" s="18">
        <v>0</v>
      </c>
      <c r="X416" s="18"/>
      <c r="Y416" s="18">
        <v>0</v>
      </c>
      <c r="Z416" s="18">
        <v>0</v>
      </c>
      <c r="AA416" s="18">
        <v>0</v>
      </c>
      <c r="AB416" s="18"/>
      <c r="AC416" s="18">
        <v>1024</v>
      </c>
      <c r="AD416" s="18">
        <v>0</v>
      </c>
      <c r="AE416" s="39">
        <v>0</v>
      </c>
      <c r="AF416" s="18">
        <v>0</v>
      </c>
      <c r="AG416" s="18">
        <v>0</v>
      </c>
      <c r="AH416" s="18">
        <v>0</v>
      </c>
      <c r="AI416" s="18">
        <v>0</v>
      </c>
    </row>
    <row r="417" spans="2:35" x14ac:dyDescent="0.2">
      <c r="B417" s="124" t="s">
        <v>4691</v>
      </c>
      <c r="C417" s="122" t="s">
        <v>4664</v>
      </c>
      <c r="D417" s="92" t="s">
        <v>25</v>
      </c>
      <c r="E417" s="18">
        <v>30096</v>
      </c>
      <c r="F417" s="18">
        <v>600210</v>
      </c>
      <c r="G417" s="18">
        <v>600216</v>
      </c>
      <c r="H417" s="18">
        <v>10411</v>
      </c>
      <c r="I417" s="18">
        <v>1</v>
      </c>
      <c r="J417" s="18">
        <v>4</v>
      </c>
      <c r="K417" s="18">
        <v>5</v>
      </c>
      <c r="L417" s="18">
        <v>6</v>
      </c>
      <c r="M417" s="18">
        <v>19</v>
      </c>
      <c r="N417" s="18">
        <v>300</v>
      </c>
      <c r="O417" s="18">
        <v>3</v>
      </c>
      <c r="P417" s="18">
        <v>0</v>
      </c>
      <c r="Q417" s="18">
        <v>0</v>
      </c>
      <c r="R417" s="18">
        <v>0</v>
      </c>
      <c r="S417" s="39" t="s">
        <v>4741</v>
      </c>
      <c r="T417" s="39" t="s">
        <v>4724</v>
      </c>
      <c r="U417" s="95" t="s">
        <v>4871</v>
      </c>
      <c r="V417" s="39">
        <v>101</v>
      </c>
      <c r="W417" s="18">
        <v>10053</v>
      </c>
      <c r="X417" s="18"/>
      <c r="Y417" s="18">
        <v>1300</v>
      </c>
      <c r="Z417" s="18">
        <v>0</v>
      </c>
      <c r="AA417" s="18">
        <v>1090201</v>
      </c>
      <c r="AB417" s="18" t="s">
        <v>4645</v>
      </c>
      <c r="AC417" s="18">
        <v>1002</v>
      </c>
      <c r="AD417" s="18">
        <v>0</v>
      </c>
      <c r="AE417" s="39">
        <v>0</v>
      </c>
      <c r="AF417" s="18">
        <v>0</v>
      </c>
      <c r="AG417" s="18">
        <v>0</v>
      </c>
      <c r="AH417" s="18">
        <v>0</v>
      </c>
      <c r="AI417" s="18">
        <v>0</v>
      </c>
    </row>
    <row r="418" spans="2:35" ht="28.5" x14ac:dyDescent="0.2">
      <c r="B418" s="125"/>
      <c r="C418" s="122" t="s">
        <v>4767</v>
      </c>
      <c r="D418" s="92" t="s">
        <v>4560</v>
      </c>
      <c r="E418" s="18">
        <v>30097</v>
      </c>
      <c r="F418" s="18">
        <v>600211</v>
      </c>
      <c r="G418" s="18">
        <v>600217</v>
      </c>
      <c r="H418" s="39" t="s">
        <v>4410</v>
      </c>
      <c r="I418" s="18">
        <v>2</v>
      </c>
      <c r="J418" s="18">
        <v>2</v>
      </c>
      <c r="K418" s="18">
        <v>21</v>
      </c>
      <c r="L418" s="18">
        <v>6</v>
      </c>
      <c r="M418" s="18">
        <v>19</v>
      </c>
      <c r="N418" s="18">
        <v>300</v>
      </c>
      <c r="O418" s="18">
        <v>3</v>
      </c>
      <c r="P418" s="18">
        <v>0</v>
      </c>
      <c r="Q418" s="18">
        <v>0</v>
      </c>
      <c r="R418" s="18">
        <v>0</v>
      </c>
      <c r="S418" s="39" t="s">
        <v>4746</v>
      </c>
      <c r="T418" s="39" t="s">
        <v>4705</v>
      </c>
      <c r="U418" s="95" t="s">
        <v>4783</v>
      </c>
      <c r="V418" s="39">
        <v>101</v>
      </c>
      <c r="W418" s="18">
        <v>0</v>
      </c>
      <c r="X418" s="18"/>
      <c r="Y418" s="18">
        <v>0</v>
      </c>
      <c r="Z418" s="18">
        <v>0</v>
      </c>
      <c r="AA418" s="18">
        <v>0</v>
      </c>
      <c r="AB418" s="18"/>
      <c r="AC418" s="18">
        <v>1027</v>
      </c>
      <c r="AD418" s="18">
        <v>0</v>
      </c>
      <c r="AE418" s="39">
        <v>0</v>
      </c>
      <c r="AF418" s="18">
        <v>0</v>
      </c>
      <c r="AG418" s="18">
        <v>0</v>
      </c>
      <c r="AH418" s="18">
        <v>0</v>
      </c>
      <c r="AI418" s="18">
        <v>0</v>
      </c>
    </row>
    <row r="419" spans="2:35" ht="28.5" x14ac:dyDescent="0.2">
      <c r="B419" s="125"/>
      <c r="C419" s="122" t="s">
        <v>4665</v>
      </c>
      <c r="D419" s="92" t="s">
        <v>4561</v>
      </c>
      <c r="E419" s="18">
        <v>30098</v>
      </c>
      <c r="F419" s="18">
        <v>600212</v>
      </c>
      <c r="G419" s="18">
        <v>600218</v>
      </c>
      <c r="H419" s="39" t="s">
        <v>4815</v>
      </c>
      <c r="I419" s="18">
        <v>2</v>
      </c>
      <c r="J419" s="18">
        <v>3</v>
      </c>
      <c r="K419" s="18">
        <v>22</v>
      </c>
      <c r="L419" s="18">
        <v>6</v>
      </c>
      <c r="M419" s="18">
        <v>19</v>
      </c>
      <c r="N419" s="18">
        <v>300</v>
      </c>
      <c r="O419" s="18">
        <v>3</v>
      </c>
      <c r="P419" s="18">
        <v>0</v>
      </c>
      <c r="Q419" s="18">
        <v>0</v>
      </c>
      <c r="R419" s="18">
        <v>0</v>
      </c>
      <c r="S419" s="39" t="s">
        <v>4747</v>
      </c>
      <c r="T419" s="39" t="s">
        <v>4706</v>
      </c>
      <c r="U419" s="95" t="s">
        <v>4781</v>
      </c>
      <c r="V419" s="39">
        <v>101</v>
      </c>
      <c r="W419" s="18">
        <v>0</v>
      </c>
      <c r="X419" s="18"/>
      <c r="Y419" s="18">
        <v>0</v>
      </c>
      <c r="Z419" s="18">
        <v>0</v>
      </c>
      <c r="AA419" s="18">
        <v>0</v>
      </c>
      <c r="AB419" s="18"/>
      <c r="AC419" s="18">
        <v>1022</v>
      </c>
      <c r="AD419" s="18">
        <v>0</v>
      </c>
      <c r="AE419" s="39">
        <v>0</v>
      </c>
      <c r="AF419" s="18">
        <v>0</v>
      </c>
      <c r="AG419" s="18">
        <v>0</v>
      </c>
      <c r="AH419" s="18">
        <v>0</v>
      </c>
      <c r="AI419" s="18">
        <v>0</v>
      </c>
    </row>
    <row r="420" spans="2:35" ht="28.5" x14ac:dyDescent="0.2">
      <c r="B420" s="125"/>
      <c r="C420" s="122" t="s">
        <v>4666</v>
      </c>
      <c r="D420" s="92" t="s">
        <v>4562</v>
      </c>
      <c r="E420" s="18">
        <v>30099</v>
      </c>
      <c r="F420" s="18">
        <v>600213</v>
      </c>
      <c r="G420" s="18">
        <v>600219</v>
      </c>
      <c r="H420" s="39" t="s">
        <v>4818</v>
      </c>
      <c r="I420" s="18">
        <v>2</v>
      </c>
      <c r="J420" s="18">
        <v>2</v>
      </c>
      <c r="K420" s="18">
        <v>23</v>
      </c>
      <c r="L420" s="18">
        <v>6</v>
      </c>
      <c r="M420" s="18">
        <v>19</v>
      </c>
      <c r="N420" s="18">
        <v>300</v>
      </c>
      <c r="O420" s="18">
        <v>3</v>
      </c>
      <c r="P420" s="18">
        <v>0</v>
      </c>
      <c r="Q420" s="18">
        <v>0</v>
      </c>
      <c r="R420" s="18">
        <v>0</v>
      </c>
      <c r="S420" s="39" t="s">
        <v>4748</v>
      </c>
      <c r="T420" s="39" t="s">
        <v>4707</v>
      </c>
      <c r="U420" s="95" t="s">
        <v>4872</v>
      </c>
      <c r="V420" s="39">
        <v>101</v>
      </c>
      <c r="W420" s="18">
        <v>0</v>
      </c>
      <c r="X420" s="18"/>
      <c r="Y420" s="18">
        <v>0</v>
      </c>
      <c r="Z420" s="18">
        <v>0</v>
      </c>
      <c r="AA420" s="18">
        <v>0</v>
      </c>
      <c r="AB420" s="18"/>
      <c r="AC420" s="18">
        <v>1023</v>
      </c>
      <c r="AD420" s="18">
        <v>0</v>
      </c>
      <c r="AE420" s="39">
        <v>0</v>
      </c>
      <c r="AF420" s="18">
        <v>0</v>
      </c>
      <c r="AG420" s="18">
        <v>0</v>
      </c>
      <c r="AH420" s="18">
        <v>0</v>
      </c>
      <c r="AI420" s="18">
        <v>0</v>
      </c>
    </row>
    <row r="421" spans="2:35" ht="28.5" x14ac:dyDescent="0.2">
      <c r="B421" s="125"/>
      <c r="C421" s="122" t="s">
        <v>4667</v>
      </c>
      <c r="D421" s="92" t="s">
        <v>4563</v>
      </c>
      <c r="E421" s="18">
        <v>30100</v>
      </c>
      <c r="F421" s="18">
        <v>600214</v>
      </c>
      <c r="G421" s="18">
        <v>600220</v>
      </c>
      <c r="H421" s="39" t="s">
        <v>4820</v>
      </c>
      <c r="I421" s="18">
        <v>2</v>
      </c>
      <c r="J421" s="18">
        <v>2</v>
      </c>
      <c r="K421" s="18">
        <v>24</v>
      </c>
      <c r="L421" s="18">
        <v>6</v>
      </c>
      <c r="M421" s="18">
        <v>19</v>
      </c>
      <c r="N421" s="18">
        <v>300</v>
      </c>
      <c r="O421" s="18">
        <v>3</v>
      </c>
      <c r="P421" s="18">
        <v>0</v>
      </c>
      <c r="Q421" s="18">
        <v>0</v>
      </c>
      <c r="R421" s="18">
        <v>0</v>
      </c>
      <c r="S421" s="39" t="s">
        <v>4749</v>
      </c>
      <c r="T421" s="39" t="s">
        <v>4708</v>
      </c>
      <c r="U421" s="95" t="s">
        <v>4782</v>
      </c>
      <c r="V421" s="39">
        <v>101</v>
      </c>
      <c r="W421" s="18">
        <v>0</v>
      </c>
      <c r="X421" s="18"/>
      <c r="Y421" s="18">
        <v>0</v>
      </c>
      <c r="Z421" s="18">
        <v>0</v>
      </c>
      <c r="AA421" s="18">
        <v>0</v>
      </c>
      <c r="AB421" s="18"/>
      <c r="AC421" s="18">
        <v>1025</v>
      </c>
      <c r="AD421" s="18">
        <v>0</v>
      </c>
      <c r="AE421" s="39">
        <v>0</v>
      </c>
      <c r="AF421" s="18">
        <v>0</v>
      </c>
      <c r="AG421" s="18">
        <v>0</v>
      </c>
      <c r="AH421" s="18">
        <v>0</v>
      </c>
      <c r="AI421" s="18">
        <v>0</v>
      </c>
    </row>
    <row r="422" spans="2:35" ht="28.5" x14ac:dyDescent="0.2">
      <c r="B422" s="126"/>
      <c r="C422" s="122" t="s">
        <v>4668</v>
      </c>
      <c r="D422" s="92" t="s">
        <v>2753</v>
      </c>
      <c r="E422" s="18">
        <v>30101</v>
      </c>
      <c r="F422" s="18">
        <v>600215</v>
      </c>
      <c r="G422" s="18">
        <v>600221</v>
      </c>
      <c r="H422" s="39" t="s">
        <v>3922</v>
      </c>
      <c r="I422" s="18">
        <v>1</v>
      </c>
      <c r="J422" s="18">
        <v>1</v>
      </c>
      <c r="K422" s="18">
        <v>32</v>
      </c>
      <c r="L422" s="18">
        <v>6</v>
      </c>
      <c r="M422" s="18">
        <v>19</v>
      </c>
      <c r="N422" s="18">
        <v>300</v>
      </c>
      <c r="O422" s="18">
        <v>3</v>
      </c>
      <c r="P422" s="18">
        <v>0</v>
      </c>
      <c r="Q422" s="18">
        <v>0</v>
      </c>
      <c r="R422" s="18">
        <v>0</v>
      </c>
      <c r="S422" s="39" t="s">
        <v>85</v>
      </c>
      <c r="T422" s="39" t="s">
        <v>4725</v>
      </c>
      <c r="U422" s="95" t="s">
        <v>4873</v>
      </c>
      <c r="V422" s="39">
        <v>101</v>
      </c>
      <c r="W422" s="18">
        <v>0</v>
      </c>
      <c r="X422" s="18"/>
      <c r="Y422" s="18">
        <v>0</v>
      </c>
      <c r="Z422" s="18">
        <v>0</v>
      </c>
      <c r="AA422" s="18">
        <v>0</v>
      </c>
      <c r="AB422" s="18"/>
      <c r="AC422" s="18">
        <v>1027</v>
      </c>
      <c r="AD422" s="18">
        <v>0</v>
      </c>
      <c r="AE422" s="39">
        <v>0</v>
      </c>
      <c r="AF422" s="18">
        <v>0</v>
      </c>
      <c r="AG422" s="18">
        <v>0</v>
      </c>
      <c r="AH422" s="18">
        <v>0</v>
      </c>
      <c r="AI422" s="18">
        <v>0</v>
      </c>
    </row>
    <row r="423" spans="2:35" x14ac:dyDescent="0.2">
      <c r="B423" s="127" t="s">
        <v>4692</v>
      </c>
      <c r="C423" s="119" t="s">
        <v>4671</v>
      </c>
      <c r="D423" s="17" t="s">
        <v>24</v>
      </c>
      <c r="E423" s="18">
        <v>30102</v>
      </c>
      <c r="F423" s="18">
        <v>600223</v>
      </c>
      <c r="G423" s="18">
        <v>600229</v>
      </c>
      <c r="H423" s="39" t="s">
        <v>4805</v>
      </c>
      <c r="I423" s="18">
        <v>1</v>
      </c>
      <c r="J423" s="18">
        <v>3</v>
      </c>
      <c r="K423" s="18">
        <v>4</v>
      </c>
      <c r="L423" s="18">
        <v>6</v>
      </c>
      <c r="M423" s="18">
        <v>20</v>
      </c>
      <c r="N423" s="18">
        <v>300</v>
      </c>
      <c r="O423" s="18">
        <v>10</v>
      </c>
      <c r="P423" s="18">
        <v>0</v>
      </c>
      <c r="Q423" s="18">
        <v>0</v>
      </c>
      <c r="R423" s="18">
        <v>0</v>
      </c>
      <c r="S423" s="39" t="s">
        <v>4750</v>
      </c>
      <c r="T423" s="39" t="s">
        <v>4726</v>
      </c>
      <c r="U423" s="95" t="s">
        <v>4874</v>
      </c>
      <c r="V423" s="39">
        <v>101</v>
      </c>
      <c r="W423" s="18">
        <v>10024</v>
      </c>
      <c r="X423" s="18">
        <v>0</v>
      </c>
      <c r="Y423" s="18">
        <v>800</v>
      </c>
      <c r="Z423" s="18">
        <v>0</v>
      </c>
      <c r="AA423" s="18">
        <v>1090501</v>
      </c>
      <c r="AB423" s="18" t="s">
        <v>4644</v>
      </c>
      <c r="AC423" s="18">
        <v>1001</v>
      </c>
      <c r="AD423" s="18">
        <v>0</v>
      </c>
      <c r="AE423" s="18">
        <v>0</v>
      </c>
      <c r="AF423" s="18">
        <v>0</v>
      </c>
      <c r="AG423" s="18">
        <v>0</v>
      </c>
      <c r="AH423" s="18">
        <v>0</v>
      </c>
      <c r="AI423" s="18">
        <v>0</v>
      </c>
    </row>
    <row r="424" spans="2:35" x14ac:dyDescent="0.2">
      <c r="B424" s="128"/>
      <c r="C424" s="119" t="s">
        <v>4672</v>
      </c>
      <c r="D424" s="17" t="s">
        <v>24</v>
      </c>
      <c r="E424" s="18">
        <v>30103</v>
      </c>
      <c r="F424" s="18">
        <v>600224</v>
      </c>
      <c r="G424" s="18">
        <v>600230</v>
      </c>
      <c r="H424" s="39" t="s">
        <v>4804</v>
      </c>
      <c r="I424" s="18">
        <v>1</v>
      </c>
      <c r="J424" s="18">
        <v>3</v>
      </c>
      <c r="K424" s="18">
        <v>4</v>
      </c>
      <c r="L424" s="18">
        <v>6</v>
      </c>
      <c r="M424" s="18">
        <v>20</v>
      </c>
      <c r="N424" s="18">
        <v>300</v>
      </c>
      <c r="O424" s="18">
        <v>10</v>
      </c>
      <c r="P424" s="18">
        <v>0</v>
      </c>
      <c r="Q424" s="18">
        <v>0</v>
      </c>
      <c r="R424" s="18">
        <v>0</v>
      </c>
      <c r="S424" s="39" t="s">
        <v>4751</v>
      </c>
      <c r="T424" s="39" t="s">
        <v>4709</v>
      </c>
      <c r="U424" s="95" t="s">
        <v>4875</v>
      </c>
      <c r="V424" s="39">
        <v>101</v>
      </c>
      <c r="W424" s="18">
        <v>10024</v>
      </c>
      <c r="X424" s="18">
        <v>0</v>
      </c>
      <c r="Y424" s="18">
        <v>800</v>
      </c>
      <c r="Z424" s="18">
        <v>0</v>
      </c>
      <c r="AA424" s="18">
        <v>1090501</v>
      </c>
      <c r="AB424" s="18" t="s">
        <v>4644</v>
      </c>
      <c r="AC424" s="18">
        <v>1001</v>
      </c>
      <c r="AD424" s="18">
        <v>0</v>
      </c>
      <c r="AE424" s="18">
        <v>0</v>
      </c>
      <c r="AF424" s="18">
        <v>0</v>
      </c>
      <c r="AG424" s="18">
        <v>0</v>
      </c>
      <c r="AH424" s="18">
        <v>0</v>
      </c>
      <c r="AI424" s="18">
        <v>0</v>
      </c>
    </row>
    <row r="425" spans="2:35" x14ac:dyDescent="0.2">
      <c r="B425" s="128"/>
      <c r="C425" s="119" t="s">
        <v>4673</v>
      </c>
      <c r="D425" s="17" t="s">
        <v>4560</v>
      </c>
      <c r="E425" s="18">
        <v>30104</v>
      </c>
      <c r="F425" s="18">
        <v>600225</v>
      </c>
      <c r="G425" s="18">
        <v>600231</v>
      </c>
      <c r="H425" s="39" t="s">
        <v>4810</v>
      </c>
      <c r="I425" s="18">
        <v>2</v>
      </c>
      <c r="J425" s="18">
        <v>2</v>
      </c>
      <c r="K425" s="18">
        <v>21</v>
      </c>
      <c r="L425" s="18">
        <v>6</v>
      </c>
      <c r="M425" s="18">
        <v>20</v>
      </c>
      <c r="N425" s="18">
        <v>300</v>
      </c>
      <c r="O425" s="18">
        <v>3</v>
      </c>
      <c r="P425" s="18">
        <v>0</v>
      </c>
      <c r="Q425" s="18">
        <v>0</v>
      </c>
      <c r="R425" s="18">
        <v>0</v>
      </c>
      <c r="S425" s="39" t="s">
        <v>4752</v>
      </c>
      <c r="T425" s="39" t="s">
        <v>4710</v>
      </c>
      <c r="U425" s="95" t="s">
        <v>4876</v>
      </c>
      <c r="V425" s="39">
        <v>101</v>
      </c>
      <c r="W425" s="18">
        <v>0</v>
      </c>
      <c r="X425" s="18"/>
      <c r="Y425" s="18">
        <v>0</v>
      </c>
      <c r="Z425" s="18">
        <v>0</v>
      </c>
      <c r="AA425" s="18">
        <v>0</v>
      </c>
      <c r="AB425" s="18"/>
      <c r="AC425" s="18">
        <v>1027</v>
      </c>
      <c r="AD425" s="18">
        <v>0</v>
      </c>
      <c r="AE425" s="39">
        <v>0</v>
      </c>
      <c r="AF425" s="18">
        <v>0</v>
      </c>
      <c r="AG425" s="18">
        <v>0</v>
      </c>
      <c r="AH425" s="18">
        <v>0</v>
      </c>
      <c r="AI425" s="18">
        <v>0</v>
      </c>
    </row>
    <row r="426" spans="2:35" x14ac:dyDescent="0.2">
      <c r="B426" s="128"/>
      <c r="C426" s="119" t="s">
        <v>4674</v>
      </c>
      <c r="D426" s="17" t="s">
        <v>4561</v>
      </c>
      <c r="E426" s="18">
        <v>30105</v>
      </c>
      <c r="F426" s="18">
        <v>600226</v>
      </c>
      <c r="G426" s="18">
        <v>600232</v>
      </c>
      <c r="H426" s="39" t="s">
        <v>4275</v>
      </c>
      <c r="I426" s="18">
        <v>2</v>
      </c>
      <c r="J426" s="18">
        <v>3</v>
      </c>
      <c r="K426" s="18">
        <v>22</v>
      </c>
      <c r="L426" s="18">
        <v>6</v>
      </c>
      <c r="M426" s="18">
        <v>20</v>
      </c>
      <c r="N426" s="18">
        <v>300</v>
      </c>
      <c r="O426" s="18">
        <v>3</v>
      </c>
      <c r="P426" s="18">
        <v>0</v>
      </c>
      <c r="Q426" s="18">
        <v>0</v>
      </c>
      <c r="R426" s="18">
        <v>0</v>
      </c>
      <c r="S426" s="39" t="s">
        <v>4753</v>
      </c>
      <c r="T426" s="39" t="s">
        <v>4711</v>
      </c>
      <c r="U426" s="95" t="s">
        <v>4785</v>
      </c>
      <c r="V426" s="39">
        <v>101</v>
      </c>
      <c r="W426" s="18">
        <v>0</v>
      </c>
      <c r="X426" s="18"/>
      <c r="Y426" s="18">
        <v>0</v>
      </c>
      <c r="Z426" s="18">
        <v>0</v>
      </c>
      <c r="AA426" s="18">
        <v>0</v>
      </c>
      <c r="AB426" s="18"/>
      <c r="AC426" s="18">
        <v>1022</v>
      </c>
      <c r="AD426" s="18">
        <v>0</v>
      </c>
      <c r="AE426" s="39">
        <v>0</v>
      </c>
      <c r="AF426" s="18">
        <v>0</v>
      </c>
      <c r="AG426" s="18">
        <v>0</v>
      </c>
      <c r="AH426" s="18">
        <v>0</v>
      </c>
      <c r="AI426" s="18">
        <v>0</v>
      </c>
    </row>
    <row r="427" spans="2:35" x14ac:dyDescent="0.2">
      <c r="B427" s="128"/>
      <c r="C427" s="119" t="s">
        <v>4675</v>
      </c>
      <c r="D427" s="17" t="s">
        <v>4562</v>
      </c>
      <c r="E427" s="18">
        <v>30106</v>
      </c>
      <c r="F427" s="18">
        <v>600227</v>
      </c>
      <c r="G427" s="18">
        <v>600233</v>
      </c>
      <c r="H427" s="39" t="s">
        <v>4819</v>
      </c>
      <c r="I427" s="18">
        <v>2</v>
      </c>
      <c r="J427" s="18">
        <v>2</v>
      </c>
      <c r="K427" s="18">
        <v>23</v>
      </c>
      <c r="L427" s="18">
        <v>6</v>
      </c>
      <c r="M427" s="18">
        <v>20</v>
      </c>
      <c r="N427" s="18">
        <v>300</v>
      </c>
      <c r="O427" s="18">
        <v>3</v>
      </c>
      <c r="P427" s="18">
        <v>0</v>
      </c>
      <c r="Q427" s="18">
        <v>0</v>
      </c>
      <c r="R427" s="18">
        <v>0</v>
      </c>
      <c r="S427" s="39" t="s">
        <v>4739</v>
      </c>
      <c r="T427" s="39" t="s">
        <v>4712</v>
      </c>
      <c r="U427" s="95" t="s">
        <v>4786</v>
      </c>
      <c r="V427" s="39">
        <v>101</v>
      </c>
      <c r="W427" s="18">
        <v>0</v>
      </c>
      <c r="X427" s="18"/>
      <c r="Y427" s="18">
        <v>0</v>
      </c>
      <c r="Z427" s="18">
        <v>0</v>
      </c>
      <c r="AA427" s="18">
        <v>0</v>
      </c>
      <c r="AB427" s="18"/>
      <c r="AC427" s="18">
        <v>1023</v>
      </c>
      <c r="AD427" s="18">
        <v>0</v>
      </c>
      <c r="AE427" s="39">
        <v>0</v>
      </c>
      <c r="AF427" s="18">
        <v>0</v>
      </c>
      <c r="AG427" s="18">
        <v>0</v>
      </c>
      <c r="AH427" s="18">
        <v>0</v>
      </c>
      <c r="AI427" s="18">
        <v>0</v>
      </c>
    </row>
    <row r="428" spans="2:35" x14ac:dyDescent="0.2">
      <c r="B428" s="129"/>
      <c r="C428" s="119" t="s">
        <v>4676</v>
      </c>
      <c r="D428" s="17" t="s">
        <v>2753</v>
      </c>
      <c r="E428" s="18">
        <v>30107</v>
      </c>
      <c r="F428" s="18">
        <v>600228</v>
      </c>
      <c r="G428" s="18">
        <v>600234</v>
      </c>
      <c r="H428" s="39" t="s">
        <v>3923</v>
      </c>
      <c r="I428" s="18">
        <v>1</v>
      </c>
      <c r="J428" s="18">
        <v>1</v>
      </c>
      <c r="K428" s="18">
        <v>32</v>
      </c>
      <c r="L428" s="18">
        <v>6</v>
      </c>
      <c r="M428" s="18">
        <v>20</v>
      </c>
      <c r="N428" s="18">
        <v>300</v>
      </c>
      <c r="O428" s="18">
        <v>3</v>
      </c>
      <c r="P428" s="18">
        <v>0</v>
      </c>
      <c r="Q428" s="18">
        <v>0</v>
      </c>
      <c r="R428" s="18">
        <v>0</v>
      </c>
      <c r="S428" s="39" t="s">
        <v>85</v>
      </c>
      <c r="T428" s="39" t="s">
        <v>4727</v>
      </c>
      <c r="U428" s="95" t="s">
        <v>4857</v>
      </c>
      <c r="V428" s="39">
        <v>101</v>
      </c>
      <c r="W428" s="18">
        <v>0</v>
      </c>
      <c r="X428" s="18"/>
      <c r="Y428" s="18">
        <v>0</v>
      </c>
      <c r="Z428" s="18">
        <v>0</v>
      </c>
      <c r="AA428" s="18">
        <v>0</v>
      </c>
      <c r="AB428" s="18"/>
      <c r="AC428" s="18">
        <v>1027</v>
      </c>
      <c r="AD428" s="18">
        <v>0</v>
      </c>
      <c r="AE428" s="39">
        <v>0</v>
      </c>
      <c r="AF428" s="18">
        <v>0</v>
      </c>
      <c r="AG428" s="18">
        <v>0</v>
      </c>
      <c r="AH428" s="18">
        <v>0</v>
      </c>
      <c r="AI428" s="18">
        <v>0</v>
      </c>
    </row>
    <row r="429" spans="2:35" x14ac:dyDescent="0.2">
      <c r="B429" s="124" t="s">
        <v>4693</v>
      </c>
      <c r="C429" s="118" t="s">
        <v>4677</v>
      </c>
      <c r="D429" s="85" t="s">
        <v>24</v>
      </c>
      <c r="E429" s="18">
        <v>30108</v>
      </c>
      <c r="F429" s="18">
        <v>600236</v>
      </c>
      <c r="G429" s="18">
        <v>600242</v>
      </c>
      <c r="H429" s="39" t="s">
        <v>4806</v>
      </c>
      <c r="I429" s="18">
        <v>1</v>
      </c>
      <c r="J429" s="18">
        <v>3</v>
      </c>
      <c r="K429" s="18">
        <v>4</v>
      </c>
      <c r="L429" s="18">
        <v>6</v>
      </c>
      <c r="M429" s="18">
        <v>21</v>
      </c>
      <c r="N429" s="18">
        <v>300</v>
      </c>
      <c r="O429" s="18">
        <v>10</v>
      </c>
      <c r="P429" s="18">
        <v>0</v>
      </c>
      <c r="Q429" s="18">
        <v>0</v>
      </c>
      <c r="R429" s="18">
        <v>0</v>
      </c>
      <c r="S429" s="39" t="s">
        <v>4754</v>
      </c>
      <c r="T429" s="39" t="s">
        <v>4728</v>
      </c>
      <c r="U429" s="95" t="s">
        <v>4877</v>
      </c>
      <c r="V429" s="39">
        <v>101</v>
      </c>
      <c r="W429" s="18">
        <v>10024</v>
      </c>
      <c r="X429" s="18">
        <v>0</v>
      </c>
      <c r="Y429" s="18">
        <v>800</v>
      </c>
      <c r="Z429" s="18">
        <v>0</v>
      </c>
      <c r="AA429" s="18">
        <v>1090501</v>
      </c>
      <c r="AB429" s="18" t="s">
        <v>4644</v>
      </c>
      <c r="AC429" s="18">
        <v>1001</v>
      </c>
      <c r="AD429" s="18">
        <v>0</v>
      </c>
      <c r="AE429" s="18">
        <v>0</v>
      </c>
      <c r="AF429" s="18">
        <v>0</v>
      </c>
      <c r="AG429" s="18">
        <v>0</v>
      </c>
      <c r="AH429" s="18">
        <v>0</v>
      </c>
      <c r="AI429" s="18">
        <v>0</v>
      </c>
    </row>
    <row r="430" spans="2:35" x14ac:dyDescent="0.2">
      <c r="B430" s="125"/>
      <c r="C430" s="118" t="s">
        <v>4678</v>
      </c>
      <c r="D430" s="85" t="s">
        <v>4560</v>
      </c>
      <c r="E430" s="18">
        <v>30109</v>
      </c>
      <c r="F430" s="18">
        <v>600237</v>
      </c>
      <c r="G430" s="18">
        <v>600243</v>
      </c>
      <c r="H430" s="39" t="s">
        <v>4811</v>
      </c>
      <c r="I430" s="18">
        <v>2</v>
      </c>
      <c r="J430" s="18">
        <v>2</v>
      </c>
      <c r="K430" s="18">
        <v>21</v>
      </c>
      <c r="L430" s="18">
        <v>6</v>
      </c>
      <c r="M430" s="18">
        <v>21</v>
      </c>
      <c r="N430" s="18">
        <v>300</v>
      </c>
      <c r="O430" s="18">
        <v>3</v>
      </c>
      <c r="P430" s="18">
        <v>0</v>
      </c>
      <c r="Q430" s="18">
        <v>0</v>
      </c>
      <c r="R430" s="18">
        <v>0</v>
      </c>
      <c r="S430" s="39" t="s">
        <v>4755</v>
      </c>
      <c r="T430" s="39" t="s">
        <v>4713</v>
      </c>
      <c r="U430" s="95" t="s">
        <v>4878</v>
      </c>
      <c r="V430" s="39">
        <v>101</v>
      </c>
      <c r="W430" s="18">
        <v>0</v>
      </c>
      <c r="X430" s="18"/>
      <c r="Y430" s="18">
        <v>0</v>
      </c>
      <c r="Z430" s="18">
        <v>0</v>
      </c>
      <c r="AA430" s="18">
        <v>0</v>
      </c>
      <c r="AB430" s="18"/>
      <c r="AC430" s="18">
        <v>1027</v>
      </c>
      <c r="AD430" s="18">
        <v>0</v>
      </c>
      <c r="AE430" s="39">
        <v>0</v>
      </c>
      <c r="AF430" s="18">
        <v>0</v>
      </c>
      <c r="AG430" s="18">
        <v>0</v>
      </c>
      <c r="AH430" s="18">
        <v>0</v>
      </c>
      <c r="AI430" s="18">
        <v>0</v>
      </c>
    </row>
    <row r="431" spans="2:35" x14ac:dyDescent="0.2">
      <c r="B431" s="125"/>
      <c r="C431" s="118" t="s">
        <v>4679</v>
      </c>
      <c r="D431" s="85" t="s">
        <v>4561</v>
      </c>
      <c r="E431" s="18">
        <v>30110</v>
      </c>
      <c r="F431" s="18">
        <v>600238</v>
      </c>
      <c r="G431" s="18">
        <v>600244</v>
      </c>
      <c r="H431" s="39" t="s">
        <v>3882</v>
      </c>
      <c r="I431" s="18">
        <v>2</v>
      </c>
      <c r="J431" s="18">
        <v>3</v>
      </c>
      <c r="K431" s="18">
        <v>22</v>
      </c>
      <c r="L431" s="18">
        <v>6</v>
      </c>
      <c r="M431" s="18">
        <v>21</v>
      </c>
      <c r="N431" s="18">
        <v>300</v>
      </c>
      <c r="O431" s="18">
        <v>3</v>
      </c>
      <c r="P431" s="18">
        <v>0</v>
      </c>
      <c r="Q431" s="18">
        <v>0</v>
      </c>
      <c r="R431" s="18">
        <v>0</v>
      </c>
      <c r="S431" s="39" t="s">
        <v>4756</v>
      </c>
      <c r="T431" s="39" t="s">
        <v>4714</v>
      </c>
      <c r="U431" s="95" t="s">
        <v>4834</v>
      </c>
      <c r="V431" s="39">
        <v>101</v>
      </c>
      <c r="W431" s="18">
        <v>0</v>
      </c>
      <c r="X431" s="18"/>
      <c r="Y431" s="18">
        <v>0</v>
      </c>
      <c r="Z431" s="18">
        <v>0</v>
      </c>
      <c r="AA431" s="18">
        <v>0</v>
      </c>
      <c r="AB431" s="18"/>
      <c r="AC431" s="18">
        <v>1022</v>
      </c>
      <c r="AD431" s="18">
        <v>0</v>
      </c>
      <c r="AE431" s="39">
        <v>0</v>
      </c>
      <c r="AF431" s="18">
        <v>0</v>
      </c>
      <c r="AG431" s="18">
        <v>0</v>
      </c>
      <c r="AH431" s="18">
        <v>0</v>
      </c>
      <c r="AI431" s="18">
        <v>0</v>
      </c>
    </row>
    <row r="432" spans="2:35" x14ac:dyDescent="0.2">
      <c r="B432" s="125"/>
      <c r="C432" s="118" t="s">
        <v>4680</v>
      </c>
      <c r="D432" s="85" t="s">
        <v>4562</v>
      </c>
      <c r="E432" s="18">
        <v>30111</v>
      </c>
      <c r="F432" s="18">
        <v>600239</v>
      </c>
      <c r="G432" s="18">
        <v>600245</v>
      </c>
      <c r="H432" s="39" t="s">
        <v>3861</v>
      </c>
      <c r="I432" s="18">
        <v>2</v>
      </c>
      <c r="J432" s="18">
        <v>2</v>
      </c>
      <c r="K432" s="18">
        <v>23</v>
      </c>
      <c r="L432" s="18">
        <v>6</v>
      </c>
      <c r="M432" s="18">
        <v>21</v>
      </c>
      <c r="N432" s="18">
        <v>300</v>
      </c>
      <c r="O432" s="18">
        <v>3</v>
      </c>
      <c r="P432" s="18">
        <v>0</v>
      </c>
      <c r="Q432" s="18">
        <v>0</v>
      </c>
      <c r="R432" s="18">
        <v>0</v>
      </c>
      <c r="S432" s="39" t="s">
        <v>4757</v>
      </c>
      <c r="T432" s="39" t="s">
        <v>4715</v>
      </c>
      <c r="U432" s="95" t="s">
        <v>4787</v>
      </c>
      <c r="V432" s="39">
        <v>101</v>
      </c>
      <c r="W432" s="18">
        <v>0</v>
      </c>
      <c r="X432" s="18"/>
      <c r="Y432" s="18">
        <v>0</v>
      </c>
      <c r="Z432" s="18">
        <v>0</v>
      </c>
      <c r="AA432" s="18">
        <v>0</v>
      </c>
      <c r="AB432" s="18"/>
      <c r="AC432" s="18">
        <v>1023</v>
      </c>
      <c r="AD432" s="18">
        <v>0</v>
      </c>
      <c r="AE432" s="39">
        <v>0</v>
      </c>
      <c r="AF432" s="18">
        <v>0</v>
      </c>
      <c r="AG432" s="18">
        <v>0</v>
      </c>
      <c r="AH432" s="18">
        <v>0</v>
      </c>
      <c r="AI432" s="18">
        <v>0</v>
      </c>
    </row>
    <row r="433" spans="1:35" x14ac:dyDescent="0.2">
      <c r="B433" s="125"/>
      <c r="C433" s="118" t="s">
        <v>4681</v>
      </c>
      <c r="D433" s="85" t="s">
        <v>4563</v>
      </c>
      <c r="E433" s="18">
        <v>30112</v>
      </c>
      <c r="F433" s="18">
        <v>600240</v>
      </c>
      <c r="G433" s="18">
        <v>600246</v>
      </c>
      <c r="H433" s="39" t="s">
        <v>4821</v>
      </c>
      <c r="I433" s="18">
        <v>2</v>
      </c>
      <c r="J433" s="18">
        <v>2</v>
      </c>
      <c r="K433" s="18">
        <v>24</v>
      </c>
      <c r="L433" s="18">
        <v>6</v>
      </c>
      <c r="M433" s="18">
        <v>21</v>
      </c>
      <c r="N433" s="18">
        <v>300</v>
      </c>
      <c r="O433" s="18">
        <v>3</v>
      </c>
      <c r="P433" s="18">
        <v>0</v>
      </c>
      <c r="Q433" s="18">
        <v>0</v>
      </c>
      <c r="R433" s="18">
        <v>0</v>
      </c>
      <c r="S433" s="39" t="s">
        <v>4758</v>
      </c>
      <c r="T433" s="39" t="s">
        <v>4716</v>
      </c>
      <c r="U433" s="95" t="s">
        <v>4794</v>
      </c>
      <c r="V433" s="39">
        <v>101</v>
      </c>
      <c r="W433" s="18">
        <v>0</v>
      </c>
      <c r="X433" s="18"/>
      <c r="Y433" s="18">
        <v>0</v>
      </c>
      <c r="Z433" s="18">
        <v>0</v>
      </c>
      <c r="AA433" s="18">
        <v>0</v>
      </c>
      <c r="AB433" s="18"/>
      <c r="AC433" s="18">
        <v>1025</v>
      </c>
      <c r="AD433" s="18">
        <v>0</v>
      </c>
      <c r="AE433" s="39">
        <v>0</v>
      </c>
      <c r="AF433" s="18">
        <v>0</v>
      </c>
      <c r="AG433" s="18">
        <v>0</v>
      </c>
      <c r="AH433" s="18">
        <v>0</v>
      </c>
      <c r="AI433" s="18">
        <v>0</v>
      </c>
    </row>
    <row r="434" spans="1:35" x14ac:dyDescent="0.2">
      <c r="B434" s="126"/>
      <c r="C434" s="118" t="s">
        <v>4682</v>
      </c>
      <c r="D434" s="85" t="s">
        <v>2753</v>
      </c>
      <c r="E434" s="18">
        <v>30113</v>
      </c>
      <c r="F434" s="18">
        <v>600241</v>
      </c>
      <c r="G434" s="18">
        <v>600247</v>
      </c>
      <c r="H434" s="39" t="s">
        <v>4824</v>
      </c>
      <c r="I434" s="18">
        <v>1</v>
      </c>
      <c r="J434" s="18">
        <v>1</v>
      </c>
      <c r="K434" s="18">
        <v>32</v>
      </c>
      <c r="L434" s="18">
        <v>6</v>
      </c>
      <c r="M434" s="18">
        <v>21</v>
      </c>
      <c r="N434" s="18">
        <v>300</v>
      </c>
      <c r="O434" s="18">
        <v>3</v>
      </c>
      <c r="P434" s="18">
        <v>0</v>
      </c>
      <c r="Q434" s="18">
        <v>0</v>
      </c>
      <c r="R434" s="18">
        <v>0</v>
      </c>
      <c r="S434" s="39" t="s">
        <v>85</v>
      </c>
      <c r="T434" s="39" t="s">
        <v>4729</v>
      </c>
      <c r="U434" s="95" t="s">
        <v>4784</v>
      </c>
      <c r="V434" s="39">
        <v>101</v>
      </c>
      <c r="W434" s="18">
        <v>0</v>
      </c>
      <c r="X434" s="18"/>
      <c r="Y434" s="18">
        <v>0</v>
      </c>
      <c r="Z434" s="18">
        <v>0</v>
      </c>
      <c r="AA434" s="18">
        <v>0</v>
      </c>
      <c r="AB434" s="18"/>
      <c r="AC434" s="18">
        <v>1027</v>
      </c>
      <c r="AD434" s="18">
        <v>0</v>
      </c>
      <c r="AE434" s="39">
        <v>0</v>
      </c>
      <c r="AF434" s="18">
        <v>0</v>
      </c>
      <c r="AG434" s="18">
        <v>0</v>
      </c>
      <c r="AH434" s="18">
        <v>0</v>
      </c>
      <c r="AI434" s="18">
        <v>0</v>
      </c>
    </row>
    <row r="435" spans="1:35" x14ac:dyDescent="0.2">
      <c r="B435" s="127" t="s">
        <v>4694</v>
      </c>
      <c r="C435" s="119" t="s">
        <v>4683</v>
      </c>
      <c r="D435" s="17" t="s">
        <v>4560</v>
      </c>
      <c r="E435" s="18">
        <v>30114</v>
      </c>
      <c r="F435" s="18">
        <v>600249</v>
      </c>
      <c r="G435" s="18">
        <v>600255</v>
      </c>
      <c r="H435" s="39" t="s">
        <v>4812</v>
      </c>
      <c r="I435" s="18">
        <v>2</v>
      </c>
      <c r="J435" s="18">
        <v>2</v>
      </c>
      <c r="K435" s="18">
        <v>21</v>
      </c>
      <c r="L435" s="18">
        <v>6</v>
      </c>
      <c r="M435" s="18">
        <v>22</v>
      </c>
      <c r="N435" s="18">
        <v>300</v>
      </c>
      <c r="O435" s="18">
        <v>3</v>
      </c>
      <c r="P435" s="18">
        <v>0</v>
      </c>
      <c r="Q435" s="18">
        <v>0</v>
      </c>
      <c r="R435" s="18">
        <v>0</v>
      </c>
      <c r="S435" s="39" t="s">
        <v>4746</v>
      </c>
      <c r="T435" s="39" t="s">
        <v>4730</v>
      </c>
      <c r="U435" s="95" t="s">
        <v>4788</v>
      </c>
      <c r="V435" s="39">
        <v>101</v>
      </c>
      <c r="W435" s="18">
        <v>0</v>
      </c>
      <c r="X435" s="18"/>
      <c r="Y435" s="18">
        <v>0</v>
      </c>
      <c r="Z435" s="18">
        <v>0</v>
      </c>
      <c r="AA435" s="18">
        <v>0</v>
      </c>
      <c r="AB435" s="18"/>
      <c r="AC435" s="18">
        <v>1027</v>
      </c>
      <c r="AD435" s="18">
        <v>0</v>
      </c>
      <c r="AE435" s="39">
        <v>0</v>
      </c>
      <c r="AF435" s="18">
        <v>0</v>
      </c>
      <c r="AG435" s="18">
        <v>0</v>
      </c>
      <c r="AH435" s="18">
        <v>0</v>
      </c>
      <c r="AI435" s="18">
        <v>0</v>
      </c>
    </row>
    <row r="436" spans="1:35" x14ac:dyDescent="0.2">
      <c r="B436" s="128"/>
      <c r="C436" s="119" t="s">
        <v>4684</v>
      </c>
      <c r="D436" s="17" t="s">
        <v>4561</v>
      </c>
      <c r="E436" s="18">
        <v>30115</v>
      </c>
      <c r="F436" s="18">
        <v>600250</v>
      </c>
      <c r="G436" s="18">
        <v>600256</v>
      </c>
      <c r="H436" s="39" t="s">
        <v>4816</v>
      </c>
      <c r="I436" s="18">
        <v>2</v>
      </c>
      <c r="J436" s="18">
        <v>3</v>
      </c>
      <c r="K436" s="18">
        <v>22</v>
      </c>
      <c r="L436" s="18">
        <v>6</v>
      </c>
      <c r="M436" s="18">
        <v>22</v>
      </c>
      <c r="N436" s="18">
        <v>300</v>
      </c>
      <c r="O436" s="18">
        <v>3</v>
      </c>
      <c r="P436" s="18">
        <v>0</v>
      </c>
      <c r="Q436" s="18">
        <v>0</v>
      </c>
      <c r="R436" s="18">
        <v>0</v>
      </c>
      <c r="S436" s="39" t="s">
        <v>4759</v>
      </c>
      <c r="T436" s="39" t="s">
        <v>4717</v>
      </c>
      <c r="U436" s="95" t="s">
        <v>4789</v>
      </c>
      <c r="V436" s="39">
        <v>101</v>
      </c>
      <c r="W436" s="18">
        <v>0</v>
      </c>
      <c r="X436" s="18"/>
      <c r="Y436" s="18">
        <v>0</v>
      </c>
      <c r="Z436" s="18">
        <v>0</v>
      </c>
      <c r="AA436" s="18">
        <v>0</v>
      </c>
      <c r="AB436" s="18"/>
      <c r="AC436" s="18">
        <v>1022</v>
      </c>
      <c r="AD436" s="18">
        <v>0</v>
      </c>
      <c r="AE436" s="39">
        <v>0</v>
      </c>
      <c r="AF436" s="18">
        <v>0</v>
      </c>
      <c r="AG436" s="18">
        <v>0</v>
      </c>
      <c r="AH436" s="18">
        <v>0</v>
      </c>
      <c r="AI436" s="18">
        <v>0</v>
      </c>
    </row>
    <row r="437" spans="1:35" x14ac:dyDescent="0.2">
      <c r="B437" s="128"/>
      <c r="C437" s="119" t="s">
        <v>4685</v>
      </c>
      <c r="D437" s="17" t="s">
        <v>4562</v>
      </c>
      <c r="E437" s="18">
        <v>30116</v>
      </c>
      <c r="F437" s="18">
        <v>600251</v>
      </c>
      <c r="G437" s="18">
        <v>600257</v>
      </c>
      <c r="H437" s="39" t="s">
        <v>3863</v>
      </c>
      <c r="I437" s="18">
        <v>2</v>
      </c>
      <c r="J437" s="18">
        <v>2</v>
      </c>
      <c r="K437" s="18">
        <v>23</v>
      </c>
      <c r="L437" s="18">
        <v>6</v>
      </c>
      <c r="M437" s="18">
        <v>22</v>
      </c>
      <c r="N437" s="18">
        <v>300</v>
      </c>
      <c r="O437" s="18">
        <v>3</v>
      </c>
      <c r="P437" s="18">
        <v>0</v>
      </c>
      <c r="Q437" s="18">
        <v>0</v>
      </c>
      <c r="R437" s="18">
        <v>0</v>
      </c>
      <c r="S437" s="39" t="s">
        <v>4739</v>
      </c>
      <c r="T437" s="39" t="s">
        <v>4718</v>
      </c>
      <c r="U437" s="95" t="s">
        <v>4790</v>
      </c>
      <c r="V437" s="39">
        <v>101</v>
      </c>
      <c r="W437" s="18">
        <v>0</v>
      </c>
      <c r="X437" s="18"/>
      <c r="Y437" s="18">
        <v>0</v>
      </c>
      <c r="Z437" s="18">
        <v>0</v>
      </c>
      <c r="AA437" s="18">
        <v>0</v>
      </c>
      <c r="AB437" s="18"/>
      <c r="AC437" s="18">
        <v>1023</v>
      </c>
      <c r="AD437" s="18">
        <v>0</v>
      </c>
      <c r="AE437" s="39">
        <v>0</v>
      </c>
      <c r="AF437" s="18">
        <v>0</v>
      </c>
      <c r="AG437" s="18">
        <v>0</v>
      </c>
      <c r="AH437" s="18">
        <v>0</v>
      </c>
      <c r="AI437" s="18">
        <v>0</v>
      </c>
    </row>
    <row r="438" spans="1:35" x14ac:dyDescent="0.2">
      <c r="B438" s="128"/>
      <c r="C438" s="119" t="s">
        <v>4686</v>
      </c>
      <c r="D438" s="17" t="s">
        <v>2751</v>
      </c>
      <c r="E438" s="18">
        <v>30117</v>
      </c>
      <c r="F438" s="18">
        <v>600252</v>
      </c>
      <c r="G438" s="18">
        <v>600258</v>
      </c>
      <c r="H438" s="39" t="s">
        <v>4822</v>
      </c>
      <c r="I438" s="18">
        <v>2</v>
      </c>
      <c r="J438" s="18">
        <v>1</v>
      </c>
      <c r="K438" s="18">
        <v>25</v>
      </c>
      <c r="L438" s="18">
        <v>6</v>
      </c>
      <c r="M438" s="18">
        <v>22</v>
      </c>
      <c r="N438" s="18">
        <v>300</v>
      </c>
      <c r="O438" s="18">
        <v>3</v>
      </c>
      <c r="P438" s="18">
        <v>0</v>
      </c>
      <c r="Q438" s="18">
        <v>0</v>
      </c>
      <c r="R438" s="18">
        <v>0</v>
      </c>
      <c r="S438" s="39" t="s">
        <v>4760</v>
      </c>
      <c r="T438" s="39" t="s">
        <v>4719</v>
      </c>
      <c r="U438" s="95" t="s">
        <v>4791</v>
      </c>
      <c r="V438" s="39">
        <v>101</v>
      </c>
      <c r="W438" s="18">
        <v>0</v>
      </c>
      <c r="X438" s="18"/>
      <c r="Y438" s="18">
        <v>0</v>
      </c>
      <c r="Z438" s="18">
        <v>0</v>
      </c>
      <c r="AA438" s="18">
        <v>0</v>
      </c>
      <c r="AB438" s="18"/>
      <c r="AC438" s="18">
        <v>1024</v>
      </c>
      <c r="AD438" s="18">
        <v>0</v>
      </c>
      <c r="AE438" s="39">
        <v>0</v>
      </c>
      <c r="AF438" s="18">
        <v>0</v>
      </c>
      <c r="AG438" s="18">
        <v>0</v>
      </c>
      <c r="AH438" s="18">
        <v>0</v>
      </c>
      <c r="AI438" s="18">
        <v>0</v>
      </c>
    </row>
    <row r="439" spans="1:35" x14ac:dyDescent="0.2">
      <c r="B439" s="128"/>
      <c r="C439" s="119" t="s">
        <v>4687</v>
      </c>
      <c r="D439" s="17" t="s">
        <v>2752</v>
      </c>
      <c r="E439" s="18">
        <v>30118</v>
      </c>
      <c r="F439" s="18">
        <v>600253</v>
      </c>
      <c r="G439" s="18">
        <v>600259</v>
      </c>
      <c r="H439" s="39" t="s">
        <v>4413</v>
      </c>
      <c r="I439" s="18">
        <v>1</v>
      </c>
      <c r="J439" s="18">
        <v>1</v>
      </c>
      <c r="K439" s="18">
        <v>31</v>
      </c>
      <c r="L439" s="18">
        <v>6</v>
      </c>
      <c r="M439" s="18">
        <v>22</v>
      </c>
      <c r="N439" s="18">
        <v>300</v>
      </c>
      <c r="O439" s="18">
        <v>3</v>
      </c>
      <c r="P439" s="18">
        <v>0</v>
      </c>
      <c r="Q439" s="18">
        <v>0</v>
      </c>
      <c r="R439" s="18">
        <v>0</v>
      </c>
      <c r="S439" s="39" t="s">
        <v>85</v>
      </c>
      <c r="T439" s="39" t="s">
        <v>4720</v>
      </c>
      <c r="U439" s="95" t="s">
        <v>4792</v>
      </c>
      <c r="V439" s="39">
        <v>101</v>
      </c>
      <c r="W439" s="18">
        <v>0</v>
      </c>
      <c r="X439" s="18"/>
      <c r="Y439" s="18">
        <v>0</v>
      </c>
      <c r="Z439" s="18">
        <v>0</v>
      </c>
      <c r="AA439" s="18">
        <v>0</v>
      </c>
      <c r="AB439" s="18"/>
      <c r="AC439" s="18">
        <v>1026</v>
      </c>
      <c r="AD439" s="18">
        <v>0</v>
      </c>
      <c r="AE439" s="39">
        <v>0</v>
      </c>
      <c r="AF439" s="18">
        <v>0</v>
      </c>
      <c r="AG439" s="18">
        <v>0</v>
      </c>
      <c r="AH439" s="18">
        <v>0</v>
      </c>
      <c r="AI439" s="18">
        <v>0</v>
      </c>
    </row>
    <row r="440" spans="1:35" x14ac:dyDescent="0.2">
      <c r="B440" s="129"/>
      <c r="C440" s="119" t="s">
        <v>4688</v>
      </c>
      <c r="D440" s="17" t="s">
        <v>2753</v>
      </c>
      <c r="E440" s="18">
        <v>30119</v>
      </c>
      <c r="F440" s="18">
        <v>600254</v>
      </c>
      <c r="G440" s="18">
        <v>600260</v>
      </c>
      <c r="H440" s="39" t="s">
        <v>3924</v>
      </c>
      <c r="I440" s="18">
        <v>1</v>
      </c>
      <c r="J440" s="18">
        <v>1</v>
      </c>
      <c r="K440" s="18">
        <v>32</v>
      </c>
      <c r="L440" s="18">
        <v>6</v>
      </c>
      <c r="M440" s="18">
        <v>22</v>
      </c>
      <c r="N440" s="18">
        <v>300</v>
      </c>
      <c r="O440" s="18">
        <v>3</v>
      </c>
      <c r="P440" s="18">
        <v>0</v>
      </c>
      <c r="Q440" s="18">
        <v>0</v>
      </c>
      <c r="R440" s="18">
        <v>0</v>
      </c>
      <c r="S440" s="39" t="s">
        <v>85</v>
      </c>
      <c r="T440" s="39" t="s">
        <v>4731</v>
      </c>
      <c r="U440" s="95" t="s">
        <v>4793</v>
      </c>
      <c r="V440" s="39">
        <v>101</v>
      </c>
      <c r="W440" s="18">
        <v>0</v>
      </c>
      <c r="X440" s="18"/>
      <c r="Y440" s="18">
        <v>0</v>
      </c>
      <c r="Z440" s="18">
        <v>0</v>
      </c>
      <c r="AA440" s="18">
        <v>0</v>
      </c>
      <c r="AB440" s="18"/>
      <c r="AC440" s="18">
        <v>1027</v>
      </c>
      <c r="AD440" s="18">
        <v>0</v>
      </c>
      <c r="AE440" s="39">
        <v>0</v>
      </c>
      <c r="AF440" s="18">
        <v>0</v>
      </c>
      <c r="AG440" s="18">
        <v>0</v>
      </c>
      <c r="AH440" s="18">
        <v>0</v>
      </c>
      <c r="AI440" s="18">
        <v>0</v>
      </c>
    </row>
    <row r="441" spans="1:35" x14ac:dyDescent="0.2">
      <c r="A441" s="115" t="s">
        <v>4353</v>
      </c>
      <c r="C441" t="s">
        <v>4650</v>
      </c>
      <c r="D441" t="s">
        <v>2744</v>
      </c>
      <c r="E441" s="18">
        <v>40001</v>
      </c>
      <c r="F441" s="18">
        <v>620001</v>
      </c>
      <c r="G441" s="18">
        <v>630001</v>
      </c>
      <c r="H441" s="18">
        <v>10115</v>
      </c>
      <c r="I441" s="18">
        <v>1</v>
      </c>
      <c r="J441" s="18">
        <v>3</v>
      </c>
      <c r="K441" s="18">
        <v>1</v>
      </c>
      <c r="L441" s="18">
        <v>5</v>
      </c>
      <c r="M441" s="18">
        <v>0</v>
      </c>
      <c r="N441" s="18">
        <v>300</v>
      </c>
      <c r="O441" s="18">
        <v>3</v>
      </c>
      <c r="P441" s="18">
        <v>0</v>
      </c>
      <c r="Q441" s="18">
        <v>0</v>
      </c>
      <c r="R441" s="18">
        <v>0</v>
      </c>
      <c r="S441" s="39" t="s">
        <v>4435</v>
      </c>
      <c r="T441" s="39" t="s">
        <v>4355</v>
      </c>
      <c r="U441" s="95" t="s">
        <v>4510</v>
      </c>
      <c r="V441" s="39">
        <v>101</v>
      </c>
      <c r="W441" s="18">
        <v>10049</v>
      </c>
      <c r="X441" s="18"/>
      <c r="Y441" s="18">
        <v>1200</v>
      </c>
      <c r="Z441" s="18">
        <v>0</v>
      </c>
      <c r="AA441" s="18">
        <v>1090101</v>
      </c>
      <c r="AB441" s="18" t="s">
        <v>4643</v>
      </c>
      <c r="AC441" s="18">
        <v>1001</v>
      </c>
      <c r="AD441" s="18">
        <v>0</v>
      </c>
      <c r="AE441" s="39">
        <v>0</v>
      </c>
      <c r="AF441" s="18">
        <v>0</v>
      </c>
      <c r="AG441" s="18">
        <v>0</v>
      </c>
      <c r="AH441" s="18">
        <v>0</v>
      </c>
      <c r="AI441" s="18">
        <v>0</v>
      </c>
    </row>
    <row r="442" spans="1:35" x14ac:dyDescent="0.2">
      <c r="C442" t="s">
        <v>4651</v>
      </c>
      <c r="D442" t="s">
        <v>22</v>
      </c>
      <c r="E442" s="18">
        <v>40002</v>
      </c>
      <c r="F442" s="18">
        <v>620002</v>
      </c>
      <c r="G442" s="18">
        <v>630002</v>
      </c>
      <c r="H442" s="18">
        <v>10207</v>
      </c>
      <c r="I442" s="18">
        <v>2</v>
      </c>
      <c r="J442" s="18">
        <v>3</v>
      </c>
      <c r="K442" s="18">
        <v>2</v>
      </c>
      <c r="L442" s="18">
        <v>5</v>
      </c>
      <c r="M442" s="18">
        <v>0</v>
      </c>
      <c r="N442" s="18">
        <v>300</v>
      </c>
      <c r="O442" s="18">
        <v>3</v>
      </c>
      <c r="P442" s="18">
        <v>0</v>
      </c>
      <c r="Q442" s="18">
        <v>0</v>
      </c>
      <c r="R442" s="18">
        <v>0</v>
      </c>
      <c r="S442" s="39" t="s">
        <v>4463</v>
      </c>
      <c r="T442" s="39" t="s">
        <v>4357</v>
      </c>
      <c r="U442" s="95" t="s">
        <v>4436</v>
      </c>
      <c r="V442" s="39">
        <v>101</v>
      </c>
      <c r="W442" s="18">
        <v>10008</v>
      </c>
      <c r="X442" s="18"/>
      <c r="Y442" s="18">
        <v>1100</v>
      </c>
      <c r="Z442" s="18">
        <v>0</v>
      </c>
      <c r="AA442" s="18">
        <v>1090401</v>
      </c>
      <c r="AB442" s="18" t="s">
        <v>4644</v>
      </c>
      <c r="AC442" s="18">
        <v>1003</v>
      </c>
      <c r="AD442" s="18">
        <v>0</v>
      </c>
      <c r="AE442" s="39">
        <v>0</v>
      </c>
      <c r="AF442" s="18">
        <v>0</v>
      </c>
      <c r="AG442" s="18">
        <v>0</v>
      </c>
      <c r="AH442" s="18">
        <v>0</v>
      </c>
      <c r="AI442" s="18">
        <v>0</v>
      </c>
    </row>
    <row r="443" spans="1:35" x14ac:dyDescent="0.2">
      <c r="C443" t="s">
        <v>4358</v>
      </c>
      <c r="D443" t="s">
        <v>23</v>
      </c>
      <c r="E443" s="18">
        <v>40003</v>
      </c>
      <c r="F443" s="18">
        <v>620003</v>
      </c>
      <c r="G443" s="18">
        <v>630003</v>
      </c>
      <c r="H443" s="39" t="s">
        <v>4405</v>
      </c>
      <c r="I443" s="18">
        <v>1</v>
      </c>
      <c r="J443" s="18">
        <v>3</v>
      </c>
      <c r="K443" s="18">
        <v>3</v>
      </c>
      <c r="L443" s="18">
        <v>5</v>
      </c>
      <c r="M443" s="18">
        <v>0</v>
      </c>
      <c r="N443" s="18">
        <v>300</v>
      </c>
      <c r="O443" s="18">
        <v>3</v>
      </c>
      <c r="P443" s="18">
        <v>0</v>
      </c>
      <c r="Q443" s="18">
        <v>0</v>
      </c>
      <c r="R443" s="18">
        <v>0</v>
      </c>
      <c r="S443" s="39" t="s">
        <v>4437</v>
      </c>
      <c r="T443" s="39" t="s">
        <v>4359</v>
      </c>
      <c r="U443" s="95" t="s">
        <v>4360</v>
      </c>
      <c r="V443" s="39">
        <v>101</v>
      </c>
      <c r="W443" s="18">
        <v>10051</v>
      </c>
      <c r="X443" s="18"/>
      <c r="Y443" s="18">
        <v>1100</v>
      </c>
      <c r="Z443" s="18">
        <v>0</v>
      </c>
      <c r="AA443" s="18">
        <v>1092001</v>
      </c>
      <c r="AB443" s="18" t="s">
        <v>4644</v>
      </c>
      <c r="AC443" s="18">
        <v>1007</v>
      </c>
      <c r="AD443" s="18">
        <v>0</v>
      </c>
      <c r="AE443" s="39">
        <v>0</v>
      </c>
      <c r="AF443" s="18">
        <v>0</v>
      </c>
      <c r="AG443" s="18">
        <v>0</v>
      </c>
      <c r="AH443" s="18">
        <v>0</v>
      </c>
      <c r="AI443" s="18">
        <v>0</v>
      </c>
    </row>
    <row r="444" spans="1:35" x14ac:dyDescent="0.2">
      <c r="C444" t="s">
        <v>4361</v>
      </c>
      <c r="D444" t="s">
        <v>25</v>
      </c>
      <c r="E444" s="18">
        <v>40004</v>
      </c>
      <c r="F444" s="18">
        <v>620004</v>
      </c>
      <c r="G444" s="18">
        <v>630004</v>
      </c>
      <c r="H444" s="18">
        <v>10412</v>
      </c>
      <c r="I444" s="18">
        <v>1</v>
      </c>
      <c r="J444" s="18">
        <v>4</v>
      </c>
      <c r="K444" s="18">
        <v>5</v>
      </c>
      <c r="L444" s="18">
        <v>5</v>
      </c>
      <c r="M444" s="18">
        <v>0</v>
      </c>
      <c r="N444" s="18">
        <v>300</v>
      </c>
      <c r="O444" s="18">
        <v>3</v>
      </c>
      <c r="P444" s="18">
        <v>0</v>
      </c>
      <c r="Q444" s="18">
        <v>0</v>
      </c>
      <c r="R444" s="18">
        <v>0</v>
      </c>
      <c r="S444" s="39" t="s">
        <v>4461</v>
      </c>
      <c r="T444" s="39" t="s">
        <v>4362</v>
      </c>
      <c r="U444" s="95" t="s">
        <v>4438</v>
      </c>
      <c r="V444" s="39">
        <v>101</v>
      </c>
      <c r="W444" s="18">
        <v>10053</v>
      </c>
      <c r="X444" s="18"/>
      <c r="Y444" s="18">
        <v>1300</v>
      </c>
      <c r="Z444" s="18">
        <v>0</v>
      </c>
      <c r="AA444" s="18">
        <v>1090201</v>
      </c>
      <c r="AB444" s="18" t="s">
        <v>4645</v>
      </c>
      <c r="AC444" s="18">
        <v>1002</v>
      </c>
      <c r="AD444" s="18">
        <v>0</v>
      </c>
      <c r="AE444" s="39">
        <v>0</v>
      </c>
      <c r="AF444" s="18">
        <v>0</v>
      </c>
      <c r="AG444" s="18">
        <v>0</v>
      </c>
      <c r="AH444" s="18">
        <v>0</v>
      </c>
      <c r="AI444" s="18">
        <v>0</v>
      </c>
    </row>
    <row r="445" spans="1:35" x14ac:dyDescent="0.2">
      <c r="C445" t="s">
        <v>4363</v>
      </c>
      <c r="D445" t="s">
        <v>26</v>
      </c>
      <c r="E445" s="18">
        <v>40005</v>
      </c>
      <c r="F445" s="18">
        <v>620005</v>
      </c>
      <c r="G445" s="18">
        <v>630005</v>
      </c>
      <c r="H445" s="18">
        <v>10510</v>
      </c>
      <c r="I445" s="18">
        <v>2</v>
      </c>
      <c r="J445" s="18">
        <v>3</v>
      </c>
      <c r="K445" s="18">
        <v>6</v>
      </c>
      <c r="L445" s="18">
        <v>5</v>
      </c>
      <c r="M445" s="18">
        <v>0</v>
      </c>
      <c r="N445" s="18">
        <v>300</v>
      </c>
      <c r="O445" s="18">
        <v>3</v>
      </c>
      <c r="P445" s="18">
        <v>0</v>
      </c>
      <c r="Q445" s="18">
        <v>0</v>
      </c>
      <c r="R445" s="18">
        <v>0</v>
      </c>
      <c r="S445" s="39" t="s">
        <v>4135</v>
      </c>
      <c r="T445" s="39" t="s">
        <v>4364</v>
      </c>
      <c r="U445" s="95" t="s">
        <v>4441</v>
      </c>
      <c r="V445" s="39">
        <v>101</v>
      </c>
      <c r="W445" s="18">
        <v>10055</v>
      </c>
      <c r="X445" s="18"/>
      <c r="Y445" s="18">
        <v>1400</v>
      </c>
      <c r="Z445" s="18">
        <v>0</v>
      </c>
      <c r="AA445" s="18">
        <v>1091021</v>
      </c>
      <c r="AB445" s="18" t="s">
        <v>4645</v>
      </c>
      <c r="AC445" s="18">
        <v>1004</v>
      </c>
      <c r="AD445" s="18">
        <v>0</v>
      </c>
      <c r="AE445" s="39">
        <v>0</v>
      </c>
      <c r="AF445" s="18">
        <v>0</v>
      </c>
      <c r="AG445" s="18">
        <v>0</v>
      </c>
      <c r="AH445" s="18">
        <v>0</v>
      </c>
      <c r="AI445" s="18">
        <v>0</v>
      </c>
    </row>
    <row r="446" spans="1:35" x14ac:dyDescent="0.2">
      <c r="C446" t="s">
        <v>4365</v>
      </c>
      <c r="D446" t="s">
        <v>27</v>
      </c>
      <c r="E446" s="18">
        <v>40006</v>
      </c>
      <c r="F446" s="18">
        <v>620006</v>
      </c>
      <c r="G446" s="18">
        <v>630006</v>
      </c>
      <c r="H446" s="18">
        <v>10602</v>
      </c>
      <c r="I446" s="18">
        <v>2</v>
      </c>
      <c r="J446" s="18">
        <v>4</v>
      </c>
      <c r="K446" s="18">
        <v>7</v>
      </c>
      <c r="L446" s="18">
        <v>5</v>
      </c>
      <c r="M446" s="18">
        <v>0</v>
      </c>
      <c r="N446" s="18">
        <v>300</v>
      </c>
      <c r="O446" s="18">
        <v>3</v>
      </c>
      <c r="P446" s="18">
        <v>0</v>
      </c>
      <c r="Q446" s="18">
        <v>0</v>
      </c>
      <c r="R446" s="18">
        <v>0</v>
      </c>
      <c r="S446" s="39" t="s">
        <v>4462</v>
      </c>
      <c r="T446" s="39" t="s">
        <v>4366</v>
      </c>
      <c r="U446" s="95" t="s">
        <v>4442</v>
      </c>
      <c r="V446" s="39">
        <v>101</v>
      </c>
      <c r="W446" s="18">
        <v>10057</v>
      </c>
      <c r="X446" s="18"/>
      <c r="Y446" s="18">
        <v>1500</v>
      </c>
      <c r="Z446" s="18">
        <v>0</v>
      </c>
      <c r="AA446" s="18">
        <v>1092101</v>
      </c>
      <c r="AB446" s="18" t="s">
        <v>4645</v>
      </c>
      <c r="AC446" s="18">
        <v>1021</v>
      </c>
      <c r="AD446" s="18">
        <v>0</v>
      </c>
      <c r="AE446" s="39">
        <v>0</v>
      </c>
      <c r="AF446" s="18">
        <v>0</v>
      </c>
      <c r="AG446" s="18">
        <v>0</v>
      </c>
      <c r="AH446" s="18">
        <v>0</v>
      </c>
      <c r="AI446" s="18">
        <v>0</v>
      </c>
    </row>
    <row r="447" spans="1:35" x14ac:dyDescent="0.2">
      <c r="C447" t="s">
        <v>4367</v>
      </c>
      <c r="D447" t="s">
        <v>4368</v>
      </c>
      <c r="E447" s="18">
        <v>40007</v>
      </c>
      <c r="F447" s="18">
        <v>620007</v>
      </c>
      <c r="G447" s="18">
        <v>630007</v>
      </c>
      <c r="H447" s="39" t="s">
        <v>4115</v>
      </c>
      <c r="I447" s="18">
        <v>1</v>
      </c>
      <c r="J447" s="18">
        <v>4</v>
      </c>
      <c r="K447" s="18">
        <v>8</v>
      </c>
      <c r="L447" s="18">
        <v>5</v>
      </c>
      <c r="M447" s="18">
        <v>0</v>
      </c>
      <c r="N447" s="18">
        <v>300</v>
      </c>
      <c r="O447" s="18">
        <v>3</v>
      </c>
      <c r="P447" s="18">
        <v>0</v>
      </c>
      <c r="Q447" s="18">
        <v>0</v>
      </c>
      <c r="R447" s="18">
        <v>0</v>
      </c>
      <c r="S447" s="39" t="s">
        <v>4458</v>
      </c>
      <c r="T447" s="39" t="s">
        <v>4369</v>
      </c>
      <c r="U447" s="95" t="s">
        <v>4443</v>
      </c>
      <c r="V447" s="39">
        <v>101</v>
      </c>
      <c r="W447" s="18">
        <v>10003</v>
      </c>
      <c r="X447" s="18"/>
      <c r="Y447" s="18">
        <v>1200</v>
      </c>
      <c r="Z447" s="18">
        <v>0</v>
      </c>
      <c r="AA447" s="18">
        <v>1091302</v>
      </c>
      <c r="AB447" s="18" t="s">
        <v>4646</v>
      </c>
      <c r="AC447" s="18">
        <v>1013</v>
      </c>
      <c r="AD447" s="18">
        <v>0</v>
      </c>
      <c r="AE447" s="39">
        <v>0</v>
      </c>
      <c r="AF447" s="18">
        <v>0</v>
      </c>
      <c r="AG447" s="18">
        <v>0</v>
      </c>
      <c r="AH447" s="18">
        <v>0</v>
      </c>
      <c r="AI447" s="18">
        <v>0</v>
      </c>
    </row>
    <row r="448" spans="1:35" x14ac:dyDescent="0.2">
      <c r="C448" t="s">
        <v>4370</v>
      </c>
      <c r="D448" t="s">
        <v>4371</v>
      </c>
      <c r="E448" s="18">
        <v>40008</v>
      </c>
      <c r="F448" s="18">
        <v>620008</v>
      </c>
      <c r="G448" s="18">
        <v>630008</v>
      </c>
      <c r="H448" s="39" t="s">
        <v>3621</v>
      </c>
      <c r="I448" s="18">
        <v>1</v>
      </c>
      <c r="J448" s="18">
        <v>4</v>
      </c>
      <c r="K448" s="18">
        <v>8</v>
      </c>
      <c r="L448" s="18">
        <v>5</v>
      </c>
      <c r="M448" s="18">
        <v>0</v>
      </c>
      <c r="N448" s="18">
        <v>300</v>
      </c>
      <c r="O448" s="18">
        <v>3</v>
      </c>
      <c r="P448" s="18">
        <v>0</v>
      </c>
      <c r="Q448" s="18">
        <v>0</v>
      </c>
      <c r="R448" s="18">
        <v>0</v>
      </c>
      <c r="S448" s="39" t="s">
        <v>4456</v>
      </c>
      <c r="T448" s="39" t="s">
        <v>4372</v>
      </c>
      <c r="U448" s="95" t="s">
        <v>4373</v>
      </c>
      <c r="V448" s="39">
        <v>101</v>
      </c>
      <c r="W448" s="18">
        <v>10001</v>
      </c>
      <c r="X448" s="18"/>
      <c r="Y448" s="18">
        <v>1000</v>
      </c>
      <c r="Z448" s="18">
        <v>0</v>
      </c>
      <c r="AA448" s="18">
        <v>1091302</v>
      </c>
      <c r="AB448" s="18" t="s">
        <v>4646</v>
      </c>
      <c r="AC448" s="18">
        <v>1013</v>
      </c>
      <c r="AD448" s="18">
        <v>0</v>
      </c>
      <c r="AE448" s="39">
        <v>0</v>
      </c>
      <c r="AF448" s="18">
        <v>0</v>
      </c>
      <c r="AG448" s="18">
        <v>0</v>
      </c>
      <c r="AH448" s="18">
        <v>0</v>
      </c>
      <c r="AI448" s="18">
        <v>0</v>
      </c>
    </row>
    <row r="449" spans="3:35" x14ac:dyDescent="0.2">
      <c r="C449" t="s">
        <v>4374</v>
      </c>
      <c r="D449" t="s">
        <v>4375</v>
      </c>
      <c r="E449" s="18">
        <v>40009</v>
      </c>
      <c r="F449" s="18">
        <v>620009</v>
      </c>
      <c r="G449" s="18">
        <v>630009</v>
      </c>
      <c r="H449" s="39" t="s">
        <v>4406</v>
      </c>
      <c r="I449" s="18">
        <v>1</v>
      </c>
      <c r="J449" s="18">
        <v>4</v>
      </c>
      <c r="K449" s="18">
        <v>8</v>
      </c>
      <c r="L449" s="18">
        <v>5</v>
      </c>
      <c r="M449" s="18">
        <v>0</v>
      </c>
      <c r="N449" s="18">
        <v>300</v>
      </c>
      <c r="O449" s="18">
        <v>3</v>
      </c>
      <c r="P449" s="18">
        <v>0</v>
      </c>
      <c r="Q449" s="18">
        <v>0</v>
      </c>
      <c r="R449" s="18">
        <v>0</v>
      </c>
      <c r="S449" s="39" t="s">
        <v>4459</v>
      </c>
      <c r="T449" s="39" t="s">
        <v>4376</v>
      </c>
      <c r="U449" s="95" t="s">
        <v>4444</v>
      </c>
      <c r="V449" s="39">
        <v>101</v>
      </c>
      <c r="W449" s="18">
        <v>10004</v>
      </c>
      <c r="X449" s="18"/>
      <c r="Y449" s="18">
        <v>1500</v>
      </c>
      <c r="Z449" s="18">
        <v>0</v>
      </c>
      <c r="AA449" s="18">
        <v>1091302</v>
      </c>
      <c r="AB449" s="18" t="s">
        <v>4646</v>
      </c>
      <c r="AC449" s="18">
        <v>1013</v>
      </c>
      <c r="AD449" s="18">
        <v>0</v>
      </c>
      <c r="AE449" s="39">
        <v>0</v>
      </c>
      <c r="AF449" s="18">
        <v>0</v>
      </c>
      <c r="AG449" s="18">
        <v>0</v>
      </c>
      <c r="AH449" s="18">
        <v>0</v>
      </c>
      <c r="AI449" s="18">
        <v>0</v>
      </c>
    </row>
    <row r="450" spans="3:35" x14ac:dyDescent="0.2">
      <c r="C450" t="s">
        <v>4377</v>
      </c>
      <c r="D450" t="s">
        <v>4378</v>
      </c>
      <c r="E450" s="18">
        <v>40010</v>
      </c>
      <c r="F450" s="18">
        <v>620010</v>
      </c>
      <c r="G450" s="18">
        <v>630010</v>
      </c>
      <c r="H450" s="39" t="s">
        <v>3622</v>
      </c>
      <c r="I450" s="18">
        <v>1</v>
      </c>
      <c r="J450" s="18">
        <v>4</v>
      </c>
      <c r="K450" s="18">
        <v>8</v>
      </c>
      <c r="L450" s="18">
        <v>5</v>
      </c>
      <c r="M450" s="18">
        <v>0</v>
      </c>
      <c r="N450" s="18">
        <v>300</v>
      </c>
      <c r="O450" s="18">
        <v>3</v>
      </c>
      <c r="P450" s="18">
        <v>0</v>
      </c>
      <c r="Q450" s="18">
        <v>0</v>
      </c>
      <c r="R450" s="18">
        <v>0</v>
      </c>
      <c r="S450" s="39" t="s">
        <v>4457</v>
      </c>
      <c r="T450" s="39" t="s">
        <v>4379</v>
      </c>
      <c r="U450" s="95" t="s">
        <v>4445</v>
      </c>
      <c r="V450" s="39">
        <v>101</v>
      </c>
      <c r="W450" s="18">
        <v>10006</v>
      </c>
      <c r="X450" s="18"/>
      <c r="Y450" s="18">
        <v>1200</v>
      </c>
      <c r="Z450" s="18">
        <v>0</v>
      </c>
      <c r="AA450" s="18">
        <v>1091302</v>
      </c>
      <c r="AB450" s="18" t="s">
        <v>4646</v>
      </c>
      <c r="AC450" s="18">
        <v>1013</v>
      </c>
      <c r="AD450" s="18">
        <v>0</v>
      </c>
      <c r="AE450" s="39">
        <v>0</v>
      </c>
      <c r="AF450" s="18">
        <v>0</v>
      </c>
      <c r="AG450" s="18">
        <v>0</v>
      </c>
      <c r="AH450" s="18">
        <v>0</v>
      </c>
      <c r="AI450" s="18">
        <v>0</v>
      </c>
    </row>
    <row r="451" spans="3:35" x14ac:dyDescent="0.2">
      <c r="C451" t="s">
        <v>4380</v>
      </c>
      <c r="D451" t="s">
        <v>4381</v>
      </c>
      <c r="E451" s="18">
        <v>40011</v>
      </c>
      <c r="F451" s="18">
        <v>620011</v>
      </c>
      <c r="G451" s="18">
        <v>630011</v>
      </c>
      <c r="H451" s="39" t="s">
        <v>4407</v>
      </c>
      <c r="I451" s="18">
        <v>1</v>
      </c>
      <c r="J451" s="18">
        <v>4</v>
      </c>
      <c r="K451" s="18">
        <v>8</v>
      </c>
      <c r="L451" s="18">
        <v>5</v>
      </c>
      <c r="M451" s="18">
        <v>0</v>
      </c>
      <c r="N451" s="18">
        <v>300</v>
      </c>
      <c r="O451" s="18">
        <v>3</v>
      </c>
      <c r="P451" s="18">
        <v>0</v>
      </c>
      <c r="Q451" s="18">
        <v>0</v>
      </c>
      <c r="R451" s="18">
        <v>0</v>
      </c>
      <c r="S451" s="39" t="s">
        <v>4457</v>
      </c>
      <c r="T451" s="39" t="s">
        <v>4382</v>
      </c>
      <c r="U451" s="95" t="s">
        <v>4383</v>
      </c>
      <c r="V451" s="39">
        <v>101</v>
      </c>
      <c r="W451" s="18">
        <v>10007</v>
      </c>
      <c r="X451" s="18"/>
      <c r="Y451" s="18">
        <v>1500</v>
      </c>
      <c r="Z451" s="18">
        <v>0</v>
      </c>
      <c r="AA451" s="18">
        <v>1091302</v>
      </c>
      <c r="AB451" s="18" t="s">
        <v>4646</v>
      </c>
      <c r="AC451" s="18">
        <v>1013</v>
      </c>
      <c r="AD451" s="18">
        <v>0</v>
      </c>
      <c r="AE451" s="39">
        <v>0</v>
      </c>
      <c r="AF451" s="18">
        <v>0</v>
      </c>
      <c r="AG451" s="18">
        <v>0</v>
      </c>
      <c r="AH451" s="18">
        <v>0</v>
      </c>
      <c r="AI451" s="18">
        <v>0</v>
      </c>
    </row>
    <row r="452" spans="3:35" x14ac:dyDescent="0.2">
      <c r="C452" t="s">
        <v>4384</v>
      </c>
      <c r="D452" t="s">
        <v>29</v>
      </c>
      <c r="E452" s="18">
        <v>40012</v>
      </c>
      <c r="F452" s="18">
        <v>620012</v>
      </c>
      <c r="G452" s="18">
        <v>630012</v>
      </c>
      <c r="H452" s="39" t="s">
        <v>4408</v>
      </c>
      <c r="I452" s="18">
        <v>2</v>
      </c>
      <c r="J452" s="18">
        <v>3</v>
      </c>
      <c r="K452" s="18">
        <v>9</v>
      </c>
      <c r="L452" s="18">
        <v>5</v>
      </c>
      <c r="M452" s="18">
        <v>0</v>
      </c>
      <c r="N452" s="18">
        <v>300</v>
      </c>
      <c r="O452" s="18">
        <v>3</v>
      </c>
      <c r="P452" s="18">
        <v>0</v>
      </c>
      <c r="Q452" s="18">
        <v>0</v>
      </c>
      <c r="R452" s="18">
        <v>0</v>
      </c>
      <c r="S452" s="39" t="s">
        <v>4460</v>
      </c>
      <c r="T452" s="39" t="s">
        <v>4385</v>
      </c>
      <c r="U452" s="95" t="s">
        <v>4446</v>
      </c>
      <c r="V452" s="39">
        <v>101</v>
      </c>
      <c r="W452" s="18">
        <v>10026</v>
      </c>
      <c r="X452" s="18"/>
      <c r="Y452" s="18">
        <v>1400</v>
      </c>
      <c r="Z452" s="18">
        <v>0</v>
      </c>
      <c r="AA452" s="18">
        <v>1091701</v>
      </c>
      <c r="AB452" s="18" t="s">
        <v>4647</v>
      </c>
      <c r="AC452" s="18">
        <v>1017</v>
      </c>
      <c r="AD452" s="18">
        <v>0</v>
      </c>
      <c r="AE452" s="39">
        <v>0</v>
      </c>
      <c r="AF452" s="18">
        <v>0</v>
      </c>
      <c r="AG452" s="18">
        <v>0</v>
      </c>
      <c r="AH452" s="18">
        <v>0</v>
      </c>
      <c r="AI452" s="18">
        <v>0</v>
      </c>
    </row>
    <row r="453" spans="3:35" x14ac:dyDescent="0.2">
      <c r="C453" t="s">
        <v>4386</v>
      </c>
      <c r="D453" t="s">
        <v>29</v>
      </c>
      <c r="E453" s="18">
        <v>40013</v>
      </c>
      <c r="F453" s="18">
        <v>620013</v>
      </c>
      <c r="G453" s="18">
        <v>630013</v>
      </c>
      <c r="H453" s="39" t="s">
        <v>4409</v>
      </c>
      <c r="I453" s="18">
        <v>2</v>
      </c>
      <c r="J453" s="18">
        <v>3</v>
      </c>
      <c r="K453" s="18">
        <v>9</v>
      </c>
      <c r="L453" s="18">
        <v>5</v>
      </c>
      <c r="M453" s="18">
        <v>0</v>
      </c>
      <c r="N453" s="18">
        <v>300</v>
      </c>
      <c r="O453" s="18">
        <v>3</v>
      </c>
      <c r="P453" s="18">
        <v>0</v>
      </c>
      <c r="Q453" s="18">
        <v>0</v>
      </c>
      <c r="R453" s="18">
        <v>0</v>
      </c>
      <c r="S453" s="39" t="s">
        <v>4460</v>
      </c>
      <c r="T453" s="39" t="s">
        <v>4387</v>
      </c>
      <c r="U453" s="95" t="s">
        <v>4447</v>
      </c>
      <c r="V453" s="39">
        <v>101</v>
      </c>
      <c r="W453" s="18">
        <v>10026</v>
      </c>
      <c r="X453" s="18"/>
      <c r="Y453" s="18">
        <v>1400</v>
      </c>
      <c r="Z453" s="18">
        <v>0</v>
      </c>
      <c r="AA453" s="18">
        <v>1091701</v>
      </c>
      <c r="AB453" s="18" t="s">
        <v>4647</v>
      </c>
      <c r="AC453" s="18">
        <v>1017</v>
      </c>
      <c r="AD453" s="18">
        <v>0</v>
      </c>
      <c r="AE453" s="39">
        <v>0</v>
      </c>
      <c r="AF453" s="18">
        <v>0</v>
      </c>
      <c r="AG453" s="18">
        <v>0</v>
      </c>
      <c r="AH453" s="18">
        <v>0</v>
      </c>
      <c r="AI453" s="18">
        <v>0</v>
      </c>
    </row>
    <row r="454" spans="3:35" x14ac:dyDescent="0.2">
      <c r="C454" t="s">
        <v>4388</v>
      </c>
      <c r="D454" t="s">
        <v>2748</v>
      </c>
      <c r="E454" s="18">
        <v>40014</v>
      </c>
      <c r="F454" s="18">
        <v>620014</v>
      </c>
      <c r="G454" s="18">
        <v>630014</v>
      </c>
      <c r="H454" s="39" t="s">
        <v>4411</v>
      </c>
      <c r="I454" s="18">
        <v>2</v>
      </c>
      <c r="J454" s="18">
        <v>3</v>
      </c>
      <c r="K454" s="18">
        <v>22</v>
      </c>
      <c r="L454" s="18">
        <v>5</v>
      </c>
      <c r="M454" s="18">
        <v>0</v>
      </c>
      <c r="N454" s="18">
        <v>300</v>
      </c>
      <c r="O454" s="18">
        <v>3</v>
      </c>
      <c r="P454" s="18">
        <v>0</v>
      </c>
      <c r="Q454" s="18">
        <v>0</v>
      </c>
      <c r="R454" s="18">
        <v>0</v>
      </c>
      <c r="S454" s="39" t="s">
        <v>2837</v>
      </c>
      <c r="T454" s="39" t="s">
        <v>4389</v>
      </c>
      <c r="U454" s="95" t="s">
        <v>4448</v>
      </c>
      <c r="V454" s="39">
        <v>101</v>
      </c>
      <c r="W454" s="18">
        <v>0</v>
      </c>
      <c r="X454" s="18"/>
      <c r="Y454" s="18">
        <v>0</v>
      </c>
      <c r="Z454" s="18">
        <v>0</v>
      </c>
      <c r="AA454" s="18">
        <v>0</v>
      </c>
      <c r="AB454" s="18"/>
      <c r="AC454" s="18">
        <v>1022</v>
      </c>
      <c r="AD454" s="18">
        <v>0</v>
      </c>
      <c r="AE454" s="39">
        <v>0</v>
      </c>
      <c r="AF454" s="18">
        <v>0</v>
      </c>
      <c r="AG454" s="18">
        <v>0</v>
      </c>
      <c r="AH454" s="18">
        <v>0</v>
      </c>
      <c r="AI454" s="18">
        <v>0</v>
      </c>
    </row>
    <row r="455" spans="3:35" x14ac:dyDescent="0.2">
      <c r="C455" t="s">
        <v>4390</v>
      </c>
      <c r="D455" t="s">
        <v>2753</v>
      </c>
      <c r="E455" s="18">
        <v>40015</v>
      </c>
      <c r="F455" s="18">
        <v>620015</v>
      </c>
      <c r="G455" s="18">
        <v>630015</v>
      </c>
      <c r="H455" s="39" t="s">
        <v>3922</v>
      </c>
      <c r="I455" s="18">
        <v>1</v>
      </c>
      <c r="J455" s="18">
        <v>1</v>
      </c>
      <c r="K455" s="18">
        <v>32</v>
      </c>
      <c r="L455" s="18">
        <v>5</v>
      </c>
      <c r="M455" s="18">
        <v>0</v>
      </c>
      <c r="N455" s="18">
        <v>300</v>
      </c>
      <c r="O455" s="18">
        <v>3</v>
      </c>
      <c r="P455" s="18">
        <v>0</v>
      </c>
      <c r="Q455" s="18">
        <v>0</v>
      </c>
      <c r="R455" s="18">
        <v>0</v>
      </c>
      <c r="S455" s="39" t="s">
        <v>85</v>
      </c>
      <c r="T455" s="39" t="s">
        <v>4391</v>
      </c>
      <c r="U455" s="95" t="s">
        <v>4449</v>
      </c>
      <c r="V455" s="39">
        <v>101</v>
      </c>
      <c r="W455" s="18">
        <v>0</v>
      </c>
      <c r="X455" s="18"/>
      <c r="Y455" s="18">
        <v>0</v>
      </c>
      <c r="Z455" s="18">
        <v>0</v>
      </c>
      <c r="AA455" s="18">
        <v>0</v>
      </c>
      <c r="AB455" s="18"/>
      <c r="AC455" s="18">
        <v>1027</v>
      </c>
      <c r="AD455" s="18">
        <v>0</v>
      </c>
      <c r="AE455" s="39">
        <v>0</v>
      </c>
      <c r="AF455" s="18">
        <v>0</v>
      </c>
      <c r="AG455" s="18">
        <v>0</v>
      </c>
      <c r="AH455" s="18">
        <v>0</v>
      </c>
      <c r="AI455" s="18">
        <v>0</v>
      </c>
    </row>
    <row r="456" spans="3:35" x14ac:dyDescent="0.2">
      <c r="C456" t="s">
        <v>4392</v>
      </c>
      <c r="D456" t="s">
        <v>2750</v>
      </c>
      <c r="E456" s="18">
        <v>40016</v>
      </c>
      <c r="F456" s="18">
        <v>620016</v>
      </c>
      <c r="G456" s="18">
        <v>630016</v>
      </c>
      <c r="H456" s="39" t="s">
        <v>3908</v>
      </c>
      <c r="I456" s="18">
        <v>2</v>
      </c>
      <c r="J456" s="18">
        <v>2</v>
      </c>
      <c r="K456" s="18">
        <v>24</v>
      </c>
      <c r="L456" s="18">
        <v>5</v>
      </c>
      <c r="M456" s="18">
        <v>0</v>
      </c>
      <c r="N456" s="18">
        <v>300</v>
      </c>
      <c r="O456" s="18">
        <v>3</v>
      </c>
      <c r="P456" s="18">
        <v>0</v>
      </c>
      <c r="Q456" s="18">
        <v>0</v>
      </c>
      <c r="R456" s="18">
        <v>0</v>
      </c>
      <c r="S456" s="39" t="s">
        <v>4454</v>
      </c>
      <c r="T456" s="39" t="s">
        <v>4393</v>
      </c>
      <c r="U456" s="95" t="s">
        <v>4450</v>
      </c>
      <c r="V456" s="39">
        <v>101</v>
      </c>
      <c r="W456" s="18">
        <v>0</v>
      </c>
      <c r="X456" s="18"/>
      <c r="Y456" s="18">
        <v>0</v>
      </c>
      <c r="Z456" s="18">
        <v>0</v>
      </c>
      <c r="AA456" s="18">
        <v>0</v>
      </c>
      <c r="AB456" s="18"/>
      <c r="AC456" s="18">
        <v>1025</v>
      </c>
      <c r="AD456" s="18">
        <v>0</v>
      </c>
      <c r="AE456" s="39">
        <v>0</v>
      </c>
      <c r="AF456" s="18">
        <v>0</v>
      </c>
      <c r="AG456" s="18">
        <v>0</v>
      </c>
      <c r="AH456" s="18">
        <v>0</v>
      </c>
      <c r="AI456" s="18">
        <v>0</v>
      </c>
    </row>
    <row r="457" spans="3:35" x14ac:dyDescent="0.2">
      <c r="C457" t="s">
        <v>4394</v>
      </c>
      <c r="D457" t="s">
        <v>2752</v>
      </c>
      <c r="E457" s="18">
        <v>40017</v>
      </c>
      <c r="F457" s="18">
        <v>620017</v>
      </c>
      <c r="G457" s="18">
        <v>630017</v>
      </c>
      <c r="H457" s="39" t="s">
        <v>4413</v>
      </c>
      <c r="I457" s="18">
        <v>1</v>
      </c>
      <c r="J457" s="18">
        <v>1</v>
      </c>
      <c r="K457" s="18">
        <v>31</v>
      </c>
      <c r="L457" s="18">
        <v>5</v>
      </c>
      <c r="M457" s="18">
        <v>0</v>
      </c>
      <c r="N457" s="18">
        <v>300</v>
      </c>
      <c r="O457" s="18">
        <v>3</v>
      </c>
      <c r="P457" s="18">
        <v>0</v>
      </c>
      <c r="Q457" s="18">
        <v>0</v>
      </c>
      <c r="R457" s="18">
        <v>0</v>
      </c>
      <c r="S457" s="39" t="s">
        <v>85</v>
      </c>
      <c r="T457" s="39" t="s">
        <v>4395</v>
      </c>
      <c r="U457" s="95" t="s">
        <v>4518</v>
      </c>
      <c r="V457" s="39">
        <v>101</v>
      </c>
      <c r="W457" s="18">
        <v>0</v>
      </c>
      <c r="X457" s="18"/>
      <c r="Y457" s="18">
        <v>0</v>
      </c>
      <c r="Z457" s="18">
        <v>0</v>
      </c>
      <c r="AA457" s="18">
        <v>0</v>
      </c>
      <c r="AB457" s="18"/>
      <c r="AC457" s="18">
        <v>1026</v>
      </c>
      <c r="AD457" s="18">
        <v>0</v>
      </c>
      <c r="AE457" s="39">
        <v>0</v>
      </c>
      <c r="AF457" s="18">
        <v>0</v>
      </c>
      <c r="AG457" s="18">
        <v>0</v>
      </c>
      <c r="AH457" s="18">
        <v>0</v>
      </c>
      <c r="AI457" s="18">
        <v>0</v>
      </c>
    </row>
    <row r="458" spans="3:35" x14ac:dyDescent="0.2">
      <c r="C458" t="s">
        <v>4396</v>
      </c>
      <c r="D458" t="s">
        <v>2749</v>
      </c>
      <c r="E458" s="18">
        <v>40018</v>
      </c>
      <c r="F458" s="18">
        <v>620018</v>
      </c>
      <c r="G458" s="18">
        <v>630018</v>
      </c>
      <c r="H458" s="39" t="s">
        <v>4412</v>
      </c>
      <c r="I458" s="18">
        <v>2</v>
      </c>
      <c r="J458" s="18">
        <v>2</v>
      </c>
      <c r="K458" s="18">
        <v>23</v>
      </c>
      <c r="L458" s="18">
        <v>5</v>
      </c>
      <c r="M458" s="18">
        <v>0</v>
      </c>
      <c r="N458" s="18">
        <v>300</v>
      </c>
      <c r="O458" s="18">
        <v>3</v>
      </c>
      <c r="P458" s="18">
        <v>0</v>
      </c>
      <c r="Q458" s="18">
        <v>0</v>
      </c>
      <c r="R458" s="18">
        <v>0</v>
      </c>
      <c r="S458" s="39" t="s">
        <v>4455</v>
      </c>
      <c r="T458" s="39" t="s">
        <v>4397</v>
      </c>
      <c r="U458" s="95" t="s">
        <v>4451</v>
      </c>
      <c r="V458" s="39">
        <v>101</v>
      </c>
      <c r="W458" s="18">
        <v>0</v>
      </c>
      <c r="X458" s="18"/>
      <c r="Y458" s="18">
        <v>0</v>
      </c>
      <c r="Z458" s="18">
        <v>0</v>
      </c>
      <c r="AA458" s="18">
        <v>0</v>
      </c>
      <c r="AB458" s="18"/>
      <c r="AC458" s="18">
        <v>1023</v>
      </c>
      <c r="AD458" s="18">
        <v>0</v>
      </c>
      <c r="AE458" s="39">
        <v>0</v>
      </c>
      <c r="AF458" s="18">
        <v>0</v>
      </c>
      <c r="AG458" s="18">
        <v>0</v>
      </c>
      <c r="AH458" s="18">
        <v>0</v>
      </c>
      <c r="AI458" s="18">
        <v>0</v>
      </c>
    </row>
    <row r="459" spans="3:35" x14ac:dyDescent="0.2">
      <c r="C459" t="s">
        <v>4398</v>
      </c>
      <c r="D459" t="s">
        <v>2747</v>
      </c>
      <c r="E459" s="18">
        <v>40019</v>
      </c>
      <c r="F459" s="18">
        <v>620019</v>
      </c>
      <c r="G459" s="18">
        <v>630019</v>
      </c>
      <c r="H459" s="39" t="s">
        <v>4410</v>
      </c>
      <c r="I459" s="18">
        <v>2</v>
      </c>
      <c r="J459" s="18">
        <v>2</v>
      </c>
      <c r="K459" s="18">
        <v>21</v>
      </c>
      <c r="L459" s="18">
        <v>5</v>
      </c>
      <c r="M459" s="18">
        <v>0</v>
      </c>
      <c r="N459" s="18">
        <v>300</v>
      </c>
      <c r="O459" s="18">
        <v>3</v>
      </c>
      <c r="P459" s="18">
        <v>0</v>
      </c>
      <c r="Q459" s="18">
        <v>0</v>
      </c>
      <c r="R459" s="18">
        <v>0</v>
      </c>
      <c r="S459" s="39" t="s">
        <v>4455</v>
      </c>
      <c r="T459" s="39" t="s">
        <v>4399</v>
      </c>
      <c r="U459" s="95" t="s">
        <v>4452</v>
      </c>
      <c r="V459" s="39">
        <v>101</v>
      </c>
      <c r="W459" s="18">
        <v>0</v>
      </c>
      <c r="X459" s="18"/>
      <c r="Y459" s="18">
        <v>0</v>
      </c>
      <c r="Z459" s="18">
        <v>0</v>
      </c>
      <c r="AA459" s="18">
        <v>0</v>
      </c>
      <c r="AB459" s="18"/>
      <c r="AC459" s="18">
        <v>1027</v>
      </c>
      <c r="AD459" s="18">
        <v>0</v>
      </c>
      <c r="AE459" s="39">
        <v>0</v>
      </c>
      <c r="AF459" s="18">
        <v>0</v>
      </c>
      <c r="AG459" s="18">
        <v>0</v>
      </c>
      <c r="AH459" s="18">
        <v>0</v>
      </c>
      <c r="AI459" s="18">
        <v>0</v>
      </c>
    </row>
    <row r="460" spans="3:35" x14ac:dyDescent="0.2">
      <c r="C460" t="s">
        <v>4400</v>
      </c>
      <c r="D460" t="s">
        <v>2751</v>
      </c>
      <c r="E460" s="18">
        <v>40020</v>
      </c>
      <c r="F460" s="18">
        <v>620020</v>
      </c>
      <c r="G460" s="18">
        <v>630020</v>
      </c>
      <c r="H460" s="39" t="s">
        <v>3919</v>
      </c>
      <c r="I460" s="18">
        <v>2</v>
      </c>
      <c r="J460" s="18">
        <v>1</v>
      </c>
      <c r="K460" s="18">
        <v>25</v>
      </c>
      <c r="L460" s="18">
        <v>5</v>
      </c>
      <c r="M460" s="18">
        <v>0</v>
      </c>
      <c r="N460" s="18">
        <v>300</v>
      </c>
      <c r="O460" s="18">
        <v>3</v>
      </c>
      <c r="P460" s="18">
        <v>0</v>
      </c>
      <c r="Q460" s="18">
        <v>0</v>
      </c>
      <c r="R460" s="18">
        <v>0</v>
      </c>
      <c r="S460" s="39" t="s">
        <v>4455</v>
      </c>
      <c r="T460" s="39" t="s">
        <v>4401</v>
      </c>
      <c r="U460" s="95" t="s">
        <v>4453</v>
      </c>
      <c r="V460" s="39">
        <v>101</v>
      </c>
      <c r="W460" s="18">
        <v>0</v>
      </c>
      <c r="X460" s="18"/>
      <c r="Y460" s="18">
        <v>0</v>
      </c>
      <c r="Z460" s="18">
        <v>0</v>
      </c>
      <c r="AA460" s="18">
        <v>0</v>
      </c>
      <c r="AB460" s="18"/>
      <c r="AC460" s="18">
        <v>1024</v>
      </c>
      <c r="AD460" s="18">
        <v>0</v>
      </c>
      <c r="AE460" s="39">
        <v>0</v>
      </c>
      <c r="AF460" s="18">
        <v>0</v>
      </c>
      <c r="AG460" s="18">
        <v>0</v>
      </c>
      <c r="AH460" s="18">
        <v>0</v>
      </c>
      <c r="AI460" s="18">
        <v>0</v>
      </c>
    </row>
    <row r="461" spans="3:35" x14ac:dyDescent="0.2">
      <c r="C461" t="s">
        <v>4402</v>
      </c>
      <c r="D461" t="s">
        <v>2753</v>
      </c>
      <c r="E461" s="18">
        <v>40021</v>
      </c>
      <c r="F461" s="18">
        <v>620021</v>
      </c>
      <c r="G461" s="18">
        <v>630021</v>
      </c>
      <c r="H461" s="39" t="s">
        <v>3924</v>
      </c>
      <c r="I461" s="18">
        <v>1</v>
      </c>
      <c r="J461" s="18">
        <v>1</v>
      </c>
      <c r="K461" s="18">
        <v>32</v>
      </c>
      <c r="L461" s="18">
        <v>5</v>
      </c>
      <c r="M461" s="18">
        <v>0</v>
      </c>
      <c r="N461" s="18">
        <v>300</v>
      </c>
      <c r="O461" s="18">
        <v>3</v>
      </c>
      <c r="P461" s="18">
        <v>0</v>
      </c>
      <c r="Q461" s="18">
        <v>0</v>
      </c>
      <c r="R461" s="18">
        <v>0</v>
      </c>
      <c r="S461" s="39" t="s">
        <v>85</v>
      </c>
      <c r="T461" s="39" t="s">
        <v>4403</v>
      </c>
      <c r="U461" s="95" t="s">
        <v>4404</v>
      </c>
      <c r="V461" s="39">
        <v>101</v>
      </c>
      <c r="W461" s="18">
        <v>0</v>
      </c>
      <c r="X461" s="18"/>
      <c r="Y461" s="18">
        <v>0</v>
      </c>
      <c r="Z461" s="18">
        <v>0</v>
      </c>
      <c r="AA461" s="18">
        <v>0</v>
      </c>
      <c r="AB461" s="18"/>
      <c r="AC461" s="18">
        <v>1027</v>
      </c>
      <c r="AD461" s="18">
        <v>0</v>
      </c>
      <c r="AE461" s="39">
        <v>0</v>
      </c>
      <c r="AF461" s="18">
        <v>0</v>
      </c>
      <c r="AG461" s="18">
        <v>0</v>
      </c>
      <c r="AH461" s="18">
        <v>0</v>
      </c>
      <c r="AI461" s="18">
        <v>0</v>
      </c>
    </row>
    <row r="462" spans="3:35" x14ac:dyDescent="0.2">
      <c r="C462" t="s">
        <v>4880</v>
      </c>
      <c r="D462" t="s">
        <v>27</v>
      </c>
      <c r="E462" s="18">
        <v>40022</v>
      </c>
      <c r="F462" s="18">
        <v>620022</v>
      </c>
      <c r="G462" s="18">
        <v>630022</v>
      </c>
      <c r="H462" s="18">
        <v>10605</v>
      </c>
      <c r="I462" s="18">
        <v>2</v>
      </c>
      <c r="J462" s="18">
        <v>4</v>
      </c>
      <c r="K462" s="18">
        <v>7</v>
      </c>
      <c r="L462" s="18">
        <v>5</v>
      </c>
      <c r="M462" s="18">
        <v>0</v>
      </c>
      <c r="N462" s="18">
        <v>300</v>
      </c>
      <c r="O462" s="18">
        <v>3</v>
      </c>
      <c r="P462" s="18">
        <v>0</v>
      </c>
      <c r="Q462" s="18">
        <v>0</v>
      </c>
      <c r="R462" s="18">
        <v>0</v>
      </c>
      <c r="S462" s="39" t="s">
        <v>4921</v>
      </c>
      <c r="T462" s="39" t="s">
        <v>4898</v>
      </c>
      <c r="U462" s="95" t="s">
        <v>4908</v>
      </c>
      <c r="V462" s="39">
        <v>101</v>
      </c>
      <c r="W462" s="18">
        <v>10057</v>
      </c>
      <c r="X462" s="18"/>
      <c r="Y462" s="18">
        <v>1500</v>
      </c>
      <c r="Z462" s="18">
        <v>0</v>
      </c>
      <c r="AA462" s="18">
        <v>1092101</v>
      </c>
      <c r="AB462" s="18" t="s">
        <v>4645</v>
      </c>
      <c r="AC462" s="18">
        <v>1021</v>
      </c>
      <c r="AD462" s="18">
        <v>0</v>
      </c>
      <c r="AE462" s="39">
        <v>0</v>
      </c>
      <c r="AF462" s="18">
        <v>0</v>
      </c>
      <c r="AG462" s="18">
        <v>0</v>
      </c>
      <c r="AH462" s="18">
        <v>0</v>
      </c>
      <c r="AI462" s="18">
        <v>0</v>
      </c>
    </row>
    <row r="463" spans="3:35" x14ac:dyDescent="0.2">
      <c r="C463" t="s">
        <v>4881</v>
      </c>
      <c r="D463" t="s">
        <v>2744</v>
      </c>
      <c r="E463" s="18">
        <v>40023</v>
      </c>
      <c r="F463" s="18">
        <v>620023</v>
      </c>
      <c r="G463" s="18">
        <v>630023</v>
      </c>
      <c r="H463" s="18">
        <v>10102</v>
      </c>
      <c r="I463" s="18">
        <v>1</v>
      </c>
      <c r="J463" s="18">
        <v>3</v>
      </c>
      <c r="K463" s="18">
        <v>1</v>
      </c>
      <c r="L463" s="18">
        <v>5</v>
      </c>
      <c r="M463" s="18">
        <v>0</v>
      </c>
      <c r="N463" s="18">
        <v>300</v>
      </c>
      <c r="O463" s="18">
        <v>3</v>
      </c>
      <c r="P463" s="18">
        <v>0</v>
      </c>
      <c r="Q463" s="18">
        <v>0</v>
      </c>
      <c r="R463" s="18">
        <v>0</v>
      </c>
      <c r="S463" s="39" t="s">
        <v>4893</v>
      </c>
      <c r="T463" s="39" t="s">
        <v>4899</v>
      </c>
      <c r="U463" s="95" t="s">
        <v>4909</v>
      </c>
      <c r="V463" s="39">
        <v>101</v>
      </c>
      <c r="W463" s="18">
        <v>10049</v>
      </c>
      <c r="X463" s="18"/>
      <c r="Y463" s="18">
        <v>1200</v>
      </c>
      <c r="Z463" s="18">
        <v>0</v>
      </c>
      <c r="AA463" s="18">
        <v>1090101</v>
      </c>
      <c r="AB463" s="18" t="s">
        <v>4643</v>
      </c>
      <c r="AC463" s="18">
        <v>1001</v>
      </c>
      <c r="AD463" s="18">
        <v>0</v>
      </c>
      <c r="AE463" s="39">
        <v>0</v>
      </c>
      <c r="AF463" s="18">
        <v>0</v>
      </c>
      <c r="AG463" s="18">
        <v>0</v>
      </c>
      <c r="AH463" s="18">
        <v>0</v>
      </c>
      <c r="AI463" s="18">
        <v>0</v>
      </c>
    </row>
    <row r="464" spans="3:35" x14ac:dyDescent="0.2">
      <c r="C464" t="s">
        <v>4882</v>
      </c>
      <c r="D464" t="s">
        <v>23</v>
      </c>
      <c r="E464" s="18">
        <v>40024</v>
      </c>
      <c r="F464" s="18">
        <v>620024</v>
      </c>
      <c r="G464" s="18">
        <v>630024</v>
      </c>
      <c r="H464" s="39" t="s">
        <v>4917</v>
      </c>
      <c r="I464" s="18">
        <v>1</v>
      </c>
      <c r="J464" s="18">
        <v>3</v>
      </c>
      <c r="K464" s="18">
        <v>3</v>
      </c>
      <c r="L464" s="18">
        <v>5</v>
      </c>
      <c r="M464" s="18">
        <v>0</v>
      </c>
      <c r="N464" s="18">
        <v>300</v>
      </c>
      <c r="O464" s="18">
        <v>3</v>
      </c>
      <c r="P464" s="18">
        <v>0</v>
      </c>
      <c r="Q464" s="18">
        <v>0</v>
      </c>
      <c r="R464" s="18">
        <v>0</v>
      </c>
      <c r="S464" s="39" t="s">
        <v>4897</v>
      </c>
      <c r="T464" s="39" t="s">
        <v>4900</v>
      </c>
      <c r="U464" s="95" t="s">
        <v>4922</v>
      </c>
      <c r="V464" s="39">
        <v>101</v>
      </c>
      <c r="W464" s="18">
        <v>10051</v>
      </c>
      <c r="X464" s="18"/>
      <c r="Y464" s="18">
        <v>1100</v>
      </c>
      <c r="Z464" s="18">
        <v>0</v>
      </c>
      <c r="AA464" s="18">
        <v>1092001</v>
      </c>
      <c r="AB464" s="18" t="s">
        <v>4644</v>
      </c>
      <c r="AC464" s="18">
        <v>1007</v>
      </c>
      <c r="AD464" s="18">
        <v>0</v>
      </c>
      <c r="AE464" s="39">
        <v>0</v>
      </c>
      <c r="AF464" s="18">
        <v>0</v>
      </c>
      <c r="AG464" s="18">
        <v>0</v>
      </c>
      <c r="AH464" s="18">
        <v>0</v>
      </c>
      <c r="AI464" s="18">
        <v>0</v>
      </c>
    </row>
    <row r="465" spans="1:35" x14ac:dyDescent="0.2">
      <c r="C465" t="s">
        <v>4883</v>
      </c>
      <c r="D465" t="s">
        <v>24</v>
      </c>
      <c r="E465" s="18">
        <v>40025</v>
      </c>
      <c r="F465" s="18">
        <v>620025</v>
      </c>
      <c r="G465" s="18">
        <v>630025</v>
      </c>
      <c r="H465" s="39" t="s">
        <v>4805</v>
      </c>
      <c r="I465" s="18">
        <v>1</v>
      </c>
      <c r="J465" s="18">
        <v>3</v>
      </c>
      <c r="K465" s="18">
        <v>4</v>
      </c>
      <c r="L465" s="18">
        <v>5</v>
      </c>
      <c r="M465" s="18">
        <v>0</v>
      </c>
      <c r="N465" s="18">
        <v>300</v>
      </c>
      <c r="O465" s="18">
        <v>3</v>
      </c>
      <c r="P465" s="18">
        <v>0</v>
      </c>
      <c r="Q465" s="18">
        <v>0</v>
      </c>
      <c r="R465" s="18">
        <v>0</v>
      </c>
      <c r="S465" s="39" t="s">
        <v>4894</v>
      </c>
      <c r="T465" s="39" t="s">
        <v>4901</v>
      </c>
      <c r="U465" s="95" t="s">
        <v>4910</v>
      </c>
      <c r="V465" s="39">
        <v>101</v>
      </c>
      <c r="W465" s="18">
        <v>10024</v>
      </c>
      <c r="X465" s="18"/>
      <c r="Y465" s="18">
        <v>800</v>
      </c>
      <c r="Z465" s="18">
        <v>0</v>
      </c>
      <c r="AA465" s="18">
        <v>1090501</v>
      </c>
      <c r="AB465" s="18" t="s">
        <v>4644</v>
      </c>
      <c r="AC465" s="18">
        <v>1001</v>
      </c>
      <c r="AD465" s="18">
        <v>0</v>
      </c>
      <c r="AE465" s="18">
        <v>0</v>
      </c>
      <c r="AF465" s="18">
        <v>0</v>
      </c>
      <c r="AG465" s="18">
        <v>0</v>
      </c>
      <c r="AH465" s="18">
        <v>0</v>
      </c>
      <c r="AI465" s="18">
        <v>0</v>
      </c>
    </row>
    <row r="466" spans="1:35" x14ac:dyDescent="0.2">
      <c r="C466" t="s">
        <v>4884</v>
      </c>
      <c r="D466" t="s">
        <v>24</v>
      </c>
      <c r="E466" s="18">
        <v>40026</v>
      </c>
      <c r="F466" s="18">
        <v>620026</v>
      </c>
      <c r="G466" s="18">
        <v>630026</v>
      </c>
      <c r="H466" s="39" t="s">
        <v>4918</v>
      </c>
      <c r="I466" s="18">
        <v>1</v>
      </c>
      <c r="J466" s="18">
        <v>3</v>
      </c>
      <c r="K466" s="18">
        <v>4</v>
      </c>
      <c r="L466" s="18">
        <v>5</v>
      </c>
      <c r="M466" s="18">
        <v>0</v>
      </c>
      <c r="N466" s="18">
        <v>300</v>
      </c>
      <c r="O466" s="18">
        <v>3</v>
      </c>
      <c r="P466" s="18">
        <v>0</v>
      </c>
      <c r="Q466" s="18">
        <v>0</v>
      </c>
      <c r="R466" s="18">
        <v>0</v>
      </c>
      <c r="S466" s="39" t="s">
        <v>4896</v>
      </c>
      <c r="T466" s="39" t="s">
        <v>4902</v>
      </c>
      <c r="U466" s="95" t="s">
        <v>4911</v>
      </c>
      <c r="V466" s="39">
        <v>101</v>
      </c>
      <c r="W466" s="18">
        <v>10024</v>
      </c>
      <c r="X466" s="18"/>
      <c r="Y466" s="18">
        <v>800</v>
      </c>
      <c r="Z466" s="18">
        <v>0</v>
      </c>
      <c r="AA466" s="18">
        <v>1090501</v>
      </c>
      <c r="AB466" s="18" t="s">
        <v>4644</v>
      </c>
      <c r="AC466" s="18">
        <v>1001</v>
      </c>
      <c r="AD466" s="18">
        <v>0</v>
      </c>
      <c r="AE466" s="18">
        <v>0</v>
      </c>
      <c r="AF466" s="18">
        <v>0</v>
      </c>
      <c r="AG466" s="18">
        <v>0</v>
      </c>
      <c r="AH466" s="18">
        <v>0</v>
      </c>
      <c r="AI466" s="18">
        <v>0</v>
      </c>
    </row>
    <row r="467" spans="1:35" x14ac:dyDescent="0.2">
      <c r="C467" t="s">
        <v>4885</v>
      </c>
      <c r="D467" t="s">
        <v>24</v>
      </c>
      <c r="E467" s="18">
        <v>40027</v>
      </c>
      <c r="F467" s="18">
        <v>620027</v>
      </c>
      <c r="G467" s="18">
        <v>630027</v>
      </c>
      <c r="H467" s="39" t="s">
        <v>4919</v>
      </c>
      <c r="I467" s="18">
        <v>1</v>
      </c>
      <c r="J467" s="18">
        <v>3</v>
      </c>
      <c r="K467" s="18">
        <v>4</v>
      </c>
      <c r="L467" s="18">
        <v>5</v>
      </c>
      <c r="M467" s="18">
        <v>0</v>
      </c>
      <c r="N467" s="18">
        <v>300</v>
      </c>
      <c r="O467" s="18">
        <v>3</v>
      </c>
      <c r="P467" s="18">
        <v>0</v>
      </c>
      <c r="Q467" s="18">
        <v>0</v>
      </c>
      <c r="R467" s="18">
        <v>0</v>
      </c>
      <c r="S467" s="39" t="s">
        <v>4895</v>
      </c>
      <c r="T467" s="39" t="s">
        <v>4903</v>
      </c>
      <c r="U467" s="95" t="s">
        <v>4912</v>
      </c>
      <c r="V467" s="39">
        <v>101</v>
      </c>
      <c r="W467" s="18">
        <v>10024</v>
      </c>
      <c r="X467" s="18"/>
      <c r="Y467" s="18">
        <v>800</v>
      </c>
      <c r="Z467" s="18">
        <v>0</v>
      </c>
      <c r="AA467" s="18">
        <v>1090501</v>
      </c>
      <c r="AB467" s="18" t="s">
        <v>4644</v>
      </c>
      <c r="AC467" s="18">
        <v>1001</v>
      </c>
      <c r="AD467" s="18">
        <v>0</v>
      </c>
      <c r="AE467" s="18">
        <v>0</v>
      </c>
      <c r="AF467" s="18">
        <v>0</v>
      </c>
      <c r="AG467" s="18">
        <v>0</v>
      </c>
      <c r="AH467" s="18">
        <v>0</v>
      </c>
      <c r="AI467" s="18">
        <v>0</v>
      </c>
    </row>
    <row r="468" spans="1:35" x14ac:dyDescent="0.2">
      <c r="C468" t="s">
        <v>4886</v>
      </c>
      <c r="D468" t="s">
        <v>4564</v>
      </c>
      <c r="E468" s="18">
        <v>40028</v>
      </c>
      <c r="F468" s="18">
        <v>620028</v>
      </c>
      <c r="G468" s="18">
        <v>630028</v>
      </c>
      <c r="H468" s="39" t="s">
        <v>4823</v>
      </c>
      <c r="I468" s="18">
        <v>1</v>
      </c>
      <c r="J468" s="18">
        <v>1</v>
      </c>
      <c r="K468" s="18">
        <v>31</v>
      </c>
      <c r="L468" s="18">
        <v>5</v>
      </c>
      <c r="M468" s="18">
        <v>0</v>
      </c>
      <c r="N468" s="18">
        <v>300</v>
      </c>
      <c r="O468" s="18">
        <v>3</v>
      </c>
      <c r="P468" s="18">
        <v>0</v>
      </c>
      <c r="Q468" s="18">
        <v>0</v>
      </c>
      <c r="R468" s="18">
        <v>0</v>
      </c>
      <c r="S468" s="39" t="s">
        <v>85</v>
      </c>
      <c r="T468" s="39" t="s">
        <v>4904</v>
      </c>
      <c r="U468" s="95" t="s">
        <v>4913</v>
      </c>
      <c r="V468" s="39">
        <v>101</v>
      </c>
      <c r="W468" s="18">
        <v>0</v>
      </c>
      <c r="X468" s="18"/>
      <c r="Y468" s="18">
        <v>0</v>
      </c>
      <c r="Z468" s="18">
        <v>0</v>
      </c>
      <c r="AA468" s="18">
        <v>0</v>
      </c>
      <c r="AB468" s="18"/>
      <c r="AC468" s="18">
        <v>1026</v>
      </c>
      <c r="AD468" s="18">
        <v>0</v>
      </c>
      <c r="AE468" s="39">
        <v>0</v>
      </c>
      <c r="AF468" s="18">
        <v>0</v>
      </c>
      <c r="AG468" s="18">
        <v>0</v>
      </c>
      <c r="AH468" s="18">
        <v>0</v>
      </c>
      <c r="AI468" s="18">
        <v>0</v>
      </c>
    </row>
    <row r="469" spans="1:35" x14ac:dyDescent="0.2">
      <c r="C469" t="s">
        <v>4887</v>
      </c>
      <c r="D469" t="s">
        <v>4564</v>
      </c>
      <c r="E469" s="18">
        <v>40029</v>
      </c>
      <c r="F469" s="18">
        <v>620029</v>
      </c>
      <c r="G469" s="18">
        <v>630029</v>
      </c>
      <c r="H469" s="39" t="s">
        <v>3920</v>
      </c>
      <c r="I469" s="18">
        <v>1</v>
      </c>
      <c r="J469" s="18">
        <v>1</v>
      </c>
      <c r="K469" s="18">
        <v>31</v>
      </c>
      <c r="L469" s="18">
        <v>5</v>
      </c>
      <c r="M469" s="18">
        <v>0</v>
      </c>
      <c r="N469" s="18">
        <v>300</v>
      </c>
      <c r="O469" s="18">
        <v>3</v>
      </c>
      <c r="P469" s="18">
        <v>0</v>
      </c>
      <c r="Q469" s="18">
        <v>0</v>
      </c>
      <c r="R469" s="18">
        <v>0</v>
      </c>
      <c r="S469" s="39" t="s">
        <v>85</v>
      </c>
      <c r="T469" s="39" t="s">
        <v>4905</v>
      </c>
      <c r="U469" s="95" t="s">
        <v>4914</v>
      </c>
      <c r="V469" s="39">
        <v>101</v>
      </c>
      <c r="W469" s="18">
        <v>0</v>
      </c>
      <c r="X469" s="18"/>
      <c r="Y469" s="18">
        <v>0</v>
      </c>
      <c r="Z469" s="18">
        <v>0</v>
      </c>
      <c r="AA469" s="18">
        <v>0</v>
      </c>
      <c r="AB469" s="18"/>
      <c r="AC469" s="18">
        <v>1026</v>
      </c>
      <c r="AD469" s="18">
        <v>0</v>
      </c>
      <c r="AE469" s="39">
        <v>0</v>
      </c>
      <c r="AF469" s="18">
        <v>0</v>
      </c>
      <c r="AG469" s="18">
        <v>0</v>
      </c>
      <c r="AH469" s="18">
        <v>0</v>
      </c>
      <c r="AI469" s="18">
        <v>0</v>
      </c>
    </row>
    <row r="470" spans="1:35" x14ac:dyDescent="0.2">
      <c r="C470" t="s">
        <v>4888</v>
      </c>
      <c r="D470" t="s">
        <v>4564</v>
      </c>
      <c r="E470" s="18">
        <v>40030</v>
      </c>
      <c r="F470" s="18">
        <v>620030</v>
      </c>
      <c r="G470" s="18">
        <v>630030</v>
      </c>
      <c r="H470" s="39" t="s">
        <v>4617</v>
      </c>
      <c r="I470" s="18">
        <v>1</v>
      </c>
      <c r="J470" s="18">
        <v>1</v>
      </c>
      <c r="K470" s="18">
        <v>31</v>
      </c>
      <c r="L470" s="18">
        <v>5</v>
      </c>
      <c r="M470" s="18">
        <v>0</v>
      </c>
      <c r="N470" s="18">
        <v>300</v>
      </c>
      <c r="O470" s="18">
        <v>3</v>
      </c>
      <c r="P470" s="18">
        <v>0</v>
      </c>
      <c r="Q470" s="18">
        <v>0</v>
      </c>
      <c r="R470" s="18">
        <v>0</v>
      </c>
      <c r="S470" s="39" t="s">
        <v>85</v>
      </c>
      <c r="T470" s="39" t="s">
        <v>4906</v>
      </c>
      <c r="U470" s="95" t="s">
        <v>4915</v>
      </c>
      <c r="V470" s="39">
        <v>101</v>
      </c>
      <c r="W470" s="18">
        <v>0</v>
      </c>
      <c r="X470" s="18"/>
      <c r="Y470" s="18">
        <v>0</v>
      </c>
      <c r="Z470" s="18">
        <v>0</v>
      </c>
      <c r="AA470" s="18">
        <v>0</v>
      </c>
      <c r="AB470" s="18"/>
      <c r="AC470" s="18">
        <v>1026</v>
      </c>
      <c r="AD470" s="18">
        <v>0</v>
      </c>
      <c r="AE470" s="39">
        <v>0</v>
      </c>
      <c r="AF470" s="18">
        <v>0</v>
      </c>
      <c r="AG470" s="18">
        <v>0</v>
      </c>
      <c r="AH470" s="18">
        <v>0</v>
      </c>
      <c r="AI470" s="18">
        <v>0</v>
      </c>
    </row>
    <row r="471" spans="1:35" x14ac:dyDescent="0.2">
      <c r="C471" t="s">
        <v>4889</v>
      </c>
      <c r="D471" t="s">
        <v>4564</v>
      </c>
      <c r="E471" s="18">
        <v>40031</v>
      </c>
      <c r="F471" s="18">
        <v>620031</v>
      </c>
      <c r="G471" s="18">
        <v>630031</v>
      </c>
      <c r="H471" s="39" t="s">
        <v>4920</v>
      </c>
      <c r="I471" s="18">
        <v>1</v>
      </c>
      <c r="J471" s="18">
        <v>1</v>
      </c>
      <c r="K471" s="18">
        <v>31</v>
      </c>
      <c r="L471" s="18">
        <v>5</v>
      </c>
      <c r="M471" s="18">
        <v>0</v>
      </c>
      <c r="N471" s="18">
        <v>300</v>
      </c>
      <c r="O471" s="18">
        <v>3</v>
      </c>
      <c r="P471" s="18">
        <v>0</v>
      </c>
      <c r="Q471" s="18">
        <v>0</v>
      </c>
      <c r="R471" s="18">
        <v>0</v>
      </c>
      <c r="S471" s="39" t="s">
        <v>85</v>
      </c>
      <c r="T471" s="39" t="s">
        <v>4907</v>
      </c>
      <c r="U471" s="95" t="s">
        <v>4916</v>
      </c>
      <c r="V471" s="39">
        <v>101</v>
      </c>
      <c r="W471" s="18">
        <v>0</v>
      </c>
      <c r="X471" s="18"/>
      <c r="Y471" s="18">
        <v>0</v>
      </c>
      <c r="Z471" s="18">
        <v>0</v>
      </c>
      <c r="AA471" s="18">
        <v>0</v>
      </c>
      <c r="AB471" s="18"/>
      <c r="AC471" s="18">
        <v>1026</v>
      </c>
      <c r="AD471" s="18">
        <v>0</v>
      </c>
      <c r="AE471" s="39">
        <v>0</v>
      </c>
      <c r="AF471" s="18">
        <v>0</v>
      </c>
      <c r="AG471" s="18">
        <v>0</v>
      </c>
      <c r="AH471" s="18">
        <v>0</v>
      </c>
      <c r="AI471" s="18">
        <v>0</v>
      </c>
    </row>
    <row r="472" spans="1:35" x14ac:dyDescent="0.2">
      <c r="A472" t="s">
        <v>4519</v>
      </c>
      <c r="C472" t="s">
        <v>4520</v>
      </c>
      <c r="D472" t="s">
        <v>25</v>
      </c>
      <c r="E472" s="18">
        <v>50001</v>
      </c>
      <c r="F472" s="18">
        <v>650001</v>
      </c>
      <c r="G472" s="18">
        <v>650002</v>
      </c>
      <c r="H472" s="18">
        <v>10410</v>
      </c>
      <c r="I472" s="18">
        <v>1</v>
      </c>
      <c r="J472" s="18">
        <v>4</v>
      </c>
      <c r="K472" s="18">
        <v>5</v>
      </c>
      <c r="L472" s="18">
        <v>5</v>
      </c>
      <c r="M472" s="18">
        <v>0</v>
      </c>
      <c r="N472" s="18">
        <v>300</v>
      </c>
      <c r="O472" s="18">
        <v>3</v>
      </c>
      <c r="P472" s="18">
        <v>0</v>
      </c>
      <c r="Q472" s="18">
        <v>0</v>
      </c>
      <c r="R472" s="18">
        <v>0</v>
      </c>
      <c r="S472" s="39" t="s">
        <v>4890</v>
      </c>
      <c r="T472" s="39" t="s">
        <v>4525</v>
      </c>
      <c r="U472" s="95" t="s">
        <v>4523</v>
      </c>
      <c r="V472" s="39">
        <v>101</v>
      </c>
      <c r="W472" s="18">
        <v>10053</v>
      </c>
      <c r="X472" s="18"/>
      <c r="Y472" s="18">
        <v>1300</v>
      </c>
      <c r="Z472" s="18">
        <v>0</v>
      </c>
      <c r="AA472" s="18">
        <v>1090201</v>
      </c>
      <c r="AB472" s="18" t="s">
        <v>4645</v>
      </c>
      <c r="AC472" s="18">
        <v>1002</v>
      </c>
      <c r="AD472" s="18">
        <v>0</v>
      </c>
      <c r="AE472" s="39">
        <v>0</v>
      </c>
      <c r="AF472" s="18">
        <v>0</v>
      </c>
      <c r="AG472" s="18">
        <v>0</v>
      </c>
      <c r="AH472" s="18">
        <v>0</v>
      </c>
      <c r="AI472" s="18">
        <v>0</v>
      </c>
    </row>
    <row r="473" spans="1:35" x14ac:dyDescent="0.2">
      <c r="C473" t="s">
        <v>4521</v>
      </c>
      <c r="D473" t="s">
        <v>4378</v>
      </c>
      <c r="E473" s="18">
        <v>50002</v>
      </c>
      <c r="F473" s="18">
        <v>650003</v>
      </c>
      <c r="G473" s="18">
        <v>650004</v>
      </c>
      <c r="H473" s="39" t="s">
        <v>3622</v>
      </c>
      <c r="I473" s="18">
        <v>1</v>
      </c>
      <c r="J473" s="18">
        <v>4</v>
      </c>
      <c r="K473" s="18">
        <v>8</v>
      </c>
      <c r="L473" s="18">
        <v>5</v>
      </c>
      <c r="M473" s="18">
        <v>0</v>
      </c>
      <c r="N473" s="18">
        <v>300</v>
      </c>
      <c r="O473" s="18">
        <v>3</v>
      </c>
      <c r="P473" s="18">
        <v>0</v>
      </c>
      <c r="Q473" s="18">
        <v>0</v>
      </c>
      <c r="R473" s="18">
        <v>0</v>
      </c>
      <c r="S473" s="39" t="s">
        <v>4891</v>
      </c>
      <c r="T473" s="39" t="s">
        <v>4526</v>
      </c>
      <c r="U473" s="95" t="s">
        <v>4524</v>
      </c>
      <c r="V473" s="39">
        <v>101</v>
      </c>
      <c r="W473" s="18">
        <v>10006</v>
      </c>
      <c r="X473" s="18"/>
      <c r="Y473" s="18">
        <v>1200</v>
      </c>
      <c r="Z473" s="18">
        <v>0</v>
      </c>
      <c r="AA473" s="18">
        <v>1091302</v>
      </c>
      <c r="AB473" s="18" t="s">
        <v>4646</v>
      </c>
      <c r="AC473" s="18">
        <v>1013</v>
      </c>
      <c r="AD473" s="18">
        <v>0</v>
      </c>
      <c r="AE473" s="39">
        <v>0</v>
      </c>
      <c r="AF473" s="18">
        <v>0</v>
      </c>
      <c r="AG473" s="18">
        <v>0</v>
      </c>
      <c r="AH473" s="18">
        <v>0</v>
      </c>
      <c r="AI473" s="18">
        <v>0</v>
      </c>
    </row>
    <row r="474" spans="1:35" x14ac:dyDescent="0.2">
      <c r="C474" t="s">
        <v>4522</v>
      </c>
      <c r="D474" t="s">
        <v>2744</v>
      </c>
      <c r="E474" s="18">
        <v>50003</v>
      </c>
      <c r="F474" s="18">
        <v>650005</v>
      </c>
      <c r="G474" s="18">
        <v>650006</v>
      </c>
      <c r="H474" s="18">
        <v>10105</v>
      </c>
      <c r="I474" s="18">
        <v>1</v>
      </c>
      <c r="J474" s="18">
        <v>3</v>
      </c>
      <c r="K474" s="18">
        <v>1</v>
      </c>
      <c r="L474" s="18">
        <v>5</v>
      </c>
      <c r="M474" s="18">
        <v>0</v>
      </c>
      <c r="N474" s="18">
        <v>300</v>
      </c>
      <c r="O474" s="18">
        <v>3</v>
      </c>
      <c r="P474" s="18">
        <v>0</v>
      </c>
      <c r="Q474" s="18">
        <v>0</v>
      </c>
      <c r="R474" s="18">
        <v>0</v>
      </c>
      <c r="S474" s="39" t="s">
        <v>4892</v>
      </c>
      <c r="T474" s="39" t="s">
        <v>4527</v>
      </c>
      <c r="U474" s="95" t="s">
        <v>4528</v>
      </c>
      <c r="V474" s="39">
        <v>101</v>
      </c>
      <c r="W474" s="18">
        <v>10049</v>
      </c>
      <c r="X474" s="18"/>
      <c r="Y474" s="18">
        <v>1200</v>
      </c>
      <c r="Z474" s="18">
        <v>0</v>
      </c>
      <c r="AA474" s="18">
        <v>1090101</v>
      </c>
      <c r="AB474" s="18" t="s">
        <v>4643</v>
      </c>
      <c r="AC474" s="18">
        <v>1001</v>
      </c>
      <c r="AD474" s="18">
        <v>0</v>
      </c>
      <c r="AE474" s="39">
        <v>0</v>
      </c>
      <c r="AF474" s="18">
        <v>0</v>
      </c>
      <c r="AG474" s="18">
        <v>0</v>
      </c>
      <c r="AH474" s="18">
        <v>0</v>
      </c>
      <c r="AI474" s="18">
        <v>0</v>
      </c>
    </row>
  </sheetData>
  <mergeCells count="31">
    <mergeCell ref="B429:B434"/>
    <mergeCell ref="B435:B440"/>
    <mergeCell ref="B405:B410"/>
    <mergeCell ref="B411:B416"/>
    <mergeCell ref="B417:B422"/>
    <mergeCell ref="B423:B428"/>
    <mergeCell ref="B29:B39"/>
    <mergeCell ref="B44:B48"/>
    <mergeCell ref="B49:B50"/>
    <mergeCell ref="B51:B61"/>
    <mergeCell ref="B66:B70"/>
    <mergeCell ref="B358:B363"/>
    <mergeCell ref="B364:B369"/>
    <mergeCell ref="B71:B72"/>
    <mergeCell ref="B73:B83"/>
    <mergeCell ref="B88:B92"/>
    <mergeCell ref="B93:B94"/>
    <mergeCell ref="B322:B327"/>
    <mergeCell ref="B328:B333"/>
    <mergeCell ref="B334:B339"/>
    <mergeCell ref="B340:B345"/>
    <mergeCell ref="B346:B351"/>
    <mergeCell ref="B352:B357"/>
    <mergeCell ref="B381:B386"/>
    <mergeCell ref="B387:B392"/>
    <mergeCell ref="B393:B398"/>
    <mergeCell ref="B399:B404"/>
    <mergeCell ref="B370:B371"/>
    <mergeCell ref="B372:B374"/>
    <mergeCell ref="B375:B377"/>
    <mergeCell ref="B378:B380"/>
  </mergeCells>
  <phoneticPr fontId="1" type="noConversion"/>
  <conditionalFormatting sqref="H146:H177 H179:H202 H204:H251 H322:H375 H253:H315">
    <cfRule type="duplicateValues" dxfId="76" priority="45"/>
  </conditionalFormatting>
  <conditionalFormatting sqref="H165:H177 H179:H202 H204:H251 H322:H376 H253:H315">
    <cfRule type="duplicateValues" dxfId="75" priority="50"/>
  </conditionalFormatting>
  <conditionalFormatting sqref="H252">
    <cfRule type="duplicateValues" dxfId="74" priority="25"/>
    <cfRule type="duplicateValues" dxfId="73" priority="26"/>
  </conditionalFormatting>
  <conditionalFormatting sqref="H316:H321">
    <cfRule type="duplicateValues" dxfId="72" priority="23"/>
    <cfRule type="duplicateValues" dxfId="71" priority="24"/>
  </conditionalFormatting>
  <conditionalFormatting sqref="H382">
    <cfRule type="duplicateValues" dxfId="70" priority="13"/>
    <cfRule type="duplicateValues" dxfId="69" priority="14"/>
  </conditionalFormatting>
  <conditionalFormatting sqref="H385">
    <cfRule type="duplicateValues" dxfId="68" priority="7"/>
    <cfRule type="duplicateValues" dxfId="67" priority="8"/>
  </conditionalFormatting>
  <conditionalFormatting sqref="H390">
    <cfRule type="duplicateValues" dxfId="66" priority="5"/>
    <cfRule type="duplicateValues" dxfId="65" priority="6"/>
  </conditionalFormatting>
  <conditionalFormatting sqref="H396">
    <cfRule type="duplicateValues" dxfId="64" priority="3"/>
    <cfRule type="duplicateValues" dxfId="63" priority="4"/>
  </conditionalFormatting>
  <conditionalFormatting sqref="H399">
    <cfRule type="duplicateValues" dxfId="62" priority="9"/>
    <cfRule type="duplicateValues" dxfId="61" priority="10"/>
  </conditionalFormatting>
  <conditionalFormatting sqref="H406">
    <cfRule type="duplicateValues" dxfId="60" priority="1"/>
    <cfRule type="duplicateValues" dxfId="59" priority="2"/>
  </conditionalFormatting>
  <conditionalFormatting sqref="H456">
    <cfRule type="duplicateValues" dxfId="58" priority="15"/>
    <cfRule type="duplicateValues" dxfId="57" priority="16"/>
  </conditionalFormatting>
  <conditionalFormatting sqref="H459">
    <cfRule type="duplicateValues" dxfId="56" priority="17"/>
    <cfRule type="duplicateValues" dxfId="55" priority="18"/>
  </conditionalFormatting>
  <conditionalFormatting sqref="X311:X315">
    <cfRule type="duplicateValues" dxfId="54" priority="29"/>
    <cfRule type="duplicateValues" dxfId="53" priority="30"/>
    <cfRule type="duplicateValues" dxfId="52" priority="31"/>
    <cfRule type="duplicateValues" dxfId="51" priority="32"/>
  </conditionalFormatting>
  <conditionalFormatting sqref="X317:X321">
    <cfRule type="duplicateValues" dxfId="50" priority="19"/>
    <cfRule type="duplicateValues" dxfId="49" priority="20"/>
    <cfRule type="duplicateValues" dxfId="48" priority="21"/>
    <cfRule type="duplicateValues" dxfId="47" priority="2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11B8E-006E-4D80-80AD-24F2AC6D67C5}">
  <sheetPr codeName="Sheet3"/>
  <dimension ref="A1:M26"/>
  <sheetViews>
    <sheetView workbookViewId="0">
      <selection activeCell="I22" sqref="I22"/>
    </sheetView>
  </sheetViews>
  <sheetFormatPr defaultRowHeight="14.25" x14ac:dyDescent="0.2"/>
  <cols>
    <col min="2" max="2" width="9.5" customWidth="1"/>
    <col min="3" max="3" width="8.375" bestFit="1" customWidth="1"/>
    <col min="4" max="4" width="11.5" bestFit="1" customWidth="1"/>
    <col min="5" max="5" width="14.625" bestFit="1" customWidth="1"/>
    <col min="6" max="6" width="15.75" customWidth="1"/>
    <col min="7" max="7" width="20.75" customWidth="1"/>
    <col min="8" max="8" width="27.25" bestFit="1" customWidth="1"/>
    <col min="9" max="9" width="16.125" customWidth="1"/>
    <col min="10" max="10" width="21.875" customWidth="1"/>
    <col min="11" max="11" width="20.375" customWidth="1"/>
    <col min="12" max="12" width="15.375" customWidth="1"/>
    <col min="13" max="13" width="17.625" customWidth="1"/>
  </cols>
  <sheetData>
    <row r="1" spans="1:13" x14ac:dyDescent="0.2">
      <c r="A1" t="s">
        <v>2853</v>
      </c>
    </row>
    <row r="2" spans="1:13" ht="71.25" x14ac:dyDescent="0.2">
      <c r="C2" s="40" t="s">
        <v>2845</v>
      </c>
      <c r="D2" s="40" t="s">
        <v>2847</v>
      </c>
      <c r="E2" s="40" t="s">
        <v>2848</v>
      </c>
      <c r="F2" s="40" t="s">
        <v>2857</v>
      </c>
      <c r="G2" s="43" t="s">
        <v>2851</v>
      </c>
      <c r="H2" s="43" t="s">
        <v>4776</v>
      </c>
      <c r="I2" s="40" t="s">
        <v>2867</v>
      </c>
      <c r="J2" s="40" t="s">
        <v>2868</v>
      </c>
      <c r="K2" s="40" t="s">
        <v>2869</v>
      </c>
      <c r="L2" s="40" t="s">
        <v>2870</v>
      </c>
      <c r="M2" s="40" t="s">
        <v>2871</v>
      </c>
    </row>
    <row r="3" spans="1:13" x14ac:dyDescent="0.2">
      <c r="C3" s="40" t="s">
        <v>2844</v>
      </c>
      <c r="D3" s="40" t="s">
        <v>2846</v>
      </c>
      <c r="E3" s="40" t="s">
        <v>2849</v>
      </c>
      <c r="F3" s="40" t="s">
        <v>2859</v>
      </c>
      <c r="G3" s="40" t="s">
        <v>2850</v>
      </c>
      <c r="H3" s="40" t="s">
        <v>2861</v>
      </c>
      <c r="I3" s="40" t="s">
        <v>2862</v>
      </c>
      <c r="J3" s="40" t="s">
        <v>2863</v>
      </c>
      <c r="K3" s="40" t="s">
        <v>2864</v>
      </c>
      <c r="L3" s="40" t="s">
        <v>2865</v>
      </c>
      <c r="M3" s="40" t="s">
        <v>2866</v>
      </c>
    </row>
    <row r="4" spans="1:13" x14ac:dyDescent="0.2">
      <c r="C4" s="40">
        <v>0</v>
      </c>
      <c r="D4" s="40">
        <v>0</v>
      </c>
      <c r="E4" s="40">
        <v>0</v>
      </c>
      <c r="F4" s="41" t="s">
        <v>2860</v>
      </c>
      <c r="G4" s="40">
        <v>0</v>
      </c>
      <c r="H4" s="41" t="s">
        <v>45</v>
      </c>
      <c r="I4" s="41" t="s">
        <v>45</v>
      </c>
      <c r="J4" s="41" t="s">
        <v>45</v>
      </c>
      <c r="K4" s="41" t="s">
        <v>45</v>
      </c>
      <c r="L4" s="41" t="s">
        <v>45</v>
      </c>
      <c r="M4" s="41" t="s">
        <v>45</v>
      </c>
    </row>
    <row r="5" spans="1:13" x14ac:dyDescent="0.2">
      <c r="A5" t="s">
        <v>2886</v>
      </c>
      <c r="C5" s="40">
        <v>1</v>
      </c>
      <c r="D5" s="40">
        <v>1</v>
      </c>
      <c r="E5" s="40">
        <v>600001</v>
      </c>
      <c r="F5" s="41" t="s">
        <v>2858</v>
      </c>
      <c r="G5" s="41" t="s">
        <v>2900</v>
      </c>
      <c r="H5" s="41" t="s">
        <v>2889</v>
      </c>
      <c r="I5" s="41" t="s">
        <v>2885</v>
      </c>
      <c r="J5" s="41" t="s">
        <v>2890</v>
      </c>
      <c r="K5" s="41"/>
      <c r="L5" s="41"/>
      <c r="M5" s="41"/>
    </row>
    <row r="6" spans="1:13" x14ac:dyDescent="0.2">
      <c r="A6" t="s">
        <v>2887</v>
      </c>
      <c r="C6" s="40">
        <v>2</v>
      </c>
      <c r="D6" s="40">
        <v>2</v>
      </c>
      <c r="E6" s="40">
        <v>600014</v>
      </c>
      <c r="F6" s="41" t="s">
        <v>2858</v>
      </c>
      <c r="G6" s="41" t="s">
        <v>2911</v>
      </c>
      <c r="H6" s="41" t="s">
        <v>2888</v>
      </c>
      <c r="I6" s="41" t="s">
        <v>2891</v>
      </c>
      <c r="J6" s="41" t="s">
        <v>2892</v>
      </c>
      <c r="K6" s="41"/>
      <c r="L6" s="41"/>
      <c r="M6" s="41"/>
    </row>
    <row r="7" spans="1:13" x14ac:dyDescent="0.2">
      <c r="A7" t="s">
        <v>3549</v>
      </c>
      <c r="C7" s="40">
        <v>3</v>
      </c>
      <c r="D7" s="40">
        <v>3</v>
      </c>
      <c r="E7" s="40">
        <v>600027</v>
      </c>
      <c r="F7" s="41" t="s">
        <v>2858</v>
      </c>
      <c r="G7" s="41" t="s">
        <v>3552</v>
      </c>
      <c r="H7" s="41" t="s">
        <v>3565</v>
      </c>
      <c r="I7" s="41" t="s">
        <v>3566</v>
      </c>
      <c r="J7" s="41" t="s">
        <v>3567</v>
      </c>
      <c r="K7" s="41"/>
      <c r="L7" s="41"/>
      <c r="M7" s="41"/>
    </row>
    <row r="8" spans="1:13" x14ac:dyDescent="0.2">
      <c r="A8" t="s">
        <v>3550</v>
      </c>
      <c r="C8" s="40">
        <v>4</v>
      </c>
      <c r="D8" s="40">
        <v>4</v>
      </c>
      <c r="E8" s="40">
        <v>600040</v>
      </c>
      <c r="F8" s="41" t="s">
        <v>2858</v>
      </c>
      <c r="G8" s="41" t="s">
        <v>3553</v>
      </c>
      <c r="H8" s="41" t="s">
        <v>3568</v>
      </c>
      <c r="I8" s="41" t="s">
        <v>3569</v>
      </c>
      <c r="J8" s="41" t="s">
        <v>3570</v>
      </c>
      <c r="K8" s="41"/>
      <c r="L8" s="41"/>
      <c r="M8" s="41"/>
    </row>
    <row r="9" spans="1:13" x14ac:dyDescent="0.2">
      <c r="A9" t="s">
        <v>3505</v>
      </c>
      <c r="C9" s="40">
        <v>5</v>
      </c>
      <c r="D9" s="40">
        <v>5</v>
      </c>
      <c r="E9" s="40">
        <v>600053</v>
      </c>
      <c r="F9" s="41" t="s">
        <v>2858</v>
      </c>
      <c r="G9" s="41" t="s">
        <v>3554</v>
      </c>
      <c r="H9" s="41" t="s">
        <v>3571</v>
      </c>
      <c r="I9" s="41" t="s">
        <v>3574</v>
      </c>
      <c r="J9" s="41" t="s">
        <v>3617</v>
      </c>
      <c r="K9" s="41"/>
      <c r="L9" s="41"/>
      <c r="M9" s="41"/>
    </row>
    <row r="10" spans="1:13" x14ac:dyDescent="0.2">
      <c r="A10" t="s">
        <v>3516</v>
      </c>
      <c r="C10" s="40">
        <v>6</v>
      </c>
      <c r="D10" s="40">
        <v>6</v>
      </c>
      <c r="E10" s="40">
        <v>600066</v>
      </c>
      <c r="F10" s="41" t="s">
        <v>3551</v>
      </c>
      <c r="G10" s="41" t="s">
        <v>3555</v>
      </c>
      <c r="H10" s="41" t="s">
        <v>3572</v>
      </c>
      <c r="I10" s="41" t="s">
        <v>3673</v>
      </c>
      <c r="J10" s="41" t="s">
        <v>3575</v>
      </c>
      <c r="K10" s="40"/>
      <c r="L10" s="40"/>
      <c r="M10" s="40"/>
    </row>
    <row r="11" spans="1:13" x14ac:dyDescent="0.2">
      <c r="A11" t="s">
        <v>3527</v>
      </c>
      <c r="C11" s="40">
        <v>7</v>
      </c>
      <c r="D11" s="40">
        <v>7</v>
      </c>
      <c r="E11" s="40">
        <v>600079</v>
      </c>
      <c r="F11" s="41" t="s">
        <v>3551</v>
      </c>
      <c r="G11" s="41" t="s">
        <v>3556</v>
      </c>
      <c r="H11" s="41" t="s">
        <v>3576</v>
      </c>
      <c r="I11" s="41" t="s">
        <v>3573</v>
      </c>
      <c r="J11" s="41" t="s">
        <v>3577</v>
      </c>
      <c r="K11" s="40"/>
      <c r="L11" s="40"/>
      <c r="M11" s="40"/>
    </row>
    <row r="12" spans="1:13" x14ac:dyDescent="0.2">
      <c r="A12" t="s">
        <v>3538</v>
      </c>
      <c r="C12" s="40">
        <v>8</v>
      </c>
      <c r="D12" s="40">
        <v>8</v>
      </c>
      <c r="E12" s="40">
        <v>600092</v>
      </c>
      <c r="F12" s="41" t="s">
        <v>3551</v>
      </c>
      <c r="G12" s="41" t="s">
        <v>3557</v>
      </c>
      <c r="H12" s="41" t="s">
        <v>3578</v>
      </c>
      <c r="I12" s="41" t="s">
        <v>3579</v>
      </c>
      <c r="J12" s="41" t="s">
        <v>3682</v>
      </c>
      <c r="K12" s="40"/>
      <c r="L12" s="40"/>
      <c r="M12" s="40"/>
    </row>
    <row r="13" spans="1:13" x14ac:dyDescent="0.2">
      <c r="A13" t="s">
        <v>3726</v>
      </c>
      <c r="C13" s="40">
        <v>9</v>
      </c>
      <c r="D13" s="40">
        <v>9</v>
      </c>
      <c r="E13" s="40">
        <v>600105</v>
      </c>
      <c r="F13" s="40">
        <v>2</v>
      </c>
      <c r="G13" s="40">
        <v>610075</v>
      </c>
      <c r="H13" s="41" t="s">
        <v>3730</v>
      </c>
      <c r="I13" s="40"/>
      <c r="J13" s="40"/>
      <c r="K13" s="40"/>
      <c r="L13" s="40"/>
      <c r="M13" s="40"/>
    </row>
    <row r="14" spans="1:13" x14ac:dyDescent="0.2">
      <c r="A14" t="s">
        <v>3727</v>
      </c>
      <c r="C14" s="40">
        <v>10</v>
      </c>
      <c r="D14" s="40">
        <v>10</v>
      </c>
      <c r="E14" s="40">
        <v>600110</v>
      </c>
      <c r="F14" s="40">
        <v>3</v>
      </c>
      <c r="G14" s="40">
        <v>610079</v>
      </c>
      <c r="H14" s="41" t="s">
        <v>3731</v>
      </c>
      <c r="I14" s="40"/>
      <c r="J14" s="40"/>
      <c r="K14" s="40"/>
      <c r="L14" s="40"/>
      <c r="M14" s="40"/>
    </row>
    <row r="15" spans="1:13" x14ac:dyDescent="0.2">
      <c r="A15" t="s">
        <v>3728</v>
      </c>
      <c r="C15" s="40">
        <v>11</v>
      </c>
      <c r="D15" s="40">
        <v>11</v>
      </c>
      <c r="E15" s="40">
        <v>600117</v>
      </c>
      <c r="F15" s="40">
        <v>3</v>
      </c>
      <c r="G15" s="40">
        <v>610083</v>
      </c>
      <c r="H15" s="41" t="s">
        <v>3732</v>
      </c>
      <c r="I15" s="40"/>
      <c r="J15" s="40"/>
      <c r="K15" s="40"/>
      <c r="L15" s="40"/>
      <c r="M15" s="40"/>
    </row>
    <row r="16" spans="1:13" x14ac:dyDescent="0.2">
      <c r="A16" t="s">
        <v>3729</v>
      </c>
      <c r="C16" s="40">
        <v>12</v>
      </c>
      <c r="D16" s="40">
        <v>12</v>
      </c>
      <c r="E16" s="40">
        <v>600124</v>
      </c>
      <c r="F16" s="40">
        <v>3</v>
      </c>
      <c r="G16" s="40">
        <v>610087</v>
      </c>
      <c r="H16" s="41" t="s">
        <v>4109</v>
      </c>
      <c r="I16" s="40"/>
      <c r="J16" s="40"/>
      <c r="K16" s="40"/>
      <c r="L16" s="40"/>
      <c r="M16" s="40"/>
    </row>
    <row r="17" spans="1:13" ht="14.25" customHeight="1" x14ac:dyDescent="0.2">
      <c r="A17" t="s">
        <v>4531</v>
      </c>
      <c r="C17" s="40">
        <v>13</v>
      </c>
      <c r="D17" s="40">
        <v>13</v>
      </c>
      <c r="E17" s="40">
        <v>600131</v>
      </c>
      <c r="F17" s="41" t="s">
        <v>2858</v>
      </c>
      <c r="G17" s="41" t="s">
        <v>4572</v>
      </c>
      <c r="H17" s="41" t="s">
        <v>4595</v>
      </c>
      <c r="I17" s="41" t="s">
        <v>4596</v>
      </c>
      <c r="J17" s="41" t="s">
        <v>4597</v>
      </c>
      <c r="K17" s="40"/>
      <c r="L17" s="40"/>
      <c r="M17" s="40"/>
    </row>
    <row r="18" spans="1:13" ht="14.25" customHeight="1" x14ac:dyDescent="0.2">
      <c r="A18" t="s">
        <v>4538</v>
      </c>
      <c r="C18" s="40">
        <v>14</v>
      </c>
      <c r="D18" s="40">
        <v>14</v>
      </c>
      <c r="E18" s="40">
        <v>600144</v>
      </c>
      <c r="F18" s="41" t="s">
        <v>3551</v>
      </c>
      <c r="G18" s="41" t="s">
        <v>4579</v>
      </c>
      <c r="H18" s="41" t="s">
        <v>4598</v>
      </c>
      <c r="I18" s="41" t="s">
        <v>4600</v>
      </c>
      <c r="J18" s="41" t="s">
        <v>4599</v>
      </c>
      <c r="K18" s="40"/>
      <c r="L18" s="40"/>
      <c r="M18" s="40"/>
    </row>
    <row r="19" spans="1:13" ht="14.25" customHeight="1" x14ac:dyDescent="0.2">
      <c r="A19" t="s">
        <v>4545</v>
      </c>
      <c r="C19" s="40">
        <v>15</v>
      </c>
      <c r="D19" s="40">
        <v>15</v>
      </c>
      <c r="E19" s="40">
        <v>600157</v>
      </c>
      <c r="F19" s="41" t="s">
        <v>3551</v>
      </c>
      <c r="G19" s="41" t="s">
        <v>4586</v>
      </c>
      <c r="H19" s="41" t="s">
        <v>4601</v>
      </c>
      <c r="I19" s="41" t="s">
        <v>4602</v>
      </c>
      <c r="J19" s="41" t="s">
        <v>4603</v>
      </c>
      <c r="K19" s="40"/>
      <c r="L19" s="40"/>
      <c r="M19" s="40"/>
    </row>
    <row r="20" spans="1:13" ht="14.25" customHeight="1" x14ac:dyDescent="0.2">
      <c r="A20" t="s">
        <v>4559</v>
      </c>
      <c r="C20" s="40">
        <v>16</v>
      </c>
      <c r="D20" s="40">
        <v>16</v>
      </c>
      <c r="E20" s="40">
        <v>600170</v>
      </c>
      <c r="F20" s="41" t="s">
        <v>3551</v>
      </c>
      <c r="G20" s="41" t="s">
        <v>4593</v>
      </c>
      <c r="H20" s="41" t="s">
        <v>4604</v>
      </c>
      <c r="I20" s="41" t="s">
        <v>4605</v>
      </c>
      <c r="J20" s="41" t="s">
        <v>4606</v>
      </c>
      <c r="K20" s="40"/>
      <c r="L20" s="40"/>
      <c r="M20" s="40"/>
    </row>
    <row r="21" spans="1:13" x14ac:dyDescent="0.2">
      <c r="A21" t="s">
        <v>4689</v>
      </c>
      <c r="C21" s="40">
        <v>17</v>
      </c>
      <c r="D21" s="40">
        <v>17</v>
      </c>
      <c r="E21" s="40">
        <v>600183</v>
      </c>
      <c r="F21" s="41" t="s">
        <v>2858</v>
      </c>
      <c r="G21" s="41" t="s">
        <v>4721</v>
      </c>
      <c r="H21" s="41" t="s">
        <v>4770</v>
      </c>
      <c r="I21" s="40" t="s">
        <v>4772</v>
      </c>
      <c r="J21" s="41" t="s">
        <v>4771</v>
      </c>
      <c r="K21" s="40"/>
      <c r="L21" s="40"/>
      <c r="M21" s="40"/>
    </row>
    <row r="22" spans="1:13" ht="14.25" customHeight="1" x14ac:dyDescent="0.2">
      <c r="A22" t="s">
        <v>4690</v>
      </c>
      <c r="C22" s="40">
        <v>18</v>
      </c>
      <c r="D22" s="40">
        <v>18</v>
      </c>
      <c r="E22" s="18">
        <v>600196</v>
      </c>
      <c r="F22" s="41" t="s">
        <v>3551</v>
      </c>
      <c r="G22" s="41" t="s">
        <v>4732</v>
      </c>
      <c r="H22" s="40" t="s">
        <v>4773</v>
      </c>
      <c r="I22" s="40" t="s">
        <v>4774</v>
      </c>
      <c r="J22" s="41" t="s">
        <v>4775</v>
      </c>
      <c r="K22" s="40"/>
      <c r="L22" s="40"/>
      <c r="M22" s="40"/>
    </row>
    <row r="23" spans="1:13" x14ac:dyDescent="0.2">
      <c r="A23" t="s">
        <v>4691</v>
      </c>
      <c r="C23" s="40">
        <v>19</v>
      </c>
      <c r="D23" s="40">
        <v>19</v>
      </c>
      <c r="E23" s="18">
        <v>600209</v>
      </c>
      <c r="F23" s="41" t="s">
        <v>3551</v>
      </c>
      <c r="G23" s="41" t="s">
        <v>4733</v>
      </c>
      <c r="H23" s="41" t="s">
        <v>4777</v>
      </c>
      <c r="I23" s="40" t="s">
        <v>4778</v>
      </c>
      <c r="J23" s="40" t="s">
        <v>4779</v>
      </c>
      <c r="K23" s="40"/>
      <c r="L23" s="40"/>
      <c r="M23" s="40"/>
    </row>
    <row r="24" spans="1:13" x14ac:dyDescent="0.2">
      <c r="A24" t="s">
        <v>4692</v>
      </c>
      <c r="C24" s="40">
        <v>20</v>
      </c>
      <c r="D24" s="40">
        <v>20</v>
      </c>
      <c r="E24" s="40">
        <v>600222</v>
      </c>
      <c r="F24" s="41" t="s">
        <v>3551</v>
      </c>
      <c r="G24" s="41" t="s">
        <v>4734</v>
      </c>
      <c r="H24" s="41" t="s">
        <v>4796</v>
      </c>
      <c r="I24" s="41" t="s">
        <v>4797</v>
      </c>
      <c r="J24" s="40" t="s">
        <v>4795</v>
      </c>
      <c r="K24" s="40"/>
      <c r="L24" s="40"/>
      <c r="M24" s="40"/>
    </row>
    <row r="25" spans="1:13" x14ac:dyDescent="0.2">
      <c r="A25" t="s">
        <v>4693</v>
      </c>
      <c r="C25" s="40">
        <v>21</v>
      </c>
      <c r="D25" s="40">
        <v>21</v>
      </c>
      <c r="E25" s="40">
        <v>600235</v>
      </c>
      <c r="F25" s="41" t="s">
        <v>3551</v>
      </c>
      <c r="G25" s="41" t="s">
        <v>4735</v>
      </c>
      <c r="H25" s="41" t="s">
        <v>4798</v>
      </c>
      <c r="I25" s="40" t="s">
        <v>4803</v>
      </c>
      <c r="J25" s="41" t="s">
        <v>4799</v>
      </c>
      <c r="K25" s="40"/>
      <c r="L25" s="40"/>
      <c r="M25" s="40"/>
    </row>
    <row r="26" spans="1:13" x14ac:dyDescent="0.2">
      <c r="A26" t="s">
        <v>4694</v>
      </c>
      <c r="C26" s="40">
        <v>22</v>
      </c>
      <c r="D26" s="40">
        <v>22</v>
      </c>
      <c r="E26" s="18">
        <v>600248</v>
      </c>
      <c r="F26" s="41" t="s">
        <v>3551</v>
      </c>
      <c r="G26" s="41" t="s">
        <v>4736</v>
      </c>
      <c r="H26" s="41" t="s">
        <v>4800</v>
      </c>
      <c r="I26" s="41" t="s">
        <v>4801</v>
      </c>
      <c r="J26" s="41" t="s">
        <v>4802</v>
      </c>
      <c r="K26" s="40"/>
      <c r="L26" s="40"/>
      <c r="M26" s="40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7ADE-D35B-4F2F-9377-A898612DD974}">
  <sheetPr codeName="Sheet4"/>
  <dimension ref="E2:G21"/>
  <sheetViews>
    <sheetView workbookViewId="0">
      <selection activeCell="J14" sqref="J14"/>
    </sheetView>
  </sheetViews>
  <sheetFormatPr defaultRowHeight="14.25" x14ac:dyDescent="0.2"/>
  <sheetData>
    <row r="2" spans="5:7" x14ac:dyDescent="0.2">
      <c r="E2" s="18"/>
      <c r="F2" s="18"/>
      <c r="G2" s="18" t="s">
        <v>3301</v>
      </c>
    </row>
    <row r="3" spans="5:7" x14ac:dyDescent="0.2">
      <c r="E3" s="18">
        <v>1</v>
      </c>
      <c r="F3" s="18" t="s">
        <v>2744</v>
      </c>
      <c r="G3" s="18">
        <v>8</v>
      </c>
    </row>
    <row r="4" spans="5:7" x14ac:dyDescent="0.2">
      <c r="E4" s="18">
        <v>2</v>
      </c>
      <c r="F4" s="18" t="s">
        <v>22</v>
      </c>
      <c r="G4" s="18">
        <v>10</v>
      </c>
    </row>
    <row r="5" spans="5:7" x14ac:dyDescent="0.2">
      <c r="E5" s="18">
        <v>3</v>
      </c>
      <c r="F5" s="18" t="s">
        <v>23</v>
      </c>
      <c r="G5" s="18">
        <v>5</v>
      </c>
    </row>
    <row r="6" spans="5:7" x14ac:dyDescent="0.2">
      <c r="E6" s="18">
        <v>4</v>
      </c>
      <c r="F6" s="18" t="s">
        <v>24</v>
      </c>
      <c r="G6" s="18">
        <v>8</v>
      </c>
    </row>
    <row r="7" spans="5:7" x14ac:dyDescent="0.2">
      <c r="E7" s="18">
        <v>5</v>
      </c>
      <c r="F7" s="18" t="s">
        <v>25</v>
      </c>
      <c r="G7" s="18">
        <v>15</v>
      </c>
    </row>
    <row r="8" spans="5:7" x14ac:dyDescent="0.2">
      <c r="E8" s="18">
        <v>6</v>
      </c>
      <c r="F8" s="18" t="s">
        <v>26</v>
      </c>
      <c r="G8" s="18">
        <v>20</v>
      </c>
    </row>
    <row r="9" spans="5:7" x14ac:dyDescent="0.2">
      <c r="E9" s="18">
        <v>7</v>
      </c>
      <c r="F9" s="18" t="s">
        <v>27</v>
      </c>
      <c r="G9" s="18">
        <v>12</v>
      </c>
    </row>
    <row r="10" spans="5:7" x14ac:dyDescent="0.2">
      <c r="E10" s="18">
        <v>8</v>
      </c>
      <c r="F10" s="18" t="s">
        <v>28</v>
      </c>
      <c r="G10" s="18">
        <v>15</v>
      </c>
    </row>
    <row r="11" spans="5:7" x14ac:dyDescent="0.2">
      <c r="E11" s="18">
        <v>9</v>
      </c>
      <c r="F11" s="18" t="s">
        <v>29</v>
      </c>
      <c r="G11" s="18">
        <v>20</v>
      </c>
    </row>
    <row r="12" spans="5:7" x14ac:dyDescent="0.2">
      <c r="E12" s="18">
        <v>10</v>
      </c>
      <c r="F12" s="18" t="s">
        <v>2745</v>
      </c>
      <c r="G12" s="18">
        <v>15</v>
      </c>
    </row>
    <row r="13" spans="5:7" x14ac:dyDescent="0.2">
      <c r="E13" s="18">
        <v>11</v>
      </c>
      <c r="F13" s="18" t="s">
        <v>2746</v>
      </c>
      <c r="G13" s="18"/>
    </row>
    <row r="14" spans="5:7" x14ac:dyDescent="0.2">
      <c r="E14" s="18">
        <v>21</v>
      </c>
      <c r="F14" s="18" t="s">
        <v>2747</v>
      </c>
      <c r="G14" s="18"/>
    </row>
    <row r="15" spans="5:7" x14ac:dyDescent="0.2">
      <c r="E15" s="18">
        <v>22</v>
      </c>
      <c r="F15" s="18" t="s">
        <v>2748</v>
      </c>
      <c r="G15" s="18"/>
    </row>
    <row r="16" spans="5:7" x14ac:dyDescent="0.2">
      <c r="E16" s="18">
        <v>23</v>
      </c>
      <c r="F16" s="18" t="s">
        <v>2749</v>
      </c>
      <c r="G16" s="18"/>
    </row>
    <row r="17" spans="5:7" x14ac:dyDescent="0.2">
      <c r="E17" s="18">
        <v>24</v>
      </c>
      <c r="F17" s="18" t="s">
        <v>2750</v>
      </c>
      <c r="G17" s="18"/>
    </row>
    <row r="18" spans="5:7" x14ac:dyDescent="0.2">
      <c r="E18" s="18">
        <v>25</v>
      </c>
      <c r="F18" s="18" t="s">
        <v>2751</v>
      </c>
      <c r="G18" s="18"/>
    </row>
    <row r="19" spans="5:7" x14ac:dyDescent="0.2">
      <c r="E19" s="18">
        <v>31</v>
      </c>
      <c r="F19" s="18" t="s">
        <v>2752</v>
      </c>
      <c r="G19" s="18"/>
    </row>
    <row r="20" spans="5:7" x14ac:dyDescent="0.2">
      <c r="E20" s="18">
        <v>32</v>
      </c>
      <c r="F20" s="18" t="s">
        <v>2753</v>
      </c>
      <c r="G20" s="18"/>
    </row>
    <row r="21" spans="5:7" x14ac:dyDescent="0.2">
      <c r="E21" s="18">
        <v>99</v>
      </c>
      <c r="F21" s="18" t="s">
        <v>2787</v>
      </c>
      <c r="G21" s="18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FFAB-7F6D-49E0-B437-5A601084B7E3}">
  <sheetPr codeName="Sheet5"/>
  <dimension ref="A1:BK317"/>
  <sheetViews>
    <sheetView topLeftCell="A99" zoomScale="110" zoomScaleNormal="110" workbookViewId="0">
      <pane xSplit="8" topLeftCell="I1" activePane="topRight" state="frozen"/>
      <selection pane="topRight" activeCell="D117" sqref="D117"/>
    </sheetView>
  </sheetViews>
  <sheetFormatPr defaultRowHeight="14.25" x14ac:dyDescent="0.2"/>
  <cols>
    <col min="4" max="4" width="15.125" bestFit="1" customWidth="1"/>
    <col min="5" max="5" width="15.125" hidden="1" customWidth="1"/>
    <col min="6" max="6" width="9.25" hidden="1" customWidth="1"/>
    <col min="7" max="7" width="19.75" hidden="1" customWidth="1"/>
    <col min="8" max="8" width="11" hidden="1" customWidth="1"/>
    <col min="9" max="9" width="23.625" customWidth="1"/>
    <col min="10" max="10" width="8.125" bestFit="1" customWidth="1"/>
    <col min="11" max="11" width="8.125" customWidth="1"/>
    <col min="12" max="12" width="18.875" customWidth="1"/>
    <col min="13" max="13" width="8.125" bestFit="1" customWidth="1"/>
    <col min="14" max="14" width="8.125" customWidth="1"/>
    <col min="15" max="15" width="17.625" bestFit="1" customWidth="1"/>
    <col min="16" max="16" width="8.125" bestFit="1" customWidth="1"/>
    <col min="17" max="17" width="8.125" customWidth="1"/>
    <col min="18" max="18" width="16.5" bestFit="1" customWidth="1"/>
    <col min="19" max="19" width="8.125" bestFit="1" customWidth="1"/>
    <col min="20" max="20" width="8.125" customWidth="1"/>
    <col min="21" max="21" width="23" customWidth="1"/>
    <col min="22" max="22" width="8.125" bestFit="1" customWidth="1"/>
    <col min="23" max="23" width="8.125" customWidth="1"/>
    <col min="24" max="24" width="24.75" customWidth="1"/>
    <col min="25" max="25" width="8.125" bestFit="1" customWidth="1"/>
    <col min="26" max="26" width="8.125" customWidth="1"/>
    <col min="27" max="27" width="83" hidden="1" customWidth="1"/>
    <col min="28" max="28" width="68.875" customWidth="1"/>
    <col min="29" max="29" width="35.875" hidden="1" customWidth="1"/>
    <col min="30" max="30" width="41.25" hidden="1" customWidth="1"/>
    <col min="31" max="31" width="39.125" hidden="1" customWidth="1"/>
    <col min="32" max="32" width="26.625" hidden="1" customWidth="1"/>
    <col min="33" max="33" width="39.125" hidden="1" customWidth="1"/>
    <col min="34" max="34" width="28.75" hidden="1" customWidth="1"/>
    <col min="35" max="36" width="9" hidden="1" customWidth="1"/>
    <col min="37" max="37" width="26.125" hidden="1" customWidth="1"/>
    <col min="38" max="38" width="20.625" hidden="1" customWidth="1"/>
    <col min="39" max="39" width="16.125" hidden="1" customWidth="1"/>
    <col min="40" max="40" width="9" hidden="1" customWidth="1"/>
    <col min="41" max="41" width="84.75" hidden="1" customWidth="1"/>
    <col min="42" max="42" width="95.625" hidden="1" customWidth="1"/>
    <col min="43" max="43" width="25.375" hidden="1" customWidth="1"/>
    <col min="44" max="44" width="54.375" hidden="1" customWidth="1"/>
    <col min="45" max="45" width="60.125" customWidth="1"/>
    <col min="57" max="57" width="28.875" bestFit="1" customWidth="1"/>
    <col min="58" max="58" width="10.25" bestFit="1" customWidth="1"/>
    <col min="59" max="59" width="10.75" customWidth="1"/>
    <col min="61" max="61" width="12.75" bestFit="1" customWidth="1"/>
    <col min="62" max="62" width="12.625" bestFit="1" customWidth="1"/>
  </cols>
  <sheetData>
    <row r="1" spans="3:63" x14ac:dyDescent="0.2">
      <c r="F1" s="18">
        <v>-1</v>
      </c>
      <c r="G1" s="18"/>
      <c r="I1">
        <f t="shared" ref="I1:I6" si="0">COUNTIF($E$8:$E$179,F1)</f>
        <v>9</v>
      </c>
    </row>
    <row r="2" spans="3:63" x14ac:dyDescent="0.2">
      <c r="F2" s="18">
        <v>1</v>
      </c>
      <c r="G2" s="18"/>
      <c r="H2" t="s">
        <v>3691</v>
      </c>
      <c r="I2">
        <f t="shared" si="0"/>
        <v>13</v>
      </c>
    </row>
    <row r="3" spans="3:63" x14ac:dyDescent="0.2">
      <c r="C3" s="25" t="s">
        <v>3134</v>
      </c>
      <c r="D3" s="45">
        <v>8</v>
      </c>
      <c r="E3" s="35"/>
      <c r="F3" s="18">
        <v>2</v>
      </c>
      <c r="G3" s="18"/>
      <c r="H3" t="s">
        <v>3687</v>
      </c>
      <c r="I3">
        <f t="shared" si="0"/>
        <v>12</v>
      </c>
    </row>
    <row r="4" spans="3:63" x14ac:dyDescent="0.2">
      <c r="C4" s="25" t="s">
        <v>2961</v>
      </c>
      <c r="D4" s="45">
        <v>10</v>
      </c>
      <c r="E4" s="35"/>
      <c r="F4" s="18">
        <v>3</v>
      </c>
      <c r="G4" s="18"/>
      <c r="H4" t="s">
        <v>3688</v>
      </c>
      <c r="I4">
        <f t="shared" si="0"/>
        <v>12</v>
      </c>
    </row>
    <row r="5" spans="3:63" x14ac:dyDescent="0.2">
      <c r="C5" s="25" t="s">
        <v>2960</v>
      </c>
      <c r="D5" s="45">
        <v>12</v>
      </c>
      <c r="E5" s="35"/>
      <c r="F5" s="18">
        <v>4</v>
      </c>
      <c r="G5" s="18"/>
      <c r="H5" t="s">
        <v>3689</v>
      </c>
      <c r="I5">
        <f t="shared" si="0"/>
        <v>12</v>
      </c>
      <c r="AF5" t="s">
        <v>3303</v>
      </c>
    </row>
    <row r="6" spans="3:63" x14ac:dyDescent="0.2">
      <c r="F6" s="18">
        <v>5</v>
      </c>
      <c r="G6" s="18"/>
      <c r="H6" t="s">
        <v>3690</v>
      </c>
      <c r="I6">
        <f t="shared" si="0"/>
        <v>12</v>
      </c>
      <c r="J6">
        <v>0</v>
      </c>
      <c r="M6">
        <v>1</v>
      </c>
      <c r="P6">
        <v>2</v>
      </c>
      <c r="S6">
        <v>3</v>
      </c>
      <c r="V6">
        <v>4</v>
      </c>
      <c r="Y6">
        <v>5</v>
      </c>
    </row>
    <row r="7" spans="3:63" ht="17.25" thickBot="1" x14ac:dyDescent="0.25">
      <c r="C7" s="67" t="s">
        <v>3130</v>
      </c>
      <c r="D7" s="67" t="s">
        <v>2912</v>
      </c>
      <c r="E7" s="67" t="s">
        <v>3686</v>
      </c>
      <c r="F7" s="67" t="s">
        <v>3163</v>
      </c>
      <c r="G7" s="67"/>
      <c r="H7" s="67" t="s">
        <v>2964</v>
      </c>
      <c r="I7" s="68" t="s">
        <v>2913</v>
      </c>
      <c r="J7" s="68" t="s">
        <v>2914</v>
      </c>
      <c r="K7" s="68" t="s">
        <v>3133</v>
      </c>
      <c r="L7" s="69" t="s">
        <v>2915</v>
      </c>
      <c r="M7" s="69" t="s">
        <v>2916</v>
      </c>
      <c r="N7" s="69" t="s">
        <v>3132</v>
      </c>
      <c r="O7" s="70" t="s">
        <v>2917</v>
      </c>
      <c r="P7" s="70" t="s">
        <v>2918</v>
      </c>
      <c r="Q7" s="70" t="s">
        <v>3132</v>
      </c>
      <c r="R7" s="68" t="s">
        <v>2919</v>
      </c>
      <c r="S7" s="68" t="s">
        <v>2920</v>
      </c>
      <c r="T7" s="68" t="s">
        <v>3133</v>
      </c>
      <c r="U7" s="69" t="s">
        <v>2921</v>
      </c>
      <c r="V7" s="69" t="s">
        <v>2922</v>
      </c>
      <c r="W7" s="69" t="s">
        <v>3132</v>
      </c>
      <c r="X7" s="70" t="s">
        <v>2923</v>
      </c>
      <c r="Y7" s="70" t="s">
        <v>2924</v>
      </c>
      <c r="Z7" s="70" t="s">
        <v>3132</v>
      </c>
      <c r="AA7" s="40"/>
      <c r="AB7" s="71" t="s">
        <v>2925</v>
      </c>
      <c r="AC7" s="79" t="s">
        <v>3302</v>
      </c>
      <c r="AS7" s="81" t="s">
        <v>3474</v>
      </c>
      <c r="BE7" s="56" t="s">
        <v>3127</v>
      </c>
      <c r="BF7" s="56" t="s">
        <v>3126</v>
      </c>
      <c r="BG7" s="58" t="s">
        <v>3125</v>
      </c>
      <c r="BH7" s="57" t="s">
        <v>3128</v>
      </c>
      <c r="BI7" s="57" t="s">
        <v>3129</v>
      </c>
      <c r="BJ7" s="57" t="s">
        <v>3131</v>
      </c>
    </row>
    <row r="8" spans="3:63" ht="16.5" thickTop="1" x14ac:dyDescent="0.3">
      <c r="C8" s="59">
        <v>14694</v>
      </c>
      <c r="D8" s="59" t="s">
        <v>106</v>
      </c>
      <c r="E8" s="59">
        <v>5</v>
      </c>
      <c r="F8" s="59" t="s">
        <v>28</v>
      </c>
      <c r="G8" s="59"/>
      <c r="H8" s="72">
        <v>11</v>
      </c>
      <c r="I8" s="62" t="s">
        <v>2972</v>
      </c>
      <c r="J8" s="63">
        <v>2</v>
      </c>
      <c r="K8" s="63">
        <v>0.2</v>
      </c>
      <c r="L8" s="65" t="s">
        <v>2929</v>
      </c>
      <c r="M8" s="65">
        <v>2</v>
      </c>
      <c r="N8" s="65">
        <v>0.2</v>
      </c>
      <c r="O8" s="66" t="s">
        <v>2926</v>
      </c>
      <c r="P8" s="66">
        <v>2</v>
      </c>
      <c r="Q8" s="66">
        <v>0.2</v>
      </c>
      <c r="R8" s="64" t="s">
        <v>2928</v>
      </c>
      <c r="S8" s="64">
        <v>2</v>
      </c>
      <c r="T8" s="64">
        <v>0.2</v>
      </c>
      <c r="U8" s="65" t="s">
        <v>3224</v>
      </c>
      <c r="V8" s="65">
        <v>2</v>
      </c>
      <c r="W8" s="65">
        <v>0</v>
      </c>
      <c r="X8" s="66" t="s">
        <v>3581</v>
      </c>
      <c r="Y8" s="66">
        <v>1</v>
      </c>
      <c r="Z8" s="66">
        <v>0</v>
      </c>
      <c r="AA8" s="71" t="str">
        <f t="shared" ref="AA8:AA71" si="1">"1:"&amp;IF(I8&lt;&gt;"",VLOOKUP(I8,$BE$8:$BH$260,3,FALSE)&amp;","&amp;VLOOKUP(I8,$BE$8:$BH$260,4,FALSE)*(1-K8)*J8&amp;","&amp;VLOOKUP(I8,$BE$8:$BH$260,4,FALSE)*(1+K8)*J8&amp;",","xxx")&amp;IF(L8&lt;&gt;"",VLOOKUP(L8,$BE$8:$BH$260,3,FALSE)&amp;","&amp;VLOOKUP(L8,$BE$8:$BH$260,4,FALSE)*(1-N8)*M8&amp;","&amp;VLOOKUP(L8,$BE$8:$BH$260,4,FALSE)*(1+N8)*M8&amp;",","xxx")&amp;IF(O8&lt;&gt;"",VLOOKUP(O8,$BE$8:$BH$260,3,FALSE)&amp;","&amp;VLOOKUP(O8,$BE$8:$BH$260,4,FALSE)*(1-Q8)*P8&amp;","&amp;VLOOKUP(O8,$BE$8:$BH$260,4,FALSE)*(1+Q8)*P8&amp;",","xxx")&amp;IF(R8&lt;&gt;"",VLOOKUP(R8,$BE$8:$BH$260,3,FALSE)&amp;","&amp;VLOOKUP(R8,$BE$8:$BH$260,4,FALSE)*(1-T8)*S8&amp;","&amp;VLOOKUP(R8,$BE$8:$BH$260,4,FALSE)*(1+T8)*S8&amp;",","xxx")&amp;IF(U8&lt;&gt;"",VLOOKUP(U8,$BE$8:$BH$260,3,FALSE)&amp;","&amp;VLOOKUP(U8,$BE$8:$BH$260,4,FALSE)*(1-W8)*V8&amp;","&amp;VLOOKUP(U8,$BE$8:$BH$260,4,FALSE)*(1+W8)*V8&amp;",","xxx")&amp;IF(X8&lt;&gt;"",VLOOKUP(X8,$BE$8:$BH$260,3,FALSE)&amp;","&amp;VLOOKUP(X8,$BE$8:$BH$260,4,FALSE)*(1-Z8)*Y8&amp;","&amp;VLOOKUP(X8,$BE$8:$BH$260,4,FALSE)*(1+Z8)*Y8&amp;",","xxx")</f>
        <v>1:207,16,24,103,16,24,214,16,24,223,8,12,257,20,20,501,2,2,</v>
      </c>
      <c r="AB8" s="78" t="str">
        <f>D249</f>
        <v>马卡多的手杖</v>
      </c>
      <c r="AC8" t="str">
        <f>IF(J8&gt;0,I8&amp;" "&amp;"{"&amp;J$6&amp;"}","xxx")</f>
        <v>火焰伤害 {0}</v>
      </c>
      <c r="AD8" t="str">
        <f>IF(M8&gt;0,L8&amp;" "&amp;"{"&amp;M$6&amp;"}","xxx")</f>
        <v>智力 {1}</v>
      </c>
      <c r="AE8" t="str">
        <f>IF(P8&gt;0,O8&amp;" "&amp;"{"&amp;P$6&amp;"}","xxx")</f>
        <v>火焰伤害% {2}</v>
      </c>
      <c r="AF8" t="str">
        <f>IF(S8&gt;0,R8&amp;" "&amp;"{"&amp;S$6&amp;"}","xxx")</f>
        <v>火焰减抗% {3}</v>
      </c>
      <c r="AG8" t="str">
        <f>IF(V8&gt;0,U8&amp;" "&amp;"{"&amp;V$6&amp;"}","xxx")</f>
        <v>暴击率增幅 {4}</v>
      </c>
      <c r="AH8" t="str">
        <f>IF(Y8&gt;0,X8&amp;" "&amp;"{"&amp;Y$6&amp;"}","xxx")</f>
        <v>刷新次数 {5}</v>
      </c>
      <c r="AI8" t="str">
        <f t="shared" ref="AI8:AI71" si="2">_xlfn.IFNA(IF(AC8="xxx","xxx",IF(VLOOKUP(I8,$BE$8:$BK$260,7,FALSE)=1,AC8&amp;CHAR(10),SUBSTITUTE(AC8,"%","")&amp;"%"&amp;CHAR(10))),"xxx")</f>
        <v xml:space="preserve">火焰伤害 {0}
</v>
      </c>
      <c r="AJ8" t="str">
        <f t="shared" ref="AJ8:AJ71" si="3">_xlfn.IFNA(IF(AC8="xxx","xxx",IF(VLOOKUP(L8,$BE$8:$BK$260,7,FALSE)=1,AD8&amp;CHAR(10),SUBSTITUTE(AD8,"%","")&amp;"%"&amp;CHAR(10))),"xxx")</f>
        <v xml:space="preserve">智力 {1}
</v>
      </c>
      <c r="AK8" t="str">
        <f t="shared" ref="AK8:AK71" si="4">_xlfn.IFNA(IF(AC8="xxx","xxx",IF(VLOOKUP(O8,$BE$8:$BK$260,7,FALSE)=1,AE8&amp;CHAR(10),SUBSTITUTE(AE8,"%","")&amp;"%"&amp;CHAR(10))),"xxx")</f>
        <v xml:space="preserve">火焰伤害 {2}%
</v>
      </c>
      <c r="AL8" t="str">
        <f t="shared" ref="AL8:AL71" si="5">_xlfn.IFNA(IF(AC8="xxx","xxx",IF(VLOOKUP(R8,$BE$8:$BK$260,7,FALSE)=1,AF8&amp;CHAR(10),SUBSTITUTE(AF8,"%","")&amp;"%"&amp;CHAR(10))),"xxx")</f>
        <v xml:space="preserve">火焰减抗 {3}%
</v>
      </c>
      <c r="AM8" t="str">
        <f>_xlfn.IFNA(IF(AC8="xxx","xxx",IF(VLOOKUP(U8,$BE$8:$BK$260,7,FALSE)=1,AG8&amp;CHAR(10),SUBSTITUTE(AG8,"%","")&amp;"%"&amp;CHAR(10))),"xxx")</f>
        <v xml:space="preserve">暴击率增幅 {4}%
</v>
      </c>
      <c r="AN8" t="str">
        <f t="shared" ref="AN8:AN39" si="6">_xlfn.IFNA(IF(AC8="xxx","xxx",IF(VLOOKUP(X8,$BE$8:$BK$260,7,FALSE)=1,AH8&amp;CHAR(10),SUBSTITUTE(AH8,"%","")&amp;"%"&amp;CHAR(10))),"xxx")</f>
        <v xml:space="preserve">刷新次数 {5}
</v>
      </c>
      <c r="AO8" t="str">
        <f>_xlfn.CONCAT(AI8:AN8)</f>
        <v xml:space="preserve">火焰伤害 {0}
智力 {1}
火焰伤害 {2}%
火焰减抗 {3}%
暴击率增幅 {4}%
刷新次数 {5}
</v>
      </c>
      <c r="AP8" s="6" t="str">
        <f>SUBSTITUTE(AO8,"xxx","")</f>
        <v xml:space="preserve">火焰伤害 {0}
智力 {1}
火焰伤害 {2}%
火焰减抗 {3}%
暴击率增幅 {4}%
刷新次数 {5}
</v>
      </c>
      <c r="AQ8" s="80" t="s">
        <v>3304</v>
      </c>
      <c r="AR8" t="str">
        <f>IFERROR(IF(AP8="",AQ8,AP8),AP8)</f>
        <v xml:space="preserve">火焰伤害 {0}
智力 {1}
火焰伤害 {2}%
火焰减抗 {3}%
暴击率增幅 {4}%
刷新次数 {5}
</v>
      </c>
      <c r="AS8" s="81" t="str">
        <f>IF(AR8&lt;&gt;AQ8,IF(ISNUMBER(SEARCH(CHAR(10),AR8)),SUBSTITUTE(AR8,CHAR(10),"",LEN(AR8)-LEN(SUBSTITUTE(AR8,CHAR(10),""))),AR8),AR8)</f>
        <v>火焰伤害 {0}
智力 {1}
火焰伤害 {2}%
火焰减抗 {3}%
暴击率增幅 {4}%
刷新次数 {5}</v>
      </c>
      <c r="BE8" s="46" t="s">
        <v>2941</v>
      </c>
      <c r="BF8" s="47" t="s">
        <v>2965</v>
      </c>
      <c r="BG8" s="53">
        <v>101</v>
      </c>
      <c r="BH8" s="59">
        <v>10</v>
      </c>
      <c r="BI8" s="111">
        <f t="shared" ref="BI8:BI39" si="7">COUNTIF($I$8:$I$1040,BE8)/COUNT($C$8:$C$1040)+COUNTIF($L$8:$L$1040,BE8)/COUNT($C$8:$C$1040)+COUNTIF($O$8:$O$1040,BE8)/COUNT($C$8:$C$1040)+COUNTIF($R$8:$R$1040,BE8)/COUNT($C$8:$C$1040)+COUNTIF($U$8:$U$1040,BE8)/COUNT($C$8:$C$1040)+COUNTIF($X$8:$X$1040,BE8)/COUNT($C$8:$C$1040)</f>
        <v>6.8627450980392149E-2</v>
      </c>
      <c r="BJ8" s="59"/>
      <c r="BK8" s="18">
        <v>1</v>
      </c>
    </row>
    <row r="9" spans="3:63" ht="15.75" x14ac:dyDescent="0.3">
      <c r="C9" s="59">
        <v>14695</v>
      </c>
      <c r="D9" s="59" t="s">
        <v>107</v>
      </c>
      <c r="E9" s="59">
        <v>6</v>
      </c>
      <c r="F9" s="59" t="s">
        <v>28</v>
      </c>
      <c r="G9" s="59"/>
      <c r="H9" s="72">
        <v>10</v>
      </c>
      <c r="I9" s="62" t="s">
        <v>2926</v>
      </c>
      <c r="J9" s="63">
        <v>4</v>
      </c>
      <c r="K9" s="63">
        <v>0.2</v>
      </c>
      <c r="L9" s="65" t="s">
        <v>2928</v>
      </c>
      <c r="M9" s="65">
        <v>2</v>
      </c>
      <c r="N9" s="65">
        <v>0.2</v>
      </c>
      <c r="O9" s="66" t="s">
        <v>3145</v>
      </c>
      <c r="P9" s="66">
        <v>1</v>
      </c>
      <c r="Q9" s="66">
        <v>0</v>
      </c>
      <c r="R9" s="64" t="s">
        <v>3146</v>
      </c>
      <c r="S9" s="64">
        <v>1</v>
      </c>
      <c r="T9" s="64">
        <v>0.5</v>
      </c>
      <c r="U9" s="65" t="s">
        <v>3253</v>
      </c>
      <c r="V9" s="65">
        <v>2</v>
      </c>
      <c r="W9" s="65">
        <v>0</v>
      </c>
      <c r="X9" s="66"/>
      <c r="Y9" s="66"/>
      <c r="Z9" s="66"/>
      <c r="AA9" s="71" t="str">
        <f t="shared" si="1"/>
        <v>1:214,32,48,223,8,12,251,10,10,241,5,15,237,20,20,xxx</v>
      </c>
      <c r="AB9" s="78" t="str">
        <f>IF(LEFT(SUBSTITUTE(AA9,"x",""),LEN(SUBSTITUTE(AA9,"x",""))-1)="1","",LEFT(SUBSTITUTE(AA9,"x",""),LEN(SUBSTITUTE(AA9,"x",""))-1))</f>
        <v>1:214,32,48,223,8,12,251,10,10,241,5,15,237,20,20</v>
      </c>
      <c r="AC9" t="str">
        <f t="shared" ref="AC9:AC72" si="8">IF(J9&gt;0,I9&amp;" "&amp;"{"&amp;J$6&amp;"}","xxx")</f>
        <v>火焰伤害% {0}</v>
      </c>
      <c r="AD9" t="str">
        <f t="shared" ref="AD9:AD72" si="9">IF(M9&gt;0,L9&amp;" "&amp;"{"&amp;M$6&amp;"}","xxx")</f>
        <v>火焰减抗% {1}</v>
      </c>
      <c r="AE9" t="str">
        <f t="shared" ref="AE9:AE72" si="10">IF(P9&gt;0,O9&amp;" "&amp;"{"&amp;P$6&amp;"}","xxx")</f>
        <v>施加灼烧时间提升 {2}</v>
      </c>
      <c r="AF9" t="str">
        <f t="shared" ref="AF9:AF72" si="11">IF(S9&gt;0,R9&amp;" "&amp;"{"&amp;S$6&amp;"}","xxx")</f>
        <v>灼烧系数 {3}</v>
      </c>
      <c r="AG9" t="str">
        <f t="shared" ref="AG9:AG72" si="12">IF(V9&gt;0,U9&amp;" "&amp;"{"&amp;V$6&amp;"}","xxx")</f>
        <v>附加火焰伤害% {4}</v>
      </c>
      <c r="AH9" t="str">
        <f t="shared" ref="AH9:AH72" si="13">IF(Y9&gt;0,X9&amp;" "&amp;"{"&amp;Y$6&amp;"}","xxx")</f>
        <v>xxx</v>
      </c>
      <c r="AI9" t="str">
        <f t="shared" si="2"/>
        <v xml:space="preserve">火焰伤害 {0}%
</v>
      </c>
      <c r="AJ9" t="str">
        <f t="shared" si="3"/>
        <v xml:space="preserve">火焰减抗 {1}%
</v>
      </c>
      <c r="AK9" t="str">
        <f t="shared" si="4"/>
        <v xml:space="preserve">施加灼烧时间提升 {2}%
</v>
      </c>
      <c r="AL9" t="str">
        <f t="shared" si="5"/>
        <v xml:space="preserve">灼烧系数 {3}%
</v>
      </c>
      <c r="AM9" t="str">
        <f t="shared" ref="AM9:AM71" si="14">_xlfn.IFNA(IF(AC9="xxx","xxx",IF(VLOOKUP(U9,$BE$8:$BK$260,7,FALSE)=1,AG9&amp;CHAR(10),SUBSTITUTE(AG9,"%","")&amp;"%"&amp;CHAR(10))),"xxx")</f>
        <v xml:space="preserve">附加火焰伤害 {4}%
</v>
      </c>
      <c r="AN9" t="str">
        <f t="shared" si="6"/>
        <v>xxx</v>
      </c>
      <c r="AO9" t="str">
        <f t="shared" ref="AO9:AO72" si="15">_xlfn.CONCAT(AI9:AN9)</f>
        <v>火焰伤害 {0}%
火焰减抗 {1}%
施加灼烧时间提升 {2}%
灼烧系数 {3}%
附加火焰伤害 {4}%
xxx</v>
      </c>
      <c r="AP9" s="6" t="str">
        <f t="shared" ref="AP9:AP72" si="16">SUBSTITUTE(AO9,"xxx","")</f>
        <v xml:space="preserve">火焰伤害 {0}%
火焰减抗 {1}%
施加灼烧时间提升 {2}%
灼烧系数 {3}%
附加火焰伤害 {4}%
</v>
      </c>
      <c r="AQ9" s="80" t="s">
        <v>3305</v>
      </c>
      <c r="AR9" t="str">
        <f>IFERROR(IF(AP9="",AQ9,AP9),AP9)</f>
        <v xml:space="preserve">火焰伤害 {0}%
火焰减抗 {1}%
施加灼烧时间提升 {2}%
灼烧系数 {3}%
附加火焰伤害 {4}%
</v>
      </c>
      <c r="AS9" s="81" t="str">
        <f t="shared" ref="AS9:AS72" si="17">IF(AR9&lt;&gt;AQ9,IF(ISNUMBER(SEARCH(CHAR(10),AR9)),SUBSTITUTE(AR9,CHAR(10),"",LEN(AR9)-LEN(SUBSTITUTE(AR9,CHAR(10),""))),AR9),AR9)</f>
        <v>火焰伤害 {0}%
火焰减抗 {1}%
施加灼烧时间提升 {2}%
灼烧系数 {3}%
附加火焰伤害 {4}%</v>
      </c>
      <c r="BE9" s="46" t="s">
        <v>2942</v>
      </c>
      <c r="BF9" s="47" t="s">
        <v>2965</v>
      </c>
      <c r="BG9" s="53">
        <v>102</v>
      </c>
      <c r="BH9" s="59">
        <v>10</v>
      </c>
      <c r="BI9" s="111">
        <f t="shared" si="7"/>
        <v>7.1895424836601302E-2</v>
      </c>
      <c r="BJ9" s="59"/>
      <c r="BK9" s="18">
        <v>1</v>
      </c>
    </row>
    <row r="10" spans="3:63" ht="15.75" x14ac:dyDescent="0.3">
      <c r="C10" s="59">
        <v>14696</v>
      </c>
      <c r="D10" s="73" t="s">
        <v>109</v>
      </c>
      <c r="E10" s="73">
        <v>-1</v>
      </c>
      <c r="F10" s="73" t="s">
        <v>28</v>
      </c>
      <c r="G10" s="73"/>
      <c r="H10" s="72">
        <v>0</v>
      </c>
      <c r="I10" s="62"/>
      <c r="J10" s="63"/>
      <c r="K10" s="63"/>
      <c r="L10" s="65"/>
      <c r="M10" s="65"/>
      <c r="N10" s="65"/>
      <c r="O10" s="66"/>
      <c r="P10" s="66"/>
      <c r="Q10" s="66"/>
      <c r="R10" s="64"/>
      <c r="S10" s="64"/>
      <c r="T10" s="64"/>
      <c r="U10" s="65"/>
      <c r="V10" s="65"/>
      <c r="W10" s="65"/>
      <c r="X10" s="66"/>
      <c r="Y10" s="66"/>
      <c r="Z10" s="66"/>
      <c r="AA10" s="71" t="str">
        <f t="shared" si="1"/>
        <v>1:xxxxxxxxxxxxxxxxxx</v>
      </c>
      <c r="AB10" s="78" t="str">
        <f t="shared" ref="AB10:AB73" si="18">IF(LEFT(SUBSTITUTE(AA10,"x",""),LEN(SUBSTITUTE(AA10,"x",""))-1)="1","",LEFT(SUBSTITUTE(AA10,"x",""),LEN(SUBSTITUTE(AA10,"x",""))-1))</f>
        <v/>
      </c>
      <c r="AC10" t="str">
        <f t="shared" si="8"/>
        <v>xxx</v>
      </c>
      <c r="AD10" t="str">
        <f t="shared" si="9"/>
        <v>xxx</v>
      </c>
      <c r="AE10" t="str">
        <f t="shared" si="10"/>
        <v>xxx</v>
      </c>
      <c r="AF10" t="str">
        <f t="shared" si="11"/>
        <v>xxx</v>
      </c>
      <c r="AG10" t="str">
        <f t="shared" si="12"/>
        <v>xxx</v>
      </c>
      <c r="AH10" t="str">
        <f t="shared" si="13"/>
        <v>xxx</v>
      </c>
      <c r="AI10" t="str">
        <f t="shared" si="2"/>
        <v>xxx</v>
      </c>
      <c r="AJ10" t="str">
        <f t="shared" si="3"/>
        <v>xxx</v>
      </c>
      <c r="AK10" t="str">
        <f t="shared" si="4"/>
        <v>xxx</v>
      </c>
      <c r="AL10" t="str">
        <f t="shared" si="5"/>
        <v>xxx</v>
      </c>
      <c r="AM10" t="str">
        <f t="shared" si="14"/>
        <v>xxx</v>
      </c>
      <c r="AN10" t="str">
        <f t="shared" si="6"/>
        <v>xxx</v>
      </c>
      <c r="AO10" t="str">
        <f t="shared" si="15"/>
        <v>xxxxxxxxxxxxxxxxxx</v>
      </c>
      <c r="AP10" s="6" t="str">
        <f>SUBSTITUTE(AO10,"xxx","")</f>
        <v/>
      </c>
      <c r="AQ10" s="80" t="s">
        <v>3306</v>
      </c>
      <c r="AR10" t="str">
        <f t="shared" ref="AR10:AR73" si="19">IFERROR(IF(AP10="",AQ10,AP10),AP10)</f>
        <v>元素伤害提高 +{0}%
技能冷却缩减 {1}%
技能范围 +{2}%</v>
      </c>
      <c r="AS10" s="81" t="str">
        <f t="shared" si="17"/>
        <v>元素伤害提高 +{0}%
技能冷却缩减 {1}%
技能范围 +{2}%</v>
      </c>
      <c r="BE10" s="46" t="s">
        <v>2929</v>
      </c>
      <c r="BF10" s="47" t="s">
        <v>2965</v>
      </c>
      <c r="BG10" s="53">
        <v>103</v>
      </c>
      <c r="BH10" s="59">
        <v>10</v>
      </c>
      <c r="BI10" s="111">
        <f t="shared" si="7"/>
        <v>8.1699346405228759E-2</v>
      </c>
      <c r="BJ10" s="59"/>
      <c r="BK10" s="18">
        <v>1</v>
      </c>
    </row>
    <row r="11" spans="3:63" ht="15.75" x14ac:dyDescent="0.3">
      <c r="C11" s="59">
        <v>14697</v>
      </c>
      <c r="D11" s="59" t="s">
        <v>111</v>
      </c>
      <c r="E11" s="59">
        <v>1</v>
      </c>
      <c r="F11" s="59" t="s">
        <v>28</v>
      </c>
      <c r="G11" s="59"/>
      <c r="H11" s="72">
        <v>11</v>
      </c>
      <c r="I11" s="62" t="s">
        <v>2935</v>
      </c>
      <c r="J11" s="63">
        <v>3</v>
      </c>
      <c r="K11" s="63">
        <v>0.2</v>
      </c>
      <c r="L11" s="65" t="s">
        <v>3077</v>
      </c>
      <c r="M11" s="65">
        <v>3</v>
      </c>
      <c r="N11" s="65">
        <v>0.2</v>
      </c>
      <c r="O11" s="66" t="s">
        <v>3088</v>
      </c>
      <c r="P11" s="66">
        <v>2</v>
      </c>
      <c r="Q11" s="66">
        <v>0.2</v>
      </c>
      <c r="R11" s="64" t="s">
        <v>3089</v>
      </c>
      <c r="S11" s="64">
        <v>2</v>
      </c>
      <c r="T11" s="64">
        <v>0.2</v>
      </c>
      <c r="U11" s="65" t="s">
        <v>3087</v>
      </c>
      <c r="V11" s="65">
        <v>1</v>
      </c>
      <c r="W11" s="65"/>
      <c r="X11" s="66"/>
      <c r="Y11" s="66"/>
      <c r="Z11" s="66"/>
      <c r="AA11" s="71" t="str">
        <f t="shared" si="1"/>
        <v>1:705,48,72,702,24,36,716,8,12,717,16,24,714,10,10,xxx</v>
      </c>
      <c r="AB11" s="78" t="str">
        <f>IF(LEFT(SUBSTITUTE(AA11,"x",""),LEN(SUBSTITUTE(AA11,"x",""))-1)="1","",LEFT(SUBSTITUTE(AA11,"x",""),LEN(SUBSTITUTE(AA11,"x",""))-1))</f>
        <v>1:705,48,72,702,24,36,716,8,12,717,16,24,714,10,10</v>
      </c>
      <c r="AC11" t="str">
        <f t="shared" si="8"/>
        <v>召唤物物理伤害% {0}</v>
      </c>
      <c r="AD11" t="str">
        <f t="shared" si="9"/>
        <v>召唤物生命值% {1}</v>
      </c>
      <c r="AE11" t="str">
        <f t="shared" si="10"/>
        <v>召唤物暴击几率% {2}</v>
      </c>
      <c r="AF11" t="str">
        <f t="shared" si="11"/>
        <v>召唤物暴击伤害% {3}</v>
      </c>
      <c r="AG11" t="str">
        <f t="shared" si="12"/>
        <v>召唤物物理抗性% {4}</v>
      </c>
      <c r="AH11" t="str">
        <f t="shared" si="13"/>
        <v>xxx</v>
      </c>
      <c r="AI11" t="str">
        <f t="shared" si="2"/>
        <v xml:space="preserve">召唤物物理伤害 {0}%
</v>
      </c>
      <c r="AJ11" t="str">
        <f t="shared" si="3"/>
        <v xml:space="preserve">召唤物生命值 {1}%
</v>
      </c>
      <c r="AK11" t="str">
        <f t="shared" si="4"/>
        <v xml:space="preserve">召唤物暴击几率 {2}%
</v>
      </c>
      <c r="AL11" t="str">
        <f t="shared" si="5"/>
        <v xml:space="preserve">召唤物暴击伤害 {3}%
</v>
      </c>
      <c r="AM11" t="str">
        <f t="shared" si="14"/>
        <v xml:space="preserve">召唤物物理抗性 {4}%
</v>
      </c>
      <c r="AN11" t="str">
        <f t="shared" si="6"/>
        <v>xxx</v>
      </c>
      <c r="AO11" t="str">
        <f t="shared" si="15"/>
        <v>召唤物物理伤害 {0}%
召唤物生命值 {1}%
召唤物暴击几率 {2}%
召唤物暴击伤害 {3}%
召唤物物理抗性 {4}%
xxx</v>
      </c>
      <c r="AP11" s="6" t="str">
        <f t="shared" si="16"/>
        <v xml:space="preserve">召唤物物理伤害 {0}%
召唤物生命值 {1}%
召唤物暴击几率 {2}%
召唤物暴击伤害 {3}%
召唤物物理抗性 {4}%
</v>
      </c>
      <c r="AQ11" s="80" t="s">
        <v>3307</v>
      </c>
      <c r="AR11" t="str">
        <f t="shared" si="19"/>
        <v xml:space="preserve">召唤物物理伤害 {0}%
召唤物生命值 {1}%
召唤物暴击几率 {2}%
召唤物暴击伤害 {3}%
召唤物物理抗性 {4}%
</v>
      </c>
      <c r="AS11" s="81" t="str">
        <f t="shared" si="17"/>
        <v>召唤物物理伤害 {0}%
召唤物生命值 {1}%
召唤物暴击几率 {2}%
召唤物暴击伤害 {3}%
召唤物物理抗性 {4}%</v>
      </c>
      <c r="BE11" s="46" t="s">
        <v>2966</v>
      </c>
      <c r="BF11" s="47" t="s">
        <v>2965</v>
      </c>
      <c r="BG11" s="53">
        <v>104</v>
      </c>
      <c r="BH11" s="59">
        <v>10</v>
      </c>
      <c r="BI11" s="111">
        <f t="shared" si="7"/>
        <v>2.9411764705882349E-2</v>
      </c>
      <c r="BJ11" s="59"/>
      <c r="BK11" s="18">
        <v>1</v>
      </c>
    </row>
    <row r="12" spans="3:63" ht="15.75" x14ac:dyDescent="0.3">
      <c r="C12" s="59">
        <v>14698</v>
      </c>
      <c r="D12" s="59" t="s">
        <v>113</v>
      </c>
      <c r="E12" s="59">
        <v>6</v>
      </c>
      <c r="F12" s="59" t="s">
        <v>28</v>
      </c>
      <c r="G12" s="59"/>
      <c r="H12" s="72">
        <v>11</v>
      </c>
      <c r="I12" s="64" t="s">
        <v>3164</v>
      </c>
      <c r="J12" s="64">
        <v>3</v>
      </c>
      <c r="K12" s="64">
        <v>0.2</v>
      </c>
      <c r="L12" s="65" t="s">
        <v>3165</v>
      </c>
      <c r="M12" s="65">
        <v>3</v>
      </c>
      <c r="N12" s="65">
        <v>0</v>
      </c>
      <c r="O12" s="66" t="s">
        <v>2948</v>
      </c>
      <c r="P12" s="66">
        <v>2</v>
      </c>
      <c r="Q12" s="66">
        <v>0</v>
      </c>
      <c r="R12" s="64" t="s">
        <v>2956</v>
      </c>
      <c r="S12" s="64">
        <v>3</v>
      </c>
      <c r="T12" s="64">
        <v>0.2</v>
      </c>
      <c r="U12" s="65"/>
      <c r="V12" s="65"/>
      <c r="W12" s="65"/>
      <c r="X12" s="66"/>
      <c r="Y12" s="66"/>
      <c r="Z12" s="66"/>
      <c r="AA12" s="71" t="str">
        <f t="shared" si="1"/>
        <v>1:232,24,36,250,30,30,409,10,10,209,24,36,xxxxxx</v>
      </c>
      <c r="AB12" s="78" t="str">
        <f t="shared" si="18"/>
        <v>1:232,24,36,250,30,30,409,10,10,209,24,36</v>
      </c>
      <c r="AC12" t="str">
        <f t="shared" si="8"/>
        <v>附加混沌伤害 {0}</v>
      </c>
      <c r="AD12" t="str">
        <f t="shared" si="9"/>
        <v>施加中毒时间提升 {1}</v>
      </c>
      <c r="AE12" t="str">
        <f t="shared" si="10"/>
        <v>冷却缩减% {2}</v>
      </c>
      <c r="AF12" t="str">
        <f t="shared" si="11"/>
        <v>混沌伤害 {3}</v>
      </c>
      <c r="AG12" t="str">
        <f t="shared" si="12"/>
        <v>xxx</v>
      </c>
      <c r="AH12" t="str">
        <f t="shared" si="13"/>
        <v>xxx</v>
      </c>
      <c r="AI12" t="str">
        <f t="shared" si="2"/>
        <v xml:space="preserve">附加混沌伤害 {0}%
</v>
      </c>
      <c r="AJ12" t="str">
        <f t="shared" si="3"/>
        <v xml:space="preserve">施加中毒时间提升 {1}%
</v>
      </c>
      <c r="AK12" t="str">
        <f t="shared" si="4"/>
        <v xml:space="preserve">冷却缩减 {2}%
</v>
      </c>
      <c r="AL12" t="str">
        <f t="shared" si="5"/>
        <v xml:space="preserve">混沌伤害 {3}
</v>
      </c>
      <c r="AM12" t="str">
        <f t="shared" si="14"/>
        <v>xxx</v>
      </c>
      <c r="AN12" t="str">
        <f t="shared" si="6"/>
        <v>xxx</v>
      </c>
      <c r="AO12" t="str">
        <f t="shared" si="15"/>
        <v>附加混沌伤害 {0}%
施加中毒时间提升 {1}%
冷却缩减 {2}%
混沌伤害 {3}
xxxxxx</v>
      </c>
      <c r="AP12" s="6" t="str">
        <f t="shared" si="16"/>
        <v xml:space="preserve">附加混沌伤害 {0}%
施加中毒时间提升 {1}%
冷却缩减 {2}%
混沌伤害 {3}
</v>
      </c>
      <c r="AQ12" s="80" t="s">
        <v>3308</v>
      </c>
      <c r="AR12" t="str">
        <f t="shared" si="19"/>
        <v xml:space="preserve">附加混沌伤害 {0}%
施加中毒时间提升 {1}%
冷却缩减 {2}%
混沌伤害 {3}
</v>
      </c>
      <c r="AS12" s="81" t="str">
        <f t="shared" si="17"/>
        <v>附加混沌伤害 {0}%
施加中毒时间提升 {1}%
冷却缩减 {2}%
混沌伤害 {3}</v>
      </c>
      <c r="BE12" s="46" t="s">
        <v>2967</v>
      </c>
      <c r="BF12" s="47" t="s">
        <v>2965</v>
      </c>
      <c r="BG12" s="53">
        <v>201</v>
      </c>
      <c r="BH12" s="59">
        <v>5</v>
      </c>
      <c r="BI12" s="111">
        <f t="shared" si="7"/>
        <v>2.9411764705882349E-2</v>
      </c>
      <c r="BJ12" s="59"/>
      <c r="BK12" s="18">
        <v>1</v>
      </c>
    </row>
    <row r="13" spans="3:63" ht="30.75" customHeight="1" x14ac:dyDescent="0.3">
      <c r="C13" s="59">
        <v>14699</v>
      </c>
      <c r="D13" s="59" t="s">
        <v>115</v>
      </c>
      <c r="E13" s="59">
        <v>3</v>
      </c>
      <c r="F13" s="59" t="s">
        <v>28</v>
      </c>
      <c r="G13" s="59"/>
      <c r="H13" s="72">
        <v>12</v>
      </c>
      <c r="I13" s="64" t="s">
        <v>2937</v>
      </c>
      <c r="J13" s="64">
        <v>5</v>
      </c>
      <c r="K13" s="64">
        <v>0.2</v>
      </c>
      <c r="L13" s="65" t="s">
        <v>3245</v>
      </c>
      <c r="M13" s="65">
        <v>2</v>
      </c>
      <c r="N13" s="65">
        <v>0.2</v>
      </c>
      <c r="O13" s="66" t="s">
        <v>4139</v>
      </c>
      <c r="P13" s="66">
        <v>3</v>
      </c>
      <c r="Q13" s="66">
        <v>0.2</v>
      </c>
      <c r="R13" s="64" t="s">
        <v>3209</v>
      </c>
      <c r="S13" s="64">
        <v>2</v>
      </c>
      <c r="T13" s="64">
        <v>0.2</v>
      </c>
      <c r="U13" s="65"/>
      <c r="V13" s="65"/>
      <c r="W13" s="65"/>
      <c r="X13" s="66"/>
      <c r="Y13" s="66"/>
      <c r="Z13" s="66"/>
      <c r="AA13" s="71" t="str">
        <f t="shared" si="1"/>
        <v>1:216,40,60,225,8,12,239,24,36,432,16,24,xxxxxx</v>
      </c>
      <c r="AB13" s="78" t="str">
        <f t="shared" si="18"/>
        <v>1:216,40,60,225,8,12,239,24,36,432,16,24</v>
      </c>
      <c r="AC13" t="str">
        <f t="shared" si="8"/>
        <v>混沌伤害% {0}</v>
      </c>
      <c r="AD13" t="str">
        <f t="shared" si="9"/>
        <v>混沌减抗% {1}</v>
      </c>
      <c r="AE13" t="str">
        <f t="shared" si="10"/>
        <v>附加混沌伤害% {2}</v>
      </c>
      <c r="AF13" t="str">
        <f t="shared" si="11"/>
        <v>区域技能范围%  {3}</v>
      </c>
      <c r="AG13" t="str">
        <f t="shared" si="12"/>
        <v>xxx</v>
      </c>
      <c r="AH13" t="str">
        <f t="shared" si="13"/>
        <v>xxx</v>
      </c>
      <c r="AI13" t="str">
        <f t="shared" si="2"/>
        <v xml:space="preserve">混沌伤害 {0}%
</v>
      </c>
      <c r="AJ13" t="str">
        <f t="shared" si="3"/>
        <v xml:space="preserve">混沌减抗 {1}%
</v>
      </c>
      <c r="AK13" t="str">
        <f t="shared" si="4"/>
        <v xml:space="preserve">附加混沌伤害 {2}%
</v>
      </c>
      <c r="AL13" t="str">
        <f t="shared" si="5"/>
        <v xml:space="preserve">区域技能范围  {3}%
</v>
      </c>
      <c r="AM13" t="str">
        <f t="shared" si="14"/>
        <v>xxx</v>
      </c>
      <c r="AN13" t="str">
        <f t="shared" si="6"/>
        <v>xxx</v>
      </c>
      <c r="AO13" t="str">
        <f t="shared" si="15"/>
        <v>混沌伤害 {0}%
混沌减抗 {1}%
附加混沌伤害 {2}%
区域技能范围  {3}%
xxxxxx</v>
      </c>
      <c r="AP13" s="6" t="str">
        <f t="shared" si="16"/>
        <v xml:space="preserve">混沌伤害 {0}%
混沌减抗 {1}%
附加混沌伤害 {2}%
区域技能范围  {3}%
</v>
      </c>
      <c r="AQ13" s="93" t="s">
        <v>3587</v>
      </c>
      <c r="AR13" t="str">
        <f t="shared" si="19"/>
        <v xml:space="preserve">混沌伤害 {0}%
混沌减抗 {1}%
附加混沌伤害 {2}%
区域技能范围  {3}%
</v>
      </c>
      <c r="AS13" s="81" t="str">
        <f t="shared" si="17"/>
        <v>混沌伤害 {0}%
混沌减抗 {1}%
附加混沌伤害 {2}%
区域技能范围  {3}%</v>
      </c>
      <c r="BE13" s="46" t="s">
        <v>2930</v>
      </c>
      <c r="BF13" s="48" t="s">
        <v>2968</v>
      </c>
      <c r="BG13" s="53">
        <v>202</v>
      </c>
      <c r="BH13" s="59">
        <v>10</v>
      </c>
      <c r="BI13" s="111">
        <f t="shared" si="7"/>
        <v>3.5947712418300651E-2</v>
      </c>
      <c r="BJ13" s="59"/>
      <c r="BK13" s="18">
        <v>2</v>
      </c>
    </row>
    <row r="14" spans="3:63" ht="15.75" x14ac:dyDescent="0.3">
      <c r="C14" s="59">
        <v>14700</v>
      </c>
      <c r="D14" s="73" t="s">
        <v>117</v>
      </c>
      <c r="E14" s="73">
        <v>2</v>
      </c>
      <c r="F14" s="73" t="s">
        <v>28</v>
      </c>
      <c r="G14" s="73"/>
      <c r="H14" s="72">
        <v>0</v>
      </c>
      <c r="I14" s="64"/>
      <c r="J14" s="64"/>
      <c r="K14" s="64"/>
      <c r="L14" s="65"/>
      <c r="M14" s="65"/>
      <c r="N14" s="65"/>
      <c r="O14" s="66"/>
      <c r="P14" s="66"/>
      <c r="Q14" s="66"/>
      <c r="R14" s="64"/>
      <c r="S14" s="64"/>
      <c r="T14" s="64"/>
      <c r="U14" s="65"/>
      <c r="V14" s="65"/>
      <c r="W14" s="65"/>
      <c r="X14" s="66"/>
      <c r="Y14" s="66"/>
      <c r="Z14" s="66"/>
      <c r="AA14" s="71" t="str">
        <f t="shared" si="1"/>
        <v>1:xxxxxxxxxxxxxxxxxx</v>
      </c>
      <c r="AB14" s="78" t="str">
        <f t="shared" si="18"/>
        <v/>
      </c>
      <c r="AC14" t="str">
        <f t="shared" si="8"/>
        <v>xxx</v>
      </c>
      <c r="AD14" t="str">
        <f t="shared" si="9"/>
        <v>xxx</v>
      </c>
      <c r="AE14" t="str">
        <f t="shared" si="10"/>
        <v>xxx</v>
      </c>
      <c r="AF14" t="str">
        <f t="shared" si="11"/>
        <v>xxx</v>
      </c>
      <c r="AG14" t="str">
        <f t="shared" si="12"/>
        <v>xxx</v>
      </c>
      <c r="AH14" t="str">
        <f t="shared" si="13"/>
        <v>xxx</v>
      </c>
      <c r="AI14" t="str">
        <f t="shared" si="2"/>
        <v>xxx</v>
      </c>
      <c r="AJ14" t="str">
        <f t="shared" si="3"/>
        <v>xxx</v>
      </c>
      <c r="AK14" t="str">
        <f t="shared" si="4"/>
        <v>xxx</v>
      </c>
      <c r="AL14" t="str">
        <f t="shared" si="5"/>
        <v>xxx</v>
      </c>
      <c r="AM14" t="str">
        <f t="shared" si="14"/>
        <v>xxx</v>
      </c>
      <c r="AN14" t="str">
        <f t="shared" si="6"/>
        <v>xxx</v>
      </c>
      <c r="AO14" t="str">
        <f t="shared" si="15"/>
        <v>xxxxxxxxxxxxxxxxxx</v>
      </c>
      <c r="AP14" s="6" t="str">
        <f t="shared" si="16"/>
        <v/>
      </c>
      <c r="AQ14" s="80" t="s">
        <v>3309</v>
      </c>
      <c r="AR14" t="str">
        <f t="shared" si="19"/>
        <v>投射物数量 +{0}
投射物大小 +{1}%
投射物穿透 +1</v>
      </c>
      <c r="AS14" s="81" t="str">
        <f>IF(AR14&lt;&gt;AQ14,IF(ISNUMBER(SEARCH(CHAR(10),AR14)),SUBSTITUTE(AR14,CHAR(10),"",LEN(AR14)-LEN(SUBSTITUTE(AR14,CHAR(10),""))),AR14),AR14)</f>
        <v>投射物数量 +{0}
投射物大小 +{1}%
投射物穿透 +1</v>
      </c>
      <c r="BE14" s="46" t="s">
        <v>3220</v>
      </c>
      <c r="BF14" s="48" t="s">
        <v>2968</v>
      </c>
      <c r="BG14" s="53">
        <v>203</v>
      </c>
      <c r="BH14" s="59">
        <v>10</v>
      </c>
      <c r="BI14" s="111">
        <f t="shared" si="7"/>
        <v>1.6339869281045753E-2</v>
      </c>
      <c r="BJ14" s="59"/>
      <c r="BK14" s="18">
        <v>2</v>
      </c>
    </row>
    <row r="15" spans="3:63" ht="15.75" x14ac:dyDescent="0.3">
      <c r="C15" s="59">
        <v>14701</v>
      </c>
      <c r="D15" s="59" t="s">
        <v>119</v>
      </c>
      <c r="E15" s="59">
        <v>4</v>
      </c>
      <c r="F15" s="59" t="s">
        <v>2744</v>
      </c>
      <c r="G15" s="59"/>
      <c r="H15" s="72">
        <v>7</v>
      </c>
      <c r="I15" s="64" t="s">
        <v>2971</v>
      </c>
      <c r="J15" s="64">
        <v>2</v>
      </c>
      <c r="K15" s="64">
        <v>0.2</v>
      </c>
      <c r="L15" s="65" t="s">
        <v>2953</v>
      </c>
      <c r="M15" s="65">
        <v>2</v>
      </c>
      <c r="N15" s="65">
        <v>0.2</v>
      </c>
      <c r="O15" s="66" t="s">
        <v>2954</v>
      </c>
      <c r="P15" s="66">
        <v>1</v>
      </c>
      <c r="Q15" s="66">
        <v>0.2</v>
      </c>
      <c r="R15" s="64" t="s">
        <v>3025</v>
      </c>
      <c r="S15" s="64">
        <v>2</v>
      </c>
      <c r="T15" s="64">
        <v>0</v>
      </c>
      <c r="U15" s="65"/>
      <c r="V15" s="65"/>
      <c r="W15" s="65"/>
      <c r="X15" s="66"/>
      <c r="Y15" s="66"/>
      <c r="Z15" s="66"/>
      <c r="AA15" s="71" t="str">
        <f t="shared" si="1"/>
        <v>1:206,16,24,213,16,24,222,4,6,404,1,1,xxxxxx</v>
      </c>
      <c r="AB15" s="78" t="str">
        <f t="shared" si="18"/>
        <v>1:206,16,24,213,16,24,222,4,6,404,1,1</v>
      </c>
      <c r="AC15" t="str">
        <f t="shared" si="8"/>
        <v>冰霜伤害 {0}</v>
      </c>
      <c r="AD15" t="str">
        <f t="shared" si="9"/>
        <v>冰霜伤害% {1}</v>
      </c>
      <c r="AE15" t="str">
        <f t="shared" si="10"/>
        <v>冰霜减抗% {2}</v>
      </c>
      <c r="AF15" t="str">
        <f t="shared" si="11"/>
        <v>子弹数量 {3}</v>
      </c>
      <c r="AG15" t="str">
        <f t="shared" si="12"/>
        <v>xxx</v>
      </c>
      <c r="AH15" t="str">
        <f t="shared" si="13"/>
        <v>xxx</v>
      </c>
      <c r="AI15" t="str">
        <f t="shared" si="2"/>
        <v xml:space="preserve">冰霜伤害 {0}
</v>
      </c>
      <c r="AJ15" t="str">
        <f t="shared" si="3"/>
        <v xml:space="preserve">冰霜伤害 {1}%
</v>
      </c>
      <c r="AK15" t="str">
        <f t="shared" si="4"/>
        <v xml:space="preserve">冰霜减抗 {2}%
</v>
      </c>
      <c r="AL15" t="str">
        <f t="shared" si="5"/>
        <v xml:space="preserve">子弹数量 {3}
</v>
      </c>
      <c r="AM15" t="str">
        <f t="shared" si="14"/>
        <v>xxx</v>
      </c>
      <c r="AN15" t="str">
        <f t="shared" si="6"/>
        <v>xxx</v>
      </c>
      <c r="AO15" t="str">
        <f t="shared" si="15"/>
        <v>冰霜伤害 {0}
冰霜伤害 {1}%
冰霜减抗 {2}%
子弹数量 {3}
xxxxxx</v>
      </c>
      <c r="AP15" s="6" t="str">
        <f t="shared" si="16"/>
        <v xml:space="preserve">冰霜伤害 {0}
冰霜伤害 {1}%
冰霜减抗 {2}%
子弹数量 {3}
</v>
      </c>
      <c r="AQ15" s="80" t="s">
        <v>3310</v>
      </c>
      <c r="AR15" t="str">
        <f t="shared" si="19"/>
        <v xml:space="preserve">冰霜伤害 {0}
冰霜伤害 {1}%
冰霜减抗 {2}%
子弹数量 {3}
</v>
      </c>
      <c r="AS15" s="81" t="str">
        <f t="shared" si="17"/>
        <v>冰霜伤害 {0}
冰霜伤害 {1}%
冰霜减抗 {2}%
子弹数量 {3}</v>
      </c>
      <c r="BE15" s="46" t="s">
        <v>2955</v>
      </c>
      <c r="BF15" s="47" t="s">
        <v>2965</v>
      </c>
      <c r="BG15" s="53">
        <v>204</v>
      </c>
      <c r="BH15" s="59">
        <v>10</v>
      </c>
      <c r="BI15" s="111">
        <f t="shared" si="7"/>
        <v>2.9411764705882353E-2</v>
      </c>
      <c r="BJ15" s="59"/>
      <c r="BK15" s="18">
        <v>1</v>
      </c>
    </row>
    <row r="16" spans="3:63" ht="15.75" x14ac:dyDescent="0.3">
      <c r="C16" s="59">
        <v>14702</v>
      </c>
      <c r="D16" s="74" t="s">
        <v>121</v>
      </c>
      <c r="E16" s="74"/>
      <c r="F16" s="74" t="s">
        <v>2744</v>
      </c>
      <c r="G16" s="74"/>
      <c r="H16" s="72">
        <v>0</v>
      </c>
      <c r="I16" s="64"/>
      <c r="J16" s="64"/>
      <c r="K16" s="64"/>
      <c r="L16" s="65"/>
      <c r="M16" s="65"/>
      <c r="N16" s="65"/>
      <c r="O16" s="66"/>
      <c r="P16" s="66"/>
      <c r="Q16" s="66"/>
      <c r="R16" s="64"/>
      <c r="S16" s="64"/>
      <c r="T16" s="64"/>
      <c r="U16" s="65"/>
      <c r="V16" s="65"/>
      <c r="W16" s="65"/>
      <c r="X16" s="66"/>
      <c r="Y16" s="66"/>
      <c r="Z16" s="66"/>
      <c r="AA16" s="71" t="str">
        <f t="shared" si="1"/>
        <v>1:xxxxxxxxxxxxxxxxxx</v>
      </c>
      <c r="AB16" s="78" t="str">
        <f t="shared" si="18"/>
        <v/>
      </c>
      <c r="AC16" t="str">
        <f t="shared" si="8"/>
        <v>xxx</v>
      </c>
      <c r="AD16" t="str">
        <f t="shared" si="9"/>
        <v>xxx</v>
      </c>
      <c r="AE16" t="str">
        <f t="shared" si="10"/>
        <v>xxx</v>
      </c>
      <c r="AF16" t="str">
        <f t="shared" si="11"/>
        <v>xxx</v>
      </c>
      <c r="AG16" t="str">
        <f t="shared" si="12"/>
        <v>xxx</v>
      </c>
      <c r="AH16" t="str">
        <f t="shared" si="13"/>
        <v>xxx</v>
      </c>
      <c r="AI16" t="str">
        <f t="shared" si="2"/>
        <v>xxx</v>
      </c>
      <c r="AJ16" t="str">
        <f t="shared" si="3"/>
        <v>xxx</v>
      </c>
      <c r="AK16" t="str">
        <f t="shared" si="4"/>
        <v>xxx</v>
      </c>
      <c r="AL16" t="str">
        <f t="shared" si="5"/>
        <v>xxx</v>
      </c>
      <c r="AM16" t="str">
        <f t="shared" si="14"/>
        <v>xxx</v>
      </c>
      <c r="AN16" t="str">
        <f t="shared" si="6"/>
        <v>xxx</v>
      </c>
      <c r="AO16" t="str">
        <f t="shared" si="15"/>
        <v>xxxxxxxxxxxxxxxxxx</v>
      </c>
      <c r="AP16" s="6" t="str">
        <f t="shared" si="16"/>
        <v/>
      </c>
      <c r="AQ16" s="80" t="s">
        <v>3311</v>
      </c>
      <c r="AR16" t="str">
        <f t="shared" si="19"/>
        <v>暴击率+{0}%
对流血敌人造成的暴击伤害+40% 
武器攻击对流血敌人吸血+1</v>
      </c>
      <c r="AS16" s="81" t="str">
        <f t="shared" si="17"/>
        <v>暴击率+{0}%
对流血敌人造成的暴击伤害+40% 
武器攻击对流血敌人吸血+1</v>
      </c>
      <c r="BE16" s="46" t="s">
        <v>2970</v>
      </c>
      <c r="BF16" s="47" t="s">
        <v>2965</v>
      </c>
      <c r="BG16" s="53">
        <v>205</v>
      </c>
      <c r="BH16" s="59">
        <v>5</v>
      </c>
      <c r="BI16" s="111">
        <f t="shared" si="7"/>
        <v>3.5947712418300651E-2</v>
      </c>
      <c r="BJ16" s="59"/>
      <c r="BK16" s="18">
        <v>1</v>
      </c>
    </row>
    <row r="17" spans="3:63" ht="15.75" x14ac:dyDescent="0.3">
      <c r="C17" s="59">
        <v>14703</v>
      </c>
      <c r="D17" s="59" t="s">
        <v>122</v>
      </c>
      <c r="E17" s="59">
        <v>3</v>
      </c>
      <c r="F17" s="59" t="s">
        <v>2744</v>
      </c>
      <c r="G17" s="59"/>
      <c r="H17" s="72">
        <v>8</v>
      </c>
      <c r="I17" s="64" t="s">
        <v>2933</v>
      </c>
      <c r="J17" s="64">
        <v>1</v>
      </c>
      <c r="K17" s="64">
        <v>0.2</v>
      </c>
      <c r="L17" s="65" t="s">
        <v>3157</v>
      </c>
      <c r="M17" s="65">
        <v>2</v>
      </c>
      <c r="N17" s="65">
        <v>0.2</v>
      </c>
      <c r="O17" s="66" t="s">
        <v>3158</v>
      </c>
      <c r="P17" s="66">
        <v>2</v>
      </c>
      <c r="Q17" s="66">
        <v>0.2</v>
      </c>
      <c r="R17" s="64" t="s">
        <v>3159</v>
      </c>
      <c r="S17" s="64">
        <v>2</v>
      </c>
      <c r="T17" s="64">
        <v>0</v>
      </c>
      <c r="U17" s="65" t="s">
        <v>3160</v>
      </c>
      <c r="V17" s="65">
        <v>1</v>
      </c>
      <c r="W17" s="65">
        <v>0</v>
      </c>
      <c r="X17" s="66"/>
      <c r="Y17" s="66"/>
      <c r="Z17" s="66"/>
      <c r="AA17" s="71" t="str">
        <f t="shared" si="1"/>
        <v>1:217,8,12,249,16,24,240,16,24,601,2,2,607,1,1,xxx</v>
      </c>
      <c r="AB17" s="78" t="str">
        <f t="shared" si="18"/>
        <v>1:217,8,12,249,16,24,240,16,24,601,2,2,607,1,1</v>
      </c>
      <c r="AC17" t="str">
        <f t="shared" si="8"/>
        <v>攻击速度% {0}</v>
      </c>
      <c r="AD17" t="str">
        <f t="shared" si="9"/>
        <v>施加流血时间提升 {1}</v>
      </c>
      <c r="AE17" t="str">
        <f t="shared" si="10"/>
        <v>流血系数 {2}</v>
      </c>
      <c r="AF17" t="str">
        <f t="shared" si="11"/>
        <v>击杀加伤害 {3}</v>
      </c>
      <c r="AG17" t="str">
        <f t="shared" si="12"/>
        <v>击杀加生命值 {4}</v>
      </c>
      <c r="AH17" t="str">
        <f t="shared" si="13"/>
        <v>xxx</v>
      </c>
      <c r="AI17" t="str">
        <f t="shared" si="2"/>
        <v xml:space="preserve">攻击速度 {0}%
</v>
      </c>
      <c r="AJ17" t="str">
        <f t="shared" si="3"/>
        <v xml:space="preserve">施加流血时间提升 {1}%
</v>
      </c>
      <c r="AK17" t="str">
        <f t="shared" si="4"/>
        <v xml:space="preserve">流血系数 {2}%
</v>
      </c>
      <c r="AL17" t="str">
        <f t="shared" si="5"/>
        <v xml:space="preserve">击杀加伤害 {3}%
</v>
      </c>
      <c r="AM17" t="str">
        <f t="shared" si="14"/>
        <v xml:space="preserve">击杀加生命值 {4}
</v>
      </c>
      <c r="AN17" t="str">
        <f t="shared" si="6"/>
        <v>xxx</v>
      </c>
      <c r="AO17" t="str">
        <f t="shared" si="15"/>
        <v>攻击速度 {0}%
施加流血时间提升 {1}%
流血系数 {2}%
击杀加伤害 {3}%
击杀加生命值 {4}
xxx</v>
      </c>
      <c r="AP17" s="6" t="str">
        <f t="shared" si="16"/>
        <v xml:space="preserve">攻击速度 {0}%
施加流血时间提升 {1}%
流血系数 {2}%
击杀加伤害 {3}%
击杀加生命值 {4}
</v>
      </c>
      <c r="AQ17" s="80" t="s">
        <v>3312</v>
      </c>
      <c r="AR17" t="str">
        <f t="shared" si="19"/>
        <v xml:space="preserve">攻击速度 {0}%
施加流血时间提升 {1}%
流血系数 {2}%
击杀加伤害 {3}%
击杀加生命值 {4}
</v>
      </c>
      <c r="AS17" s="81" t="str">
        <f t="shared" si="17"/>
        <v>攻击速度 {0}%
施加流血时间提升 {1}%
流血系数 {2}%
击杀加伤害 {3}%
击杀加生命值 {4}</v>
      </c>
      <c r="BE17" s="46" t="s">
        <v>2971</v>
      </c>
      <c r="BF17" s="47" t="s">
        <v>2965</v>
      </c>
      <c r="BG17" s="53">
        <v>206</v>
      </c>
      <c r="BH17" s="59">
        <v>10</v>
      </c>
      <c r="BI17" s="111">
        <f t="shared" si="7"/>
        <v>6.2091503267973858E-2</v>
      </c>
      <c r="BJ17" s="59"/>
      <c r="BK17" s="18">
        <v>1</v>
      </c>
    </row>
    <row r="18" spans="3:63" ht="15.75" x14ac:dyDescent="0.3">
      <c r="C18" s="59">
        <v>14704</v>
      </c>
      <c r="D18" s="75" t="s">
        <v>124</v>
      </c>
      <c r="E18" s="75"/>
      <c r="F18" s="75" t="s">
        <v>2744</v>
      </c>
      <c r="G18" s="75"/>
      <c r="H18" s="72">
        <v>0</v>
      </c>
      <c r="I18" s="64"/>
      <c r="J18" s="64"/>
      <c r="K18" s="64"/>
      <c r="L18" s="65"/>
      <c r="M18" s="65"/>
      <c r="N18" s="65"/>
      <c r="O18" s="66"/>
      <c r="P18" s="66"/>
      <c r="Q18" s="66"/>
      <c r="R18" s="64"/>
      <c r="S18" s="64"/>
      <c r="T18" s="64"/>
      <c r="U18" s="65"/>
      <c r="V18" s="65"/>
      <c r="W18" s="65"/>
      <c r="X18" s="66"/>
      <c r="Y18" s="66"/>
      <c r="Z18" s="66"/>
      <c r="AA18" s="71" t="str">
        <f t="shared" si="1"/>
        <v>1:xxxxxxxxxxxxxxxxxx</v>
      </c>
      <c r="AB18" s="78" t="str">
        <f t="shared" si="18"/>
        <v/>
      </c>
      <c r="AC18" t="str">
        <f t="shared" si="8"/>
        <v>xxx</v>
      </c>
      <c r="AD18" t="str">
        <f t="shared" si="9"/>
        <v>xxx</v>
      </c>
      <c r="AE18" t="str">
        <f t="shared" si="10"/>
        <v>xxx</v>
      </c>
      <c r="AF18" t="str">
        <f t="shared" si="11"/>
        <v>xxx</v>
      </c>
      <c r="AG18" t="str">
        <f t="shared" si="12"/>
        <v>xxx</v>
      </c>
      <c r="AH18" t="str">
        <f t="shared" si="13"/>
        <v>xxx</v>
      </c>
      <c r="AI18" t="str">
        <f t="shared" si="2"/>
        <v>xxx</v>
      </c>
      <c r="AJ18" t="str">
        <f t="shared" si="3"/>
        <v>xxx</v>
      </c>
      <c r="AK18" t="str">
        <f t="shared" si="4"/>
        <v>xxx</v>
      </c>
      <c r="AL18" t="str">
        <f t="shared" si="5"/>
        <v>xxx</v>
      </c>
      <c r="AM18" t="str">
        <f t="shared" si="14"/>
        <v>xxx</v>
      </c>
      <c r="AN18" t="str">
        <f t="shared" si="6"/>
        <v>xxx</v>
      </c>
      <c r="AO18" t="str">
        <f t="shared" si="15"/>
        <v>xxxxxxxxxxxxxxxxxx</v>
      </c>
      <c r="AP18" s="6" t="str">
        <f t="shared" si="16"/>
        <v/>
      </c>
      <c r="AQ18" s="80" t="s">
        <v>3313</v>
      </c>
      <c r="AR18" t="str">
        <f t="shared" si="19"/>
        <v>力量+{0}
敏捷+{1}
智力+{2}
元素伤害+{3}%
元素抗性+{4}%</v>
      </c>
      <c r="AS18" s="81" t="str">
        <f t="shared" si="17"/>
        <v>力量+{0}
敏捷+{1}
智力+{2}
元素伤害+{3}%
元素抗性+{4}%</v>
      </c>
      <c r="BE18" s="46" t="s">
        <v>2972</v>
      </c>
      <c r="BF18" s="47" t="s">
        <v>2965</v>
      </c>
      <c r="BG18" s="53">
        <v>207</v>
      </c>
      <c r="BH18" s="59">
        <v>10</v>
      </c>
      <c r="BI18" s="111">
        <f t="shared" si="7"/>
        <v>4.9019607843137261E-2</v>
      </c>
      <c r="BJ18" s="59"/>
      <c r="BK18" s="18">
        <v>1</v>
      </c>
    </row>
    <row r="19" spans="3:63" ht="15.75" x14ac:dyDescent="0.3">
      <c r="C19" s="59">
        <v>14705</v>
      </c>
      <c r="D19" s="59" t="s">
        <v>126</v>
      </c>
      <c r="E19" s="59">
        <v>2</v>
      </c>
      <c r="F19" s="59" t="s">
        <v>2744</v>
      </c>
      <c r="G19" s="59"/>
      <c r="H19" s="72">
        <v>8</v>
      </c>
      <c r="I19" s="64" t="s">
        <v>2938</v>
      </c>
      <c r="J19" s="64">
        <v>2</v>
      </c>
      <c r="K19" s="64">
        <v>0.2</v>
      </c>
      <c r="L19" s="65" t="s">
        <v>2939</v>
      </c>
      <c r="M19" s="65">
        <v>1</v>
      </c>
      <c r="N19" s="65">
        <v>0.2</v>
      </c>
      <c r="O19" s="66" t="s">
        <v>2933</v>
      </c>
      <c r="P19" s="66">
        <v>2</v>
      </c>
      <c r="Q19" s="66">
        <v>0.2</v>
      </c>
      <c r="R19" s="64" t="s">
        <v>2973</v>
      </c>
      <c r="S19" s="64">
        <v>2</v>
      </c>
      <c r="T19" s="64">
        <v>0.2</v>
      </c>
      <c r="U19" s="65" t="s">
        <v>3161</v>
      </c>
      <c r="V19" s="65">
        <v>1</v>
      </c>
      <c r="W19" s="65">
        <v>0</v>
      </c>
      <c r="X19" s="66"/>
      <c r="Y19" s="66"/>
      <c r="Z19" s="66"/>
      <c r="AA19" s="71" t="str">
        <f t="shared" si="1"/>
        <v>1:215,16,24,224,4,6,217,16,24,208,16,24,238,10,10,xxx</v>
      </c>
      <c r="AB19" s="78" t="str">
        <f t="shared" si="18"/>
        <v>1:215,16,24,224,4,6,217,16,24,208,16,24,238,10,10</v>
      </c>
      <c r="AC19" t="str">
        <f t="shared" si="8"/>
        <v>闪电伤害% {0}</v>
      </c>
      <c r="AD19" t="str">
        <f t="shared" si="9"/>
        <v>闪电减抗% {1}</v>
      </c>
      <c r="AE19" t="str">
        <f t="shared" si="10"/>
        <v>攻击速度% {2}</v>
      </c>
      <c r="AF19" t="str">
        <f t="shared" si="11"/>
        <v>闪电伤害 {3}</v>
      </c>
      <c r="AG19" t="str">
        <f t="shared" si="12"/>
        <v>附加闪电伤害% {4}</v>
      </c>
      <c r="AH19" t="str">
        <f t="shared" si="13"/>
        <v>xxx</v>
      </c>
      <c r="AI19" t="str">
        <f t="shared" si="2"/>
        <v xml:space="preserve">闪电伤害 {0}%
</v>
      </c>
      <c r="AJ19" t="str">
        <f t="shared" si="3"/>
        <v xml:space="preserve">闪电减抗 {1}%
</v>
      </c>
      <c r="AK19" t="str">
        <f t="shared" si="4"/>
        <v xml:space="preserve">攻击速度 {2}%
</v>
      </c>
      <c r="AL19" t="str">
        <f t="shared" si="5"/>
        <v xml:space="preserve">闪电伤害 {3}
</v>
      </c>
      <c r="AM19" t="str">
        <f t="shared" si="14"/>
        <v xml:space="preserve">附加闪电伤害 {4}%
</v>
      </c>
      <c r="AN19" t="str">
        <f t="shared" si="6"/>
        <v>xxx</v>
      </c>
      <c r="AO19" t="str">
        <f t="shared" si="15"/>
        <v>闪电伤害 {0}%
闪电减抗 {1}%
攻击速度 {2}%
闪电伤害 {3}
附加闪电伤害 {4}%
xxx</v>
      </c>
      <c r="AP19" s="6" t="str">
        <f t="shared" si="16"/>
        <v xml:space="preserve">闪电伤害 {0}%
闪电减抗 {1}%
攻击速度 {2}%
闪电伤害 {3}
附加闪电伤害 {4}%
</v>
      </c>
      <c r="AQ19" s="80" t="s">
        <v>3314</v>
      </c>
      <c r="AR19" t="str">
        <f t="shared" si="19"/>
        <v xml:space="preserve">闪电伤害 {0}%
闪电减抗 {1}%
攻击速度 {2}%
闪电伤害 {3}
附加闪电伤害 {4}%
</v>
      </c>
      <c r="AS19" s="81" t="str">
        <f t="shared" si="17"/>
        <v>闪电伤害 {0}%
闪电减抗 {1}%
攻击速度 {2}%
闪电伤害 {3}
附加闪电伤害 {4}%</v>
      </c>
      <c r="BE19" s="46" t="s">
        <v>2973</v>
      </c>
      <c r="BF19" s="47" t="s">
        <v>2965</v>
      </c>
      <c r="BG19" s="53">
        <v>208</v>
      </c>
      <c r="BH19" s="59">
        <v>10</v>
      </c>
      <c r="BI19" s="111">
        <f t="shared" si="7"/>
        <v>5.22875816993464E-2</v>
      </c>
      <c r="BJ19" s="59"/>
      <c r="BK19" s="18">
        <v>1</v>
      </c>
    </row>
    <row r="20" spans="3:63" ht="15.75" x14ac:dyDescent="0.3">
      <c r="C20" s="59">
        <v>14706</v>
      </c>
      <c r="D20" s="59" t="s">
        <v>128</v>
      </c>
      <c r="E20" s="59">
        <v>1</v>
      </c>
      <c r="F20" s="59" t="s">
        <v>24</v>
      </c>
      <c r="G20" s="59"/>
      <c r="H20" s="72">
        <v>8</v>
      </c>
      <c r="I20" s="64" t="s">
        <v>3160</v>
      </c>
      <c r="J20" s="64">
        <v>5</v>
      </c>
      <c r="K20" s="64">
        <v>0.2</v>
      </c>
      <c r="L20" s="65" t="s">
        <v>3213</v>
      </c>
      <c r="M20" s="65">
        <v>2</v>
      </c>
      <c r="N20" s="65">
        <v>0</v>
      </c>
      <c r="O20" s="66" t="s">
        <v>2933</v>
      </c>
      <c r="P20" s="66">
        <v>1</v>
      </c>
      <c r="Q20" s="66">
        <v>0</v>
      </c>
      <c r="R20" s="64"/>
      <c r="S20" s="64"/>
      <c r="T20" s="64"/>
      <c r="U20" s="65"/>
      <c r="V20" s="65"/>
      <c r="W20" s="65"/>
      <c r="X20" s="66"/>
      <c r="Y20" s="66"/>
      <c r="Z20" s="66"/>
      <c r="AA20" s="71" t="str">
        <f t="shared" si="1"/>
        <v>1:607,4,6,603,0.1,0.1,217,10,10,xxxxxxxxx</v>
      </c>
      <c r="AB20" s="78" t="str">
        <f t="shared" si="18"/>
        <v>1:607,4,6,603,0.1,0.1,217,10,10</v>
      </c>
      <c r="AC20" t="str">
        <f t="shared" si="8"/>
        <v>击杀加生命值 {0}</v>
      </c>
      <c r="AD20" t="str">
        <f t="shared" si="9"/>
        <v>升级加生命回复 {1}</v>
      </c>
      <c r="AE20" t="str">
        <f t="shared" si="10"/>
        <v>攻击速度% {2}</v>
      </c>
      <c r="AF20" t="str">
        <f t="shared" si="11"/>
        <v>xxx</v>
      </c>
      <c r="AG20" t="str">
        <f t="shared" si="12"/>
        <v>xxx</v>
      </c>
      <c r="AH20" t="str">
        <f t="shared" si="13"/>
        <v>xxx</v>
      </c>
      <c r="AI20" t="str">
        <f t="shared" si="2"/>
        <v xml:space="preserve">击杀加生命值 {0}
</v>
      </c>
      <c r="AJ20" t="str">
        <f t="shared" si="3"/>
        <v xml:space="preserve">升级加生命回复 {1}
</v>
      </c>
      <c r="AK20" t="str">
        <f t="shared" si="4"/>
        <v xml:space="preserve">攻击速度 {2}%
</v>
      </c>
      <c r="AL20" t="str">
        <f t="shared" si="5"/>
        <v>xxx</v>
      </c>
      <c r="AM20" t="str">
        <f t="shared" si="14"/>
        <v>xxx</v>
      </c>
      <c r="AN20" t="str">
        <f t="shared" si="6"/>
        <v>xxx</v>
      </c>
      <c r="AO20" t="str">
        <f t="shared" si="15"/>
        <v>击杀加生命值 {0}
升级加生命回复 {1}
攻击速度 {2}%
xxxxxxxxx</v>
      </c>
      <c r="AP20" s="6" t="str">
        <f t="shared" si="16"/>
        <v xml:space="preserve">击杀加生命值 {0}
升级加生命回复 {1}
攻击速度 {2}%
</v>
      </c>
      <c r="AQ20" s="80" t="s">
        <v>3315</v>
      </c>
      <c r="AR20" t="str">
        <f t="shared" si="19"/>
        <v xml:space="preserve">击杀加生命值 {0}
升级加生命回复 {1}
攻击速度 {2}%
</v>
      </c>
      <c r="AS20" s="81" t="str">
        <f t="shared" si="17"/>
        <v>击杀加生命值 {0}
升级加生命回复 {1}
攻击速度 {2}%</v>
      </c>
      <c r="BE20" s="46" t="s">
        <v>2956</v>
      </c>
      <c r="BF20" s="47" t="s">
        <v>2965</v>
      </c>
      <c r="BG20" s="53">
        <v>209</v>
      </c>
      <c r="BH20" s="59">
        <v>10</v>
      </c>
      <c r="BI20" s="111">
        <f t="shared" si="7"/>
        <v>4.5751633986928102E-2</v>
      </c>
      <c r="BJ20" s="59"/>
      <c r="BK20" s="18">
        <v>1</v>
      </c>
    </row>
    <row r="21" spans="3:63" ht="15.75" x14ac:dyDescent="0.3">
      <c r="C21" s="59">
        <v>14707</v>
      </c>
      <c r="D21" s="59" t="s">
        <v>130</v>
      </c>
      <c r="E21" s="59"/>
      <c r="F21" s="59" t="s">
        <v>24</v>
      </c>
      <c r="G21" s="59"/>
      <c r="H21" s="72">
        <v>9</v>
      </c>
      <c r="I21" s="64" t="s">
        <v>3581</v>
      </c>
      <c r="J21" s="64">
        <v>2</v>
      </c>
      <c r="K21" s="64">
        <v>0</v>
      </c>
      <c r="L21" s="65" t="s">
        <v>3583</v>
      </c>
      <c r="M21" s="65">
        <v>2</v>
      </c>
      <c r="N21" s="65">
        <v>0</v>
      </c>
      <c r="O21" s="66" t="s">
        <v>3585</v>
      </c>
      <c r="P21" s="66">
        <v>2</v>
      </c>
      <c r="Q21" s="66">
        <v>0</v>
      </c>
      <c r="R21" s="64" t="s">
        <v>3159</v>
      </c>
      <c r="S21" s="64">
        <v>3</v>
      </c>
      <c r="T21" s="64">
        <v>0.2</v>
      </c>
      <c r="U21" s="65"/>
      <c r="V21" s="65"/>
      <c r="W21" s="65"/>
      <c r="X21" s="66"/>
      <c r="Y21" s="66"/>
      <c r="Z21" s="66"/>
      <c r="AA21" s="71" t="str">
        <f t="shared" si="1"/>
        <v>1:501,4,4,502,4,4,517,4,4,601,2.4,3.6,xxxxxx</v>
      </c>
      <c r="AB21" s="78" t="str">
        <f t="shared" si="18"/>
        <v>1:501,4,4,502,4,4,517,4,4,601,2.4,3.6</v>
      </c>
      <c r="AC21" t="str">
        <f t="shared" si="8"/>
        <v>刷新次数 {0}</v>
      </c>
      <c r="AD21" t="str">
        <f t="shared" si="9"/>
        <v>剔除次数 {1}</v>
      </c>
      <c r="AE21" t="str">
        <f t="shared" si="10"/>
        <v>锁定次数 {2}</v>
      </c>
      <c r="AF21" t="str">
        <f t="shared" si="11"/>
        <v>击杀加伤害 {3}</v>
      </c>
      <c r="AG21" t="str">
        <f t="shared" si="12"/>
        <v>xxx</v>
      </c>
      <c r="AH21" t="str">
        <f t="shared" si="13"/>
        <v>xxx</v>
      </c>
      <c r="AI21" t="str">
        <f t="shared" si="2"/>
        <v xml:space="preserve">刷新次数 {0}
</v>
      </c>
      <c r="AJ21" t="str">
        <f t="shared" si="3"/>
        <v xml:space="preserve">剔除次数 {1}
</v>
      </c>
      <c r="AK21" t="str">
        <f t="shared" si="4"/>
        <v xml:space="preserve">锁定次数 {2}
</v>
      </c>
      <c r="AL21" t="str">
        <f t="shared" si="5"/>
        <v xml:space="preserve">击杀加伤害 {3}%
</v>
      </c>
      <c r="AM21" t="str">
        <f t="shared" si="14"/>
        <v>xxx</v>
      </c>
      <c r="AN21" t="str">
        <f t="shared" si="6"/>
        <v>xxx</v>
      </c>
      <c r="AO21" t="str">
        <f t="shared" si="15"/>
        <v>刷新次数 {0}
剔除次数 {1}
锁定次数 {2}
击杀加伤害 {3}%
xxxxxx</v>
      </c>
      <c r="AP21" s="6" t="str">
        <f t="shared" si="16"/>
        <v xml:space="preserve">刷新次数 {0}
剔除次数 {1}
锁定次数 {2}
击杀加伤害 {3}%
</v>
      </c>
      <c r="AQ21" s="80" t="s">
        <v>3316</v>
      </c>
      <c r="AR21" t="str">
        <f t="shared" si="19"/>
        <v xml:space="preserve">刷新次数 {0}
剔除次数 {1}
锁定次数 {2}
击杀加伤害 {3}%
</v>
      </c>
      <c r="AS21" s="81" t="str">
        <f t="shared" si="17"/>
        <v>刷新次数 {0}
剔除次数 {1}
锁定次数 {2}
击杀加伤害 {3}%</v>
      </c>
      <c r="BE21" s="46" t="s">
        <v>2974</v>
      </c>
      <c r="BF21" s="47" t="s">
        <v>2965</v>
      </c>
      <c r="BG21" s="53">
        <v>210</v>
      </c>
      <c r="BH21" s="59">
        <v>10</v>
      </c>
      <c r="BI21" s="111">
        <f t="shared" si="7"/>
        <v>3.2679738562091504E-3</v>
      </c>
      <c r="BJ21" s="59"/>
      <c r="BK21" s="18">
        <v>1</v>
      </c>
    </row>
    <row r="22" spans="3:63" ht="15.75" x14ac:dyDescent="0.3">
      <c r="C22" s="59">
        <v>14708</v>
      </c>
      <c r="D22" s="59" t="s">
        <v>132</v>
      </c>
      <c r="E22" s="59">
        <v>3</v>
      </c>
      <c r="F22" s="59" t="s">
        <v>24</v>
      </c>
      <c r="G22" s="59"/>
      <c r="H22" s="72">
        <v>8</v>
      </c>
      <c r="I22" s="64" t="s">
        <v>3164</v>
      </c>
      <c r="J22" s="64">
        <v>2</v>
      </c>
      <c r="K22" s="64">
        <v>0.2</v>
      </c>
      <c r="L22" s="65" t="s">
        <v>3165</v>
      </c>
      <c r="M22" s="65">
        <v>2</v>
      </c>
      <c r="N22" s="65">
        <v>0.2</v>
      </c>
      <c r="O22" s="66" t="s">
        <v>3245</v>
      </c>
      <c r="P22" s="66">
        <v>2</v>
      </c>
      <c r="Q22" s="66">
        <v>0.3</v>
      </c>
      <c r="R22" s="64" t="s">
        <v>3166</v>
      </c>
      <c r="S22" s="64">
        <v>2</v>
      </c>
      <c r="T22" s="64">
        <v>0.2</v>
      </c>
      <c r="U22" s="65"/>
      <c r="V22" s="65"/>
      <c r="W22" s="65"/>
      <c r="X22" s="66"/>
      <c r="Y22" s="66"/>
      <c r="Z22" s="66"/>
      <c r="AA22" s="71" t="str">
        <f t="shared" si="1"/>
        <v>1:232,16,24,250,16,24,225,7,13,242,16,24,xxxxxx</v>
      </c>
      <c r="AB22" s="78" t="str">
        <f t="shared" si="18"/>
        <v>1:232,16,24,250,16,24,225,7,13,242,16,24</v>
      </c>
      <c r="AC22" t="str">
        <f t="shared" si="8"/>
        <v>附加混沌伤害 {0}</v>
      </c>
      <c r="AD22" t="str">
        <f t="shared" si="9"/>
        <v>施加中毒时间提升 {1}</v>
      </c>
      <c r="AE22" t="str">
        <f t="shared" si="10"/>
        <v>混沌减抗% {2}</v>
      </c>
      <c r="AF22" t="str">
        <f t="shared" si="11"/>
        <v>中毒系数 {3}</v>
      </c>
      <c r="AG22" t="str">
        <f t="shared" si="12"/>
        <v>xxx</v>
      </c>
      <c r="AH22" t="str">
        <f t="shared" si="13"/>
        <v>xxx</v>
      </c>
      <c r="AI22" t="str">
        <f t="shared" si="2"/>
        <v xml:space="preserve">附加混沌伤害 {0}%
</v>
      </c>
      <c r="AJ22" t="str">
        <f t="shared" si="3"/>
        <v xml:space="preserve">施加中毒时间提升 {1}%
</v>
      </c>
      <c r="AK22" t="str">
        <f t="shared" si="4"/>
        <v xml:space="preserve">混沌减抗 {2}%
</v>
      </c>
      <c r="AL22" t="str">
        <f t="shared" si="5"/>
        <v xml:space="preserve">中毒系数 {3}%
</v>
      </c>
      <c r="AM22" t="str">
        <f t="shared" si="14"/>
        <v>xxx</v>
      </c>
      <c r="AN22" t="str">
        <f t="shared" si="6"/>
        <v>xxx</v>
      </c>
      <c r="AO22" t="str">
        <f t="shared" si="15"/>
        <v>附加混沌伤害 {0}%
施加中毒时间提升 {1}%
混沌减抗 {2}%
中毒系数 {3}%
xxxxxx</v>
      </c>
      <c r="AP22" s="6" t="str">
        <f t="shared" si="16"/>
        <v xml:space="preserve">附加混沌伤害 {0}%
施加中毒时间提升 {1}%
混沌减抗 {2}%
中毒系数 {3}%
</v>
      </c>
      <c r="AQ22" s="80" t="s">
        <v>3317</v>
      </c>
      <c r="AR22" t="str">
        <f t="shared" si="19"/>
        <v xml:space="preserve">附加混沌伤害 {0}%
施加中毒时间提升 {1}%
混沌减抗 {2}%
中毒系数 {3}%
</v>
      </c>
      <c r="AS22" s="81" t="str">
        <f t="shared" si="17"/>
        <v>附加混沌伤害 {0}%
施加中毒时间提升 {1}%
混沌减抗 {2}%
中毒系数 {3}%</v>
      </c>
      <c r="BE22" s="46" t="s">
        <v>3201</v>
      </c>
      <c r="BF22" s="48" t="s">
        <v>2968</v>
      </c>
      <c r="BG22" s="53">
        <v>211</v>
      </c>
      <c r="BH22" s="59">
        <v>10</v>
      </c>
      <c r="BI22" s="111">
        <f t="shared" si="7"/>
        <v>4.5751633986928109E-2</v>
      </c>
      <c r="BJ22" s="59"/>
      <c r="BK22" s="18">
        <v>2</v>
      </c>
    </row>
    <row r="23" spans="3:63" ht="15.75" x14ac:dyDescent="0.3">
      <c r="C23" s="59">
        <v>14709</v>
      </c>
      <c r="D23" s="59" t="s">
        <v>134</v>
      </c>
      <c r="E23" s="59">
        <v>5</v>
      </c>
      <c r="F23" s="59" t="s">
        <v>24</v>
      </c>
      <c r="G23" s="59"/>
      <c r="H23" s="72">
        <v>8</v>
      </c>
      <c r="I23" s="64" t="s">
        <v>3173</v>
      </c>
      <c r="J23" s="64">
        <v>2</v>
      </c>
      <c r="K23" s="64">
        <v>0.2</v>
      </c>
      <c r="L23" s="65" t="s">
        <v>3253</v>
      </c>
      <c r="M23" s="65">
        <v>2</v>
      </c>
      <c r="N23" s="65">
        <v>0.2</v>
      </c>
      <c r="O23" s="66" t="s">
        <v>2928</v>
      </c>
      <c r="P23" s="66">
        <v>1</v>
      </c>
      <c r="Q23" s="66">
        <v>0.2</v>
      </c>
      <c r="R23" s="64" t="s">
        <v>2944</v>
      </c>
      <c r="S23" s="64">
        <v>1</v>
      </c>
      <c r="T23" s="64">
        <v>0.2</v>
      </c>
      <c r="U23" s="65" t="s">
        <v>3145</v>
      </c>
      <c r="V23" s="65">
        <v>2</v>
      </c>
      <c r="W23" s="65">
        <v>0.2</v>
      </c>
      <c r="X23" s="66"/>
      <c r="Y23" s="66"/>
      <c r="Z23" s="66"/>
      <c r="AA23" s="71" t="str">
        <f t="shared" si="1"/>
        <v>1:230,16,24,237,16,24,223,4,6,317,8,12,251,16,24,xxx</v>
      </c>
      <c r="AB23" s="78" t="str">
        <f t="shared" si="18"/>
        <v>1:230,16,24,237,16,24,223,4,6,317,8,12,251,16,24</v>
      </c>
      <c r="AC23" t="str">
        <f t="shared" si="8"/>
        <v>附加火焰伤害 {0}</v>
      </c>
      <c r="AD23" t="str">
        <f t="shared" si="9"/>
        <v>附加火焰伤害% {1}</v>
      </c>
      <c r="AE23" t="str">
        <f t="shared" si="10"/>
        <v>火焰减抗% {2}</v>
      </c>
      <c r="AF23" t="str">
        <f t="shared" si="11"/>
        <v>火焰抗性% {3}</v>
      </c>
      <c r="AG23" t="str">
        <f t="shared" si="12"/>
        <v>施加灼烧时间提升 {4}</v>
      </c>
      <c r="AH23" t="str">
        <f t="shared" si="13"/>
        <v>xxx</v>
      </c>
      <c r="AI23" t="str">
        <f t="shared" si="2"/>
        <v xml:space="preserve">附加火焰伤害 {0}%
</v>
      </c>
      <c r="AJ23" t="str">
        <f t="shared" si="3"/>
        <v xml:space="preserve">附加火焰伤害 {1}%
</v>
      </c>
      <c r="AK23" t="str">
        <f t="shared" si="4"/>
        <v xml:space="preserve">火焰减抗 {2}%
</v>
      </c>
      <c r="AL23" t="str">
        <f t="shared" si="5"/>
        <v xml:space="preserve">火焰抗性 {3}%
</v>
      </c>
      <c r="AM23" t="str">
        <f t="shared" si="14"/>
        <v xml:space="preserve">施加灼烧时间提升 {4}%
</v>
      </c>
      <c r="AN23" t="str">
        <f t="shared" si="6"/>
        <v>xxx</v>
      </c>
      <c r="AO23" t="str">
        <f t="shared" si="15"/>
        <v>附加火焰伤害 {0}%
附加火焰伤害 {1}%
火焰减抗 {2}%
火焰抗性 {3}%
施加灼烧时间提升 {4}%
xxx</v>
      </c>
      <c r="AP23" s="6" t="str">
        <f t="shared" si="16"/>
        <v xml:space="preserve">附加火焰伤害 {0}%
附加火焰伤害 {1}%
火焰减抗 {2}%
火焰抗性 {3}%
施加灼烧时间提升 {4}%
</v>
      </c>
      <c r="AQ23" s="80" t="s">
        <v>3318</v>
      </c>
      <c r="AR23" t="str">
        <f t="shared" si="19"/>
        <v xml:space="preserve">附加火焰伤害 {0}%
附加火焰伤害 {1}%
火焰减抗 {2}%
火焰抗性 {3}%
施加灼烧时间提升 {4}%
</v>
      </c>
      <c r="AS23" s="81" t="str">
        <f t="shared" si="17"/>
        <v>附加火焰伤害 {0}%
附加火焰伤害 {1}%
火焰减抗 {2}%
火焰抗性 {3}%
施加灼烧时间提升 {4}%</v>
      </c>
      <c r="BE23" s="46" t="s">
        <v>2927</v>
      </c>
      <c r="BF23" s="48" t="s">
        <v>2968</v>
      </c>
      <c r="BG23" s="53">
        <v>212</v>
      </c>
      <c r="BH23" s="59">
        <v>5</v>
      </c>
      <c r="BI23" s="111">
        <f t="shared" si="7"/>
        <v>3.2679738562091505E-2</v>
      </c>
      <c r="BJ23" s="59"/>
      <c r="BK23" s="18">
        <v>2</v>
      </c>
    </row>
    <row r="24" spans="3:63" ht="15.75" x14ac:dyDescent="0.3">
      <c r="C24" s="59">
        <v>14710</v>
      </c>
      <c r="D24" s="59" t="s">
        <v>136</v>
      </c>
      <c r="E24" s="59">
        <v>2</v>
      </c>
      <c r="F24" s="59" t="s">
        <v>24</v>
      </c>
      <c r="G24" s="59"/>
      <c r="H24" s="72">
        <v>8</v>
      </c>
      <c r="I24" s="64" t="s">
        <v>2933</v>
      </c>
      <c r="J24" s="64">
        <v>3</v>
      </c>
      <c r="K24" s="64">
        <v>0.2</v>
      </c>
      <c r="L24" s="65" t="s">
        <v>2942</v>
      </c>
      <c r="M24" s="65">
        <v>1</v>
      </c>
      <c r="N24" s="65">
        <v>0.2</v>
      </c>
      <c r="O24" s="66" t="s">
        <v>4140</v>
      </c>
      <c r="P24" s="66">
        <v>1</v>
      </c>
      <c r="Q24" s="66">
        <v>0.2</v>
      </c>
      <c r="R24" s="64" t="s">
        <v>2943</v>
      </c>
      <c r="S24" s="64">
        <v>1</v>
      </c>
      <c r="T24" s="64">
        <v>0.2</v>
      </c>
      <c r="U24" s="65" t="s">
        <v>2940</v>
      </c>
      <c r="V24" s="65">
        <v>1</v>
      </c>
      <c r="W24" s="65">
        <v>0.2</v>
      </c>
      <c r="X24" s="66" t="s">
        <v>2936</v>
      </c>
      <c r="Y24" s="66">
        <v>1</v>
      </c>
      <c r="Z24" s="66">
        <v>0.5</v>
      </c>
      <c r="AA24" s="71" t="str">
        <f t="shared" si="1"/>
        <v>1:217,24,36,102,8,12,228,8,12,226,8,12,412,8,12,715,5,15,</v>
      </c>
      <c r="AB24" s="78" t="str">
        <f t="shared" si="18"/>
        <v>1:217,24,36,102,8,12,228,8,12,226,8,12,412,8,12,715,5,15</v>
      </c>
      <c r="AC24" t="str">
        <f t="shared" si="8"/>
        <v>攻击速度% {0}</v>
      </c>
      <c r="AD24" t="str">
        <f t="shared" si="9"/>
        <v>敏捷 {1}</v>
      </c>
      <c r="AE24" t="str">
        <f t="shared" si="10"/>
        <v>附加物理伤害 {2}</v>
      </c>
      <c r="AF24" t="str">
        <f t="shared" si="11"/>
        <v>命中率% {3}</v>
      </c>
      <c r="AG24" t="str">
        <f t="shared" si="12"/>
        <v>移动速度% {4}</v>
      </c>
      <c r="AH24" t="str">
        <f t="shared" si="13"/>
        <v>召唤物移动速度% {5}</v>
      </c>
      <c r="AI24" t="str">
        <f t="shared" si="2"/>
        <v xml:space="preserve">攻击速度 {0}%
</v>
      </c>
      <c r="AJ24" t="str">
        <f t="shared" si="3"/>
        <v xml:space="preserve">敏捷 {1}
</v>
      </c>
      <c r="AK24" t="str">
        <f t="shared" si="4"/>
        <v xml:space="preserve">附加物理伤害 {2}%
</v>
      </c>
      <c r="AL24" t="str">
        <f t="shared" si="5"/>
        <v xml:space="preserve">命中率 {3}%
</v>
      </c>
      <c r="AM24" t="str">
        <f t="shared" si="14"/>
        <v xml:space="preserve">移动速度 {4}%
</v>
      </c>
      <c r="AN24" t="str">
        <f t="shared" si="6"/>
        <v xml:space="preserve">召唤物移动速度 {5}%
</v>
      </c>
      <c r="AO24" t="str">
        <f t="shared" si="15"/>
        <v xml:space="preserve">攻击速度 {0}%
敏捷 {1}
附加物理伤害 {2}%
命中率 {3}%
移动速度 {4}%
召唤物移动速度 {5}%
</v>
      </c>
      <c r="AP24" s="6" t="str">
        <f t="shared" si="16"/>
        <v xml:space="preserve">攻击速度 {0}%
敏捷 {1}
附加物理伤害 {2}%
命中率 {3}%
移动速度 {4}%
召唤物移动速度 {5}%
</v>
      </c>
      <c r="AQ24" s="80" t="s">
        <v>3319</v>
      </c>
      <c r="AR24" t="str">
        <f t="shared" si="19"/>
        <v xml:space="preserve">攻击速度 {0}%
敏捷 {1}
附加物理伤害 {2}%
命中率 {3}%
移动速度 {4}%
召唤物移动速度 {5}%
</v>
      </c>
      <c r="AS24" s="81" t="str">
        <f t="shared" si="17"/>
        <v>攻击速度 {0}%
敏捷 {1}
附加物理伤害 {2}%
命中率 {3}%
移动速度 {4}%
召唤物移动速度 {5}%</v>
      </c>
      <c r="BE24" s="46" t="s">
        <v>2953</v>
      </c>
      <c r="BF24" s="48" t="s">
        <v>2968</v>
      </c>
      <c r="BG24" s="53">
        <v>213</v>
      </c>
      <c r="BH24" s="59">
        <v>10</v>
      </c>
      <c r="BI24" s="111">
        <f t="shared" si="7"/>
        <v>4.9019607843137261E-2</v>
      </c>
      <c r="BJ24" s="59"/>
      <c r="BK24" s="18">
        <v>2</v>
      </c>
    </row>
    <row r="25" spans="3:63" ht="15.75" x14ac:dyDescent="0.3">
      <c r="C25" s="76">
        <v>14711</v>
      </c>
      <c r="D25" s="76" t="s">
        <v>138</v>
      </c>
      <c r="E25" s="76">
        <v>-99</v>
      </c>
      <c r="F25" s="76" t="s">
        <v>24</v>
      </c>
      <c r="G25" s="76"/>
      <c r="H25" s="72">
        <v>0</v>
      </c>
      <c r="I25" s="64"/>
      <c r="J25" s="64"/>
      <c r="K25" s="64"/>
      <c r="L25" s="65"/>
      <c r="M25" s="65"/>
      <c r="N25" s="65"/>
      <c r="O25" s="66"/>
      <c r="P25" s="66"/>
      <c r="Q25" s="66"/>
      <c r="R25" s="64"/>
      <c r="S25" s="64"/>
      <c r="T25" s="64"/>
      <c r="U25" s="65"/>
      <c r="V25" s="65"/>
      <c r="W25" s="65"/>
      <c r="X25" s="66"/>
      <c r="Y25" s="66"/>
      <c r="Z25" s="66"/>
      <c r="AA25" s="71" t="str">
        <f t="shared" si="1"/>
        <v>1:xxxxxxxxxxxxxxxxxx</v>
      </c>
      <c r="AB25" s="78" t="str">
        <f t="shared" si="18"/>
        <v/>
      </c>
      <c r="AC25" t="str">
        <f t="shared" si="8"/>
        <v>xxx</v>
      </c>
      <c r="AD25" t="str">
        <f t="shared" si="9"/>
        <v>xxx</v>
      </c>
      <c r="AE25" t="str">
        <f t="shared" si="10"/>
        <v>xxx</v>
      </c>
      <c r="AF25" t="str">
        <f t="shared" si="11"/>
        <v>xxx</v>
      </c>
      <c r="AG25" t="str">
        <f t="shared" si="12"/>
        <v>xxx</v>
      </c>
      <c r="AH25" t="str">
        <f t="shared" si="13"/>
        <v>xxx</v>
      </c>
      <c r="AI25" t="str">
        <f t="shared" si="2"/>
        <v>xxx</v>
      </c>
      <c r="AJ25" t="str">
        <f t="shared" si="3"/>
        <v>xxx</v>
      </c>
      <c r="AK25" t="str">
        <f t="shared" si="4"/>
        <v>xxx</v>
      </c>
      <c r="AL25" t="str">
        <f t="shared" si="5"/>
        <v>xxx</v>
      </c>
      <c r="AM25" t="str">
        <f t="shared" si="14"/>
        <v>xxx</v>
      </c>
      <c r="AN25" t="str">
        <f t="shared" si="6"/>
        <v>xxx</v>
      </c>
      <c r="AO25" t="str">
        <f t="shared" si="15"/>
        <v>xxxxxxxxxxxxxxxxxx</v>
      </c>
      <c r="AP25" s="6" t="str">
        <f t="shared" si="16"/>
        <v/>
      </c>
      <c r="AQ25" s="80" t="s">
        <v>3320</v>
      </c>
      <c r="AR25" t="str">
        <f t="shared" si="19"/>
        <v>获得等同物理伤害（25%~35%）的混沌伤害
武器攻击造成的中毒伤害提升（50%~100%）
武器攻击命中后，有（1%~5%）几率让你中毒</v>
      </c>
      <c r="AS25" s="81" t="str">
        <f t="shared" si="17"/>
        <v>获得等同物理伤害（25%~35%）的混沌伤害
武器攻击造成的中毒伤害提升（50%~100%）
武器攻击命中后，有（1%~5%）几率让你中毒</v>
      </c>
      <c r="BE25" s="46" t="s">
        <v>2926</v>
      </c>
      <c r="BF25" s="48" t="s">
        <v>2968</v>
      </c>
      <c r="BG25" s="53">
        <v>214</v>
      </c>
      <c r="BH25" s="59">
        <v>10</v>
      </c>
      <c r="BI25" s="111">
        <f t="shared" si="7"/>
        <v>4.9019607843137254E-2</v>
      </c>
      <c r="BJ25" s="59"/>
      <c r="BK25" s="18">
        <v>2</v>
      </c>
    </row>
    <row r="26" spans="3:63" ht="15.75" x14ac:dyDescent="0.3">
      <c r="C26" s="59">
        <v>14712</v>
      </c>
      <c r="D26" s="74" t="s">
        <v>139</v>
      </c>
      <c r="E26" s="74">
        <v>2</v>
      </c>
      <c r="F26" s="74" t="s">
        <v>22</v>
      </c>
      <c r="G26" s="74"/>
      <c r="H26" s="72">
        <v>0</v>
      </c>
      <c r="I26" s="64"/>
      <c r="J26" s="64"/>
      <c r="K26" s="64"/>
      <c r="L26" s="65"/>
      <c r="M26" s="65"/>
      <c r="N26" s="65"/>
      <c r="O26" s="66"/>
      <c r="P26" s="66"/>
      <c r="Q26" s="66"/>
      <c r="R26" s="64"/>
      <c r="S26" s="64"/>
      <c r="T26" s="64"/>
      <c r="U26" s="65"/>
      <c r="V26" s="65"/>
      <c r="W26" s="65"/>
      <c r="X26" s="66"/>
      <c r="Y26" s="66"/>
      <c r="Z26" s="66"/>
      <c r="AA26" s="71" t="str">
        <f t="shared" si="1"/>
        <v>1:xxxxxxxxxxxxxxxxxx</v>
      </c>
      <c r="AB26" s="78" t="str">
        <f t="shared" si="18"/>
        <v/>
      </c>
      <c r="AC26" t="str">
        <f t="shared" si="8"/>
        <v>xxx</v>
      </c>
      <c r="AD26" t="str">
        <f t="shared" si="9"/>
        <v>xxx</v>
      </c>
      <c r="AE26" t="str">
        <f t="shared" si="10"/>
        <v>xxx</v>
      </c>
      <c r="AF26" t="str">
        <f t="shared" si="11"/>
        <v>xxx</v>
      </c>
      <c r="AG26" t="str">
        <f t="shared" si="12"/>
        <v>xxx</v>
      </c>
      <c r="AH26" t="str">
        <f t="shared" si="13"/>
        <v>xxx</v>
      </c>
      <c r="AI26" t="str">
        <f t="shared" si="2"/>
        <v>xxx</v>
      </c>
      <c r="AJ26" t="str">
        <f t="shared" si="3"/>
        <v>xxx</v>
      </c>
      <c r="AK26" t="str">
        <f t="shared" si="4"/>
        <v>xxx</v>
      </c>
      <c r="AL26" t="str">
        <f t="shared" si="5"/>
        <v>xxx</v>
      </c>
      <c r="AM26" t="str">
        <f t="shared" si="14"/>
        <v>xxx</v>
      </c>
      <c r="AN26" t="str">
        <f t="shared" si="6"/>
        <v>xxx</v>
      </c>
      <c r="AO26" t="str">
        <f t="shared" si="15"/>
        <v>xxxxxxxxxxxxxxxxxx</v>
      </c>
      <c r="AP26" s="6" t="str">
        <f t="shared" si="16"/>
        <v/>
      </c>
      <c r="AQ26" s="80" t="s">
        <v>3321</v>
      </c>
      <c r="AR26" t="str">
        <f t="shared" si="19"/>
        <v>附加{0}闪电伤害
造成伤害时附加额外{1}%闪电伤害
攻击时30%概率触发【落雷】</v>
      </c>
      <c r="AS26" s="81" t="str">
        <f t="shared" si="17"/>
        <v>附加{0}闪电伤害
造成伤害时附加额外{1}%闪电伤害
攻击时30%概率触发【落雷】</v>
      </c>
      <c r="BE26" s="46" t="s">
        <v>2938</v>
      </c>
      <c r="BF26" s="48" t="s">
        <v>2968</v>
      </c>
      <c r="BG26" s="53">
        <v>215</v>
      </c>
      <c r="BH26" s="59">
        <v>10</v>
      </c>
      <c r="BI26" s="111">
        <f t="shared" si="7"/>
        <v>3.9215686274509803E-2</v>
      </c>
      <c r="BJ26" s="59"/>
      <c r="BK26" s="18">
        <v>2</v>
      </c>
    </row>
    <row r="27" spans="3:63" ht="15.75" x14ac:dyDescent="0.3">
      <c r="C27" s="59">
        <v>14713</v>
      </c>
      <c r="D27" s="75" t="s">
        <v>140</v>
      </c>
      <c r="E27" s="75"/>
      <c r="F27" s="75" t="s">
        <v>22</v>
      </c>
      <c r="G27" s="75"/>
      <c r="H27" s="72">
        <v>0</v>
      </c>
      <c r="I27" s="64"/>
      <c r="J27" s="64"/>
      <c r="K27" s="64"/>
      <c r="L27" s="65"/>
      <c r="M27" s="65"/>
      <c r="N27" s="65"/>
      <c r="O27" s="66"/>
      <c r="P27" s="66"/>
      <c r="Q27" s="66"/>
      <c r="R27" s="64"/>
      <c r="S27" s="64"/>
      <c r="T27" s="64"/>
      <c r="U27" s="65"/>
      <c r="V27" s="65"/>
      <c r="W27" s="65"/>
      <c r="X27" s="66"/>
      <c r="Y27" s="66"/>
      <c r="Z27" s="66"/>
      <c r="AA27" s="71" t="str">
        <f t="shared" si="1"/>
        <v>1:xxxxxxxxxxxxxxxxxx</v>
      </c>
      <c r="AB27" s="78" t="str">
        <f t="shared" si="18"/>
        <v/>
      </c>
      <c r="AC27" t="str">
        <f t="shared" si="8"/>
        <v>xxx</v>
      </c>
      <c r="AD27" t="str">
        <f t="shared" si="9"/>
        <v>xxx</v>
      </c>
      <c r="AE27" t="str">
        <f t="shared" si="10"/>
        <v>xxx</v>
      </c>
      <c r="AF27" t="str">
        <f t="shared" si="11"/>
        <v>xxx</v>
      </c>
      <c r="AG27" t="str">
        <f t="shared" si="12"/>
        <v>xxx</v>
      </c>
      <c r="AH27" t="str">
        <f t="shared" si="13"/>
        <v>xxx</v>
      </c>
      <c r="AI27" t="str">
        <f t="shared" si="2"/>
        <v>xxx</v>
      </c>
      <c r="AJ27" t="str">
        <f t="shared" si="3"/>
        <v>xxx</v>
      </c>
      <c r="AK27" t="str">
        <f t="shared" si="4"/>
        <v>xxx</v>
      </c>
      <c r="AL27" t="str">
        <f t="shared" si="5"/>
        <v>xxx</v>
      </c>
      <c r="AM27" t="str">
        <f t="shared" si="14"/>
        <v>xxx</v>
      </c>
      <c r="AN27" t="str">
        <f t="shared" si="6"/>
        <v>xxx</v>
      </c>
      <c r="AO27" t="str">
        <f t="shared" si="15"/>
        <v>xxxxxxxxxxxxxxxxxx</v>
      </c>
      <c r="AP27" s="6" t="str">
        <f t="shared" si="16"/>
        <v/>
      </c>
      <c r="AQ27" s="80" t="s">
        <v>3322</v>
      </c>
      <c r="AR27" t="str">
        <f t="shared" si="19"/>
        <v>物理伤害提高{0}%
智力永远为0</v>
      </c>
      <c r="AS27" s="81" t="str">
        <f t="shared" si="17"/>
        <v>物理伤害提高{0}%
智力永远为0</v>
      </c>
      <c r="BE27" s="46" t="s">
        <v>2937</v>
      </c>
      <c r="BF27" s="48" t="s">
        <v>2968</v>
      </c>
      <c r="BG27" s="53">
        <v>216</v>
      </c>
      <c r="BH27" s="59">
        <v>10</v>
      </c>
      <c r="BI27" s="111">
        <f t="shared" si="7"/>
        <v>2.2875816993464054E-2</v>
      </c>
      <c r="BJ27" s="59"/>
      <c r="BK27" s="18">
        <v>2</v>
      </c>
    </row>
    <row r="28" spans="3:63" ht="15.75" x14ac:dyDescent="0.3">
      <c r="C28" s="59">
        <v>14714</v>
      </c>
      <c r="D28" s="74" t="s">
        <v>141</v>
      </c>
      <c r="E28" s="74">
        <v>4</v>
      </c>
      <c r="F28" s="74" t="s">
        <v>22</v>
      </c>
      <c r="G28" s="74"/>
      <c r="H28" s="72">
        <v>0</v>
      </c>
      <c r="I28" s="64"/>
      <c r="J28" s="64"/>
      <c r="K28" s="64"/>
      <c r="L28" s="65"/>
      <c r="M28" s="65"/>
      <c r="N28" s="65"/>
      <c r="O28" s="66"/>
      <c r="P28" s="66"/>
      <c r="Q28" s="66"/>
      <c r="R28" s="64"/>
      <c r="S28" s="64"/>
      <c r="T28" s="64"/>
      <c r="U28" s="65"/>
      <c r="V28" s="65"/>
      <c r="W28" s="65"/>
      <c r="X28" s="66"/>
      <c r="Y28" s="66"/>
      <c r="Z28" s="66"/>
      <c r="AA28" s="71" t="str">
        <f t="shared" si="1"/>
        <v>1:xxxxxxxxxxxxxxxxxx</v>
      </c>
      <c r="AB28" s="78" t="str">
        <f t="shared" si="18"/>
        <v/>
      </c>
      <c r="AC28" t="str">
        <f t="shared" si="8"/>
        <v>xxx</v>
      </c>
      <c r="AD28" t="str">
        <f t="shared" si="9"/>
        <v>xxx</v>
      </c>
      <c r="AE28" t="str">
        <f t="shared" si="10"/>
        <v>xxx</v>
      </c>
      <c r="AF28" t="str">
        <f t="shared" si="11"/>
        <v>xxx</v>
      </c>
      <c r="AG28" t="str">
        <f t="shared" si="12"/>
        <v>xxx</v>
      </c>
      <c r="AH28" t="str">
        <f t="shared" si="13"/>
        <v>xxx</v>
      </c>
      <c r="AI28" t="str">
        <f t="shared" si="2"/>
        <v>xxx</v>
      </c>
      <c r="AJ28" t="str">
        <f t="shared" si="3"/>
        <v>xxx</v>
      </c>
      <c r="AK28" t="str">
        <f t="shared" si="4"/>
        <v>xxx</v>
      </c>
      <c r="AL28" t="str">
        <f t="shared" si="5"/>
        <v>xxx</v>
      </c>
      <c r="AM28" t="str">
        <f t="shared" si="14"/>
        <v>xxx</v>
      </c>
      <c r="AN28" t="str">
        <f t="shared" si="6"/>
        <v>xxx</v>
      </c>
      <c r="AO28" t="str">
        <f t="shared" si="15"/>
        <v>xxxxxxxxxxxxxxxxxx</v>
      </c>
      <c r="AP28" s="6" t="str">
        <f t="shared" si="16"/>
        <v/>
      </c>
      <c r="AQ28" s="80" t="s">
        <v>3323</v>
      </c>
      <c r="AR28" t="str">
        <f t="shared" si="19"/>
        <v>附加{0}冰霜伤害
武器攻击命中时，有30%的几率造成灼烧
灼烧伤害对冰缓敌人提高70%</v>
      </c>
      <c r="AS28" s="81" t="str">
        <f t="shared" si="17"/>
        <v>附加{0}冰霜伤害
武器攻击命中时，有30%的几率造成灼烧
灼烧伤害对冰缓敌人提高70%</v>
      </c>
      <c r="BE28" s="46" t="s">
        <v>3156</v>
      </c>
      <c r="BF28" s="48" t="s">
        <v>2968</v>
      </c>
      <c r="BG28" s="53">
        <v>217</v>
      </c>
      <c r="BH28" s="59">
        <v>10</v>
      </c>
      <c r="BI28" s="111">
        <f t="shared" si="7"/>
        <v>0.12745098039215685</v>
      </c>
      <c r="BJ28" s="59"/>
      <c r="BK28" s="18">
        <v>2</v>
      </c>
    </row>
    <row r="29" spans="3:63" ht="15.75" x14ac:dyDescent="0.3">
      <c r="C29" s="59">
        <v>14715</v>
      </c>
      <c r="D29" s="74" t="s">
        <v>3692</v>
      </c>
      <c r="E29" s="74"/>
      <c r="F29" s="74" t="s">
        <v>26</v>
      </c>
      <c r="G29" s="74"/>
      <c r="H29" s="72">
        <v>0</v>
      </c>
      <c r="I29" s="64"/>
      <c r="J29" s="64"/>
      <c r="K29" s="64"/>
      <c r="L29" s="65"/>
      <c r="M29" s="65"/>
      <c r="N29" s="65"/>
      <c r="O29" s="66"/>
      <c r="P29" s="66"/>
      <c r="Q29" s="66"/>
      <c r="R29" s="64"/>
      <c r="S29" s="64"/>
      <c r="T29" s="64"/>
      <c r="U29" s="65"/>
      <c r="V29" s="65"/>
      <c r="W29" s="65"/>
      <c r="X29" s="66"/>
      <c r="Y29" s="66"/>
      <c r="Z29" s="66"/>
      <c r="AA29" s="71" t="str">
        <f t="shared" si="1"/>
        <v>1:xxxxxxxxxxxxxxxxxx</v>
      </c>
      <c r="AB29" s="78" t="str">
        <f t="shared" si="18"/>
        <v/>
      </c>
      <c r="AC29" t="str">
        <f t="shared" si="8"/>
        <v>xxx</v>
      </c>
      <c r="AD29" t="str">
        <f t="shared" si="9"/>
        <v>xxx</v>
      </c>
      <c r="AE29" t="str">
        <f t="shared" si="10"/>
        <v>xxx</v>
      </c>
      <c r="AF29" t="str">
        <f t="shared" si="11"/>
        <v>xxx</v>
      </c>
      <c r="AG29" t="str">
        <f t="shared" si="12"/>
        <v>xxx</v>
      </c>
      <c r="AH29" t="str">
        <f t="shared" si="13"/>
        <v>xxx</v>
      </c>
      <c r="AI29" t="str">
        <f t="shared" si="2"/>
        <v>xxx</v>
      </c>
      <c r="AJ29" t="str">
        <f t="shared" si="3"/>
        <v>xxx</v>
      </c>
      <c r="AK29" t="str">
        <f t="shared" si="4"/>
        <v>xxx</v>
      </c>
      <c r="AL29" t="str">
        <f t="shared" si="5"/>
        <v>xxx</v>
      </c>
      <c r="AM29" t="str">
        <f t="shared" si="14"/>
        <v>xxx</v>
      </c>
      <c r="AN29" t="str">
        <f t="shared" si="6"/>
        <v>xxx</v>
      </c>
      <c r="AO29" t="str">
        <f t="shared" si="15"/>
        <v>xxxxxxxxxxxxxxxxxx</v>
      </c>
      <c r="AP29" s="6" t="str">
        <f t="shared" si="16"/>
        <v/>
      </c>
      <c r="AQ29" s="80" t="s">
        <v>3324</v>
      </c>
      <c r="AR29" t="str">
        <f t="shared" si="19"/>
        <v>武器攻击命中时必定造成灼烧、冻结和感电中的一种
对异常状态敌人造成的物理伤害提升50%</v>
      </c>
      <c r="AS29" s="81" t="str">
        <f t="shared" si="17"/>
        <v>武器攻击命中时必定造成灼烧、冻结和感电中的一种
对异常状态敌人造成的物理伤害提升50%</v>
      </c>
      <c r="BE29" s="46" t="s">
        <v>3781</v>
      </c>
      <c r="BF29" s="48" t="s">
        <v>2968</v>
      </c>
      <c r="BG29" s="53">
        <v>218</v>
      </c>
      <c r="BH29" s="59">
        <v>10</v>
      </c>
      <c r="BI29" s="111">
        <f t="shared" si="7"/>
        <v>1.6339869281045753E-2</v>
      </c>
      <c r="BJ29" s="59"/>
      <c r="BK29" s="18">
        <v>2</v>
      </c>
    </row>
    <row r="30" spans="3:63" ht="15.75" x14ac:dyDescent="0.3">
      <c r="C30" s="59">
        <v>14716</v>
      </c>
      <c r="D30" s="75" t="s">
        <v>142</v>
      </c>
      <c r="E30" s="75"/>
      <c r="F30" s="75" t="s">
        <v>26</v>
      </c>
      <c r="G30" s="75"/>
      <c r="H30" s="72">
        <v>0</v>
      </c>
      <c r="I30" s="64"/>
      <c r="J30" s="64"/>
      <c r="K30" s="64"/>
      <c r="L30" s="65"/>
      <c r="M30" s="65"/>
      <c r="N30" s="65"/>
      <c r="O30" s="66"/>
      <c r="P30" s="66"/>
      <c r="Q30" s="66"/>
      <c r="R30" s="64"/>
      <c r="S30" s="64"/>
      <c r="T30" s="64"/>
      <c r="U30" s="65"/>
      <c r="V30" s="65"/>
      <c r="W30" s="65"/>
      <c r="X30" s="66"/>
      <c r="Y30" s="66"/>
      <c r="Z30" s="66"/>
      <c r="AA30" s="71" t="str">
        <f t="shared" si="1"/>
        <v>1:xxxxxxxxxxxxxxxxxx</v>
      </c>
      <c r="AB30" s="78" t="str">
        <f t="shared" si="18"/>
        <v/>
      </c>
      <c r="AC30" t="str">
        <f t="shared" si="8"/>
        <v>xxx</v>
      </c>
      <c r="AD30" t="str">
        <f t="shared" si="9"/>
        <v>xxx</v>
      </c>
      <c r="AE30" t="str">
        <f t="shared" si="10"/>
        <v>xxx</v>
      </c>
      <c r="AF30" t="str">
        <f t="shared" si="11"/>
        <v>xxx</v>
      </c>
      <c r="AG30" t="str">
        <f t="shared" si="12"/>
        <v>xxx</v>
      </c>
      <c r="AH30" t="str">
        <f t="shared" si="13"/>
        <v>xxx</v>
      </c>
      <c r="AI30" t="str">
        <f t="shared" si="2"/>
        <v>xxx</v>
      </c>
      <c r="AJ30" t="str">
        <f t="shared" si="3"/>
        <v>xxx</v>
      </c>
      <c r="AK30" t="str">
        <f t="shared" si="4"/>
        <v>xxx</v>
      </c>
      <c r="AL30" t="str">
        <f t="shared" si="5"/>
        <v>xxx</v>
      </c>
      <c r="AM30" t="str">
        <f t="shared" si="14"/>
        <v>xxx</v>
      </c>
      <c r="AN30" t="str">
        <f t="shared" si="6"/>
        <v>xxx</v>
      </c>
      <c r="AO30" t="str">
        <f t="shared" si="15"/>
        <v>xxxxxxxxxxxxxxxxxx</v>
      </c>
      <c r="AP30" s="6" t="str">
        <f t="shared" si="16"/>
        <v/>
      </c>
      <c r="AQ30" s="80" t="s">
        <v>3325</v>
      </c>
      <c r="AR30" t="str">
        <f t="shared" si="19"/>
        <v>物理伤害+{0}%
暴击率+{1}%
流血伤害提高50%</v>
      </c>
      <c r="AS30" s="81" t="str">
        <f t="shared" si="17"/>
        <v>物理伤害+{0}%
暴击率+{1}%
流血伤害提高50%</v>
      </c>
      <c r="BE30" s="46" t="s">
        <v>3756</v>
      </c>
      <c r="BF30" s="48" t="s">
        <v>2968</v>
      </c>
      <c r="BG30" s="53">
        <v>219</v>
      </c>
      <c r="BH30" s="59">
        <v>10</v>
      </c>
      <c r="BI30" s="111">
        <f t="shared" si="7"/>
        <v>4.5751633986928102E-2</v>
      </c>
      <c r="BJ30" s="59"/>
      <c r="BK30" s="18">
        <v>2</v>
      </c>
    </row>
    <row r="31" spans="3:63" ht="15.75" x14ac:dyDescent="0.3">
      <c r="C31" s="59">
        <v>14717</v>
      </c>
      <c r="D31" s="59" t="s">
        <v>143</v>
      </c>
      <c r="E31" s="59">
        <v>-1</v>
      </c>
      <c r="F31" s="59" t="s">
        <v>26</v>
      </c>
      <c r="G31" s="59"/>
      <c r="H31" s="72">
        <v>12</v>
      </c>
      <c r="I31" s="64" t="s">
        <v>2931</v>
      </c>
      <c r="J31" s="64">
        <v>6</v>
      </c>
      <c r="K31" s="64">
        <v>0.2</v>
      </c>
      <c r="L31" s="65" t="s">
        <v>4141</v>
      </c>
      <c r="M31" s="65">
        <v>4</v>
      </c>
      <c r="N31" s="65">
        <v>0.2</v>
      </c>
      <c r="O31" s="66" t="s">
        <v>3180</v>
      </c>
      <c r="P31" s="66">
        <v>4</v>
      </c>
      <c r="Q31" s="66">
        <v>0.2</v>
      </c>
      <c r="R31" s="64" t="s">
        <v>3202</v>
      </c>
      <c r="S31" s="64">
        <v>2</v>
      </c>
      <c r="T31" s="64">
        <v>0</v>
      </c>
      <c r="U31" s="65" t="s">
        <v>2933</v>
      </c>
      <c r="V31" s="65">
        <v>-2</v>
      </c>
      <c r="W31" s="65">
        <v>0</v>
      </c>
      <c r="X31" s="66" t="s">
        <v>2940</v>
      </c>
      <c r="Y31" s="66">
        <v>-2</v>
      </c>
      <c r="Z31" s="66">
        <v>0</v>
      </c>
      <c r="AA31" s="71" t="str">
        <f t="shared" si="1"/>
        <v>1:211,48,72,227,16,24,300,64,96,430,20,20,217,-20,-20,412,-20,-20,</v>
      </c>
      <c r="AB31" s="78" t="str">
        <f t="shared" si="18"/>
        <v>1:211,48,72,227,16,24,300,64,96,430,20,20,217,-20,-20,412,-20,-20</v>
      </c>
      <c r="AC31" t="str">
        <f t="shared" si="8"/>
        <v>物理伤害% {0}</v>
      </c>
      <c r="AD31" t="str">
        <f t="shared" si="9"/>
        <v>物理减抗% {1}</v>
      </c>
      <c r="AE31" t="str">
        <f t="shared" si="10"/>
        <v>最大生命值 {2}</v>
      </c>
      <c r="AF31" t="str">
        <f t="shared" si="11"/>
        <v>近战技能范围% {3}</v>
      </c>
      <c r="AG31" t="str">
        <f t="shared" si="12"/>
        <v>xxx</v>
      </c>
      <c r="AH31" t="str">
        <f t="shared" si="13"/>
        <v>xxx</v>
      </c>
      <c r="AI31" t="str">
        <f t="shared" si="2"/>
        <v xml:space="preserve">物理伤害 {0}%
</v>
      </c>
      <c r="AJ31" t="str">
        <f t="shared" si="3"/>
        <v xml:space="preserve">物理减抗 {1}%
</v>
      </c>
      <c r="AK31" t="str">
        <f t="shared" si="4"/>
        <v xml:space="preserve">最大生命值 {2}
</v>
      </c>
      <c r="AL31" t="str">
        <f t="shared" si="5"/>
        <v xml:space="preserve">近战技能范围 {3}%
</v>
      </c>
      <c r="AM31" t="str">
        <f t="shared" si="14"/>
        <v xml:space="preserve">xxx%
</v>
      </c>
      <c r="AN31" t="str">
        <f t="shared" si="6"/>
        <v xml:space="preserve">xxx%
</v>
      </c>
      <c r="AO31" t="str">
        <f t="shared" si="15"/>
        <v xml:space="preserve">物理伤害 {0}%
物理减抗 {1}%
最大生命值 {2}
近战技能范围 {3}%
xxx%
xxx%
</v>
      </c>
      <c r="AP31" s="6" t="str">
        <f t="shared" si="16"/>
        <v xml:space="preserve">物理伤害 {0}%
物理减抗 {1}%
最大生命值 {2}
近战技能范围 {3}%
%
%
</v>
      </c>
      <c r="AQ31" s="80" t="s">
        <v>3326</v>
      </c>
      <c r="AR31" t="str">
        <f t="shared" si="19"/>
        <v xml:space="preserve">物理伤害 {0}%
物理减抗 {1}%
最大生命值 {2}
近战技能范围 {3}%
%
%
</v>
      </c>
      <c r="AS31" s="81" t="str">
        <f t="shared" si="17"/>
        <v>物理伤害 {0}%
物理减抗 {1}%
最大生命值 {2}
近战技能范围 {3}%
%
%</v>
      </c>
      <c r="BE31" s="46" t="s">
        <v>2932</v>
      </c>
      <c r="BF31" s="48" t="s">
        <v>2968</v>
      </c>
      <c r="BG31" s="53">
        <v>220</v>
      </c>
      <c r="BH31" s="59">
        <v>20</v>
      </c>
      <c r="BI31" s="111">
        <f t="shared" si="7"/>
        <v>4.9019607843137261E-2</v>
      </c>
      <c r="BJ31" s="59"/>
      <c r="BK31" s="18">
        <v>2</v>
      </c>
    </row>
    <row r="32" spans="3:63" ht="15.75" x14ac:dyDescent="0.3">
      <c r="C32" s="59">
        <v>14718</v>
      </c>
      <c r="D32" s="74" t="s">
        <v>3693</v>
      </c>
      <c r="E32" s="74"/>
      <c r="F32" s="74" t="s">
        <v>27</v>
      </c>
      <c r="G32" s="74"/>
      <c r="H32" s="72">
        <v>0</v>
      </c>
      <c r="I32" s="64"/>
      <c r="J32" s="64"/>
      <c r="K32" s="64"/>
      <c r="L32" s="65"/>
      <c r="M32" s="65"/>
      <c r="N32" s="65"/>
      <c r="O32" s="66"/>
      <c r="P32" s="66"/>
      <c r="Q32" s="66"/>
      <c r="R32" s="64"/>
      <c r="S32" s="64"/>
      <c r="T32" s="64"/>
      <c r="U32" s="65"/>
      <c r="V32" s="65"/>
      <c r="W32" s="65"/>
      <c r="X32" s="66"/>
      <c r="Y32" s="66"/>
      <c r="Z32" s="66"/>
      <c r="AA32" s="71" t="str">
        <f t="shared" si="1"/>
        <v>1:xxxxxxxxxxxxxxxxxx</v>
      </c>
      <c r="AB32" s="78" t="str">
        <f t="shared" si="18"/>
        <v/>
      </c>
      <c r="AC32" t="str">
        <f t="shared" si="8"/>
        <v>xxx</v>
      </c>
      <c r="AD32" t="str">
        <f t="shared" si="9"/>
        <v>xxx</v>
      </c>
      <c r="AE32" t="str">
        <f t="shared" si="10"/>
        <v>xxx</v>
      </c>
      <c r="AF32" t="str">
        <f t="shared" si="11"/>
        <v>xxx</v>
      </c>
      <c r="AG32" t="str">
        <f t="shared" si="12"/>
        <v>xxx</v>
      </c>
      <c r="AH32" t="str">
        <f t="shared" si="13"/>
        <v>xxx</v>
      </c>
      <c r="AI32" t="str">
        <f t="shared" si="2"/>
        <v>xxx</v>
      </c>
      <c r="AJ32" t="str">
        <f t="shared" si="3"/>
        <v>xxx</v>
      </c>
      <c r="AK32" t="str">
        <f t="shared" si="4"/>
        <v>xxx</v>
      </c>
      <c r="AL32" t="str">
        <f t="shared" si="5"/>
        <v>xxx</v>
      </c>
      <c r="AM32" t="str">
        <f t="shared" si="14"/>
        <v>xxx</v>
      </c>
      <c r="AN32" t="str">
        <f t="shared" si="6"/>
        <v>xxx</v>
      </c>
      <c r="AO32" t="str">
        <f t="shared" si="15"/>
        <v>xxxxxxxxxxxxxxxxxx</v>
      </c>
      <c r="AP32" s="6" t="str">
        <f t="shared" si="16"/>
        <v/>
      </c>
      <c r="AQ32" s="80" t="s">
        <v>3327</v>
      </c>
      <c r="AR32" t="str">
        <f t="shared" si="19"/>
        <v>冰霜伤害提升{0}%
击中冻结状态敌人时，触发【冰封碎片】</v>
      </c>
      <c r="AS32" s="81" t="str">
        <f t="shared" si="17"/>
        <v>冰霜伤害提升{0}%
击中冻结状态敌人时，触发【冰封碎片】</v>
      </c>
      <c r="BE32" s="46" t="s">
        <v>2975</v>
      </c>
      <c r="BF32" s="48" t="s">
        <v>2968</v>
      </c>
      <c r="BG32" s="53">
        <v>221</v>
      </c>
      <c r="BH32" s="59">
        <v>2</v>
      </c>
      <c r="BI32" s="111">
        <f t="shared" si="7"/>
        <v>1.6339869281045753E-2</v>
      </c>
      <c r="BJ32" s="59"/>
      <c r="BK32" s="18">
        <v>2</v>
      </c>
    </row>
    <row r="33" spans="3:63" ht="15.75" x14ac:dyDescent="0.3">
      <c r="C33" s="59">
        <v>14719</v>
      </c>
      <c r="D33" s="74" t="s">
        <v>145</v>
      </c>
      <c r="E33" s="74"/>
      <c r="F33" s="74" t="s">
        <v>25</v>
      </c>
      <c r="G33" s="74"/>
      <c r="H33" s="72">
        <v>0</v>
      </c>
      <c r="I33" s="64"/>
      <c r="J33" s="64"/>
      <c r="K33" s="64"/>
      <c r="L33" s="65"/>
      <c r="M33" s="65"/>
      <c r="N33" s="65"/>
      <c r="O33" s="66"/>
      <c r="P33" s="66"/>
      <c r="Q33" s="66"/>
      <c r="R33" s="64"/>
      <c r="S33" s="64"/>
      <c r="T33" s="64"/>
      <c r="U33" s="65"/>
      <c r="V33" s="65"/>
      <c r="W33" s="65"/>
      <c r="X33" s="66"/>
      <c r="Y33" s="66"/>
      <c r="Z33" s="66"/>
      <c r="AA33" s="71" t="str">
        <f t="shared" si="1"/>
        <v>1:xxxxxxxxxxxxxxxxxx</v>
      </c>
      <c r="AB33" s="78" t="str">
        <f t="shared" si="18"/>
        <v/>
      </c>
      <c r="AC33" t="str">
        <f t="shared" si="8"/>
        <v>xxx</v>
      </c>
      <c r="AD33" t="str">
        <f t="shared" si="9"/>
        <v>xxx</v>
      </c>
      <c r="AE33" t="str">
        <f t="shared" si="10"/>
        <v>xxx</v>
      </c>
      <c r="AF33" t="str">
        <f t="shared" si="11"/>
        <v>xxx</v>
      </c>
      <c r="AG33" t="str">
        <f t="shared" si="12"/>
        <v>xxx</v>
      </c>
      <c r="AH33" t="str">
        <f t="shared" si="13"/>
        <v>xxx</v>
      </c>
      <c r="AI33" t="str">
        <f t="shared" si="2"/>
        <v>xxx</v>
      </c>
      <c r="AJ33" t="str">
        <f t="shared" si="3"/>
        <v>xxx</v>
      </c>
      <c r="AK33" t="str">
        <f t="shared" si="4"/>
        <v>xxx</v>
      </c>
      <c r="AL33" t="str">
        <f t="shared" si="5"/>
        <v>xxx</v>
      </c>
      <c r="AM33" t="str">
        <f t="shared" si="14"/>
        <v>xxx</v>
      </c>
      <c r="AN33" t="str">
        <f t="shared" si="6"/>
        <v>xxx</v>
      </c>
      <c r="AO33" t="str">
        <f t="shared" si="15"/>
        <v>xxxxxxxxxxxxxxxxxx</v>
      </c>
      <c r="AP33" s="6" t="str">
        <f t="shared" si="16"/>
        <v/>
      </c>
      <c r="AQ33" s="80" t="s">
        <v>3328</v>
      </c>
      <c r="AR33" t="str">
        <f t="shared" si="19"/>
        <v>力量+{0}
暴击伤害+{1}%
对精英和首领怪物的暴击率+40%</v>
      </c>
      <c r="AS33" s="81" t="str">
        <f t="shared" si="17"/>
        <v>力量+{0}
暴击伤害+{1}%
对精英和首领怪物的暴击率+40%</v>
      </c>
      <c r="BE33" s="46" t="s">
        <v>3210</v>
      </c>
      <c r="BF33" s="48" t="s">
        <v>2968</v>
      </c>
      <c r="BG33" s="53">
        <v>222</v>
      </c>
      <c r="BH33" s="59">
        <v>5</v>
      </c>
      <c r="BI33" s="111">
        <f t="shared" si="7"/>
        <v>2.6143790849673203E-2</v>
      </c>
      <c r="BJ33" s="59"/>
      <c r="BK33" s="18">
        <v>2</v>
      </c>
    </row>
    <row r="34" spans="3:63" ht="15.75" x14ac:dyDescent="0.3">
      <c r="C34" s="59">
        <v>14720</v>
      </c>
      <c r="D34" s="74" t="s">
        <v>146</v>
      </c>
      <c r="E34" s="74">
        <v>3</v>
      </c>
      <c r="F34" s="74" t="s">
        <v>25</v>
      </c>
      <c r="G34" s="74"/>
      <c r="H34" s="72">
        <v>0</v>
      </c>
      <c r="I34" s="64"/>
      <c r="J34" s="64"/>
      <c r="K34" s="64"/>
      <c r="L34" s="65"/>
      <c r="M34" s="65"/>
      <c r="N34" s="65"/>
      <c r="O34" s="66"/>
      <c r="P34" s="66"/>
      <c r="Q34" s="66"/>
      <c r="R34" s="64"/>
      <c r="S34" s="64"/>
      <c r="T34" s="64"/>
      <c r="U34" s="65"/>
      <c r="V34" s="65"/>
      <c r="W34" s="65"/>
      <c r="X34" s="66"/>
      <c r="Y34" s="66"/>
      <c r="Z34" s="66"/>
      <c r="AA34" s="71" t="str">
        <f t="shared" si="1"/>
        <v>1:xxxxxxxxxxxxxxxxxx</v>
      </c>
      <c r="AB34" s="78" t="str">
        <f t="shared" si="18"/>
        <v/>
      </c>
      <c r="AC34" t="str">
        <f t="shared" si="8"/>
        <v>xxx</v>
      </c>
      <c r="AD34" t="str">
        <f t="shared" si="9"/>
        <v>xxx</v>
      </c>
      <c r="AE34" t="str">
        <f t="shared" si="10"/>
        <v>xxx</v>
      </c>
      <c r="AF34" t="str">
        <f t="shared" si="11"/>
        <v>xxx</v>
      </c>
      <c r="AG34" t="str">
        <f t="shared" si="12"/>
        <v>xxx</v>
      </c>
      <c r="AH34" t="str">
        <f t="shared" si="13"/>
        <v>xxx</v>
      </c>
      <c r="AI34" t="str">
        <f t="shared" si="2"/>
        <v>xxx</v>
      </c>
      <c r="AJ34" t="str">
        <f t="shared" si="3"/>
        <v>xxx</v>
      </c>
      <c r="AK34" t="str">
        <f t="shared" si="4"/>
        <v>xxx</v>
      </c>
      <c r="AL34" t="str">
        <f t="shared" si="5"/>
        <v>xxx</v>
      </c>
      <c r="AM34" t="str">
        <f t="shared" si="14"/>
        <v>xxx</v>
      </c>
      <c r="AN34" t="str">
        <f t="shared" si="6"/>
        <v>xxx</v>
      </c>
      <c r="AO34" t="str">
        <f t="shared" si="15"/>
        <v>xxxxxxxxxxxxxxxxxx</v>
      </c>
      <c r="AP34" s="6" t="str">
        <f t="shared" si="16"/>
        <v/>
      </c>
      <c r="AQ34" s="80" t="s">
        <v>3329</v>
      </c>
      <c r="AR34" t="str">
        <f t="shared" si="19"/>
        <v>武器攻击有 20% 的几率施加灼烧
武器攻击造成灼烧时，获得[狂暴]，持续2秒
自身火焰抗性减少{0}%
武器攻击有斩杀灼烧中生命低于20%敌人</v>
      </c>
      <c r="AS34" s="81" t="str">
        <f t="shared" si="17"/>
        <v>武器攻击有 20% 的几率施加灼烧
武器攻击造成灼烧时，获得[狂暴]，持续2秒
自身火焰抗性减少{0}%
武器攻击有斩杀灼烧中生命低于20%敌人</v>
      </c>
      <c r="BE34" s="46" t="s">
        <v>2928</v>
      </c>
      <c r="BF34" s="48" t="s">
        <v>2968</v>
      </c>
      <c r="BG34" s="53">
        <v>223</v>
      </c>
      <c r="BH34" s="59">
        <v>5</v>
      </c>
      <c r="BI34" s="111">
        <f t="shared" si="7"/>
        <v>3.5947712418300658E-2</v>
      </c>
      <c r="BJ34" s="59"/>
      <c r="BK34" s="18">
        <v>2</v>
      </c>
    </row>
    <row r="35" spans="3:63" ht="15.75" x14ac:dyDescent="0.3">
      <c r="C35" s="59">
        <v>14721</v>
      </c>
      <c r="D35" s="59" t="s">
        <v>147</v>
      </c>
      <c r="E35" s="59">
        <v>4</v>
      </c>
      <c r="F35" s="59" t="s">
        <v>25</v>
      </c>
      <c r="G35" s="59"/>
      <c r="H35" s="72">
        <v>12</v>
      </c>
      <c r="I35" s="64" t="s">
        <v>2971</v>
      </c>
      <c r="J35" s="64">
        <v>3</v>
      </c>
      <c r="K35" s="64">
        <v>0.2</v>
      </c>
      <c r="L35" s="65" t="s">
        <v>2953</v>
      </c>
      <c r="M35" s="65">
        <v>3</v>
      </c>
      <c r="N35" s="65">
        <v>0.2</v>
      </c>
      <c r="O35" s="66" t="s">
        <v>4142</v>
      </c>
      <c r="P35" s="66">
        <v>4</v>
      </c>
      <c r="Q35" s="66">
        <v>0</v>
      </c>
      <c r="R35" s="64" t="s">
        <v>3240</v>
      </c>
      <c r="S35" s="64">
        <v>2</v>
      </c>
      <c r="T35" s="64">
        <v>0.2</v>
      </c>
      <c r="U35" s="65"/>
      <c r="V35" s="65"/>
      <c r="W35" s="65"/>
      <c r="X35" s="66"/>
      <c r="Y35" s="66"/>
      <c r="Z35" s="66"/>
      <c r="AA35" s="71" t="str">
        <f t="shared" si="1"/>
        <v>1:206,24,36,213,24,36,405,1,1,434,16,24,xxxxxx</v>
      </c>
      <c r="AB35" s="78" t="str">
        <f t="shared" si="18"/>
        <v>1:206,24,36,213,24,36,405,1,1,434,16,24</v>
      </c>
      <c r="AC35" t="str">
        <f t="shared" si="8"/>
        <v>冰霜伤害 {0}</v>
      </c>
      <c r="AD35" t="str">
        <f t="shared" si="9"/>
        <v>冰霜伤害% {1}</v>
      </c>
      <c r="AE35" t="str">
        <f t="shared" si="10"/>
        <v>子弹穿刺 {2}</v>
      </c>
      <c r="AF35" t="str">
        <f t="shared" si="11"/>
        <v>子弹技能范围% {3}</v>
      </c>
      <c r="AG35" t="str">
        <f t="shared" si="12"/>
        <v>xxx</v>
      </c>
      <c r="AH35" t="str">
        <f t="shared" si="13"/>
        <v>xxx</v>
      </c>
      <c r="AI35" t="str">
        <f t="shared" si="2"/>
        <v xml:space="preserve">冰霜伤害 {0}
</v>
      </c>
      <c r="AJ35" t="str">
        <f t="shared" si="3"/>
        <v xml:space="preserve">冰霜伤害 {1}%
</v>
      </c>
      <c r="AK35" t="str">
        <f t="shared" si="4"/>
        <v xml:space="preserve">子弹穿刺 {2}
</v>
      </c>
      <c r="AL35" t="str">
        <f t="shared" si="5"/>
        <v xml:space="preserve">子弹技能范围 {3}%
</v>
      </c>
      <c r="AM35" t="str">
        <f t="shared" si="14"/>
        <v>xxx</v>
      </c>
      <c r="AN35" t="str">
        <f t="shared" si="6"/>
        <v>xxx</v>
      </c>
      <c r="AO35" t="str">
        <f t="shared" si="15"/>
        <v>冰霜伤害 {0}
冰霜伤害 {1}%
子弹穿刺 {2}
子弹技能范围 {3}%
xxxxxx</v>
      </c>
      <c r="AP35" s="6" t="str">
        <f t="shared" si="16"/>
        <v xml:space="preserve">冰霜伤害 {0}
冰霜伤害 {1}%
子弹穿刺 {2}
子弹技能范围 {3}%
</v>
      </c>
      <c r="AQ35" s="80" t="s">
        <v>3330</v>
      </c>
      <c r="AR35" t="str">
        <f t="shared" si="19"/>
        <v xml:space="preserve">冰霜伤害 {0}
冰霜伤害 {1}%
子弹穿刺 {2}
子弹技能范围 {3}%
</v>
      </c>
      <c r="AS35" s="81" t="str">
        <f t="shared" si="17"/>
        <v>冰霜伤害 {0}
冰霜伤害 {1}%
子弹穿刺 {2}
子弹技能范围 {3}%</v>
      </c>
      <c r="BE35" s="46" t="s">
        <v>2939</v>
      </c>
      <c r="BF35" s="48" t="s">
        <v>2968</v>
      </c>
      <c r="BG35" s="53">
        <v>224</v>
      </c>
      <c r="BH35" s="59">
        <v>5</v>
      </c>
      <c r="BI35" s="111">
        <f t="shared" si="7"/>
        <v>1.9607843137254902E-2</v>
      </c>
      <c r="BJ35" s="59"/>
      <c r="BK35" s="18">
        <v>2</v>
      </c>
    </row>
    <row r="36" spans="3:63" ht="15.75" x14ac:dyDescent="0.3">
      <c r="C36" s="59">
        <v>14722</v>
      </c>
      <c r="D36" s="59" t="s">
        <v>338</v>
      </c>
      <c r="E36" s="59">
        <v>1</v>
      </c>
      <c r="F36" s="59" t="s">
        <v>25</v>
      </c>
      <c r="G36" s="59"/>
      <c r="H36" s="72">
        <v>12</v>
      </c>
      <c r="I36" s="64" t="s">
        <v>2955</v>
      </c>
      <c r="J36" s="64">
        <v>6</v>
      </c>
      <c r="K36" s="64">
        <v>0.2</v>
      </c>
      <c r="L36" s="65" t="s">
        <v>2930</v>
      </c>
      <c r="M36" s="65">
        <v>4</v>
      </c>
      <c r="N36" s="65">
        <v>0.2</v>
      </c>
      <c r="O36" s="66" t="s">
        <v>2943</v>
      </c>
      <c r="P36" s="66">
        <v>4</v>
      </c>
      <c r="Q36" s="66">
        <v>0.2</v>
      </c>
      <c r="R36" s="64" t="s">
        <v>2933</v>
      </c>
      <c r="S36" s="64">
        <v>-2</v>
      </c>
      <c r="T36" s="64">
        <v>0.2</v>
      </c>
      <c r="U36" s="65"/>
      <c r="V36" s="65"/>
      <c r="W36" s="65"/>
      <c r="X36" s="66"/>
      <c r="Y36" s="66"/>
      <c r="Z36" s="66"/>
      <c r="AA36" s="71" t="str">
        <f t="shared" si="1"/>
        <v>1:204,48,72,202,32,48,226,32,48,217,-16,-24,xxxxxx</v>
      </c>
      <c r="AB36" s="78" t="str">
        <f t="shared" si="18"/>
        <v>1:204,48,72,202,32,48,226,32,48,217,-16,-24</v>
      </c>
      <c r="AC36" t="str">
        <f t="shared" si="8"/>
        <v>物理伤害 {0}</v>
      </c>
      <c r="AD36" t="str">
        <f t="shared" si="9"/>
        <v>所有伤害增加% {1}</v>
      </c>
      <c r="AE36" t="str">
        <f t="shared" si="10"/>
        <v>命中率% {2}</v>
      </c>
      <c r="AF36" t="str">
        <f t="shared" si="11"/>
        <v>xxx</v>
      </c>
      <c r="AG36" t="str">
        <f t="shared" si="12"/>
        <v>xxx</v>
      </c>
      <c r="AH36" t="str">
        <f t="shared" si="13"/>
        <v>xxx</v>
      </c>
      <c r="AI36" t="str">
        <f t="shared" si="2"/>
        <v xml:space="preserve">物理伤害 {0}
</v>
      </c>
      <c r="AJ36" t="str">
        <f t="shared" si="3"/>
        <v xml:space="preserve">所有伤害增加 {1}%
</v>
      </c>
      <c r="AK36" t="str">
        <f t="shared" si="4"/>
        <v xml:space="preserve">命中率 {2}%
</v>
      </c>
      <c r="AL36" t="str">
        <f t="shared" si="5"/>
        <v xml:space="preserve">xxx%
</v>
      </c>
      <c r="AM36" t="str">
        <f t="shared" si="14"/>
        <v>xxx</v>
      </c>
      <c r="AN36" t="str">
        <f t="shared" si="6"/>
        <v>xxx</v>
      </c>
      <c r="AO36" t="str">
        <f t="shared" si="15"/>
        <v>物理伤害 {0}
所有伤害增加 {1}%
命中率 {2}%
xxx%
xxxxxx</v>
      </c>
      <c r="AP36" s="6" t="str">
        <f t="shared" si="16"/>
        <v xml:space="preserve">物理伤害 {0}
所有伤害增加 {1}%
命中率 {2}%
%
</v>
      </c>
      <c r="AQ36" s="80" t="s">
        <v>3331</v>
      </c>
      <c r="AR36" t="str">
        <f t="shared" si="19"/>
        <v xml:space="preserve">物理伤害 {0}
所有伤害增加 {1}%
命中率 {2}%
%
</v>
      </c>
      <c r="AS36" s="81" t="str">
        <f t="shared" si="17"/>
        <v>物理伤害 {0}
所有伤害增加 {1}%
命中率 {2}%
%</v>
      </c>
      <c r="BE36" s="46" t="s">
        <v>3151</v>
      </c>
      <c r="BF36" s="48" t="s">
        <v>2968</v>
      </c>
      <c r="BG36" s="53">
        <v>225</v>
      </c>
      <c r="BH36" s="59">
        <v>5</v>
      </c>
      <c r="BI36" s="111">
        <f t="shared" si="7"/>
        <v>3.9215686274509803E-2</v>
      </c>
      <c r="BJ36" s="59"/>
      <c r="BK36" s="18">
        <v>2</v>
      </c>
    </row>
    <row r="37" spans="3:63" ht="15.75" x14ac:dyDescent="0.3">
      <c r="C37" s="59">
        <v>14723</v>
      </c>
      <c r="D37" s="59" t="s">
        <v>340</v>
      </c>
      <c r="E37" s="59">
        <v>6</v>
      </c>
      <c r="F37" s="59" t="s">
        <v>25</v>
      </c>
      <c r="G37" s="59"/>
      <c r="H37" s="72">
        <v>12</v>
      </c>
      <c r="I37" s="64" t="s">
        <v>3159</v>
      </c>
      <c r="J37" s="64">
        <v>5</v>
      </c>
      <c r="K37" s="64">
        <v>0.2</v>
      </c>
      <c r="L37" s="65" t="s">
        <v>2943</v>
      </c>
      <c r="M37" s="65">
        <v>3</v>
      </c>
      <c r="N37" s="65">
        <v>0.2</v>
      </c>
      <c r="O37" s="66" t="s">
        <v>4143</v>
      </c>
      <c r="P37" s="66">
        <v>3</v>
      </c>
      <c r="Q37" s="66">
        <v>0.2</v>
      </c>
      <c r="R37" s="64" t="s">
        <v>3224</v>
      </c>
      <c r="S37" s="64">
        <v>1</v>
      </c>
      <c r="T37" s="64">
        <v>0.2</v>
      </c>
      <c r="U37" s="65"/>
      <c r="V37" s="65"/>
      <c r="W37" s="65"/>
      <c r="X37" s="66"/>
      <c r="Y37" s="66"/>
      <c r="Z37" s="66"/>
      <c r="AA37" s="71" t="str">
        <f t="shared" si="1"/>
        <v>1:601,4,6,226,24,36,422,24,36,257,8,12,xxxxxx</v>
      </c>
      <c r="AB37" s="78" t="str">
        <f>IF(LEFT(SUBSTITUTE(AA37,"x",""),LEN(SUBSTITUTE(AA37,"x",""))-1)="1","",LEFT(SUBSTITUTE(AA37,"x",""),LEN(SUBSTITUTE(AA37,"x",""))-1))</f>
        <v>1:601,4,6,226,24,36,422,24,36,257,8,12</v>
      </c>
      <c r="AC37" t="str">
        <f t="shared" si="8"/>
        <v>击杀加伤害 {0}</v>
      </c>
      <c r="AD37" t="str">
        <f t="shared" si="9"/>
        <v>命中率% {1}</v>
      </c>
      <c r="AE37" t="str">
        <f t="shared" si="10"/>
        <v>击杀掉落经验碎片 {2}</v>
      </c>
      <c r="AF37" t="str">
        <f t="shared" si="11"/>
        <v>暴击率增幅 {3}</v>
      </c>
      <c r="AG37" t="str">
        <f t="shared" si="12"/>
        <v>xxx</v>
      </c>
      <c r="AH37" t="str">
        <f t="shared" si="13"/>
        <v>xxx</v>
      </c>
      <c r="AI37" t="str">
        <f t="shared" si="2"/>
        <v xml:space="preserve">击杀加伤害 {0}%
</v>
      </c>
      <c r="AJ37" t="str">
        <f t="shared" si="3"/>
        <v xml:space="preserve">命中率 {1}%
</v>
      </c>
      <c r="AK37" t="str">
        <f t="shared" si="4"/>
        <v xml:space="preserve">击杀掉落经验碎片 {2}%
</v>
      </c>
      <c r="AL37" t="str">
        <f t="shared" si="5"/>
        <v xml:space="preserve">暴击率增幅 {3}%
</v>
      </c>
      <c r="AM37" t="str">
        <f t="shared" si="14"/>
        <v>xxx</v>
      </c>
      <c r="AN37" t="str">
        <f t="shared" si="6"/>
        <v>xxx</v>
      </c>
      <c r="AO37" t="str">
        <f t="shared" si="15"/>
        <v>击杀加伤害 {0}%
命中率 {1}%
击杀掉落经验碎片 {2}%
暴击率增幅 {3}%
xxxxxx</v>
      </c>
      <c r="AP37" s="6" t="str">
        <f t="shared" si="16"/>
        <v xml:space="preserve">击杀加伤害 {0}%
命中率 {1}%
击杀掉落经验碎片 {2}%
暴击率增幅 {3}%
</v>
      </c>
      <c r="AQ37" s="80" t="s">
        <v>3332</v>
      </c>
      <c r="AR37" t="str">
        <f t="shared" si="19"/>
        <v xml:space="preserve">击杀加伤害 {0}%
命中率 {1}%
击杀掉落经验碎片 {2}%
暴击率增幅 {3}%
</v>
      </c>
      <c r="AS37" s="81" t="str">
        <f t="shared" si="17"/>
        <v>击杀加伤害 {0}%
命中率 {1}%
击杀掉落经验碎片 {2}%
暴击率增幅 {3}%</v>
      </c>
      <c r="BE37" s="46" t="s">
        <v>3183</v>
      </c>
      <c r="BF37" s="48" t="s">
        <v>2968</v>
      </c>
      <c r="BG37" s="53">
        <v>226</v>
      </c>
      <c r="BH37" s="59">
        <v>10</v>
      </c>
      <c r="BI37" s="111">
        <f t="shared" si="7"/>
        <v>5.8823529411764705E-2</v>
      </c>
      <c r="BJ37" s="59"/>
      <c r="BK37" s="18">
        <v>2</v>
      </c>
    </row>
    <row r="38" spans="3:63" ht="15.75" x14ac:dyDescent="0.3">
      <c r="C38" s="59">
        <v>14724</v>
      </c>
      <c r="D38" s="75" t="s">
        <v>3694</v>
      </c>
      <c r="E38" s="75"/>
      <c r="F38" s="75" t="s">
        <v>2745</v>
      </c>
      <c r="G38" s="75"/>
      <c r="H38" s="72">
        <v>0</v>
      </c>
      <c r="I38" s="64"/>
      <c r="J38" s="64"/>
      <c r="K38" s="64"/>
      <c r="L38" s="65"/>
      <c r="M38" s="65"/>
      <c r="N38" s="65"/>
      <c r="O38" s="66"/>
      <c r="P38" s="66"/>
      <c r="Q38" s="66"/>
      <c r="R38" s="64"/>
      <c r="S38" s="64"/>
      <c r="T38" s="64"/>
      <c r="U38" s="65"/>
      <c r="V38" s="65"/>
      <c r="W38" s="65"/>
      <c r="X38" s="66"/>
      <c r="Y38" s="66"/>
      <c r="Z38" s="66"/>
      <c r="AA38" s="71" t="str">
        <f t="shared" si="1"/>
        <v>1:xxxxxxxxxxxxxxxxxx</v>
      </c>
      <c r="AB38" s="78" t="str">
        <f t="shared" si="18"/>
        <v/>
      </c>
      <c r="AC38" t="str">
        <f t="shared" si="8"/>
        <v>xxx</v>
      </c>
      <c r="AD38" t="str">
        <f t="shared" si="9"/>
        <v>xxx</v>
      </c>
      <c r="AE38" t="str">
        <f t="shared" si="10"/>
        <v>xxx</v>
      </c>
      <c r="AF38" t="str">
        <f t="shared" si="11"/>
        <v>xxx</v>
      </c>
      <c r="AG38" t="str">
        <f t="shared" si="12"/>
        <v>xxx</v>
      </c>
      <c r="AH38" t="str">
        <f t="shared" si="13"/>
        <v>xxx</v>
      </c>
      <c r="AI38" t="str">
        <f t="shared" si="2"/>
        <v>xxx</v>
      </c>
      <c r="AJ38" t="str">
        <f t="shared" si="3"/>
        <v>xxx</v>
      </c>
      <c r="AK38" t="str">
        <f t="shared" si="4"/>
        <v>xxx</v>
      </c>
      <c r="AL38" t="str">
        <f t="shared" si="5"/>
        <v>xxx</v>
      </c>
      <c r="AM38" t="str">
        <f t="shared" si="14"/>
        <v>xxx</v>
      </c>
      <c r="AN38" t="str">
        <f t="shared" si="6"/>
        <v>xxx</v>
      </c>
      <c r="AO38" t="str">
        <f t="shared" si="15"/>
        <v>xxxxxxxxxxxxxxxxxx</v>
      </c>
      <c r="AP38" s="6" t="str">
        <f t="shared" si="16"/>
        <v/>
      </c>
      <c r="AQ38" s="80" t="s">
        <v>3333</v>
      </c>
      <c r="AR38" t="str">
        <f t="shared" si="19"/>
        <v>自身元素抗性减少{0}%
元素伤害提升{1}%</v>
      </c>
      <c r="AS38" s="81" t="str">
        <f t="shared" si="17"/>
        <v>自身元素抗性减少{0}%
元素伤害提升{1}%</v>
      </c>
      <c r="BE38" s="46" t="s">
        <v>2976</v>
      </c>
      <c r="BF38" s="48" t="s">
        <v>2968</v>
      </c>
      <c r="BG38" s="53">
        <v>227</v>
      </c>
      <c r="BH38" s="59">
        <v>5</v>
      </c>
      <c r="BI38" s="111">
        <f t="shared" si="7"/>
        <v>1.9607843137254902E-2</v>
      </c>
      <c r="BJ38" s="59"/>
      <c r="BK38" s="18">
        <v>2</v>
      </c>
    </row>
    <row r="39" spans="3:63" ht="15.75" x14ac:dyDescent="0.3">
      <c r="C39" s="59">
        <v>14725</v>
      </c>
      <c r="D39" s="59" t="s">
        <v>149</v>
      </c>
      <c r="E39" s="59"/>
      <c r="F39" s="59" t="s">
        <v>2745</v>
      </c>
      <c r="G39" s="59"/>
      <c r="H39" s="72">
        <v>13</v>
      </c>
      <c r="I39" s="64" t="s">
        <v>3077</v>
      </c>
      <c r="J39" s="64">
        <v>2</v>
      </c>
      <c r="K39" s="64">
        <v>0.2</v>
      </c>
      <c r="L39" s="65" t="s">
        <v>3188</v>
      </c>
      <c r="M39" s="65">
        <v>5</v>
      </c>
      <c r="N39" s="65">
        <v>0.2</v>
      </c>
      <c r="O39" s="66" t="s">
        <v>3235</v>
      </c>
      <c r="P39" s="66">
        <v>2</v>
      </c>
      <c r="Q39" s="66">
        <v>0</v>
      </c>
      <c r="R39" s="64" t="s">
        <v>3241</v>
      </c>
      <c r="S39" s="64">
        <v>2</v>
      </c>
      <c r="T39" s="64">
        <v>0</v>
      </c>
      <c r="U39" s="65" t="s">
        <v>4144</v>
      </c>
      <c r="V39" s="65">
        <v>2</v>
      </c>
      <c r="W39" s="65">
        <v>0</v>
      </c>
      <c r="X39" s="66"/>
      <c r="Y39" s="66"/>
      <c r="Z39" s="66"/>
      <c r="AA39" s="71" t="str">
        <f t="shared" si="1"/>
        <v>1:702,16,24,719,4,6,706,40,40,707,40,40,708,40,40,xxx</v>
      </c>
      <c r="AB39" s="78" t="str">
        <f t="shared" si="18"/>
        <v>1:702,16,24,719,4,6,706,40,40,707,40,40,708,40,40</v>
      </c>
      <c r="AC39" t="str">
        <f t="shared" si="8"/>
        <v>召唤物生命值% {0}</v>
      </c>
      <c r="AD39" t="str">
        <f t="shared" si="9"/>
        <v>召唤物百分比回血 {1}</v>
      </c>
      <c r="AE39" t="str">
        <f t="shared" si="10"/>
        <v>召唤物冰霜伤害% {2}</v>
      </c>
      <c r="AF39" t="str">
        <f t="shared" si="11"/>
        <v>召唤物火焰伤害% {3}</v>
      </c>
      <c r="AG39" t="str">
        <f t="shared" si="12"/>
        <v>召唤物闪电伤害% {4}</v>
      </c>
      <c r="AH39" t="str">
        <f t="shared" si="13"/>
        <v>xxx</v>
      </c>
      <c r="AI39" t="str">
        <f t="shared" si="2"/>
        <v xml:space="preserve">召唤物生命值 {0}%
</v>
      </c>
      <c r="AJ39" t="str">
        <f t="shared" si="3"/>
        <v xml:space="preserve">召唤物百分比回血 {1}%
</v>
      </c>
      <c r="AK39" t="str">
        <f t="shared" si="4"/>
        <v xml:space="preserve">召唤物冰霜伤害 {2}%
</v>
      </c>
      <c r="AL39" t="str">
        <f t="shared" si="5"/>
        <v xml:space="preserve">召唤物火焰伤害 {3}%
</v>
      </c>
      <c r="AM39" t="str">
        <f t="shared" si="14"/>
        <v xml:space="preserve">召唤物闪电伤害 {4}%
</v>
      </c>
      <c r="AN39" t="str">
        <f t="shared" si="6"/>
        <v>xxx</v>
      </c>
      <c r="AO39" t="str">
        <f t="shared" si="15"/>
        <v>召唤物生命值 {0}%
召唤物百分比回血 {1}%
召唤物冰霜伤害 {2}%
召唤物火焰伤害 {3}%
召唤物闪电伤害 {4}%
xxx</v>
      </c>
      <c r="AP39" s="6" t="str">
        <f t="shared" si="16"/>
        <v xml:space="preserve">召唤物生命值 {0}%
召唤物百分比回血 {1}%
召唤物冰霜伤害 {2}%
召唤物火焰伤害 {3}%
召唤物闪电伤害 {4}%
</v>
      </c>
      <c r="AQ39" s="80" t="s">
        <v>3334</v>
      </c>
      <c r="AR39" t="str">
        <f t="shared" si="19"/>
        <v xml:space="preserve">召唤物生命值 {0}%
召唤物百分比回血 {1}%
召唤物冰霜伤害 {2}%
召唤物火焰伤害 {3}%
召唤物闪电伤害 {4}%
</v>
      </c>
      <c r="AS39" s="81" t="str">
        <f t="shared" si="17"/>
        <v>召唤物生命值 {0}%
召唤物百分比回血 {1}%
召唤物冰霜伤害 {2}%
召唤物火焰伤害 {3}%
召唤物闪电伤害 {4}%</v>
      </c>
      <c r="BE39" s="46" t="s">
        <v>2977</v>
      </c>
      <c r="BF39" s="47" t="s">
        <v>2965</v>
      </c>
      <c r="BG39" s="53">
        <v>228</v>
      </c>
      <c r="BH39" s="59">
        <v>10</v>
      </c>
      <c r="BI39" s="111">
        <f t="shared" si="7"/>
        <v>3.2679738562091504E-3</v>
      </c>
      <c r="BJ39" s="59"/>
      <c r="BK39" s="18">
        <v>2</v>
      </c>
    </row>
    <row r="40" spans="3:63" ht="15.75" x14ac:dyDescent="0.3">
      <c r="C40" s="59">
        <v>14726</v>
      </c>
      <c r="D40" s="59" t="s">
        <v>150</v>
      </c>
      <c r="E40" s="59">
        <v>2</v>
      </c>
      <c r="F40" s="59" t="s">
        <v>29</v>
      </c>
      <c r="G40" s="59"/>
      <c r="H40" s="72">
        <v>12</v>
      </c>
      <c r="I40" s="64" t="s">
        <v>2942</v>
      </c>
      <c r="J40" s="64">
        <v>3</v>
      </c>
      <c r="K40" s="64">
        <v>0.2</v>
      </c>
      <c r="L40" s="65" t="s">
        <v>2933</v>
      </c>
      <c r="M40" s="65">
        <v>3</v>
      </c>
      <c r="N40" s="65">
        <v>0.2</v>
      </c>
      <c r="O40" s="66" t="s">
        <v>2943</v>
      </c>
      <c r="P40" s="66">
        <v>3</v>
      </c>
      <c r="Q40" s="66">
        <v>0.2</v>
      </c>
      <c r="R40" s="64" t="s">
        <v>3093</v>
      </c>
      <c r="S40" s="64">
        <v>3</v>
      </c>
      <c r="T40" s="64">
        <v>0.2</v>
      </c>
      <c r="U40" s="65"/>
      <c r="V40" s="65"/>
      <c r="W40" s="65"/>
      <c r="X40" s="66"/>
      <c r="Y40" s="66"/>
      <c r="Z40" s="66"/>
      <c r="AA40" s="71" t="str">
        <f t="shared" si="1"/>
        <v>1:102,24,36,217,24,36,226,24,36,721,24,36,xxxxxx</v>
      </c>
      <c r="AB40" s="78" t="str">
        <f t="shared" si="18"/>
        <v>1:102,24,36,217,24,36,226,24,36,721,24,36</v>
      </c>
      <c r="AC40" t="str">
        <f t="shared" si="8"/>
        <v>敏捷 {0}</v>
      </c>
      <c r="AD40" t="str">
        <f t="shared" si="9"/>
        <v>攻击速度% {1}</v>
      </c>
      <c r="AE40" t="str">
        <f t="shared" si="10"/>
        <v>命中率% {2}</v>
      </c>
      <c r="AF40" t="str">
        <f t="shared" si="11"/>
        <v>召唤物最终伤害 {3}</v>
      </c>
      <c r="AG40" t="str">
        <f t="shared" si="12"/>
        <v>xxx</v>
      </c>
      <c r="AH40" t="str">
        <f t="shared" si="13"/>
        <v>xxx</v>
      </c>
      <c r="AI40" t="str">
        <f t="shared" si="2"/>
        <v xml:space="preserve">敏捷 {0}
</v>
      </c>
      <c r="AJ40" t="str">
        <f t="shared" si="3"/>
        <v xml:space="preserve">攻击速度 {1}%
</v>
      </c>
      <c r="AK40" t="str">
        <f t="shared" si="4"/>
        <v xml:space="preserve">命中率 {2}%
</v>
      </c>
      <c r="AL40" t="str">
        <f t="shared" si="5"/>
        <v xml:space="preserve">召唤物最终伤害 {3}%
</v>
      </c>
      <c r="AM40" t="str">
        <f t="shared" si="14"/>
        <v>xxx</v>
      </c>
      <c r="AN40" t="str">
        <f t="shared" ref="AN40:AN71" si="20">_xlfn.IFNA(IF(AC40="xxx","xxx",IF(VLOOKUP(X40,$BE$8:$BK$260,7,FALSE)=1,AH40&amp;CHAR(10),SUBSTITUTE(AH40,"%","")&amp;"%"&amp;CHAR(10))),"xxx")</f>
        <v>xxx</v>
      </c>
      <c r="AO40" t="str">
        <f t="shared" si="15"/>
        <v>敏捷 {0}
攻击速度 {1}%
命中率 {2}%
召唤物最终伤害 {3}%
xxxxxx</v>
      </c>
      <c r="AP40" s="6" t="str">
        <f t="shared" si="16"/>
        <v xml:space="preserve">敏捷 {0}
攻击速度 {1}%
命中率 {2}%
召唤物最终伤害 {3}%
</v>
      </c>
      <c r="AQ40" s="80" t="s">
        <v>3335</v>
      </c>
      <c r="AR40" t="str">
        <f t="shared" si="19"/>
        <v xml:space="preserve">敏捷 {0}
攻击速度 {1}%
命中率 {2}%
召唤物最终伤害 {3}%
</v>
      </c>
      <c r="AS40" s="81" t="str">
        <f t="shared" si="17"/>
        <v>敏捷 {0}
攻击速度 {1}%
命中率 {2}%
召唤物最终伤害 {3}%</v>
      </c>
      <c r="BE40" s="46" t="s">
        <v>2978</v>
      </c>
      <c r="BF40" s="47" t="s">
        <v>2965</v>
      </c>
      <c r="BG40" s="53">
        <v>229</v>
      </c>
      <c r="BH40" s="59">
        <v>10</v>
      </c>
      <c r="BI40" s="111">
        <f t="shared" ref="BI40:BI71" si="21">COUNTIF($I$8:$I$1040,BE40)/COUNT($C$8:$C$1040)+COUNTIF($L$8:$L$1040,BE40)/COUNT($C$8:$C$1040)+COUNTIF($O$8:$O$1040,BE40)/COUNT($C$8:$C$1040)+COUNTIF($R$8:$R$1040,BE40)/COUNT($C$8:$C$1040)+COUNTIF($U$8:$U$1040,BE40)/COUNT($C$8:$C$1040)+COUNTIF($X$8:$X$1040,BE40)/COUNT($C$8:$C$1040)</f>
        <v>2.6143790849673203E-2</v>
      </c>
      <c r="BJ40" s="59"/>
      <c r="BK40" s="18">
        <v>2</v>
      </c>
    </row>
    <row r="41" spans="3:63" ht="15.75" x14ac:dyDescent="0.3">
      <c r="C41" s="59">
        <v>14727</v>
      </c>
      <c r="D41" s="59" t="s">
        <v>152</v>
      </c>
      <c r="E41" s="59"/>
      <c r="F41" s="59" t="s">
        <v>29</v>
      </c>
      <c r="G41" s="59"/>
      <c r="H41" s="72">
        <v>12</v>
      </c>
      <c r="I41" s="64" t="s">
        <v>2938</v>
      </c>
      <c r="J41" s="64">
        <v>3</v>
      </c>
      <c r="K41" s="64">
        <v>0.2</v>
      </c>
      <c r="L41" s="65" t="s">
        <v>2948</v>
      </c>
      <c r="M41" s="65">
        <v>4</v>
      </c>
      <c r="N41" s="65">
        <v>0.25</v>
      </c>
      <c r="O41" s="66" t="s">
        <v>3028</v>
      </c>
      <c r="P41" s="66">
        <v>2</v>
      </c>
      <c r="Q41" s="66">
        <v>0.2</v>
      </c>
      <c r="R41" s="64" t="s">
        <v>3025</v>
      </c>
      <c r="S41" s="64">
        <v>2</v>
      </c>
      <c r="T41" s="64">
        <v>0</v>
      </c>
      <c r="U41" s="65" t="s">
        <v>3177</v>
      </c>
      <c r="V41" s="65">
        <v>1</v>
      </c>
      <c r="W41" s="65">
        <v>0.2</v>
      </c>
      <c r="X41" s="66"/>
      <c r="Y41" s="66"/>
      <c r="Z41" s="66"/>
      <c r="AA41" s="71" t="str">
        <f t="shared" si="1"/>
        <v>1:215,24,36,409,15,25,407,32,48,404,1,1,231,8,12,xxx</v>
      </c>
      <c r="AB41" s="78" t="str">
        <f t="shared" si="18"/>
        <v>1:215,24,36,409,15,25,407,32,48,404,1,1,231,8,12</v>
      </c>
      <c r="AC41" t="str">
        <f t="shared" si="8"/>
        <v>闪电伤害% {0}</v>
      </c>
      <c r="AD41" t="str">
        <f t="shared" si="9"/>
        <v>冷却缩减% {1}</v>
      </c>
      <c r="AE41" t="str">
        <f t="shared" si="10"/>
        <v>拾取范围% {2}</v>
      </c>
      <c r="AF41" t="str">
        <f t="shared" si="11"/>
        <v>子弹数量 {3}</v>
      </c>
      <c r="AG41" t="str">
        <f t="shared" si="12"/>
        <v>附加闪电伤害 {4}</v>
      </c>
      <c r="AH41" t="str">
        <f t="shared" si="13"/>
        <v>xxx</v>
      </c>
      <c r="AI41" t="str">
        <f t="shared" si="2"/>
        <v xml:space="preserve">闪电伤害 {0}%
</v>
      </c>
      <c r="AJ41" t="str">
        <f t="shared" si="3"/>
        <v xml:space="preserve">冷却缩减 {1}%
</v>
      </c>
      <c r="AK41" t="str">
        <f t="shared" si="4"/>
        <v xml:space="preserve">拾取范围 {2}%
</v>
      </c>
      <c r="AL41" t="str">
        <f t="shared" si="5"/>
        <v xml:space="preserve">子弹数量 {3}
</v>
      </c>
      <c r="AM41" t="str">
        <f t="shared" si="14"/>
        <v xml:space="preserve">附加闪电伤害 {4}%
</v>
      </c>
      <c r="AN41" t="str">
        <f t="shared" si="20"/>
        <v>xxx</v>
      </c>
      <c r="AO41" t="str">
        <f t="shared" si="15"/>
        <v>闪电伤害 {0}%
冷却缩减 {1}%
拾取范围 {2}%
子弹数量 {3}
附加闪电伤害 {4}%
xxx</v>
      </c>
      <c r="AP41" s="6" t="str">
        <f t="shared" si="16"/>
        <v xml:space="preserve">闪电伤害 {0}%
冷却缩减 {1}%
拾取范围 {2}%
子弹数量 {3}
附加闪电伤害 {4}%
</v>
      </c>
      <c r="AQ41" s="80" t="s">
        <v>3336</v>
      </c>
      <c r="AR41" t="str">
        <f t="shared" si="19"/>
        <v xml:space="preserve">闪电伤害 {0}%
冷却缩减 {1}%
拾取范围 {2}%
子弹数量 {3}
附加闪电伤害 {4}%
</v>
      </c>
      <c r="AS41" s="81" t="str">
        <f t="shared" si="17"/>
        <v>闪电伤害 {0}%
冷却缩减 {1}%
拾取范围 {2}%
子弹数量 {3}
附加闪电伤害 {4}%</v>
      </c>
      <c r="BE41" s="46" t="s">
        <v>2979</v>
      </c>
      <c r="BF41" s="47" t="s">
        <v>2965</v>
      </c>
      <c r="BG41" s="53">
        <v>230</v>
      </c>
      <c r="BH41" s="59">
        <v>10</v>
      </c>
      <c r="BI41" s="111">
        <f t="shared" si="21"/>
        <v>3.2679738562091505E-2</v>
      </c>
      <c r="BJ41" s="59"/>
      <c r="BK41" s="18">
        <v>2</v>
      </c>
    </row>
    <row r="42" spans="3:63" ht="15.75" x14ac:dyDescent="0.3">
      <c r="C42" s="59">
        <v>14728</v>
      </c>
      <c r="D42" s="59" t="s">
        <v>154</v>
      </c>
      <c r="E42" s="59">
        <v>3</v>
      </c>
      <c r="F42" s="59" t="s">
        <v>29</v>
      </c>
      <c r="G42" s="59"/>
      <c r="H42" s="72">
        <v>12</v>
      </c>
      <c r="I42" s="64" t="s">
        <v>2933</v>
      </c>
      <c r="J42" s="64">
        <v>3</v>
      </c>
      <c r="K42" s="64">
        <v>0.2</v>
      </c>
      <c r="L42" s="65" t="s">
        <v>4142</v>
      </c>
      <c r="M42" s="65">
        <v>4</v>
      </c>
      <c r="N42" s="65">
        <v>0</v>
      </c>
      <c r="O42" s="66" t="s">
        <v>3025</v>
      </c>
      <c r="P42" s="66">
        <v>2</v>
      </c>
      <c r="Q42" s="66">
        <v>0</v>
      </c>
      <c r="R42" s="64" t="s">
        <v>2931</v>
      </c>
      <c r="S42" s="64">
        <v>1</v>
      </c>
      <c r="T42" s="64">
        <v>0.2</v>
      </c>
      <c r="U42" s="65" t="s">
        <v>4141</v>
      </c>
      <c r="V42" s="65">
        <v>2</v>
      </c>
      <c r="W42" s="65">
        <v>0.2</v>
      </c>
      <c r="X42" s="66"/>
      <c r="Y42" s="66"/>
      <c r="Z42" s="66"/>
      <c r="AA42" s="71" t="str">
        <f t="shared" si="1"/>
        <v>1:217,24,36,405,1,1,404,1,1,211,8,12,227,8,12,xxx</v>
      </c>
      <c r="AB42" s="78" t="str">
        <f>IF(LEFT(SUBSTITUTE(AA42,"x",""),LEN(SUBSTITUTE(AA42,"x",""))-1)="1","",LEFT(SUBSTITUTE(AA42,"x",""),LEN(SUBSTITUTE(AA42,"x",""))-1))</f>
        <v>1:217,24,36,405,1,1,404,1,1,211,8,12,227,8,12</v>
      </c>
      <c r="AC42" t="str">
        <f t="shared" si="8"/>
        <v>攻击速度% {0}</v>
      </c>
      <c r="AD42" t="str">
        <f t="shared" si="9"/>
        <v>子弹穿刺 {1}</v>
      </c>
      <c r="AE42" t="str">
        <f t="shared" si="10"/>
        <v>子弹数量 {2}</v>
      </c>
      <c r="AF42" t="str">
        <f t="shared" si="11"/>
        <v>物理伤害% {3}</v>
      </c>
      <c r="AG42" t="str">
        <f t="shared" si="12"/>
        <v>物理减抗% {4}</v>
      </c>
      <c r="AH42" t="str">
        <f t="shared" si="13"/>
        <v>xxx</v>
      </c>
      <c r="AI42" t="str">
        <f t="shared" si="2"/>
        <v xml:space="preserve">攻击速度 {0}%
</v>
      </c>
      <c r="AJ42" t="str">
        <f t="shared" si="3"/>
        <v xml:space="preserve">子弹穿刺 {1}
</v>
      </c>
      <c r="AK42" t="str">
        <f t="shared" si="4"/>
        <v xml:space="preserve">子弹数量 {2}
</v>
      </c>
      <c r="AL42" t="str">
        <f t="shared" si="5"/>
        <v xml:space="preserve">物理伤害 {3}%
</v>
      </c>
      <c r="AM42" t="str">
        <f t="shared" si="14"/>
        <v xml:space="preserve">物理减抗 {4}%
</v>
      </c>
      <c r="AN42" t="str">
        <f t="shared" si="20"/>
        <v>xxx</v>
      </c>
      <c r="AO42" t="str">
        <f t="shared" si="15"/>
        <v>攻击速度 {0}%
子弹穿刺 {1}
子弹数量 {2}
物理伤害 {3}%
物理减抗 {4}%
xxx</v>
      </c>
      <c r="AP42" s="6" t="str">
        <f t="shared" si="16"/>
        <v xml:space="preserve">攻击速度 {0}%
子弹穿刺 {1}
子弹数量 {2}
物理伤害 {3}%
物理减抗 {4}%
</v>
      </c>
      <c r="AQ42" s="80" t="s">
        <v>3337</v>
      </c>
      <c r="AR42" t="str">
        <f t="shared" si="19"/>
        <v xml:space="preserve">攻击速度 {0}%
子弹穿刺 {1}
子弹数量 {2}
物理伤害 {3}%
物理减抗 {4}%
</v>
      </c>
      <c r="AS42" s="81" t="str">
        <f t="shared" si="17"/>
        <v>攻击速度 {0}%
子弹穿刺 {1}
子弹数量 {2}
物理伤害 {3}%
物理减抗 {4}%</v>
      </c>
      <c r="BE42" s="46" t="s">
        <v>2980</v>
      </c>
      <c r="BF42" s="47" t="s">
        <v>2965</v>
      </c>
      <c r="BG42" s="53">
        <v>231</v>
      </c>
      <c r="BH42" s="59">
        <v>10</v>
      </c>
      <c r="BI42" s="111">
        <f t="shared" si="21"/>
        <v>1.6339869281045753E-2</v>
      </c>
      <c r="BJ42" s="59"/>
      <c r="BK42" s="18">
        <v>2</v>
      </c>
    </row>
    <row r="43" spans="3:63" ht="15.75" x14ac:dyDescent="0.3">
      <c r="C43" s="59">
        <v>14729</v>
      </c>
      <c r="D43" s="59" t="s">
        <v>3695</v>
      </c>
      <c r="E43" s="59">
        <v>2</v>
      </c>
      <c r="F43" s="59" t="s">
        <v>29</v>
      </c>
      <c r="G43" s="59"/>
      <c r="H43" s="72">
        <v>12</v>
      </c>
      <c r="I43" s="64" t="s">
        <v>2955</v>
      </c>
      <c r="J43" s="64">
        <v>3</v>
      </c>
      <c r="K43" s="64">
        <v>0.2</v>
      </c>
      <c r="L43" s="65" t="s">
        <v>2931</v>
      </c>
      <c r="M43" s="65">
        <v>4</v>
      </c>
      <c r="N43" s="65">
        <v>0.25</v>
      </c>
      <c r="O43" s="66" t="s">
        <v>2933</v>
      </c>
      <c r="P43" s="66">
        <v>3</v>
      </c>
      <c r="Q43" s="66">
        <v>0.2</v>
      </c>
      <c r="R43" s="64" t="s">
        <v>2942</v>
      </c>
      <c r="S43" s="64">
        <v>2</v>
      </c>
      <c r="T43" s="64">
        <v>0.25</v>
      </c>
      <c r="U43" s="65"/>
      <c r="V43" s="65"/>
      <c r="W43" s="65"/>
      <c r="X43" s="66"/>
      <c r="Y43" s="66"/>
      <c r="Z43" s="66"/>
      <c r="AA43" s="71" t="str">
        <f t="shared" si="1"/>
        <v>1:204,24,36,211,30,50,217,24,36,102,15,25,xxxxxx</v>
      </c>
      <c r="AB43" s="78" t="str">
        <f t="shared" si="18"/>
        <v>1:204,24,36,211,30,50,217,24,36,102,15,25</v>
      </c>
      <c r="AC43" t="str">
        <f t="shared" si="8"/>
        <v>物理伤害 {0}</v>
      </c>
      <c r="AD43" t="str">
        <f t="shared" si="9"/>
        <v>物理伤害% {1}</v>
      </c>
      <c r="AE43" t="str">
        <f t="shared" si="10"/>
        <v>攻击速度% {2}</v>
      </c>
      <c r="AF43" t="str">
        <f t="shared" si="11"/>
        <v>敏捷 {3}</v>
      </c>
      <c r="AG43" t="str">
        <f t="shared" si="12"/>
        <v>xxx</v>
      </c>
      <c r="AH43" t="str">
        <f t="shared" si="13"/>
        <v>xxx</v>
      </c>
      <c r="AI43" t="str">
        <f t="shared" si="2"/>
        <v xml:space="preserve">物理伤害 {0}
</v>
      </c>
      <c r="AJ43" t="str">
        <f t="shared" si="3"/>
        <v xml:space="preserve">物理伤害 {1}%
</v>
      </c>
      <c r="AK43" t="str">
        <f t="shared" si="4"/>
        <v xml:space="preserve">攻击速度 {2}%
</v>
      </c>
      <c r="AL43" t="str">
        <f t="shared" si="5"/>
        <v xml:space="preserve">敏捷 {3}
</v>
      </c>
      <c r="AM43" t="str">
        <f t="shared" si="14"/>
        <v>xxx</v>
      </c>
      <c r="AN43" t="str">
        <f t="shared" si="20"/>
        <v>xxx</v>
      </c>
      <c r="AO43" t="str">
        <f t="shared" si="15"/>
        <v>物理伤害 {0}
物理伤害 {1}%
攻击速度 {2}%
敏捷 {3}
xxxxxx</v>
      </c>
      <c r="AP43" s="6" t="str">
        <f t="shared" si="16"/>
        <v xml:space="preserve">物理伤害 {0}
物理伤害 {1}%
攻击速度 {2}%
敏捷 {3}
</v>
      </c>
      <c r="AQ43" s="80" t="s">
        <v>3338</v>
      </c>
      <c r="AR43" t="str">
        <f t="shared" si="19"/>
        <v xml:space="preserve">物理伤害 {0}
物理伤害 {1}%
攻击速度 {2}%
敏捷 {3}
</v>
      </c>
      <c r="AS43" s="81" t="str">
        <f t="shared" si="17"/>
        <v>物理伤害 {0}
物理伤害 {1}%
攻击速度 {2}%
敏捷 {3}</v>
      </c>
      <c r="BE43" s="46" t="s">
        <v>2981</v>
      </c>
      <c r="BF43" s="47" t="s">
        <v>2965</v>
      </c>
      <c r="BG43" s="53">
        <v>232</v>
      </c>
      <c r="BH43" s="59">
        <v>10</v>
      </c>
      <c r="BI43" s="111">
        <f t="shared" si="21"/>
        <v>1.9607843137254902E-2</v>
      </c>
      <c r="BJ43" s="59"/>
      <c r="BK43" s="18">
        <v>2</v>
      </c>
    </row>
    <row r="44" spans="3:63" ht="15.75" x14ac:dyDescent="0.3">
      <c r="C44" s="59">
        <v>14730</v>
      </c>
      <c r="D44" s="59" t="s">
        <v>156</v>
      </c>
      <c r="E44" s="59">
        <v>5</v>
      </c>
      <c r="F44" s="59" t="s">
        <v>29</v>
      </c>
      <c r="G44" s="59"/>
      <c r="H44" s="72">
        <v>12</v>
      </c>
      <c r="I44" s="64" t="s">
        <v>3173</v>
      </c>
      <c r="J44" s="64">
        <v>3</v>
      </c>
      <c r="K44" s="64">
        <v>0.2</v>
      </c>
      <c r="L44" s="65" t="s">
        <v>3253</v>
      </c>
      <c r="M44" s="65">
        <v>3</v>
      </c>
      <c r="N44" s="65">
        <v>0.2</v>
      </c>
      <c r="O44" s="66" t="s">
        <v>2928</v>
      </c>
      <c r="P44" s="66">
        <v>3</v>
      </c>
      <c r="Q44" s="66">
        <v>0.2</v>
      </c>
      <c r="R44" s="64" t="s">
        <v>3146</v>
      </c>
      <c r="S44" s="64">
        <v>3</v>
      </c>
      <c r="T44" s="64">
        <v>0.3</v>
      </c>
      <c r="U44" s="65"/>
      <c r="V44" s="65"/>
      <c r="W44" s="65"/>
      <c r="X44" s="66"/>
      <c r="Y44" s="66"/>
      <c r="Z44" s="66"/>
      <c r="AA44" s="71" t="str">
        <f t="shared" si="1"/>
        <v>1:230,24,36,237,24,36,223,12,18,241,21,39,xxxxxx</v>
      </c>
      <c r="AB44" s="78" t="str">
        <f t="shared" si="18"/>
        <v>1:230,24,36,237,24,36,223,12,18,241,21,39</v>
      </c>
      <c r="AC44" t="str">
        <f t="shared" si="8"/>
        <v>附加火焰伤害 {0}</v>
      </c>
      <c r="AD44" t="str">
        <f t="shared" si="9"/>
        <v>附加火焰伤害% {1}</v>
      </c>
      <c r="AE44" t="str">
        <f t="shared" si="10"/>
        <v>火焰减抗% {2}</v>
      </c>
      <c r="AF44" t="str">
        <f t="shared" si="11"/>
        <v>灼烧系数 {3}</v>
      </c>
      <c r="AG44" t="str">
        <f t="shared" si="12"/>
        <v>xxx</v>
      </c>
      <c r="AH44" t="str">
        <f t="shared" si="13"/>
        <v>xxx</v>
      </c>
      <c r="AI44" t="str">
        <f t="shared" si="2"/>
        <v xml:space="preserve">附加火焰伤害 {0}%
</v>
      </c>
      <c r="AJ44" t="str">
        <f t="shared" si="3"/>
        <v xml:space="preserve">附加火焰伤害 {1}%
</v>
      </c>
      <c r="AK44" t="str">
        <f t="shared" si="4"/>
        <v xml:space="preserve">火焰减抗 {2}%
</v>
      </c>
      <c r="AL44" t="str">
        <f t="shared" si="5"/>
        <v xml:space="preserve">灼烧系数 {3}%
</v>
      </c>
      <c r="AM44" t="str">
        <f t="shared" si="14"/>
        <v>xxx</v>
      </c>
      <c r="AN44" t="str">
        <f t="shared" si="20"/>
        <v>xxx</v>
      </c>
      <c r="AO44" t="str">
        <f t="shared" si="15"/>
        <v>附加火焰伤害 {0}%
附加火焰伤害 {1}%
火焰减抗 {2}%
灼烧系数 {3}%
xxxxxx</v>
      </c>
      <c r="AP44" s="6" t="str">
        <f t="shared" si="16"/>
        <v xml:space="preserve">附加火焰伤害 {0}%
附加火焰伤害 {1}%
火焰减抗 {2}%
灼烧系数 {3}%
</v>
      </c>
      <c r="AQ44" s="80" t="s">
        <v>3339</v>
      </c>
      <c r="AR44" t="str">
        <f t="shared" si="19"/>
        <v xml:space="preserve">附加火焰伤害 {0}%
附加火焰伤害 {1}%
火焰减抗 {2}%
灼烧系数 {3}%
</v>
      </c>
      <c r="AS44" s="81" t="str">
        <f t="shared" si="17"/>
        <v>附加火焰伤害 {0}%
附加火焰伤害 {1}%
火焰减抗 {2}%
灼烧系数 {3}%</v>
      </c>
      <c r="BE44" s="46" t="s">
        <v>2982</v>
      </c>
      <c r="BF44" s="47" t="s">
        <v>2965</v>
      </c>
      <c r="BG44" s="53">
        <v>233</v>
      </c>
      <c r="BH44" s="59"/>
      <c r="BI44" s="111">
        <f t="shared" si="21"/>
        <v>0</v>
      </c>
      <c r="BJ44" s="59"/>
      <c r="BK44" s="18">
        <v>1</v>
      </c>
    </row>
    <row r="45" spans="3:63" ht="15.75" x14ac:dyDescent="0.3">
      <c r="C45" s="59">
        <v>14731</v>
      </c>
      <c r="D45" s="59" t="s">
        <v>158</v>
      </c>
      <c r="E45" s="59">
        <v>1</v>
      </c>
      <c r="F45" s="59" t="s">
        <v>29</v>
      </c>
      <c r="G45" s="59"/>
      <c r="H45" s="72">
        <v>13</v>
      </c>
      <c r="I45" s="64" t="s">
        <v>3164</v>
      </c>
      <c r="J45" s="64">
        <v>3</v>
      </c>
      <c r="K45" s="64">
        <v>0.2</v>
      </c>
      <c r="L45" s="65" t="s">
        <v>3245</v>
      </c>
      <c r="M45" s="65">
        <v>6</v>
      </c>
      <c r="N45" s="65">
        <v>0.2</v>
      </c>
      <c r="O45" s="66" t="s">
        <v>3025</v>
      </c>
      <c r="P45" s="66">
        <v>2</v>
      </c>
      <c r="Q45" s="66">
        <v>0</v>
      </c>
      <c r="R45" s="64" t="s">
        <v>4142</v>
      </c>
      <c r="S45" s="64">
        <v>2</v>
      </c>
      <c r="T45" s="64">
        <v>0</v>
      </c>
      <c r="U45" s="65"/>
      <c r="V45" s="65"/>
      <c r="W45" s="65"/>
      <c r="X45" s="66"/>
      <c r="Y45" s="66"/>
      <c r="Z45" s="66"/>
      <c r="AA45" s="71" t="str">
        <f t="shared" si="1"/>
        <v>1:232,24,36,225,24,36,404,1,1,405,0.5,0.5,xxxxxx</v>
      </c>
      <c r="AB45" s="78" t="str">
        <f t="shared" si="18"/>
        <v>1:232,24,36,225,24,36,404,1,1,405,0.5,0.5</v>
      </c>
      <c r="AC45" t="str">
        <f t="shared" si="8"/>
        <v>附加混沌伤害 {0}</v>
      </c>
      <c r="AD45" t="str">
        <f t="shared" si="9"/>
        <v>混沌减抗% {1}</v>
      </c>
      <c r="AE45" t="str">
        <f t="shared" si="10"/>
        <v>子弹数量 {2}</v>
      </c>
      <c r="AF45" t="str">
        <f t="shared" si="11"/>
        <v>子弹穿刺 {3}</v>
      </c>
      <c r="AG45" t="str">
        <f t="shared" si="12"/>
        <v>xxx</v>
      </c>
      <c r="AH45" t="str">
        <f t="shared" si="13"/>
        <v>xxx</v>
      </c>
      <c r="AI45" t="str">
        <f t="shared" si="2"/>
        <v xml:space="preserve">附加混沌伤害 {0}%
</v>
      </c>
      <c r="AJ45" t="str">
        <f t="shared" si="3"/>
        <v xml:space="preserve">混沌减抗 {1}%
</v>
      </c>
      <c r="AK45" t="str">
        <f t="shared" si="4"/>
        <v xml:space="preserve">子弹数量 {2}
</v>
      </c>
      <c r="AL45" t="str">
        <f t="shared" si="5"/>
        <v xml:space="preserve">子弹穿刺 {3}
</v>
      </c>
      <c r="AM45" t="str">
        <f t="shared" si="14"/>
        <v>xxx</v>
      </c>
      <c r="AN45" t="str">
        <f t="shared" si="20"/>
        <v>xxx</v>
      </c>
      <c r="AO45" t="str">
        <f t="shared" si="15"/>
        <v>附加混沌伤害 {0}%
混沌减抗 {1}%
子弹数量 {2}
子弹穿刺 {3}
xxxxxx</v>
      </c>
      <c r="AP45" s="6" t="str">
        <f t="shared" si="16"/>
        <v xml:space="preserve">附加混沌伤害 {0}%
混沌减抗 {1}%
子弹数量 {2}
子弹穿刺 {3}
</v>
      </c>
      <c r="AQ45" s="80" t="s">
        <v>3340</v>
      </c>
      <c r="AR45" t="str">
        <f t="shared" si="19"/>
        <v xml:space="preserve">附加混沌伤害 {0}%
混沌减抗 {1}%
子弹数量 {2}
子弹穿刺 {3}
</v>
      </c>
      <c r="AS45" s="81" t="str">
        <f t="shared" si="17"/>
        <v>附加混沌伤害 {0}%
混沌减抗 {1}%
子弹数量 {2}
子弹穿刺 {3}</v>
      </c>
      <c r="BE45" s="46" t="s">
        <v>2983</v>
      </c>
      <c r="BF45" s="47" t="s">
        <v>2965</v>
      </c>
      <c r="BG45" s="53">
        <v>234</v>
      </c>
      <c r="BH45" s="59"/>
      <c r="BI45" s="111">
        <f t="shared" si="21"/>
        <v>0</v>
      </c>
      <c r="BJ45" s="59"/>
      <c r="BK45" s="18">
        <v>1</v>
      </c>
    </row>
    <row r="46" spans="3:63" ht="15.75" x14ac:dyDescent="0.3">
      <c r="C46" s="59">
        <v>14732</v>
      </c>
      <c r="D46" s="59" t="s">
        <v>160</v>
      </c>
      <c r="E46" s="59"/>
      <c r="F46" s="59" t="s">
        <v>29</v>
      </c>
      <c r="G46" s="59"/>
      <c r="H46" s="72">
        <v>12</v>
      </c>
      <c r="I46" s="64" t="s">
        <v>2933</v>
      </c>
      <c r="J46" s="64">
        <v>4</v>
      </c>
      <c r="K46" s="64">
        <v>0.2</v>
      </c>
      <c r="L46" s="65" t="s">
        <v>2931</v>
      </c>
      <c r="M46" s="65">
        <v>4</v>
      </c>
      <c r="N46" s="65">
        <v>0.2</v>
      </c>
      <c r="O46" s="66" t="s">
        <v>2942</v>
      </c>
      <c r="P46" s="66">
        <v>4</v>
      </c>
      <c r="Q46" s="66">
        <v>0.2</v>
      </c>
      <c r="R46" s="64"/>
      <c r="S46" s="64"/>
      <c r="T46" s="64"/>
      <c r="U46" s="65"/>
      <c r="V46" s="65"/>
      <c r="W46" s="65"/>
      <c r="X46" s="66"/>
      <c r="Y46" s="66"/>
      <c r="Z46" s="66"/>
      <c r="AA46" s="71" t="str">
        <f t="shared" si="1"/>
        <v>1:217,32,48,211,32,48,102,32,48,xxxxxxxxx</v>
      </c>
      <c r="AB46" s="78" t="str">
        <f t="shared" si="18"/>
        <v>1:217,32,48,211,32,48,102,32,48</v>
      </c>
      <c r="AC46" t="str">
        <f t="shared" si="8"/>
        <v>攻击速度% {0}</v>
      </c>
      <c r="AD46" t="str">
        <f t="shared" si="9"/>
        <v>物理伤害% {1}</v>
      </c>
      <c r="AE46" t="str">
        <f t="shared" si="10"/>
        <v>敏捷 {2}</v>
      </c>
      <c r="AF46" t="str">
        <f t="shared" si="11"/>
        <v>xxx</v>
      </c>
      <c r="AG46" t="str">
        <f t="shared" si="12"/>
        <v>xxx</v>
      </c>
      <c r="AH46" t="str">
        <f t="shared" si="13"/>
        <v>xxx</v>
      </c>
      <c r="AI46" t="str">
        <f t="shared" si="2"/>
        <v xml:space="preserve">攻击速度 {0}%
</v>
      </c>
      <c r="AJ46" t="str">
        <f t="shared" si="3"/>
        <v xml:space="preserve">物理伤害 {1}%
</v>
      </c>
      <c r="AK46" t="str">
        <f t="shared" si="4"/>
        <v xml:space="preserve">敏捷 {2}
</v>
      </c>
      <c r="AL46" t="str">
        <f t="shared" si="5"/>
        <v>xxx</v>
      </c>
      <c r="AM46" t="str">
        <f t="shared" si="14"/>
        <v>xxx</v>
      </c>
      <c r="AN46" t="str">
        <f t="shared" si="20"/>
        <v>xxx</v>
      </c>
      <c r="AO46" t="str">
        <f t="shared" si="15"/>
        <v>攻击速度 {0}%
物理伤害 {1}%
敏捷 {2}
xxxxxxxxx</v>
      </c>
      <c r="AP46" s="6" t="str">
        <f t="shared" si="16"/>
        <v xml:space="preserve">攻击速度 {0}%
物理伤害 {1}%
敏捷 {2}
</v>
      </c>
      <c r="AQ46" s="80" t="s">
        <v>3341</v>
      </c>
      <c r="AR46" t="str">
        <f t="shared" si="19"/>
        <v xml:space="preserve">攻击速度 {0}%
物理伤害 {1}%
敏捷 {2}
</v>
      </c>
      <c r="AS46" s="81" t="str">
        <f t="shared" si="17"/>
        <v>攻击速度 {0}%
物理伤害 {1}%
敏捷 {2}</v>
      </c>
      <c r="BE46" s="46" t="s">
        <v>3140</v>
      </c>
      <c r="BF46" s="48" t="s">
        <v>2968</v>
      </c>
      <c r="BG46" s="53">
        <v>235</v>
      </c>
      <c r="BH46" s="59">
        <v>10</v>
      </c>
      <c r="BI46" s="111">
        <f t="shared" si="21"/>
        <v>0</v>
      </c>
      <c r="BJ46" s="59"/>
      <c r="BK46" s="18">
        <v>2</v>
      </c>
    </row>
    <row r="47" spans="3:63" ht="15.75" x14ac:dyDescent="0.3">
      <c r="C47" s="59">
        <v>14733</v>
      </c>
      <c r="D47" s="59" t="s">
        <v>162</v>
      </c>
      <c r="E47" s="59">
        <v>1</v>
      </c>
      <c r="F47" s="59" t="s">
        <v>29</v>
      </c>
      <c r="G47" s="59"/>
      <c r="H47" s="72">
        <v>12</v>
      </c>
      <c r="I47" s="64" t="s">
        <v>3212</v>
      </c>
      <c r="J47" s="64">
        <v>4</v>
      </c>
      <c r="K47" s="64">
        <v>0</v>
      </c>
      <c r="L47" s="65" t="s">
        <v>3216</v>
      </c>
      <c r="M47" s="65">
        <v>4</v>
      </c>
      <c r="N47" s="65">
        <v>0.25</v>
      </c>
      <c r="O47" s="66" t="s">
        <v>3158</v>
      </c>
      <c r="P47" s="66">
        <v>2</v>
      </c>
      <c r="Q47" s="66">
        <v>0.25</v>
      </c>
      <c r="R47" s="64" t="s">
        <v>3157</v>
      </c>
      <c r="S47" s="64">
        <v>2</v>
      </c>
      <c r="T47" s="64">
        <v>0.25</v>
      </c>
      <c r="U47" s="65"/>
      <c r="V47" s="65"/>
      <c r="W47" s="65"/>
      <c r="X47" s="66"/>
      <c r="Y47" s="66"/>
      <c r="Z47" s="66"/>
      <c r="AA47" s="71" t="str">
        <f t="shared" si="1"/>
        <v>1:506,1,1,325,15,25,240,15,25,249,15,25,xxxxxx</v>
      </c>
      <c r="AB47" s="78" t="str">
        <f t="shared" si="18"/>
        <v>1:506,1,1,325,15,25,240,15,25,249,15,25</v>
      </c>
      <c r="AC47" t="str">
        <f t="shared" si="8"/>
        <v>攻击回血 {0}</v>
      </c>
      <c r="AD47" t="str">
        <f t="shared" si="9"/>
        <v>添加生命上限护盾并减少当前生命上限 {1}</v>
      </c>
      <c r="AE47" t="str">
        <f t="shared" si="10"/>
        <v>流血系数 {2}</v>
      </c>
      <c r="AF47" t="str">
        <f t="shared" si="11"/>
        <v>施加流血时间提升 {3}</v>
      </c>
      <c r="AG47" t="str">
        <f t="shared" si="12"/>
        <v>xxx</v>
      </c>
      <c r="AH47" t="str">
        <f t="shared" si="13"/>
        <v>xxx</v>
      </c>
      <c r="AI47" t="str">
        <f t="shared" si="2"/>
        <v xml:space="preserve">攻击回血 {0}
</v>
      </c>
      <c r="AJ47" t="str">
        <f t="shared" si="3"/>
        <v xml:space="preserve">添加生命上限护盾并减少当前生命上限 {1}%
</v>
      </c>
      <c r="AK47" t="str">
        <f t="shared" si="4"/>
        <v xml:space="preserve">流血系数 {2}%
</v>
      </c>
      <c r="AL47" t="str">
        <f t="shared" si="5"/>
        <v xml:space="preserve">施加流血时间提升 {3}%
</v>
      </c>
      <c r="AM47" t="str">
        <f t="shared" si="14"/>
        <v>xxx</v>
      </c>
      <c r="AN47" t="str">
        <f t="shared" si="20"/>
        <v>xxx</v>
      </c>
      <c r="AO47" t="str">
        <f t="shared" si="15"/>
        <v>攻击回血 {0}
添加生命上限护盾并减少当前生命上限 {1}%
流血系数 {2}%
施加流血时间提升 {3}%
xxxxxx</v>
      </c>
      <c r="AP47" s="6" t="str">
        <f t="shared" si="16"/>
        <v xml:space="preserve">攻击回血 {0}
添加生命上限护盾并减少当前生命上限 {1}%
流血系数 {2}%
施加流血时间提升 {3}%
</v>
      </c>
      <c r="AQ47" s="80" t="s">
        <v>3342</v>
      </c>
      <c r="AR47" t="str">
        <f t="shared" si="19"/>
        <v xml:space="preserve">攻击回血 {0}
添加生命上限护盾并减少当前生命上限 {1}%
流血系数 {2}%
施加流血时间提升 {3}%
</v>
      </c>
      <c r="AS47" s="81" t="str">
        <f t="shared" si="17"/>
        <v>攻击回血 {0}
添加生命上限护盾并减少当前生命上限 {1}%
流血系数 {2}%
施加流血时间提升 {3}%</v>
      </c>
      <c r="BE47" s="46" t="s">
        <v>3141</v>
      </c>
      <c r="BF47" s="48" t="s">
        <v>2968</v>
      </c>
      <c r="BG47" s="53">
        <v>236</v>
      </c>
      <c r="BH47" s="59">
        <v>10</v>
      </c>
      <c r="BI47" s="111">
        <f t="shared" si="21"/>
        <v>9.8039215686274508E-3</v>
      </c>
      <c r="BJ47" s="59"/>
      <c r="BK47" s="18">
        <v>2</v>
      </c>
    </row>
    <row r="48" spans="3:63" ht="15.75" x14ac:dyDescent="0.3">
      <c r="C48" s="59">
        <v>14734</v>
      </c>
      <c r="D48" s="59" t="s">
        <v>164</v>
      </c>
      <c r="E48" s="59">
        <v>2</v>
      </c>
      <c r="F48" s="59" t="s">
        <v>29</v>
      </c>
      <c r="G48" s="59"/>
      <c r="H48" s="72">
        <v>12</v>
      </c>
      <c r="I48" s="64" t="s">
        <v>3211</v>
      </c>
      <c r="J48" s="64">
        <v>5</v>
      </c>
      <c r="K48" s="64">
        <v>0</v>
      </c>
      <c r="L48" s="65" t="s">
        <v>3215</v>
      </c>
      <c r="M48" s="65">
        <v>4</v>
      </c>
      <c r="N48" s="65">
        <v>0.4</v>
      </c>
      <c r="O48" s="66" t="s">
        <v>2940</v>
      </c>
      <c r="P48" s="66">
        <v>3</v>
      </c>
      <c r="Q48" s="66">
        <v>0.5</v>
      </c>
      <c r="R48" s="64"/>
      <c r="S48" s="64"/>
      <c r="T48" s="64"/>
      <c r="U48" s="65"/>
      <c r="V48" s="65"/>
      <c r="W48" s="65"/>
      <c r="X48" s="66"/>
      <c r="Y48" s="66"/>
      <c r="Z48" s="66"/>
      <c r="AA48" s="71" t="str">
        <f t="shared" si="1"/>
        <v>1:806,1,1,604,0.24,0.56,412,15,45,xxxxxxxxx</v>
      </c>
      <c r="AB48" s="78" t="str">
        <f t="shared" si="18"/>
        <v>1:806,1,1,604,0.24,0.56,412,15,45</v>
      </c>
      <c r="AC48" t="str">
        <f t="shared" si="8"/>
        <v>每点幸运额外提升攻击力 {0}</v>
      </c>
      <c r="AD48" t="str">
        <f t="shared" si="9"/>
        <v>升级减CD {1}</v>
      </c>
      <c r="AE48" t="str">
        <f t="shared" si="10"/>
        <v>移动速度% {2}</v>
      </c>
      <c r="AF48" t="str">
        <f t="shared" si="11"/>
        <v>xxx</v>
      </c>
      <c r="AG48" t="str">
        <f t="shared" si="12"/>
        <v>xxx</v>
      </c>
      <c r="AH48" t="str">
        <f t="shared" si="13"/>
        <v>xxx</v>
      </c>
      <c r="AI48" t="str">
        <f t="shared" si="2"/>
        <v xml:space="preserve">每点幸运额外提升攻击力 {0}
</v>
      </c>
      <c r="AJ48" t="str">
        <f t="shared" si="3"/>
        <v xml:space="preserve">升级减CD {1}%
</v>
      </c>
      <c r="AK48" t="str">
        <f t="shared" si="4"/>
        <v xml:space="preserve">移动速度 {2}%
</v>
      </c>
      <c r="AL48" t="str">
        <f t="shared" si="5"/>
        <v>xxx</v>
      </c>
      <c r="AM48" t="str">
        <f t="shared" si="14"/>
        <v>xxx</v>
      </c>
      <c r="AN48" t="str">
        <f t="shared" si="20"/>
        <v>xxx</v>
      </c>
      <c r="AO48" t="str">
        <f t="shared" si="15"/>
        <v>每点幸运额外提升攻击力 {0}
升级减CD {1}%
移动速度 {2}%
xxxxxxxxx</v>
      </c>
      <c r="AP48" s="6" t="str">
        <f t="shared" si="16"/>
        <v xml:space="preserve">每点幸运额外提升攻击力 {0}
升级减CD {1}%
移动速度 {2}%
</v>
      </c>
      <c r="AQ48" s="80" t="s">
        <v>3343</v>
      </c>
      <c r="AR48" t="str">
        <f t="shared" si="19"/>
        <v xml:space="preserve">每点幸运额外提升攻击力 {0}
升级减CD {1}%
移动速度 {2}%
</v>
      </c>
      <c r="AS48" s="81" t="str">
        <f t="shared" si="17"/>
        <v>每点幸运额外提升攻击力 {0}
升级减CD {1}%
移动速度 {2}%</v>
      </c>
      <c r="BE48" s="46" t="s">
        <v>3142</v>
      </c>
      <c r="BF48" s="48" t="s">
        <v>2968</v>
      </c>
      <c r="BG48" s="53">
        <v>237</v>
      </c>
      <c r="BH48" s="59">
        <v>10</v>
      </c>
      <c r="BI48" s="111">
        <f t="shared" si="21"/>
        <v>2.2875816993464051E-2</v>
      </c>
      <c r="BJ48" s="59"/>
      <c r="BK48" s="18">
        <v>2</v>
      </c>
    </row>
    <row r="49" spans="3:63" ht="15.75" x14ac:dyDescent="0.3">
      <c r="C49" s="59">
        <v>14735</v>
      </c>
      <c r="D49" s="59" t="s">
        <v>166</v>
      </c>
      <c r="E49" s="59">
        <v>4</v>
      </c>
      <c r="F49" s="59" t="s">
        <v>29</v>
      </c>
      <c r="G49" s="59"/>
      <c r="H49" s="72">
        <v>15</v>
      </c>
      <c r="I49" s="64" t="s">
        <v>2971</v>
      </c>
      <c r="J49" s="64">
        <v>3</v>
      </c>
      <c r="K49" s="64">
        <v>0.2</v>
      </c>
      <c r="L49" s="65" t="s">
        <v>2973</v>
      </c>
      <c r="M49" s="65">
        <v>3</v>
      </c>
      <c r="N49" s="65">
        <v>0.2</v>
      </c>
      <c r="O49" s="66" t="s">
        <v>2927</v>
      </c>
      <c r="P49" s="66">
        <v>3</v>
      </c>
      <c r="Q49" s="66">
        <v>0.2</v>
      </c>
      <c r="R49" s="64" t="s">
        <v>2933</v>
      </c>
      <c r="S49" s="64">
        <v>2</v>
      </c>
      <c r="T49" s="64">
        <v>0.2</v>
      </c>
      <c r="U49" s="65" t="s">
        <v>3193</v>
      </c>
      <c r="V49" s="65">
        <v>2</v>
      </c>
      <c r="W49" s="65">
        <v>0.25</v>
      </c>
      <c r="X49" s="66" t="s">
        <v>3176</v>
      </c>
      <c r="Y49" s="66">
        <v>2</v>
      </c>
      <c r="Z49" s="66">
        <v>0.25</v>
      </c>
      <c r="AA49" s="71" t="str">
        <f t="shared" si="1"/>
        <v>1:206,24,36,208,24,36,212,12,18,217,16,24,243,15,25,248,15,25,</v>
      </c>
      <c r="AB49" s="78" t="str">
        <f t="shared" si="18"/>
        <v>1:206,24,36,208,24,36,212,12,18,217,16,24,243,15,25,248,15,25</v>
      </c>
      <c r="AC49" t="str">
        <f t="shared" si="8"/>
        <v>冰霜伤害 {0}</v>
      </c>
      <c r="AD49" t="str">
        <f t="shared" si="9"/>
        <v>闪电伤害 {1}</v>
      </c>
      <c r="AE49" t="str">
        <f t="shared" si="10"/>
        <v>元素伤害% {2}</v>
      </c>
      <c r="AF49" t="str">
        <f t="shared" si="11"/>
        <v>攻击速度% {3}</v>
      </c>
      <c r="AG49" t="str">
        <f t="shared" si="12"/>
        <v>感电系数 {4}</v>
      </c>
      <c r="AH49" t="str">
        <f t="shared" si="13"/>
        <v>施加感电时间提升 {5}</v>
      </c>
      <c r="AI49" t="str">
        <f t="shared" si="2"/>
        <v xml:space="preserve">冰霜伤害 {0}
</v>
      </c>
      <c r="AJ49" t="str">
        <f t="shared" si="3"/>
        <v xml:space="preserve">闪电伤害 {1}
</v>
      </c>
      <c r="AK49" t="str">
        <f t="shared" si="4"/>
        <v xml:space="preserve">元素伤害 {2}%
</v>
      </c>
      <c r="AL49" t="str">
        <f t="shared" si="5"/>
        <v xml:space="preserve">攻击速度 {3}%
</v>
      </c>
      <c r="AM49" t="str">
        <f t="shared" si="14"/>
        <v xml:space="preserve">感电系数 {4}%
</v>
      </c>
      <c r="AN49" t="str">
        <f t="shared" si="20"/>
        <v xml:space="preserve">施加感电时间提升 {5}%
</v>
      </c>
      <c r="AO49" t="str">
        <f t="shared" si="15"/>
        <v xml:space="preserve">冰霜伤害 {0}
闪电伤害 {1}
元素伤害 {2}%
攻击速度 {3}%
感电系数 {4}%
施加感电时间提升 {5}%
</v>
      </c>
      <c r="AP49" s="6" t="str">
        <f t="shared" si="16"/>
        <v xml:space="preserve">冰霜伤害 {0}
闪电伤害 {1}
元素伤害 {2}%
攻击速度 {3}%
感电系数 {4}%
施加感电时间提升 {5}%
</v>
      </c>
      <c r="AQ49" s="80" t="s">
        <v>3344</v>
      </c>
      <c r="AR49" t="str">
        <f t="shared" si="19"/>
        <v xml:space="preserve">冰霜伤害 {0}
闪电伤害 {1}
元素伤害 {2}%
攻击速度 {3}%
感电系数 {4}%
施加感电时间提升 {5}%
</v>
      </c>
      <c r="AS49" s="81" t="str">
        <f t="shared" si="17"/>
        <v>冰霜伤害 {0}
闪电伤害 {1}
元素伤害 {2}%
攻击速度 {3}%
感电系数 {4}%
施加感电时间提升 {5}%</v>
      </c>
      <c r="BE49" s="46" t="s">
        <v>3143</v>
      </c>
      <c r="BF49" s="48" t="s">
        <v>2968</v>
      </c>
      <c r="BG49" s="53">
        <v>238</v>
      </c>
      <c r="BH49" s="59">
        <v>10</v>
      </c>
      <c r="BI49" s="111">
        <f t="shared" si="21"/>
        <v>6.5359477124183009E-3</v>
      </c>
      <c r="BJ49" s="59"/>
      <c r="BK49" s="18">
        <v>2</v>
      </c>
    </row>
    <row r="50" spans="3:63" ht="15.75" x14ac:dyDescent="0.3">
      <c r="C50" s="59">
        <v>14736</v>
      </c>
      <c r="D50" s="74" t="s">
        <v>168</v>
      </c>
      <c r="E50" s="74"/>
      <c r="F50" s="74" t="s">
        <v>2746</v>
      </c>
      <c r="G50" s="74"/>
      <c r="H50" s="72">
        <v>0</v>
      </c>
      <c r="I50" s="64"/>
      <c r="J50" s="64"/>
      <c r="K50" s="64"/>
      <c r="L50" s="65"/>
      <c r="M50" s="65"/>
      <c r="N50" s="65"/>
      <c r="O50" s="66"/>
      <c r="P50" s="66"/>
      <c r="Q50" s="66"/>
      <c r="R50" s="64"/>
      <c r="S50" s="64"/>
      <c r="T50" s="64"/>
      <c r="U50" s="65"/>
      <c r="V50" s="65"/>
      <c r="W50" s="65"/>
      <c r="X50" s="66"/>
      <c r="Y50" s="66"/>
      <c r="Z50" s="66"/>
      <c r="AA50" s="71" t="str">
        <f t="shared" si="1"/>
        <v>1:xxxxxxxxxxxxxxxxxx</v>
      </c>
      <c r="AB50" s="78" t="str">
        <f t="shared" si="18"/>
        <v/>
      </c>
      <c r="AC50" t="str">
        <f t="shared" si="8"/>
        <v>xxx</v>
      </c>
      <c r="AD50" t="str">
        <f t="shared" si="9"/>
        <v>xxx</v>
      </c>
      <c r="AE50" t="str">
        <f t="shared" si="10"/>
        <v>xxx</v>
      </c>
      <c r="AF50" t="str">
        <f t="shared" si="11"/>
        <v>xxx</v>
      </c>
      <c r="AG50" t="str">
        <f t="shared" si="12"/>
        <v>xxx</v>
      </c>
      <c r="AH50" t="str">
        <f t="shared" si="13"/>
        <v>xxx</v>
      </c>
      <c r="AI50" t="str">
        <f t="shared" si="2"/>
        <v>xxx</v>
      </c>
      <c r="AJ50" t="str">
        <f t="shared" si="3"/>
        <v>xxx</v>
      </c>
      <c r="AK50" t="str">
        <f t="shared" si="4"/>
        <v>xxx</v>
      </c>
      <c r="AL50" t="str">
        <f t="shared" si="5"/>
        <v>xxx</v>
      </c>
      <c r="AM50" t="str">
        <f t="shared" si="14"/>
        <v>xxx</v>
      </c>
      <c r="AN50" t="str">
        <f t="shared" si="20"/>
        <v>xxx</v>
      </c>
      <c r="AO50" t="str">
        <f t="shared" si="15"/>
        <v>xxxxxxxxxxxxxxxxxx</v>
      </c>
      <c r="AP50" s="6" t="str">
        <f t="shared" si="16"/>
        <v/>
      </c>
      <c r="AQ50" s="80" t="s">
        <v>3345</v>
      </c>
      <c r="AR50" t="str">
        <f t="shared" si="19"/>
        <v>格挡率+{0}%
格挡时恢复1点生命值</v>
      </c>
      <c r="AS50" s="81" t="str">
        <f t="shared" si="17"/>
        <v>格挡率+{0}%
格挡时恢复1点生命值</v>
      </c>
      <c r="BE50" s="46" t="s">
        <v>3144</v>
      </c>
      <c r="BF50" s="48" t="s">
        <v>2968</v>
      </c>
      <c r="BG50" s="53">
        <v>239</v>
      </c>
      <c r="BH50" s="59">
        <v>10</v>
      </c>
      <c r="BI50" s="111">
        <f t="shared" si="21"/>
        <v>3.2679738562091504E-3</v>
      </c>
      <c r="BJ50" s="59"/>
      <c r="BK50" s="18">
        <v>2</v>
      </c>
    </row>
    <row r="51" spans="3:63" ht="15.75" x14ac:dyDescent="0.3">
      <c r="C51" s="59">
        <v>14737</v>
      </c>
      <c r="D51" s="59" t="s">
        <v>169</v>
      </c>
      <c r="E51" s="59"/>
      <c r="F51" s="59" t="s">
        <v>2746</v>
      </c>
      <c r="G51" s="59"/>
      <c r="H51" s="72">
        <v>8</v>
      </c>
      <c r="I51" s="64" t="s">
        <v>2947</v>
      </c>
      <c r="J51" s="64">
        <v>3</v>
      </c>
      <c r="K51" s="64">
        <v>0.2</v>
      </c>
      <c r="L51" s="65" t="s">
        <v>2927</v>
      </c>
      <c r="M51" s="65">
        <v>1</v>
      </c>
      <c r="N51" s="65">
        <v>0.2</v>
      </c>
      <c r="O51" s="66" t="s">
        <v>2948</v>
      </c>
      <c r="P51" s="66">
        <v>1</v>
      </c>
      <c r="Q51" s="66">
        <v>0.2</v>
      </c>
      <c r="R51" s="64" t="s">
        <v>2940</v>
      </c>
      <c r="S51" s="64">
        <v>1</v>
      </c>
      <c r="T51" s="64">
        <v>0.2</v>
      </c>
      <c r="U51" s="65" t="s">
        <v>2970</v>
      </c>
      <c r="V51" s="65">
        <v>2</v>
      </c>
      <c r="W51" s="65">
        <v>0.2</v>
      </c>
      <c r="X51" s="66"/>
      <c r="Y51" s="66"/>
      <c r="Z51" s="66"/>
      <c r="AA51" s="71" t="str">
        <f t="shared" si="1"/>
        <v>1:315,12,18,212,4,6,409,4,6,412,8,12,205,8,12,xxx</v>
      </c>
      <c r="AB51" s="78" t="str">
        <f t="shared" si="18"/>
        <v>1:315,12,18,212,4,6,409,4,6,412,8,12,205,8,12</v>
      </c>
      <c r="AC51" t="str">
        <f t="shared" si="8"/>
        <v>元素抗性% {0}</v>
      </c>
      <c r="AD51" t="str">
        <f t="shared" si="9"/>
        <v>元素伤害% {1}</v>
      </c>
      <c r="AE51" t="str">
        <f t="shared" si="10"/>
        <v>冷却缩减% {2}</v>
      </c>
      <c r="AF51" t="str">
        <f t="shared" si="11"/>
        <v>移动速度% {3}</v>
      </c>
      <c r="AG51" t="str">
        <f t="shared" si="12"/>
        <v>元素伤害 {4}</v>
      </c>
      <c r="AH51" t="str">
        <f t="shared" si="13"/>
        <v>xxx</v>
      </c>
      <c r="AI51" t="str">
        <f t="shared" si="2"/>
        <v xml:space="preserve">元素抗性 {0}%
</v>
      </c>
      <c r="AJ51" t="str">
        <f t="shared" si="3"/>
        <v xml:space="preserve">元素伤害 {1}%
</v>
      </c>
      <c r="AK51" t="str">
        <f t="shared" si="4"/>
        <v xml:space="preserve">冷却缩减 {2}%
</v>
      </c>
      <c r="AL51" t="str">
        <f t="shared" si="5"/>
        <v xml:space="preserve">移动速度 {3}%
</v>
      </c>
      <c r="AM51" t="str">
        <f t="shared" si="14"/>
        <v xml:space="preserve">元素伤害 {4}
</v>
      </c>
      <c r="AN51" t="str">
        <f t="shared" si="20"/>
        <v>xxx</v>
      </c>
      <c r="AO51" t="str">
        <f t="shared" si="15"/>
        <v>元素抗性 {0}%
元素伤害 {1}%
冷却缩减 {2}%
移动速度 {3}%
元素伤害 {4}
xxx</v>
      </c>
      <c r="AP51" s="6" t="str">
        <f t="shared" si="16"/>
        <v xml:space="preserve">元素抗性 {0}%
元素伤害 {1}%
冷却缩减 {2}%
移动速度 {3}%
元素伤害 {4}
</v>
      </c>
      <c r="AQ51" s="80" t="s">
        <v>3346</v>
      </c>
      <c r="AR51" t="str">
        <f t="shared" si="19"/>
        <v xml:space="preserve">元素抗性 {0}%
元素伤害 {1}%
冷却缩减 {2}%
移动速度 {3}%
元素伤害 {4}
</v>
      </c>
      <c r="AS51" s="81" t="str">
        <f t="shared" si="17"/>
        <v>元素抗性 {0}%
元素伤害 {1}%
冷却缩减 {2}%
移动速度 {3}%
元素伤害 {4}</v>
      </c>
      <c r="BE51" s="46" t="s">
        <v>2984</v>
      </c>
      <c r="BF51" s="48" t="s">
        <v>2968</v>
      </c>
      <c r="BG51" s="53">
        <v>240</v>
      </c>
      <c r="BH51" s="59">
        <v>10</v>
      </c>
      <c r="BI51" s="111">
        <f t="shared" si="21"/>
        <v>1.6339869281045753E-2</v>
      </c>
      <c r="BJ51" s="59"/>
      <c r="BK51" s="18">
        <v>2</v>
      </c>
    </row>
    <row r="52" spans="3:63" ht="15.75" x14ac:dyDescent="0.3">
      <c r="C52" s="59">
        <v>14738</v>
      </c>
      <c r="D52" s="59" t="s">
        <v>171</v>
      </c>
      <c r="E52" s="59"/>
      <c r="F52" s="59" t="s">
        <v>2746</v>
      </c>
      <c r="G52" s="59"/>
      <c r="H52" s="72">
        <v>8</v>
      </c>
      <c r="I52" s="64" t="s">
        <v>3180</v>
      </c>
      <c r="J52" s="64">
        <v>3</v>
      </c>
      <c r="K52" s="64">
        <v>0.2</v>
      </c>
      <c r="L52" s="65" t="s">
        <v>2945</v>
      </c>
      <c r="M52" s="65">
        <v>2</v>
      </c>
      <c r="N52" s="65">
        <v>0.2</v>
      </c>
      <c r="O52" s="66" t="s">
        <v>2946</v>
      </c>
      <c r="P52" s="66">
        <v>2</v>
      </c>
      <c r="Q52" s="66">
        <v>0.2</v>
      </c>
      <c r="R52" s="64" t="s">
        <v>3250</v>
      </c>
      <c r="S52" s="64">
        <v>1</v>
      </c>
      <c r="T52" s="64">
        <v>0.5</v>
      </c>
      <c r="U52" s="65"/>
      <c r="V52" s="65"/>
      <c r="W52" s="65"/>
      <c r="X52" s="66"/>
      <c r="Y52" s="66"/>
      <c r="Z52" s="66"/>
      <c r="AA52" s="71" t="str">
        <f t="shared" si="1"/>
        <v>1:300,48,72,302,16,24,306,16,24,303,0.25,0.75,xxxxxx</v>
      </c>
      <c r="AB52" s="78" t="str">
        <f t="shared" si="18"/>
        <v>1:300,48,72,302,16,24,306,16,24,303,0.25,0.75</v>
      </c>
      <c r="AC52" t="str">
        <f t="shared" si="8"/>
        <v>最大生命值 {0}</v>
      </c>
      <c r="AD52" t="str">
        <f t="shared" si="9"/>
        <v>生命值% {1}</v>
      </c>
      <c r="AE52" t="str">
        <f t="shared" si="10"/>
        <v>护甲值% {2}</v>
      </c>
      <c r="AF52" t="str">
        <f t="shared" si="11"/>
        <v>生命回复 {3}</v>
      </c>
      <c r="AG52" t="str">
        <f t="shared" si="12"/>
        <v>xxx</v>
      </c>
      <c r="AH52" t="str">
        <f t="shared" si="13"/>
        <v>xxx</v>
      </c>
      <c r="AI52" t="str">
        <f t="shared" si="2"/>
        <v xml:space="preserve">最大生命值 {0}
</v>
      </c>
      <c r="AJ52" t="str">
        <f t="shared" si="3"/>
        <v xml:space="preserve">生命值 {1}%
</v>
      </c>
      <c r="AK52" t="str">
        <f t="shared" si="4"/>
        <v xml:space="preserve">护甲值 {2}%
</v>
      </c>
      <c r="AL52" t="str">
        <f t="shared" si="5"/>
        <v xml:space="preserve">生命回复 {3}
</v>
      </c>
      <c r="AM52" t="str">
        <f t="shared" si="14"/>
        <v>xxx</v>
      </c>
      <c r="AN52" t="str">
        <f t="shared" si="20"/>
        <v>xxx</v>
      </c>
      <c r="AO52" t="str">
        <f t="shared" si="15"/>
        <v>最大生命值 {0}
生命值 {1}%
护甲值 {2}%
生命回复 {3}
xxxxxx</v>
      </c>
      <c r="AP52" s="6" t="str">
        <f t="shared" si="16"/>
        <v xml:space="preserve">最大生命值 {0}
生命值 {1}%
护甲值 {2}%
生命回复 {3}
</v>
      </c>
      <c r="AQ52" s="80" t="s">
        <v>3347</v>
      </c>
      <c r="AR52" t="str">
        <f t="shared" si="19"/>
        <v xml:space="preserve">最大生命值 {0}
生命值 {1}%
护甲值 {2}%
生命回复 {3}
</v>
      </c>
      <c r="AS52" s="81" t="str">
        <f t="shared" si="17"/>
        <v>最大生命值 {0}
生命值 {1}%
护甲值 {2}%
生命回复 {3}</v>
      </c>
      <c r="BE52" s="46" t="s">
        <v>2985</v>
      </c>
      <c r="BF52" s="48" t="s">
        <v>2968</v>
      </c>
      <c r="BG52" s="53">
        <v>241</v>
      </c>
      <c r="BH52" s="59">
        <v>10</v>
      </c>
      <c r="BI52" s="111">
        <f t="shared" si="21"/>
        <v>4.2483660130718949E-2</v>
      </c>
      <c r="BJ52" s="59"/>
      <c r="BK52" s="18">
        <v>2</v>
      </c>
    </row>
    <row r="53" spans="3:63" ht="15.75" x14ac:dyDescent="0.3">
      <c r="C53" s="59">
        <v>14739</v>
      </c>
      <c r="D53" s="59" t="s">
        <v>173</v>
      </c>
      <c r="E53" s="59">
        <v>4</v>
      </c>
      <c r="F53" s="59" t="s">
        <v>2746</v>
      </c>
      <c r="G53" s="59"/>
      <c r="H53" s="72">
        <v>8</v>
      </c>
      <c r="I53" s="64" t="s">
        <v>2962</v>
      </c>
      <c r="J53" s="64">
        <v>3</v>
      </c>
      <c r="K53" s="64">
        <v>0.2</v>
      </c>
      <c r="L53" s="65" t="s">
        <v>3219</v>
      </c>
      <c r="M53" s="65">
        <v>3</v>
      </c>
      <c r="N53" s="65">
        <v>0.2</v>
      </c>
      <c r="O53" s="66" t="s">
        <v>3180</v>
      </c>
      <c r="P53" s="66">
        <v>2</v>
      </c>
      <c r="Q53" s="66">
        <v>0.2</v>
      </c>
      <c r="R53" s="64"/>
      <c r="S53" s="64"/>
      <c r="T53" s="64"/>
      <c r="U53" s="65"/>
      <c r="V53" s="65"/>
      <c r="W53" s="65"/>
      <c r="X53" s="66"/>
      <c r="Y53" s="66"/>
      <c r="Z53" s="66"/>
      <c r="AA53" s="71" t="str">
        <f t="shared" si="1"/>
        <v>1:316,24,36,323,24,36,300,32,48,xxxxxxxxx</v>
      </c>
      <c r="AB53" s="78" t="str">
        <f t="shared" si="18"/>
        <v>1:316,24,36,323,24,36,300,32,48</v>
      </c>
      <c r="AC53" t="str">
        <f t="shared" si="8"/>
        <v>冰霜抗性% {0}</v>
      </c>
      <c r="AD53" t="str">
        <f t="shared" si="9"/>
        <v>护盾最大值 {1}</v>
      </c>
      <c r="AE53" t="str">
        <f t="shared" si="10"/>
        <v>最大生命值 {2}</v>
      </c>
      <c r="AF53" t="str">
        <f t="shared" si="11"/>
        <v>xxx</v>
      </c>
      <c r="AG53" t="str">
        <f t="shared" si="12"/>
        <v>xxx</v>
      </c>
      <c r="AH53" t="str">
        <f t="shared" si="13"/>
        <v>xxx</v>
      </c>
      <c r="AI53" t="str">
        <f t="shared" si="2"/>
        <v xml:space="preserve">冰霜抗性 {0}%
</v>
      </c>
      <c r="AJ53" t="str">
        <f t="shared" si="3"/>
        <v xml:space="preserve">护盾最大值 {1}
</v>
      </c>
      <c r="AK53" t="str">
        <f t="shared" si="4"/>
        <v xml:space="preserve">最大生命值 {2}
</v>
      </c>
      <c r="AL53" t="str">
        <f t="shared" si="5"/>
        <v>xxx</v>
      </c>
      <c r="AM53" t="str">
        <f t="shared" si="14"/>
        <v>xxx</v>
      </c>
      <c r="AN53" t="str">
        <f t="shared" si="20"/>
        <v>xxx</v>
      </c>
      <c r="AO53" t="str">
        <f t="shared" si="15"/>
        <v>冰霜抗性 {0}%
护盾最大值 {1}
最大生命值 {2}
xxxxxxxxx</v>
      </c>
      <c r="AP53" s="6" t="str">
        <f t="shared" si="16"/>
        <v xml:space="preserve">冰霜抗性 {0}%
护盾最大值 {1}
最大生命值 {2}
</v>
      </c>
      <c r="AQ53" s="80" t="s">
        <v>3348</v>
      </c>
      <c r="AR53" t="str">
        <f t="shared" si="19"/>
        <v xml:space="preserve">冰霜抗性 {0}%
护盾最大值 {1}
最大生命值 {2}
</v>
      </c>
      <c r="AS53" s="81" t="str">
        <f t="shared" si="17"/>
        <v>冰霜抗性 {0}%
护盾最大值 {1}
最大生命值 {2}</v>
      </c>
      <c r="BE53" s="46" t="s">
        <v>2986</v>
      </c>
      <c r="BF53" s="48" t="s">
        <v>2968</v>
      </c>
      <c r="BG53" s="53">
        <v>242</v>
      </c>
      <c r="BH53" s="59">
        <v>10</v>
      </c>
      <c r="BI53" s="111">
        <f t="shared" si="21"/>
        <v>3.2679738562091505E-2</v>
      </c>
      <c r="BJ53" s="59"/>
      <c r="BK53" s="18">
        <v>2</v>
      </c>
    </row>
    <row r="54" spans="3:63" ht="15.75" x14ac:dyDescent="0.3">
      <c r="C54" s="59">
        <v>14740</v>
      </c>
      <c r="D54" s="59" t="s">
        <v>175</v>
      </c>
      <c r="E54" s="59">
        <v>3</v>
      </c>
      <c r="F54" s="59" t="s">
        <v>2746</v>
      </c>
      <c r="G54" s="59"/>
      <c r="H54" s="72">
        <v>9</v>
      </c>
      <c r="I54" s="64" t="s">
        <v>2963</v>
      </c>
      <c r="J54" s="64">
        <v>8</v>
      </c>
      <c r="K54" s="64">
        <v>0.2</v>
      </c>
      <c r="L54" s="65" t="s">
        <v>2957</v>
      </c>
      <c r="M54" s="65">
        <v>3</v>
      </c>
      <c r="N54" s="65">
        <v>0.2</v>
      </c>
      <c r="O54" s="66" t="s">
        <v>2940</v>
      </c>
      <c r="P54" s="66">
        <v>-4</v>
      </c>
      <c r="Q54" s="66">
        <v>0</v>
      </c>
      <c r="R54" s="64" t="s">
        <v>2959</v>
      </c>
      <c r="S54" s="64">
        <v>2</v>
      </c>
      <c r="T54" s="64">
        <v>0</v>
      </c>
      <c r="U54" s="65"/>
      <c r="V54" s="65"/>
      <c r="W54" s="65"/>
      <c r="X54" s="66"/>
      <c r="Y54" s="66"/>
      <c r="Z54" s="66"/>
      <c r="AA54" s="71" t="str">
        <f t="shared" si="1"/>
        <v>1:413,64,96,305,240,360,412,-40,-40,313,20,20,xxxxxx</v>
      </c>
      <c r="AB54" s="78" t="str">
        <f t="shared" si="18"/>
        <v>1:413,64,96,305,240,360,412,-40,-40,313,20,20</v>
      </c>
      <c r="AC54" t="str">
        <f t="shared" si="8"/>
        <v>荆棘 {0}</v>
      </c>
      <c r="AD54" t="str">
        <f t="shared" si="9"/>
        <v>护甲值 {1}</v>
      </c>
      <c r="AE54" t="str">
        <f t="shared" si="10"/>
        <v>xxx</v>
      </c>
      <c r="AF54" t="str">
        <f t="shared" si="11"/>
        <v>格挡几率% {3}</v>
      </c>
      <c r="AG54" t="str">
        <f t="shared" si="12"/>
        <v>xxx</v>
      </c>
      <c r="AH54" t="str">
        <f t="shared" si="13"/>
        <v>xxx</v>
      </c>
      <c r="AI54" t="str">
        <f t="shared" si="2"/>
        <v xml:space="preserve">荆棘 {0}
</v>
      </c>
      <c r="AJ54" t="str">
        <f t="shared" si="3"/>
        <v xml:space="preserve">护甲值 {1}
</v>
      </c>
      <c r="AK54" t="str">
        <f t="shared" si="4"/>
        <v xml:space="preserve">xxx%
</v>
      </c>
      <c r="AL54" t="str">
        <f t="shared" si="5"/>
        <v xml:space="preserve">格挡几率 {3}%
</v>
      </c>
      <c r="AM54" t="str">
        <f t="shared" si="14"/>
        <v>xxx</v>
      </c>
      <c r="AN54" t="str">
        <f t="shared" si="20"/>
        <v>xxx</v>
      </c>
      <c r="AO54" t="str">
        <f t="shared" si="15"/>
        <v>荆棘 {0}
护甲值 {1}
xxx%
格挡几率 {3}%
xxxxxx</v>
      </c>
      <c r="AP54" s="6" t="str">
        <f t="shared" si="16"/>
        <v xml:space="preserve">荆棘 {0}
护甲值 {1}
%
格挡几率 {3}%
</v>
      </c>
      <c r="AQ54" s="80" t="s">
        <v>3349</v>
      </c>
      <c r="AR54" t="str">
        <f t="shared" si="19"/>
        <v xml:space="preserve">荆棘 {0}
护甲值 {1}
%
格挡几率 {3}%
</v>
      </c>
      <c r="AS54" s="81" t="str">
        <f t="shared" si="17"/>
        <v>荆棘 {0}
护甲值 {1}
%
格挡几率 {3}%</v>
      </c>
      <c r="BE54" s="46" t="s">
        <v>2987</v>
      </c>
      <c r="BF54" s="48" t="s">
        <v>2988</v>
      </c>
      <c r="BG54" s="53">
        <v>243</v>
      </c>
      <c r="BH54" s="59">
        <v>10</v>
      </c>
      <c r="BI54" s="111">
        <f t="shared" si="21"/>
        <v>1.3071895424836602E-2</v>
      </c>
      <c r="BJ54" s="59"/>
      <c r="BK54" s="18">
        <v>2</v>
      </c>
    </row>
    <row r="55" spans="3:63" ht="15.75" x14ac:dyDescent="0.3">
      <c r="C55" s="59">
        <v>14741</v>
      </c>
      <c r="D55" s="59" t="s">
        <v>177</v>
      </c>
      <c r="E55" s="59"/>
      <c r="F55" s="59" t="s">
        <v>2746</v>
      </c>
      <c r="G55" s="59"/>
      <c r="H55" s="72">
        <v>8</v>
      </c>
      <c r="I55" s="64" t="s">
        <v>2940</v>
      </c>
      <c r="J55" s="64">
        <v>3</v>
      </c>
      <c r="K55" s="64">
        <v>0.2</v>
      </c>
      <c r="L55" s="65" t="s">
        <v>2933</v>
      </c>
      <c r="M55" s="65">
        <v>3</v>
      </c>
      <c r="N55" s="65">
        <v>0.2</v>
      </c>
      <c r="O55" s="66" t="s">
        <v>2943</v>
      </c>
      <c r="P55" s="66">
        <v>2</v>
      </c>
      <c r="Q55" s="66">
        <v>0.2</v>
      </c>
      <c r="R55" s="64"/>
      <c r="S55" s="64"/>
      <c r="T55" s="64"/>
      <c r="U55" s="65"/>
      <c r="V55" s="65"/>
      <c r="W55" s="65"/>
      <c r="X55" s="66"/>
      <c r="Y55" s="66"/>
      <c r="Z55" s="66"/>
      <c r="AA55" s="71" t="str">
        <f t="shared" si="1"/>
        <v>1:412,24,36,217,24,36,226,16,24,xxxxxxxxx</v>
      </c>
      <c r="AB55" s="78" t="str">
        <f t="shared" si="18"/>
        <v>1:412,24,36,217,24,36,226,16,24</v>
      </c>
      <c r="AC55" t="str">
        <f t="shared" si="8"/>
        <v>移动速度% {0}</v>
      </c>
      <c r="AD55" t="str">
        <f t="shared" si="9"/>
        <v>攻击速度% {1}</v>
      </c>
      <c r="AE55" t="str">
        <f t="shared" si="10"/>
        <v>命中率% {2}</v>
      </c>
      <c r="AF55" t="str">
        <f t="shared" si="11"/>
        <v>xxx</v>
      </c>
      <c r="AG55" t="str">
        <f t="shared" si="12"/>
        <v>xxx</v>
      </c>
      <c r="AH55" t="str">
        <f t="shared" si="13"/>
        <v>xxx</v>
      </c>
      <c r="AI55" t="str">
        <f t="shared" si="2"/>
        <v xml:space="preserve">移动速度 {0}%
</v>
      </c>
      <c r="AJ55" t="str">
        <f t="shared" si="3"/>
        <v xml:space="preserve">攻击速度 {1}%
</v>
      </c>
      <c r="AK55" t="str">
        <f t="shared" si="4"/>
        <v xml:space="preserve">命中率 {2}%
</v>
      </c>
      <c r="AL55" t="str">
        <f t="shared" si="5"/>
        <v>xxx</v>
      </c>
      <c r="AM55" t="str">
        <f t="shared" si="14"/>
        <v>xxx</v>
      </c>
      <c r="AN55" t="str">
        <f t="shared" si="20"/>
        <v>xxx</v>
      </c>
      <c r="AO55" t="str">
        <f t="shared" si="15"/>
        <v>移动速度 {0}%
攻击速度 {1}%
命中率 {2}%
xxxxxxxxx</v>
      </c>
      <c r="AP55" s="6" t="str">
        <f t="shared" si="16"/>
        <v xml:space="preserve">移动速度 {0}%
攻击速度 {1}%
命中率 {2}%
</v>
      </c>
      <c r="AQ55" s="80" t="s">
        <v>3350</v>
      </c>
      <c r="AR55" t="str">
        <f t="shared" si="19"/>
        <v xml:space="preserve">移动速度 {0}%
攻击速度 {1}%
命中率 {2}%
</v>
      </c>
      <c r="AS55" s="81" t="str">
        <f t="shared" si="17"/>
        <v>移动速度 {0}%
攻击速度 {1}%
命中率 {2}%</v>
      </c>
      <c r="BE55" s="46" t="s">
        <v>2989</v>
      </c>
      <c r="BF55" s="48" t="s">
        <v>2968</v>
      </c>
      <c r="BG55" s="53">
        <v>244</v>
      </c>
      <c r="BH55" s="59">
        <v>10</v>
      </c>
      <c r="BI55" s="111">
        <f t="shared" si="21"/>
        <v>0</v>
      </c>
      <c r="BJ55" s="59"/>
      <c r="BK55" s="18">
        <v>2</v>
      </c>
    </row>
    <row r="56" spans="3:63" ht="15.75" x14ac:dyDescent="0.3">
      <c r="C56" s="59">
        <v>14742</v>
      </c>
      <c r="D56" s="59" t="s">
        <v>179</v>
      </c>
      <c r="E56" s="59">
        <v>5</v>
      </c>
      <c r="F56" s="59" t="s">
        <v>2746</v>
      </c>
      <c r="G56" s="59"/>
      <c r="H56" s="72">
        <v>8</v>
      </c>
      <c r="I56" s="64" t="s">
        <v>3145</v>
      </c>
      <c r="J56" s="64">
        <v>6</v>
      </c>
      <c r="K56" s="64">
        <v>0.2</v>
      </c>
      <c r="L56" s="65" t="s">
        <v>2926</v>
      </c>
      <c r="M56" s="65">
        <v>6</v>
      </c>
      <c r="N56" s="65">
        <v>0.2</v>
      </c>
      <c r="O56" s="66" t="s">
        <v>2962</v>
      </c>
      <c r="P56" s="66">
        <v>-4</v>
      </c>
      <c r="Q56" s="66">
        <v>0</v>
      </c>
      <c r="R56" s="64" t="s">
        <v>2948</v>
      </c>
      <c r="S56" s="64">
        <v>1</v>
      </c>
      <c r="T56" s="64">
        <v>0.2</v>
      </c>
      <c r="U56" s="65" t="s">
        <v>3146</v>
      </c>
      <c r="V56" s="65">
        <v>1</v>
      </c>
      <c r="W56" s="65">
        <v>0.2</v>
      </c>
      <c r="X56" s="66" t="s">
        <v>3250</v>
      </c>
      <c r="Y56" s="66">
        <v>-2</v>
      </c>
      <c r="Z56" s="66">
        <v>0</v>
      </c>
      <c r="AA56" s="71" t="str">
        <f t="shared" si="1"/>
        <v>1:251,48,72,214,48,72,316,-40,-40,409,4,6,241,8,12,303,-1,-1,</v>
      </c>
      <c r="AB56" s="78" t="str">
        <f t="shared" si="18"/>
        <v>1:251,48,72,214,48,72,316,-40,-40,409,4,6,241,8,12,303,-1,-1</v>
      </c>
      <c r="AC56" t="str">
        <f t="shared" si="8"/>
        <v>施加灼烧时间提升 {0}</v>
      </c>
      <c r="AD56" t="str">
        <f t="shared" si="9"/>
        <v>火焰伤害% {1}</v>
      </c>
      <c r="AE56" t="str">
        <f t="shared" si="10"/>
        <v>xxx</v>
      </c>
      <c r="AF56" t="str">
        <f t="shared" si="11"/>
        <v>冷却缩减% {3}</v>
      </c>
      <c r="AG56" t="str">
        <f t="shared" si="12"/>
        <v>灼烧系数 {4}</v>
      </c>
      <c r="AH56" t="str">
        <f t="shared" si="13"/>
        <v>xxx</v>
      </c>
      <c r="AI56" t="str">
        <f t="shared" si="2"/>
        <v xml:space="preserve">施加灼烧时间提升 {0}%
</v>
      </c>
      <c r="AJ56" t="str">
        <f t="shared" si="3"/>
        <v xml:space="preserve">火焰伤害 {1}%
</v>
      </c>
      <c r="AK56" t="str">
        <f t="shared" si="4"/>
        <v xml:space="preserve">xxx%
</v>
      </c>
      <c r="AL56" t="str">
        <f t="shared" si="5"/>
        <v xml:space="preserve">冷却缩减 {3}%
</v>
      </c>
      <c r="AM56" t="str">
        <f t="shared" si="14"/>
        <v xml:space="preserve">灼烧系数 {4}%
</v>
      </c>
      <c r="AN56" t="str">
        <f t="shared" si="20"/>
        <v xml:space="preserve">xxx
</v>
      </c>
      <c r="AO56" t="str">
        <f t="shared" si="15"/>
        <v xml:space="preserve">施加灼烧时间提升 {0}%
火焰伤害 {1}%
xxx%
冷却缩减 {3}%
灼烧系数 {4}%
xxx
</v>
      </c>
      <c r="AP56" s="6" t="str">
        <f t="shared" si="16"/>
        <v xml:space="preserve">施加灼烧时间提升 {0}%
火焰伤害 {1}%
%
冷却缩减 {3}%
灼烧系数 {4}%
</v>
      </c>
      <c r="AQ56" s="80" t="s">
        <v>3351</v>
      </c>
      <c r="AR56" t="str">
        <f t="shared" si="19"/>
        <v xml:space="preserve">施加灼烧时间提升 {0}%
火焰伤害 {1}%
%
冷却缩减 {3}%
灼烧系数 {4}%
</v>
      </c>
      <c r="AS56" s="81" t="str">
        <f t="shared" si="17"/>
        <v xml:space="preserve">施加灼烧时间提升 {0}%
火焰伤害 {1}%
%
冷却缩减 {3}%
灼烧系数 {4}%
</v>
      </c>
      <c r="BE56" s="46" t="s">
        <v>2990</v>
      </c>
      <c r="BF56" s="48" t="s">
        <v>2968</v>
      </c>
      <c r="BG56" s="53">
        <v>245</v>
      </c>
      <c r="BH56" s="59">
        <v>10</v>
      </c>
      <c r="BI56" s="111">
        <f t="shared" si="21"/>
        <v>0</v>
      </c>
      <c r="BJ56" s="59"/>
      <c r="BK56" s="18">
        <v>2</v>
      </c>
    </row>
    <row r="57" spans="3:63" ht="15.75" x14ac:dyDescent="0.3">
      <c r="C57" s="59">
        <v>14743</v>
      </c>
      <c r="D57" s="59" t="s">
        <v>181</v>
      </c>
      <c r="E57" s="59"/>
      <c r="F57" s="59" t="s">
        <v>2746</v>
      </c>
      <c r="G57" s="59"/>
      <c r="H57" s="72">
        <v>12</v>
      </c>
      <c r="I57" s="64" t="s">
        <v>3248</v>
      </c>
      <c r="J57" s="64">
        <v>2</v>
      </c>
      <c r="K57" s="64">
        <v>0.2</v>
      </c>
      <c r="L57" s="65" t="s">
        <v>2959</v>
      </c>
      <c r="M57" s="65">
        <v>2</v>
      </c>
      <c r="N57" s="65">
        <v>0</v>
      </c>
      <c r="O57" s="66" t="s">
        <v>2949</v>
      </c>
      <c r="P57" s="66">
        <v>2</v>
      </c>
      <c r="Q57" s="66">
        <v>0.2</v>
      </c>
      <c r="R57" s="64" t="s">
        <v>3251</v>
      </c>
      <c r="S57" s="64">
        <v>2</v>
      </c>
      <c r="T57" s="64">
        <v>0.2</v>
      </c>
      <c r="U57" s="65" t="s">
        <v>3204</v>
      </c>
      <c r="V57" s="65">
        <v>2</v>
      </c>
      <c r="W57" s="65">
        <v>0</v>
      </c>
      <c r="X57" s="66" t="s">
        <v>3028</v>
      </c>
      <c r="Y57" s="66">
        <v>2</v>
      </c>
      <c r="Z57" s="66">
        <v>0</v>
      </c>
      <c r="AA57" s="71" t="str">
        <f t="shared" si="1"/>
        <v>1:320,8,12,313,20,20,311,8,12,253,16,24,330,20,20,407,40,40,</v>
      </c>
      <c r="AB57" s="78" t="str">
        <f t="shared" si="18"/>
        <v>1:320,8,12,313,20,20,311,8,12,253,16,24,330,20,20,407,40,40</v>
      </c>
      <c r="AC57" t="str">
        <f t="shared" si="8"/>
        <v>物理抗性% {0}</v>
      </c>
      <c r="AD57" t="str">
        <f t="shared" si="9"/>
        <v>格挡几率% {1}</v>
      </c>
      <c r="AE57" t="str">
        <f t="shared" si="10"/>
        <v>闪避几率% {2}</v>
      </c>
      <c r="AF57" t="str">
        <f t="shared" si="11"/>
        <v>施加诅咒时间提升 {3}</v>
      </c>
      <c r="AG57" t="str">
        <f t="shared" si="12"/>
        <v>受到异常时间提升 {4}</v>
      </c>
      <c r="AH57" t="str">
        <f t="shared" si="13"/>
        <v>拾取范围% {5}</v>
      </c>
      <c r="AI57" t="str">
        <f t="shared" si="2"/>
        <v xml:space="preserve">物理抗性 {0}%
</v>
      </c>
      <c r="AJ57" t="str">
        <f t="shared" si="3"/>
        <v xml:space="preserve">格挡几率 {1}%
</v>
      </c>
      <c r="AK57" t="str">
        <f t="shared" si="4"/>
        <v xml:space="preserve">闪避几率 {2}%
</v>
      </c>
      <c r="AL57" t="str">
        <f t="shared" si="5"/>
        <v xml:space="preserve">施加诅咒时间提升 {3}%
</v>
      </c>
      <c r="AM57" t="str">
        <f t="shared" si="14"/>
        <v xml:space="preserve">受到异常时间提升 {4}%
</v>
      </c>
      <c r="AN57" t="str">
        <f t="shared" si="20"/>
        <v xml:space="preserve">拾取范围 {5}%
</v>
      </c>
      <c r="AO57" t="str">
        <f t="shared" si="15"/>
        <v xml:space="preserve">物理抗性 {0}%
格挡几率 {1}%
闪避几率 {2}%
施加诅咒时间提升 {3}%
受到异常时间提升 {4}%
拾取范围 {5}%
</v>
      </c>
      <c r="AP57" s="6" t="str">
        <f t="shared" si="16"/>
        <v xml:space="preserve">物理抗性 {0}%
格挡几率 {1}%
闪避几率 {2}%
施加诅咒时间提升 {3}%
受到异常时间提升 {4}%
拾取范围 {5}%
</v>
      </c>
      <c r="AQ57" s="80" t="s">
        <v>3352</v>
      </c>
      <c r="AR57" t="str">
        <f t="shared" si="19"/>
        <v xml:space="preserve">物理抗性 {0}%
格挡几率 {1}%
闪避几率 {2}%
施加诅咒时间提升 {3}%
受到异常时间提升 {4}%
拾取范围 {5}%
</v>
      </c>
      <c r="AS57" s="81" t="str">
        <f t="shared" si="17"/>
        <v>物理抗性 {0}%
格挡几率 {1}%
闪避几率 {2}%
施加诅咒时间提升 {3}%
受到异常时间提升 {4}%
拾取范围 {5}%</v>
      </c>
      <c r="BE57" s="46" t="s">
        <v>2991</v>
      </c>
      <c r="BF57" s="48" t="s">
        <v>2988</v>
      </c>
      <c r="BG57" s="53">
        <v>246</v>
      </c>
      <c r="BH57" s="59">
        <v>10</v>
      </c>
      <c r="BI57" s="111">
        <f t="shared" si="21"/>
        <v>0</v>
      </c>
      <c r="BJ57" s="59"/>
      <c r="BK57" s="18">
        <v>2</v>
      </c>
    </row>
    <row r="58" spans="3:63" ht="15.75" x14ac:dyDescent="0.3">
      <c r="C58" s="59">
        <v>14744</v>
      </c>
      <c r="D58" s="59" t="s">
        <v>183</v>
      </c>
      <c r="E58" s="59"/>
      <c r="F58" s="59" t="s">
        <v>2746</v>
      </c>
      <c r="G58" s="59"/>
      <c r="H58" s="72">
        <v>10</v>
      </c>
      <c r="I58" s="64" t="s">
        <v>3180</v>
      </c>
      <c r="J58" s="64">
        <v>10</v>
      </c>
      <c r="K58" s="64">
        <v>0.2</v>
      </c>
      <c r="L58" s="65"/>
      <c r="M58" s="65"/>
      <c r="N58" s="65"/>
      <c r="O58" s="66"/>
      <c r="P58" s="66"/>
      <c r="Q58" s="66"/>
      <c r="R58" s="64"/>
      <c r="S58" s="64"/>
      <c r="T58" s="64"/>
      <c r="U58" s="65"/>
      <c r="V58" s="65"/>
      <c r="W58" s="65"/>
      <c r="X58" s="66"/>
      <c r="Y58" s="66"/>
      <c r="Z58" s="66"/>
      <c r="AA58" s="71" t="str">
        <f t="shared" si="1"/>
        <v>1:300,160,240,xxxxxxxxxxxxxxx</v>
      </c>
      <c r="AB58" s="78" t="str">
        <f t="shared" si="18"/>
        <v>1:300,160,240</v>
      </c>
      <c r="AC58" t="str">
        <f t="shared" si="8"/>
        <v>最大生命值 {0}</v>
      </c>
      <c r="AD58" t="str">
        <f t="shared" si="9"/>
        <v>xxx</v>
      </c>
      <c r="AE58" t="str">
        <f t="shared" si="10"/>
        <v>xxx</v>
      </c>
      <c r="AF58" t="str">
        <f t="shared" si="11"/>
        <v>xxx</v>
      </c>
      <c r="AG58" t="str">
        <f t="shared" si="12"/>
        <v>xxx</v>
      </c>
      <c r="AH58" t="str">
        <f t="shared" si="13"/>
        <v>xxx</v>
      </c>
      <c r="AI58" t="str">
        <f t="shared" si="2"/>
        <v xml:space="preserve">最大生命值 {0}
</v>
      </c>
      <c r="AJ58" t="str">
        <f t="shared" si="3"/>
        <v>xxx</v>
      </c>
      <c r="AK58" t="str">
        <f t="shared" si="4"/>
        <v>xxx</v>
      </c>
      <c r="AL58" t="str">
        <f t="shared" si="5"/>
        <v>xxx</v>
      </c>
      <c r="AM58" t="str">
        <f t="shared" si="14"/>
        <v>xxx</v>
      </c>
      <c r="AN58" t="str">
        <f t="shared" si="20"/>
        <v>xxx</v>
      </c>
      <c r="AO58" t="str">
        <f t="shared" si="15"/>
        <v>最大生命值 {0}
xxxxxxxxxxxxxxx</v>
      </c>
      <c r="AP58" s="6" t="str">
        <f t="shared" si="16"/>
        <v xml:space="preserve">最大生命值 {0}
</v>
      </c>
      <c r="AQ58" s="80" t="s">
        <v>3353</v>
      </c>
      <c r="AR58" t="str">
        <f t="shared" si="19"/>
        <v xml:space="preserve">最大生命值 {0}
</v>
      </c>
      <c r="AS58" s="81" t="str">
        <f t="shared" si="17"/>
        <v>最大生命值 {0}</v>
      </c>
      <c r="BE58" s="46" t="s">
        <v>3238</v>
      </c>
      <c r="BF58" s="48" t="s">
        <v>2988</v>
      </c>
      <c r="BG58" s="53">
        <v>247</v>
      </c>
      <c r="BH58" s="59">
        <v>10</v>
      </c>
      <c r="BI58" s="111">
        <f t="shared" si="21"/>
        <v>6.5359477124183009E-3</v>
      </c>
      <c r="BJ58" s="59"/>
      <c r="BK58" s="18">
        <v>2</v>
      </c>
    </row>
    <row r="59" spans="3:63" ht="15.75" x14ac:dyDescent="0.3">
      <c r="C59" s="59">
        <v>14745</v>
      </c>
      <c r="D59" s="59" t="s">
        <v>185</v>
      </c>
      <c r="E59" s="59"/>
      <c r="F59" s="59" t="s">
        <v>2746</v>
      </c>
      <c r="G59" s="59"/>
      <c r="H59" s="72">
        <v>10</v>
      </c>
      <c r="I59" s="64" t="s">
        <v>2944</v>
      </c>
      <c r="J59" s="64">
        <v>6</v>
      </c>
      <c r="K59" s="64">
        <v>0.2</v>
      </c>
      <c r="L59" s="65" t="s">
        <v>3583</v>
      </c>
      <c r="M59" s="65">
        <v>4</v>
      </c>
      <c r="N59" s="65">
        <v>0</v>
      </c>
      <c r="O59" s="66"/>
      <c r="P59" s="66"/>
      <c r="Q59" s="66"/>
      <c r="R59" s="64"/>
      <c r="S59" s="64"/>
      <c r="T59" s="64"/>
      <c r="U59" s="65"/>
      <c r="V59" s="65"/>
      <c r="W59" s="65"/>
      <c r="X59" s="66"/>
      <c r="Y59" s="66"/>
      <c r="Z59" s="66"/>
      <c r="AA59" s="71" t="str">
        <f t="shared" si="1"/>
        <v>1:317,48,72,502,8,8,xxxxxxxxxxxx</v>
      </c>
      <c r="AB59" s="78" t="str">
        <f t="shared" si="18"/>
        <v>1:317,48,72,502,8,8</v>
      </c>
      <c r="AC59" t="str">
        <f t="shared" si="8"/>
        <v>火焰抗性% {0}</v>
      </c>
      <c r="AD59" t="str">
        <f t="shared" si="9"/>
        <v>剔除次数 {1}</v>
      </c>
      <c r="AE59" t="str">
        <f t="shared" si="10"/>
        <v>xxx</v>
      </c>
      <c r="AF59" t="str">
        <f t="shared" si="11"/>
        <v>xxx</v>
      </c>
      <c r="AG59" t="str">
        <f t="shared" si="12"/>
        <v>xxx</v>
      </c>
      <c r="AH59" t="str">
        <f t="shared" si="13"/>
        <v>xxx</v>
      </c>
      <c r="AI59" t="str">
        <f t="shared" si="2"/>
        <v xml:space="preserve">火焰抗性 {0}%
</v>
      </c>
      <c r="AJ59" t="str">
        <f t="shared" si="3"/>
        <v xml:space="preserve">剔除次数 {1}
</v>
      </c>
      <c r="AK59" t="str">
        <f t="shared" si="4"/>
        <v>xxx</v>
      </c>
      <c r="AL59" t="str">
        <f t="shared" si="5"/>
        <v>xxx</v>
      </c>
      <c r="AM59" t="str">
        <f t="shared" si="14"/>
        <v>xxx</v>
      </c>
      <c r="AN59" t="str">
        <f t="shared" si="20"/>
        <v>xxx</v>
      </c>
      <c r="AO59" t="str">
        <f t="shared" si="15"/>
        <v>火焰抗性 {0}%
剔除次数 {1}
xxxxxxxxxxxx</v>
      </c>
      <c r="AP59" s="6" t="str">
        <f t="shared" si="16"/>
        <v xml:space="preserve">火焰抗性 {0}%
剔除次数 {1}
</v>
      </c>
      <c r="AQ59" s="80" t="s">
        <v>3354</v>
      </c>
      <c r="AR59" t="str">
        <f t="shared" si="19"/>
        <v xml:space="preserve">火焰抗性 {0}%
剔除次数 {1}
</v>
      </c>
      <c r="AS59" s="81" t="str">
        <f t="shared" si="17"/>
        <v>火焰抗性 {0}%
剔除次数 {1}</v>
      </c>
      <c r="BE59" s="46" t="s">
        <v>2992</v>
      </c>
      <c r="BF59" s="48" t="s">
        <v>2988</v>
      </c>
      <c r="BG59" s="53">
        <v>248</v>
      </c>
      <c r="BH59" s="59">
        <v>10</v>
      </c>
      <c r="BI59" s="111">
        <f t="shared" si="21"/>
        <v>2.2875816993464051E-2</v>
      </c>
      <c r="BJ59" s="59"/>
      <c r="BK59" s="18">
        <v>2</v>
      </c>
    </row>
    <row r="60" spans="3:63" ht="15.75" x14ac:dyDescent="0.3">
      <c r="C60" s="59">
        <v>14746</v>
      </c>
      <c r="D60" s="59" t="s">
        <v>187</v>
      </c>
      <c r="E60" s="59">
        <v>1</v>
      </c>
      <c r="F60" s="59" t="s">
        <v>2747</v>
      </c>
      <c r="G60" s="59"/>
      <c r="H60" s="72">
        <v>12</v>
      </c>
      <c r="I60" s="64" t="s">
        <v>2943</v>
      </c>
      <c r="J60" s="64">
        <v>3</v>
      </c>
      <c r="K60" s="64">
        <v>0.2</v>
      </c>
      <c r="L60" s="65" t="s">
        <v>2969</v>
      </c>
      <c r="M60" s="65">
        <v>2</v>
      </c>
      <c r="N60" s="65">
        <v>0.25</v>
      </c>
      <c r="O60" s="66" t="s">
        <v>3222</v>
      </c>
      <c r="P60" s="66">
        <v>2</v>
      </c>
      <c r="Q60" s="66">
        <v>0.25</v>
      </c>
      <c r="R60" s="64" t="s">
        <v>3583</v>
      </c>
      <c r="S60" s="64">
        <v>2</v>
      </c>
      <c r="T60" s="64">
        <v>0</v>
      </c>
      <c r="U60" s="65" t="s">
        <v>2966</v>
      </c>
      <c r="V60" s="65">
        <v>3</v>
      </c>
      <c r="W60" s="65">
        <v>0.2</v>
      </c>
      <c r="X60" s="66"/>
      <c r="Y60" s="66"/>
      <c r="Z60" s="66"/>
      <c r="AA60" s="71" t="str">
        <f t="shared" si="1"/>
        <v>1:226,24,36,203,15,25,252,15,25,502,4,4,104,24,36,xxx</v>
      </c>
      <c r="AB60" s="78" t="str">
        <f t="shared" si="18"/>
        <v>1:226,24,36,203,15,25,252,15,25,502,4,4,104,24,36</v>
      </c>
      <c r="AC60" t="str">
        <f t="shared" si="8"/>
        <v>命中率% {0}</v>
      </c>
      <c r="AD60" t="str">
        <f t="shared" si="9"/>
        <v>额外伤害增加% {1}</v>
      </c>
      <c r="AE60" t="str">
        <f t="shared" si="10"/>
        <v>施加异常时间提升 {2}</v>
      </c>
      <c r="AF60" t="str">
        <f t="shared" si="11"/>
        <v>剔除次数 {3}</v>
      </c>
      <c r="AG60" t="str">
        <f t="shared" si="12"/>
        <v>幸运 {4}</v>
      </c>
      <c r="AH60" t="str">
        <f t="shared" si="13"/>
        <v>xxx</v>
      </c>
      <c r="AI60" t="str">
        <f t="shared" si="2"/>
        <v xml:space="preserve">命中率 {0}%
</v>
      </c>
      <c r="AJ60" t="str">
        <f t="shared" si="3"/>
        <v xml:space="preserve">额外伤害增加 {1}%
</v>
      </c>
      <c r="AK60" t="str">
        <f t="shared" si="4"/>
        <v xml:space="preserve">施加异常时间提升 {2}%
</v>
      </c>
      <c r="AL60" t="str">
        <f t="shared" si="5"/>
        <v xml:space="preserve">剔除次数 {3}
</v>
      </c>
      <c r="AM60" t="str">
        <f t="shared" si="14"/>
        <v xml:space="preserve">幸运 {4}
</v>
      </c>
      <c r="AN60" t="str">
        <f t="shared" si="20"/>
        <v>xxx</v>
      </c>
      <c r="AO60" t="str">
        <f t="shared" si="15"/>
        <v>命中率 {0}%
额外伤害增加 {1}%
施加异常时间提升 {2}%
剔除次数 {3}
幸运 {4}
xxx</v>
      </c>
      <c r="AP60" s="6" t="str">
        <f t="shared" si="16"/>
        <v xml:space="preserve">命中率 {0}%
额外伤害增加 {1}%
施加异常时间提升 {2}%
剔除次数 {3}
幸运 {4}
</v>
      </c>
      <c r="AQ60" s="80" t="s">
        <v>3355</v>
      </c>
      <c r="AR60" t="str">
        <f t="shared" si="19"/>
        <v xml:space="preserve">命中率 {0}%
额外伤害增加 {1}%
施加异常时间提升 {2}%
剔除次数 {3}
幸运 {4}
</v>
      </c>
      <c r="AS60" s="81" t="str">
        <f t="shared" si="17"/>
        <v>命中率 {0}%
额外伤害增加 {1}%
施加异常时间提升 {2}%
剔除次数 {3}
幸运 {4}</v>
      </c>
      <c r="BE60" s="46" t="s">
        <v>2993</v>
      </c>
      <c r="BF60" s="48" t="s">
        <v>2988</v>
      </c>
      <c r="BG60" s="53">
        <v>249</v>
      </c>
      <c r="BH60" s="59">
        <v>10</v>
      </c>
      <c r="BI60" s="111">
        <f t="shared" si="21"/>
        <v>6.5359477124183009E-3</v>
      </c>
      <c r="BJ60" s="59"/>
      <c r="BK60" s="18">
        <v>2</v>
      </c>
    </row>
    <row r="61" spans="3:63" ht="15.75" x14ac:dyDescent="0.3">
      <c r="C61" s="59">
        <v>14747</v>
      </c>
      <c r="D61" s="73" t="s">
        <v>189</v>
      </c>
      <c r="E61" s="73"/>
      <c r="F61" s="73" t="s">
        <v>2747</v>
      </c>
      <c r="G61" s="73"/>
      <c r="H61" s="72">
        <v>0</v>
      </c>
      <c r="I61" s="64"/>
      <c r="J61" s="64"/>
      <c r="K61" s="64"/>
      <c r="L61" s="65"/>
      <c r="M61" s="65"/>
      <c r="N61" s="65"/>
      <c r="O61" s="66"/>
      <c r="P61" s="66"/>
      <c r="Q61" s="66"/>
      <c r="R61" s="64"/>
      <c r="S61" s="64"/>
      <c r="T61" s="64"/>
      <c r="U61" s="65"/>
      <c r="V61" s="65"/>
      <c r="W61" s="65"/>
      <c r="X61" s="66"/>
      <c r="Y61" s="66"/>
      <c r="Z61" s="66"/>
      <c r="AA61" s="71" t="str">
        <f t="shared" si="1"/>
        <v>1:xxxxxxxxxxxxxxxxxx</v>
      </c>
      <c r="AB61" s="78" t="str">
        <f t="shared" si="18"/>
        <v/>
      </c>
      <c r="AC61" t="str">
        <f t="shared" si="8"/>
        <v>xxx</v>
      </c>
      <c r="AD61" t="str">
        <f t="shared" si="9"/>
        <v>xxx</v>
      </c>
      <c r="AE61" t="str">
        <f t="shared" si="10"/>
        <v>xxx</v>
      </c>
      <c r="AF61" t="str">
        <f t="shared" si="11"/>
        <v>xxx</v>
      </c>
      <c r="AG61" t="str">
        <f t="shared" si="12"/>
        <v>xxx</v>
      </c>
      <c r="AH61" t="str">
        <f t="shared" si="13"/>
        <v>xxx</v>
      </c>
      <c r="AI61" t="str">
        <f t="shared" si="2"/>
        <v>xxx</v>
      </c>
      <c r="AJ61" t="str">
        <f t="shared" si="3"/>
        <v>xxx</v>
      </c>
      <c r="AK61" t="str">
        <f t="shared" si="4"/>
        <v>xxx</v>
      </c>
      <c r="AL61" t="str">
        <f t="shared" si="5"/>
        <v>xxx</v>
      </c>
      <c r="AM61" t="str">
        <f t="shared" si="14"/>
        <v>xxx</v>
      </c>
      <c r="AN61" t="str">
        <f t="shared" si="20"/>
        <v>xxx</v>
      </c>
      <c r="AO61" t="str">
        <f t="shared" si="15"/>
        <v>xxxxxxxxxxxxxxxxxx</v>
      </c>
      <c r="AP61" s="6" t="str">
        <f t="shared" si="16"/>
        <v/>
      </c>
      <c r="AQ61" s="80" t="s">
        <v>3356</v>
      </c>
      <c r="AR61" t="str">
        <f t="shared" si="19"/>
        <v>力量 +{0}
敏捷 +{1}
智力 +{2}
暴击伤害 +{3}%
物理抗性 {4}%</v>
      </c>
      <c r="AS61" s="81" t="str">
        <f t="shared" si="17"/>
        <v>力量 +{0}
敏捷 +{1}
智力 +{2}
暴击伤害 +{3}%
物理抗性 {4}%</v>
      </c>
      <c r="BE61" s="46" t="s">
        <v>2994</v>
      </c>
      <c r="BF61" s="48" t="s">
        <v>2988</v>
      </c>
      <c r="BG61" s="53">
        <v>250</v>
      </c>
      <c r="BH61" s="59">
        <v>10</v>
      </c>
      <c r="BI61" s="111">
        <f t="shared" si="21"/>
        <v>2.9411764705882353E-2</v>
      </c>
      <c r="BJ61" s="59"/>
      <c r="BK61" s="18">
        <v>2</v>
      </c>
    </row>
    <row r="62" spans="3:63" ht="15.75" x14ac:dyDescent="0.3">
      <c r="C62" s="59">
        <v>14748</v>
      </c>
      <c r="D62" s="73" t="s">
        <v>190</v>
      </c>
      <c r="E62" s="73"/>
      <c r="F62" s="73" t="s">
        <v>2747</v>
      </c>
      <c r="G62" s="73"/>
      <c r="H62" s="72">
        <v>0</v>
      </c>
      <c r="I62" s="64"/>
      <c r="J62" s="64"/>
      <c r="K62" s="64"/>
      <c r="L62" s="65"/>
      <c r="M62" s="65"/>
      <c r="N62" s="65"/>
      <c r="O62" s="66"/>
      <c r="P62" s="66"/>
      <c r="Q62" s="66"/>
      <c r="R62" s="64"/>
      <c r="S62" s="64"/>
      <c r="T62" s="64"/>
      <c r="U62" s="65"/>
      <c r="V62" s="65"/>
      <c r="W62" s="65"/>
      <c r="X62" s="66"/>
      <c r="Y62" s="66"/>
      <c r="Z62" s="66"/>
      <c r="AA62" s="71" t="str">
        <f t="shared" si="1"/>
        <v>1:xxxxxxxxxxxxxxxxxx</v>
      </c>
      <c r="AB62" s="78" t="str">
        <f t="shared" si="18"/>
        <v/>
      </c>
      <c r="AC62" t="str">
        <f t="shared" si="8"/>
        <v>xxx</v>
      </c>
      <c r="AD62" t="str">
        <f t="shared" si="9"/>
        <v>xxx</v>
      </c>
      <c r="AE62" t="str">
        <f t="shared" si="10"/>
        <v>xxx</v>
      </c>
      <c r="AF62" t="str">
        <f t="shared" si="11"/>
        <v>xxx</v>
      </c>
      <c r="AG62" t="str">
        <f t="shared" si="12"/>
        <v>xxx</v>
      </c>
      <c r="AH62" t="str">
        <f t="shared" si="13"/>
        <v>xxx</v>
      </c>
      <c r="AI62" t="str">
        <f t="shared" si="2"/>
        <v>xxx</v>
      </c>
      <c r="AJ62" t="str">
        <f t="shared" si="3"/>
        <v>xxx</v>
      </c>
      <c r="AK62" t="str">
        <f t="shared" si="4"/>
        <v>xxx</v>
      </c>
      <c r="AL62" t="str">
        <f t="shared" si="5"/>
        <v>xxx</v>
      </c>
      <c r="AM62" t="str">
        <f t="shared" si="14"/>
        <v>xxx</v>
      </c>
      <c r="AN62" t="str">
        <f t="shared" si="20"/>
        <v>xxx</v>
      </c>
      <c r="AO62" t="str">
        <f t="shared" si="15"/>
        <v>xxxxxxxxxxxxxxxxxx</v>
      </c>
      <c r="AP62" s="6" t="str">
        <f t="shared" si="16"/>
        <v/>
      </c>
      <c r="AQ62" s="80" t="s">
        <v>3357</v>
      </c>
      <c r="AR62" t="str">
        <f t="shared" si="19"/>
        <v>力量+{0}
敏捷+{1}
智力+{2}
火焰伤害+{3}%
冰霜伤害+{4}%
闪电伤害+{5}%
全元素抗性 {6}%</v>
      </c>
      <c r="AS62" s="81" t="str">
        <f t="shared" si="17"/>
        <v>力量+{0}
敏捷+{1}
智力+{2}
火焰伤害+{3}%
冰霜伤害+{4}%
闪电伤害+{5}%
全元素抗性 {6}%</v>
      </c>
      <c r="BE62" s="46" t="s">
        <v>2995</v>
      </c>
      <c r="BF62" s="48" t="s">
        <v>2988</v>
      </c>
      <c r="BG62" s="53">
        <v>251</v>
      </c>
      <c r="BH62" s="59">
        <v>10</v>
      </c>
      <c r="BI62" s="111">
        <f t="shared" si="21"/>
        <v>1.6339869281045753E-2</v>
      </c>
      <c r="BJ62" s="59"/>
      <c r="BK62" s="18">
        <v>2</v>
      </c>
    </row>
    <row r="63" spans="3:63" ht="15.75" x14ac:dyDescent="0.3">
      <c r="C63" s="59">
        <v>14749</v>
      </c>
      <c r="D63" s="59" t="s">
        <v>191</v>
      </c>
      <c r="E63" s="59">
        <v>1</v>
      </c>
      <c r="F63" s="59" t="s">
        <v>2747</v>
      </c>
      <c r="G63" s="59"/>
      <c r="H63" s="72">
        <v>12</v>
      </c>
      <c r="I63" s="64" t="s">
        <v>2940</v>
      </c>
      <c r="J63" s="64">
        <v>2</v>
      </c>
      <c r="K63" s="64">
        <v>0.25</v>
      </c>
      <c r="L63" s="65" t="s">
        <v>2933</v>
      </c>
      <c r="M63" s="65">
        <v>2</v>
      </c>
      <c r="N63" s="65">
        <v>0.25</v>
      </c>
      <c r="O63" s="66" t="s">
        <v>2949</v>
      </c>
      <c r="P63" s="66">
        <v>6</v>
      </c>
      <c r="Q63" s="66">
        <v>0.2</v>
      </c>
      <c r="R63" s="64" t="s">
        <v>3237</v>
      </c>
      <c r="S63" s="64">
        <v>2</v>
      </c>
      <c r="T63" s="64"/>
      <c r="U63" s="65"/>
      <c r="V63" s="65"/>
      <c r="W63" s="65"/>
      <c r="X63" s="66"/>
      <c r="Y63" s="66"/>
      <c r="Z63" s="66"/>
      <c r="AA63" s="71" t="str">
        <f t="shared" si="1"/>
        <v>1:412,15,25,217,15,25,311,24,36,247,20,20,xxxxxx</v>
      </c>
      <c r="AB63" s="78" t="str">
        <f t="shared" si="18"/>
        <v>1:412,15,25,217,15,25,311,24,36,247,20,20</v>
      </c>
      <c r="AC63" t="str">
        <f t="shared" si="8"/>
        <v>移动速度% {0}</v>
      </c>
      <c r="AD63" t="str">
        <f t="shared" si="9"/>
        <v>攻击速度% {1}</v>
      </c>
      <c r="AE63" t="str">
        <f t="shared" si="10"/>
        <v>闪避几率% {2}</v>
      </c>
      <c r="AF63" t="str">
        <f t="shared" si="11"/>
        <v>武器攻击吸血 {3}</v>
      </c>
      <c r="AG63" t="str">
        <f t="shared" si="12"/>
        <v>xxx</v>
      </c>
      <c r="AH63" t="str">
        <f t="shared" si="13"/>
        <v>xxx</v>
      </c>
      <c r="AI63" t="str">
        <f t="shared" si="2"/>
        <v xml:space="preserve">移动速度 {0}%
</v>
      </c>
      <c r="AJ63" t="str">
        <f t="shared" si="3"/>
        <v xml:space="preserve">攻击速度 {1}%
</v>
      </c>
      <c r="AK63" t="str">
        <f t="shared" si="4"/>
        <v xml:space="preserve">闪避几率 {2}%
</v>
      </c>
      <c r="AL63" t="str">
        <f t="shared" si="5"/>
        <v xml:space="preserve">武器攻击吸血 {3}%
</v>
      </c>
      <c r="AM63" t="str">
        <f t="shared" si="14"/>
        <v>xxx</v>
      </c>
      <c r="AN63" t="str">
        <f t="shared" si="20"/>
        <v>xxx</v>
      </c>
      <c r="AO63" t="str">
        <f t="shared" si="15"/>
        <v>移动速度 {0}%
攻击速度 {1}%
闪避几率 {2}%
武器攻击吸血 {3}%
xxxxxx</v>
      </c>
      <c r="AP63" s="6" t="str">
        <f t="shared" si="16"/>
        <v xml:space="preserve">移动速度 {0}%
攻击速度 {1}%
闪避几率 {2}%
武器攻击吸血 {3}%
</v>
      </c>
      <c r="AQ63" s="80" t="s">
        <v>3358</v>
      </c>
      <c r="AR63" t="str">
        <f t="shared" si="19"/>
        <v xml:space="preserve">移动速度 {0}%
攻击速度 {1}%
闪避几率 {2}%
武器攻击吸血 {3}%
</v>
      </c>
      <c r="AS63" s="81" t="str">
        <f t="shared" si="17"/>
        <v>移动速度 {0}%
攻击速度 {1}%
闪避几率 {2}%
武器攻击吸血 {3}%</v>
      </c>
      <c r="BE63" s="46" t="s">
        <v>3223</v>
      </c>
      <c r="BF63" s="48" t="s">
        <v>2988</v>
      </c>
      <c r="BG63" s="53">
        <v>252</v>
      </c>
      <c r="BH63" s="59">
        <v>10</v>
      </c>
      <c r="BI63" s="111">
        <f t="shared" si="21"/>
        <v>6.5359477124183009E-3</v>
      </c>
      <c r="BJ63" s="59"/>
      <c r="BK63" s="18">
        <v>2</v>
      </c>
    </row>
    <row r="64" spans="3:63" ht="15.75" x14ac:dyDescent="0.3">
      <c r="C64" s="59">
        <v>14750</v>
      </c>
      <c r="D64" s="59" t="s">
        <v>193</v>
      </c>
      <c r="E64" s="59"/>
      <c r="F64" s="59" t="s">
        <v>2747</v>
      </c>
      <c r="G64" s="59"/>
      <c r="H64" s="72">
        <v>12</v>
      </c>
      <c r="I64" s="64" t="s">
        <v>3243</v>
      </c>
      <c r="J64" s="64">
        <v>4</v>
      </c>
      <c r="K64" s="64">
        <v>0.25</v>
      </c>
      <c r="L64" s="65" t="s">
        <v>2949</v>
      </c>
      <c r="M64" s="65">
        <v>4</v>
      </c>
      <c r="N64" s="65">
        <v>0.25</v>
      </c>
      <c r="O64" s="66" t="s">
        <v>3236</v>
      </c>
      <c r="P64" s="66">
        <v>4</v>
      </c>
      <c r="Q64" s="66">
        <v>0</v>
      </c>
      <c r="R64" s="64"/>
      <c r="S64" s="64"/>
      <c r="T64" s="64"/>
      <c r="U64" s="65"/>
      <c r="V64" s="65"/>
      <c r="W64" s="65"/>
      <c r="X64" s="66"/>
      <c r="Y64" s="66"/>
      <c r="Z64" s="66"/>
      <c r="AA64" s="71" t="str">
        <f t="shared" si="1"/>
        <v>1:419,150,250,311,15,25,802,1,1,xxxxxxxxx</v>
      </c>
      <c r="AB64" s="78" t="str">
        <f t="shared" si="18"/>
        <v>1:419,150,250,311,15,25,802,1,1</v>
      </c>
      <c r="AC64" t="str">
        <f t="shared" si="8"/>
        <v>冲刺距离 {0}</v>
      </c>
      <c r="AD64" t="str">
        <f t="shared" si="9"/>
        <v>闪避几率% {1}</v>
      </c>
      <c r="AE64" t="str">
        <f t="shared" si="10"/>
        <v>每点敏捷提高物理伤害 {2}</v>
      </c>
      <c r="AF64" t="str">
        <f t="shared" si="11"/>
        <v>xxx</v>
      </c>
      <c r="AG64" t="str">
        <f t="shared" si="12"/>
        <v>xxx</v>
      </c>
      <c r="AH64" t="str">
        <f t="shared" si="13"/>
        <v>xxx</v>
      </c>
      <c r="AI64" t="str">
        <f t="shared" si="2"/>
        <v xml:space="preserve">冲刺距离 {0}
</v>
      </c>
      <c r="AJ64" t="str">
        <f t="shared" si="3"/>
        <v xml:space="preserve">闪避几率 {1}%
</v>
      </c>
      <c r="AK64" t="str">
        <f t="shared" si="4"/>
        <v xml:space="preserve">每点敏捷提高物理伤害 {2}%
</v>
      </c>
      <c r="AL64" t="str">
        <f t="shared" si="5"/>
        <v>xxx</v>
      </c>
      <c r="AM64" t="str">
        <f t="shared" si="14"/>
        <v>xxx</v>
      </c>
      <c r="AN64" t="str">
        <f t="shared" si="20"/>
        <v>xxx</v>
      </c>
      <c r="AO64" t="str">
        <f t="shared" si="15"/>
        <v>冲刺距离 {0}
闪避几率 {1}%
每点敏捷提高物理伤害 {2}%
xxxxxxxxx</v>
      </c>
      <c r="AP64" s="6" t="str">
        <f t="shared" si="16"/>
        <v xml:space="preserve">冲刺距离 {0}
闪避几率 {1}%
每点敏捷提高物理伤害 {2}%
</v>
      </c>
      <c r="AQ64" s="80" t="s">
        <v>3359</v>
      </c>
      <c r="AR64" t="str">
        <f t="shared" si="19"/>
        <v xml:space="preserve">冲刺距离 {0}
闪避几率 {1}%
每点敏捷提高物理伤害 {2}%
</v>
      </c>
      <c r="AS64" s="81" t="str">
        <f t="shared" si="17"/>
        <v>冲刺距离 {0}
闪避几率 {1}%
每点敏捷提高物理伤害 {2}%</v>
      </c>
      <c r="BE64" s="46" t="s">
        <v>2996</v>
      </c>
      <c r="BF64" s="48" t="s">
        <v>2988</v>
      </c>
      <c r="BG64" s="53">
        <v>253</v>
      </c>
      <c r="BH64" s="59">
        <v>10</v>
      </c>
      <c r="BI64" s="111">
        <f t="shared" si="21"/>
        <v>1.3071895424836602E-2</v>
      </c>
      <c r="BJ64" s="59"/>
      <c r="BK64" s="18">
        <v>2</v>
      </c>
    </row>
    <row r="65" spans="3:63" ht="15.75" x14ac:dyDescent="0.3">
      <c r="C65" s="59">
        <v>14751</v>
      </c>
      <c r="D65" s="59" t="s">
        <v>194</v>
      </c>
      <c r="E65" s="59">
        <v>-1</v>
      </c>
      <c r="F65" s="59" t="s">
        <v>2747</v>
      </c>
      <c r="G65" s="59"/>
      <c r="H65" s="72">
        <v>11</v>
      </c>
      <c r="I65" s="64" t="s">
        <v>3207</v>
      </c>
      <c r="J65" s="64">
        <v>5</v>
      </c>
      <c r="K65" s="64">
        <v>0.2</v>
      </c>
      <c r="L65" s="65" t="s">
        <v>3581</v>
      </c>
      <c r="M65" s="65">
        <v>2</v>
      </c>
      <c r="N65" s="65">
        <v>0</v>
      </c>
      <c r="O65" s="66" t="s">
        <v>3583</v>
      </c>
      <c r="P65" s="66">
        <v>2</v>
      </c>
      <c r="Q65" s="66">
        <v>0</v>
      </c>
      <c r="R65" s="64" t="s">
        <v>3585</v>
      </c>
      <c r="S65" s="64">
        <v>2</v>
      </c>
      <c r="T65" s="64">
        <v>0</v>
      </c>
      <c r="U65" s="65"/>
      <c r="V65" s="65"/>
      <c r="W65" s="65"/>
      <c r="X65" s="66"/>
      <c r="Y65" s="66"/>
      <c r="Z65" s="66"/>
      <c r="AA65" s="71" t="str">
        <f t="shared" si="1"/>
        <v>1:421,80,120,501,4,4,502,4,4,517,4,4,xxxxxx</v>
      </c>
      <c r="AB65" s="78" t="str">
        <f t="shared" si="18"/>
        <v>1:421,80,120,501,4,4,502,4,4,517,4,4</v>
      </c>
      <c r="AC65" t="str">
        <f t="shared" si="8"/>
        <v>金币获取% {0}</v>
      </c>
      <c r="AD65" t="str">
        <f t="shared" si="9"/>
        <v>刷新次数 {1}</v>
      </c>
      <c r="AE65" t="str">
        <f t="shared" si="10"/>
        <v>剔除次数 {2}</v>
      </c>
      <c r="AF65" t="str">
        <f t="shared" si="11"/>
        <v>锁定次数 {3}</v>
      </c>
      <c r="AG65" t="str">
        <f t="shared" si="12"/>
        <v>xxx</v>
      </c>
      <c r="AH65" t="str">
        <f t="shared" si="13"/>
        <v>xxx</v>
      </c>
      <c r="AI65" t="str">
        <f t="shared" si="2"/>
        <v xml:space="preserve">金币获取 {0}%
</v>
      </c>
      <c r="AJ65" t="str">
        <f t="shared" si="3"/>
        <v xml:space="preserve">刷新次数 {1}
</v>
      </c>
      <c r="AK65" t="str">
        <f t="shared" si="4"/>
        <v xml:space="preserve">剔除次数 {2}
</v>
      </c>
      <c r="AL65" t="str">
        <f t="shared" si="5"/>
        <v xml:space="preserve">锁定次数 {3}
</v>
      </c>
      <c r="AM65" t="str">
        <f t="shared" si="14"/>
        <v>xxx</v>
      </c>
      <c r="AN65" t="str">
        <f t="shared" si="20"/>
        <v>xxx</v>
      </c>
      <c r="AO65" t="str">
        <f t="shared" si="15"/>
        <v>金币获取 {0}%
刷新次数 {1}
剔除次数 {2}
锁定次数 {3}
xxxxxx</v>
      </c>
      <c r="AP65" s="6" t="str">
        <f t="shared" si="16"/>
        <v xml:space="preserve">金币获取 {0}%
刷新次数 {1}
剔除次数 {2}
锁定次数 {3}
</v>
      </c>
      <c r="AQ65" s="80" t="s">
        <v>3360</v>
      </c>
      <c r="AR65" t="str">
        <f t="shared" si="19"/>
        <v xml:space="preserve">金币获取 {0}%
刷新次数 {1}
剔除次数 {2}
锁定次数 {3}
</v>
      </c>
      <c r="AS65" s="81" t="str">
        <f t="shared" si="17"/>
        <v>金币获取 {0}%
刷新次数 {1}
剔除次数 {2}
锁定次数 {3}</v>
      </c>
      <c r="BE65" s="46" t="s">
        <v>2997</v>
      </c>
      <c r="BF65" s="47" t="s">
        <v>2965</v>
      </c>
      <c r="BG65" s="53">
        <v>254</v>
      </c>
      <c r="BH65" s="59">
        <v>1</v>
      </c>
      <c r="BI65" s="111">
        <f t="shared" si="21"/>
        <v>0</v>
      </c>
      <c r="BJ65" s="59"/>
      <c r="BK65" s="18">
        <v>1</v>
      </c>
    </row>
    <row r="66" spans="3:63" ht="15.75" x14ac:dyDescent="0.3">
      <c r="C66" s="59">
        <v>14752</v>
      </c>
      <c r="D66" s="59" t="s">
        <v>195</v>
      </c>
      <c r="E66" s="59"/>
      <c r="F66" s="59" t="s">
        <v>2747</v>
      </c>
      <c r="G66" s="59"/>
      <c r="H66" s="72">
        <v>12</v>
      </c>
      <c r="I66" s="64" t="s">
        <v>3182</v>
      </c>
      <c r="J66" s="64">
        <v>4</v>
      </c>
      <c r="K66" s="64">
        <v>0.25</v>
      </c>
      <c r="L66" s="65" t="s">
        <v>3232</v>
      </c>
      <c r="M66" s="65">
        <v>4</v>
      </c>
      <c r="N66" s="65">
        <v>0.25</v>
      </c>
      <c r="O66" s="66" t="s">
        <v>3235</v>
      </c>
      <c r="P66" s="66">
        <v>4</v>
      </c>
      <c r="Q66" s="66">
        <v>0.25</v>
      </c>
      <c r="R66" s="64"/>
      <c r="S66" s="64"/>
      <c r="T66" s="64"/>
      <c r="U66" s="65"/>
      <c r="V66" s="65"/>
      <c r="W66" s="65"/>
      <c r="X66" s="66"/>
      <c r="Y66" s="66"/>
      <c r="Z66" s="66"/>
      <c r="AA66" s="71" t="str">
        <f t="shared" si="1"/>
        <v>1:813,1.5,2.5,236,30,50,706,60,100,xxxxxxxxx</v>
      </c>
      <c r="AB66" s="78" t="str">
        <f t="shared" si="18"/>
        <v>1:813,1.5,2.5,236,30,50,706,60,100</v>
      </c>
      <c r="AC66" t="str">
        <f t="shared" si="8"/>
        <v>每点暴击提升流血系数 {0}</v>
      </c>
      <c r="AD66" t="str">
        <f t="shared" si="9"/>
        <v>附加冰霜伤害% {1}</v>
      </c>
      <c r="AE66" t="str">
        <f t="shared" si="10"/>
        <v>召唤物冰霜伤害% {2}</v>
      </c>
      <c r="AF66" t="str">
        <f t="shared" si="11"/>
        <v>xxx</v>
      </c>
      <c r="AG66" t="str">
        <f t="shared" si="12"/>
        <v>xxx</v>
      </c>
      <c r="AH66" t="str">
        <f t="shared" si="13"/>
        <v>xxx</v>
      </c>
      <c r="AI66" t="str">
        <f t="shared" si="2"/>
        <v xml:space="preserve">每点暴击提升流血系数 {0}%
</v>
      </c>
      <c r="AJ66" t="str">
        <f t="shared" si="3"/>
        <v xml:space="preserve">附加冰霜伤害 {1}%
</v>
      </c>
      <c r="AK66" t="str">
        <f t="shared" si="4"/>
        <v xml:space="preserve">召唤物冰霜伤害 {2}%
</v>
      </c>
      <c r="AL66" t="str">
        <f t="shared" si="5"/>
        <v>xxx</v>
      </c>
      <c r="AM66" t="str">
        <f t="shared" si="14"/>
        <v>xxx</v>
      </c>
      <c r="AN66" t="str">
        <f t="shared" si="20"/>
        <v>xxx</v>
      </c>
      <c r="AO66" t="str">
        <f t="shared" si="15"/>
        <v>每点暴击提升流血系数 {0}%
附加冰霜伤害 {1}%
召唤物冰霜伤害 {2}%
xxxxxxxxx</v>
      </c>
      <c r="AP66" s="6" t="str">
        <f t="shared" si="16"/>
        <v xml:space="preserve">每点暴击提升流血系数 {0}%
附加冰霜伤害 {1}%
召唤物冰霜伤害 {2}%
</v>
      </c>
      <c r="AQ66" s="80" t="s">
        <v>3361</v>
      </c>
      <c r="AR66" t="str">
        <f t="shared" si="19"/>
        <v xml:space="preserve">每点暴击提升流血系数 {0}%
附加冰霜伤害 {1}%
召唤物冰霜伤害 {2}%
</v>
      </c>
      <c r="AS66" s="81" t="str">
        <f t="shared" si="17"/>
        <v>每点暴击提升流血系数 {0}%
附加冰霜伤害 {1}%
召唤物冰霜伤害 {2}%</v>
      </c>
      <c r="BE66" s="46" t="s">
        <v>2998</v>
      </c>
      <c r="BF66" s="47" t="s">
        <v>2965</v>
      </c>
      <c r="BG66" s="53">
        <v>255</v>
      </c>
      <c r="BH66" s="59">
        <v>1</v>
      </c>
      <c r="BI66" s="111">
        <f t="shared" si="21"/>
        <v>0</v>
      </c>
      <c r="BJ66" s="59"/>
      <c r="BK66" s="18">
        <v>1</v>
      </c>
    </row>
    <row r="67" spans="3:63" ht="15.75" x14ac:dyDescent="0.3">
      <c r="C67" s="59">
        <v>14753</v>
      </c>
      <c r="D67" s="59" t="s">
        <v>196</v>
      </c>
      <c r="E67" s="59"/>
      <c r="F67" s="59" t="s">
        <v>2747</v>
      </c>
      <c r="G67" s="59"/>
      <c r="H67" s="72">
        <v>12</v>
      </c>
      <c r="I67" s="64" t="s">
        <v>2963</v>
      </c>
      <c r="J67" s="64">
        <v>6</v>
      </c>
      <c r="K67" s="64">
        <v>0.5</v>
      </c>
      <c r="L67" s="65" t="s">
        <v>2949</v>
      </c>
      <c r="M67" s="65">
        <v>4</v>
      </c>
      <c r="N67" s="65">
        <v>0.25</v>
      </c>
      <c r="O67" s="66" t="s">
        <v>2931</v>
      </c>
      <c r="P67" s="66">
        <v>2</v>
      </c>
      <c r="Q67" s="66">
        <v>0.25</v>
      </c>
      <c r="R67" s="64"/>
      <c r="S67" s="64"/>
      <c r="T67" s="64"/>
      <c r="U67" s="65"/>
      <c r="V67" s="65"/>
      <c r="W67" s="65"/>
      <c r="X67" s="66"/>
      <c r="Y67" s="66"/>
      <c r="Z67" s="66"/>
      <c r="AA67" s="71" t="str">
        <f t="shared" si="1"/>
        <v>1:413,30,90,311,15,25,211,15,25,xxxxxxxxx</v>
      </c>
      <c r="AB67" s="78" t="str">
        <f t="shared" si="18"/>
        <v>1:413,30,90,311,15,25,211,15,25</v>
      </c>
      <c r="AC67" t="str">
        <f t="shared" si="8"/>
        <v>荆棘 {0}</v>
      </c>
      <c r="AD67" t="str">
        <f t="shared" si="9"/>
        <v>闪避几率% {1}</v>
      </c>
      <c r="AE67" t="str">
        <f t="shared" si="10"/>
        <v>物理伤害% {2}</v>
      </c>
      <c r="AF67" t="str">
        <f t="shared" si="11"/>
        <v>xxx</v>
      </c>
      <c r="AG67" t="str">
        <f t="shared" si="12"/>
        <v>xxx</v>
      </c>
      <c r="AH67" t="str">
        <f t="shared" si="13"/>
        <v>xxx</v>
      </c>
      <c r="AI67" t="str">
        <f t="shared" si="2"/>
        <v xml:space="preserve">荆棘 {0}
</v>
      </c>
      <c r="AJ67" t="str">
        <f t="shared" si="3"/>
        <v xml:space="preserve">闪避几率 {1}%
</v>
      </c>
      <c r="AK67" t="str">
        <f t="shared" si="4"/>
        <v xml:space="preserve">物理伤害 {2}%
</v>
      </c>
      <c r="AL67" t="str">
        <f t="shared" si="5"/>
        <v>xxx</v>
      </c>
      <c r="AM67" t="str">
        <f t="shared" si="14"/>
        <v>xxx</v>
      </c>
      <c r="AN67" t="str">
        <f t="shared" si="20"/>
        <v>xxx</v>
      </c>
      <c r="AO67" t="str">
        <f t="shared" si="15"/>
        <v>荆棘 {0}
闪避几率 {1}%
物理伤害 {2}%
xxxxxxxxx</v>
      </c>
      <c r="AP67" s="6" t="str">
        <f t="shared" si="16"/>
        <v xml:space="preserve">荆棘 {0}
闪避几率 {1}%
物理伤害 {2}%
</v>
      </c>
      <c r="AQ67" s="80" t="s">
        <v>3362</v>
      </c>
      <c r="AR67" t="str">
        <f t="shared" si="19"/>
        <v xml:space="preserve">荆棘 {0}
闪避几率 {1}%
物理伤害 {2}%
</v>
      </c>
      <c r="AS67" s="81" t="str">
        <f t="shared" si="17"/>
        <v>荆棘 {0}
闪避几率 {1}%
物理伤害 {2}%</v>
      </c>
      <c r="BE67" s="46" t="s">
        <v>2999</v>
      </c>
      <c r="BF67" s="47" t="s">
        <v>2965</v>
      </c>
      <c r="BG67" s="53">
        <v>256</v>
      </c>
      <c r="BH67" s="59">
        <v>1</v>
      </c>
      <c r="BI67" s="111">
        <f t="shared" si="21"/>
        <v>3.2679738562091504E-3</v>
      </c>
      <c r="BJ67" s="59"/>
      <c r="BK67" s="18">
        <v>1</v>
      </c>
    </row>
    <row r="68" spans="3:63" ht="15.75" x14ac:dyDescent="0.3">
      <c r="C68" s="59">
        <v>14754</v>
      </c>
      <c r="D68" s="59" t="s">
        <v>197</v>
      </c>
      <c r="E68" s="59"/>
      <c r="F68" s="59" t="s">
        <v>2747</v>
      </c>
      <c r="G68" s="59"/>
      <c r="H68" s="72">
        <v>12</v>
      </c>
      <c r="I68" s="64" t="s">
        <v>2942</v>
      </c>
      <c r="J68" s="64">
        <v>4</v>
      </c>
      <c r="K68" s="64">
        <v>0.25</v>
      </c>
      <c r="L68" s="65" t="s">
        <v>2943</v>
      </c>
      <c r="M68" s="65">
        <v>4</v>
      </c>
      <c r="N68" s="65">
        <v>0.25</v>
      </c>
      <c r="O68" s="66" t="s">
        <v>3581</v>
      </c>
      <c r="P68" s="66">
        <v>2</v>
      </c>
      <c r="Q68" s="66">
        <v>0.5</v>
      </c>
      <c r="R68" s="64" t="s">
        <v>3583</v>
      </c>
      <c r="S68" s="64">
        <v>1</v>
      </c>
      <c r="T68" s="64">
        <v>0</v>
      </c>
      <c r="U68" s="65" t="s">
        <v>3585</v>
      </c>
      <c r="V68" s="65">
        <v>1</v>
      </c>
      <c r="W68" s="65">
        <v>0</v>
      </c>
      <c r="X68" s="66"/>
      <c r="Y68" s="66"/>
      <c r="Z68" s="66"/>
      <c r="AA68" s="71" t="str">
        <f t="shared" si="1"/>
        <v>1:102,30,50,226,30,50,501,2,6,502,2,2,517,2,2,xxx</v>
      </c>
      <c r="AB68" s="78" t="str">
        <f t="shared" si="18"/>
        <v>1:102,30,50,226,30,50,501,2,6,502,2,2,517,2,2</v>
      </c>
      <c r="AC68" t="str">
        <f t="shared" si="8"/>
        <v>敏捷 {0}</v>
      </c>
      <c r="AD68" t="str">
        <f t="shared" si="9"/>
        <v>命中率% {1}</v>
      </c>
      <c r="AE68" t="str">
        <f t="shared" si="10"/>
        <v>刷新次数 {2}</v>
      </c>
      <c r="AF68" t="str">
        <f t="shared" si="11"/>
        <v>剔除次数 {3}</v>
      </c>
      <c r="AG68" t="str">
        <f t="shared" si="12"/>
        <v>锁定次数 {4}</v>
      </c>
      <c r="AH68" t="str">
        <f t="shared" si="13"/>
        <v>xxx</v>
      </c>
      <c r="AI68" t="str">
        <f t="shared" si="2"/>
        <v xml:space="preserve">敏捷 {0}
</v>
      </c>
      <c r="AJ68" t="str">
        <f t="shared" si="3"/>
        <v xml:space="preserve">命中率 {1}%
</v>
      </c>
      <c r="AK68" t="str">
        <f t="shared" si="4"/>
        <v xml:space="preserve">刷新次数 {2}
</v>
      </c>
      <c r="AL68" t="str">
        <f t="shared" si="5"/>
        <v xml:space="preserve">剔除次数 {3}
</v>
      </c>
      <c r="AM68" t="str">
        <f t="shared" si="14"/>
        <v xml:space="preserve">锁定次数 {4}
</v>
      </c>
      <c r="AN68" t="str">
        <f t="shared" si="20"/>
        <v>xxx</v>
      </c>
      <c r="AO68" t="str">
        <f t="shared" si="15"/>
        <v>敏捷 {0}
命中率 {1}%
刷新次数 {2}
剔除次数 {3}
锁定次数 {4}
xxx</v>
      </c>
      <c r="AP68" s="6" t="str">
        <f t="shared" si="16"/>
        <v xml:space="preserve">敏捷 {0}
命中率 {1}%
刷新次数 {2}
剔除次数 {3}
锁定次数 {4}
</v>
      </c>
      <c r="AQ68" s="80" t="s">
        <v>3363</v>
      </c>
      <c r="AR68" t="str">
        <f t="shared" si="19"/>
        <v xml:space="preserve">敏捷 {0}
命中率 {1}%
刷新次数 {2}
剔除次数 {3}
锁定次数 {4}
</v>
      </c>
      <c r="AS68" s="81" t="str">
        <f t="shared" si="17"/>
        <v>敏捷 {0}
命中率 {1}%
刷新次数 {2}
剔除次数 {3}
锁定次数 {4}</v>
      </c>
      <c r="BE68" s="46" t="s">
        <v>3000</v>
      </c>
      <c r="BF68" s="48" t="s">
        <v>2988</v>
      </c>
      <c r="BG68" s="52" t="s">
        <v>3001</v>
      </c>
      <c r="BH68" s="59">
        <v>10</v>
      </c>
      <c r="BI68" s="111">
        <f t="shared" si="21"/>
        <v>4.9019607843137261E-2</v>
      </c>
      <c r="BJ68" s="59"/>
      <c r="BK68" s="18">
        <v>2</v>
      </c>
    </row>
    <row r="69" spans="3:63" ht="15.75" x14ac:dyDescent="0.3">
      <c r="C69" s="59">
        <v>14755</v>
      </c>
      <c r="D69" s="59" t="s">
        <v>199</v>
      </c>
      <c r="E69" s="59">
        <v>1</v>
      </c>
      <c r="F69" s="59" t="s">
        <v>2747</v>
      </c>
      <c r="G69" s="59"/>
      <c r="H69" s="72">
        <v>13</v>
      </c>
      <c r="I69" s="64" t="s">
        <v>3251</v>
      </c>
      <c r="J69" s="64">
        <v>6</v>
      </c>
      <c r="K69" s="64">
        <v>0.25</v>
      </c>
      <c r="L69" s="65" t="s">
        <v>3087</v>
      </c>
      <c r="M69" s="65">
        <v>4</v>
      </c>
      <c r="N69" s="65">
        <v>0.25</v>
      </c>
      <c r="O69" s="66" t="s">
        <v>3581</v>
      </c>
      <c r="P69" s="66">
        <v>1</v>
      </c>
      <c r="Q69" s="66">
        <v>0</v>
      </c>
      <c r="R69" s="64" t="s">
        <v>3583</v>
      </c>
      <c r="S69" s="64">
        <v>1</v>
      </c>
      <c r="T69" s="64">
        <v>0</v>
      </c>
      <c r="U69" s="65" t="s">
        <v>3585</v>
      </c>
      <c r="V69" s="65">
        <v>1</v>
      </c>
      <c r="W69" s="65">
        <v>0</v>
      </c>
      <c r="X69" s="66"/>
      <c r="Y69" s="66"/>
      <c r="Z69" s="66"/>
      <c r="AA69" s="71" t="str">
        <f t="shared" si="1"/>
        <v>1:253,45,75,714,30,50,501,2,2,502,2,2,517,2,2,xxx</v>
      </c>
      <c r="AB69" s="78" t="str">
        <f t="shared" si="18"/>
        <v>1:253,45,75,714,30,50,501,2,2,502,2,2,517,2,2</v>
      </c>
      <c r="AC69" t="str">
        <f t="shared" si="8"/>
        <v>施加诅咒时间提升 {0}</v>
      </c>
      <c r="AD69" t="str">
        <f t="shared" si="9"/>
        <v>召唤物物理抗性% {1}</v>
      </c>
      <c r="AE69" t="str">
        <f t="shared" si="10"/>
        <v>刷新次数 {2}</v>
      </c>
      <c r="AF69" t="str">
        <f t="shared" si="11"/>
        <v>剔除次数 {3}</v>
      </c>
      <c r="AG69" t="str">
        <f t="shared" si="12"/>
        <v>锁定次数 {4}</v>
      </c>
      <c r="AH69" t="str">
        <f t="shared" si="13"/>
        <v>xxx</v>
      </c>
      <c r="AI69" t="str">
        <f t="shared" si="2"/>
        <v xml:space="preserve">施加诅咒时间提升 {0}%
</v>
      </c>
      <c r="AJ69" t="str">
        <f t="shared" si="3"/>
        <v xml:space="preserve">召唤物物理抗性 {1}%
</v>
      </c>
      <c r="AK69" t="str">
        <f t="shared" si="4"/>
        <v xml:space="preserve">刷新次数 {2}
</v>
      </c>
      <c r="AL69" t="str">
        <f t="shared" si="5"/>
        <v xml:space="preserve">剔除次数 {3}
</v>
      </c>
      <c r="AM69" t="str">
        <f t="shared" si="14"/>
        <v xml:space="preserve">锁定次数 {4}
</v>
      </c>
      <c r="AN69" t="str">
        <f t="shared" si="20"/>
        <v>xxx</v>
      </c>
      <c r="AO69" t="str">
        <f t="shared" si="15"/>
        <v>施加诅咒时间提升 {0}%
召唤物物理抗性 {1}%
刷新次数 {2}
剔除次数 {3}
锁定次数 {4}
xxx</v>
      </c>
      <c r="AP69" s="6" t="str">
        <f t="shared" si="16"/>
        <v xml:space="preserve">施加诅咒时间提升 {0}%
召唤物物理抗性 {1}%
刷新次数 {2}
剔除次数 {3}
锁定次数 {4}
</v>
      </c>
      <c r="AQ69" s="80" t="s">
        <v>3364</v>
      </c>
      <c r="AR69" t="str">
        <f t="shared" si="19"/>
        <v xml:space="preserve">施加诅咒时间提升 {0}%
召唤物物理抗性 {1}%
刷新次数 {2}
剔除次数 {3}
锁定次数 {4}
</v>
      </c>
      <c r="AS69" s="81" t="str">
        <f t="shared" si="17"/>
        <v>施加诅咒时间提升 {0}%
召唤物物理抗性 {1}%
刷新次数 {2}
剔除次数 {3}
锁定次数 {4}</v>
      </c>
      <c r="BE69" s="46" t="s">
        <v>3002</v>
      </c>
      <c r="BF69" s="47" t="s">
        <v>2965</v>
      </c>
      <c r="BG69" s="53">
        <v>300</v>
      </c>
      <c r="BH69" s="59">
        <v>20</v>
      </c>
      <c r="BI69" s="111">
        <f t="shared" si="21"/>
        <v>9.1503267973856203E-2</v>
      </c>
      <c r="BJ69" s="59"/>
      <c r="BK69" s="18">
        <v>1</v>
      </c>
    </row>
    <row r="70" spans="3:63" ht="15.75" x14ac:dyDescent="0.3">
      <c r="C70" s="59">
        <v>14756</v>
      </c>
      <c r="D70" s="59" t="s">
        <v>201</v>
      </c>
      <c r="E70" s="59"/>
      <c r="F70" s="59" t="s">
        <v>2747</v>
      </c>
      <c r="G70" s="59"/>
      <c r="H70" s="72">
        <v>14</v>
      </c>
      <c r="I70" s="64" t="s">
        <v>2947</v>
      </c>
      <c r="J70" s="64">
        <v>4</v>
      </c>
      <c r="K70" s="64">
        <v>0.2</v>
      </c>
      <c r="L70" s="65" t="s">
        <v>2927</v>
      </c>
      <c r="M70" s="65">
        <v>4</v>
      </c>
      <c r="N70" s="65">
        <v>0.25</v>
      </c>
      <c r="O70" s="66" t="s">
        <v>3176</v>
      </c>
      <c r="P70" s="66">
        <v>2</v>
      </c>
      <c r="Q70" s="66">
        <v>0.5</v>
      </c>
      <c r="R70" s="64" t="s">
        <v>3165</v>
      </c>
      <c r="S70" s="64">
        <v>2</v>
      </c>
      <c r="T70" s="64">
        <v>0.5</v>
      </c>
      <c r="U70" s="65" t="s">
        <v>3145</v>
      </c>
      <c r="V70" s="65">
        <v>2</v>
      </c>
      <c r="W70" s="65">
        <v>0.5</v>
      </c>
      <c r="X70" s="66"/>
      <c r="Y70" s="66"/>
      <c r="Z70" s="66"/>
      <c r="AA70" s="71" t="str">
        <f t="shared" si="1"/>
        <v>1:315,16,24,212,15,25,248,10,30,250,10,30,251,10,30,xxx</v>
      </c>
      <c r="AB70" s="78" t="str">
        <f t="shared" si="18"/>
        <v>1:315,16,24,212,15,25,248,10,30,250,10,30,251,10,30</v>
      </c>
      <c r="AC70" t="str">
        <f t="shared" si="8"/>
        <v>元素抗性% {0}</v>
      </c>
      <c r="AD70" t="str">
        <f t="shared" si="9"/>
        <v>元素伤害% {1}</v>
      </c>
      <c r="AE70" t="str">
        <f t="shared" si="10"/>
        <v>施加感电时间提升 {2}</v>
      </c>
      <c r="AF70" t="str">
        <f t="shared" si="11"/>
        <v>施加中毒时间提升 {3}</v>
      </c>
      <c r="AG70" t="str">
        <f t="shared" si="12"/>
        <v>施加灼烧时间提升 {4}</v>
      </c>
      <c r="AH70" t="str">
        <f t="shared" si="13"/>
        <v>xxx</v>
      </c>
      <c r="AI70" t="str">
        <f t="shared" si="2"/>
        <v xml:space="preserve">元素抗性 {0}%
</v>
      </c>
      <c r="AJ70" t="str">
        <f t="shared" si="3"/>
        <v xml:space="preserve">元素伤害 {1}%
</v>
      </c>
      <c r="AK70" t="str">
        <f t="shared" si="4"/>
        <v xml:space="preserve">施加感电时间提升 {2}%
</v>
      </c>
      <c r="AL70" t="str">
        <f t="shared" si="5"/>
        <v xml:space="preserve">施加中毒时间提升 {3}%
</v>
      </c>
      <c r="AM70" t="str">
        <f t="shared" si="14"/>
        <v xml:space="preserve">施加灼烧时间提升 {4}%
</v>
      </c>
      <c r="AN70" t="str">
        <f t="shared" si="20"/>
        <v>xxx</v>
      </c>
      <c r="AO70" t="str">
        <f t="shared" si="15"/>
        <v>元素抗性 {0}%
元素伤害 {1}%
施加感电时间提升 {2}%
施加中毒时间提升 {3}%
施加灼烧时间提升 {4}%
xxx</v>
      </c>
      <c r="AP70" s="6" t="str">
        <f t="shared" si="16"/>
        <v xml:space="preserve">元素抗性 {0}%
元素伤害 {1}%
施加感电时间提升 {2}%
施加中毒时间提升 {3}%
施加灼烧时间提升 {4}%
</v>
      </c>
      <c r="AQ70" s="80" t="s">
        <v>3365</v>
      </c>
      <c r="AR70" t="str">
        <f t="shared" si="19"/>
        <v xml:space="preserve">元素抗性 {0}%
元素伤害 {1}%
施加感电时间提升 {2}%
施加中毒时间提升 {3}%
施加灼烧时间提升 {4}%
</v>
      </c>
      <c r="AS70" s="81" t="str">
        <f t="shared" si="17"/>
        <v>元素抗性 {0}%
元素伤害 {1}%
施加感电时间提升 {2}%
施加中毒时间提升 {3}%
施加灼烧时间提升 {4}%</v>
      </c>
      <c r="BE70" s="46" t="s">
        <v>3003</v>
      </c>
      <c r="BF70" s="47" t="s">
        <v>2965</v>
      </c>
      <c r="BG70" s="53">
        <v>301</v>
      </c>
      <c r="BH70" s="59"/>
      <c r="BI70" s="111">
        <f t="shared" si="21"/>
        <v>0</v>
      </c>
      <c r="BJ70" s="59"/>
      <c r="BK70" s="18">
        <v>1</v>
      </c>
    </row>
    <row r="71" spans="3:63" ht="15.75" x14ac:dyDescent="0.3">
      <c r="C71" s="59">
        <v>14757</v>
      </c>
      <c r="D71" s="59" t="s">
        <v>3990</v>
      </c>
      <c r="E71" s="59">
        <v>5</v>
      </c>
      <c r="F71" s="59" t="s">
        <v>2747</v>
      </c>
      <c r="G71" s="59"/>
      <c r="H71" s="72">
        <v>11</v>
      </c>
      <c r="I71" s="64" t="s">
        <v>2972</v>
      </c>
      <c r="J71" s="64">
        <v>3</v>
      </c>
      <c r="K71" s="64">
        <v>0.2</v>
      </c>
      <c r="L71" s="65" t="s">
        <v>3146</v>
      </c>
      <c r="M71" s="65">
        <v>4</v>
      </c>
      <c r="N71" s="65">
        <v>0.25</v>
      </c>
      <c r="O71" s="66" t="s">
        <v>2944</v>
      </c>
      <c r="P71" s="66">
        <v>4</v>
      </c>
      <c r="Q71" s="66">
        <v>0.25</v>
      </c>
      <c r="R71" s="64"/>
      <c r="S71" s="64"/>
      <c r="T71" s="64"/>
      <c r="U71" s="65"/>
      <c r="V71" s="65"/>
      <c r="W71" s="65"/>
      <c r="X71" s="66"/>
      <c r="Y71" s="66"/>
      <c r="Z71" s="66"/>
      <c r="AA71" s="71" t="str">
        <f t="shared" si="1"/>
        <v>1:207,24,36,241,30,50,317,30,50,xxxxxxxxx</v>
      </c>
      <c r="AB71" s="78" t="str">
        <f t="shared" si="18"/>
        <v>1:207,24,36,241,30,50,317,30,50</v>
      </c>
      <c r="AC71" t="str">
        <f t="shared" si="8"/>
        <v>火焰伤害 {0}</v>
      </c>
      <c r="AD71" t="str">
        <f t="shared" si="9"/>
        <v>灼烧系数 {1}</v>
      </c>
      <c r="AE71" t="str">
        <f t="shared" si="10"/>
        <v>火焰抗性% {2}</v>
      </c>
      <c r="AF71" t="str">
        <f t="shared" si="11"/>
        <v>xxx</v>
      </c>
      <c r="AG71" t="str">
        <f t="shared" si="12"/>
        <v>xxx</v>
      </c>
      <c r="AH71" t="str">
        <f t="shared" si="13"/>
        <v>xxx</v>
      </c>
      <c r="AI71" t="str">
        <f t="shared" si="2"/>
        <v xml:space="preserve">火焰伤害 {0}
</v>
      </c>
      <c r="AJ71" t="str">
        <f t="shared" si="3"/>
        <v xml:space="preserve">灼烧系数 {1}%
</v>
      </c>
      <c r="AK71" t="str">
        <f t="shared" si="4"/>
        <v xml:space="preserve">火焰抗性 {2}%
</v>
      </c>
      <c r="AL71" t="str">
        <f t="shared" si="5"/>
        <v>xxx</v>
      </c>
      <c r="AM71" t="str">
        <f t="shared" si="14"/>
        <v>xxx</v>
      </c>
      <c r="AN71" t="str">
        <f t="shared" si="20"/>
        <v>xxx</v>
      </c>
      <c r="AO71" t="str">
        <f t="shared" si="15"/>
        <v>火焰伤害 {0}
灼烧系数 {1}%
火焰抗性 {2}%
xxxxxxxxx</v>
      </c>
      <c r="AP71" s="6" t="str">
        <f t="shared" si="16"/>
        <v xml:space="preserve">火焰伤害 {0}
灼烧系数 {1}%
火焰抗性 {2}%
</v>
      </c>
      <c r="AQ71" s="80" t="s">
        <v>3366</v>
      </c>
      <c r="AR71" t="str">
        <f t="shared" si="19"/>
        <v xml:space="preserve">火焰伤害 {0}
灼烧系数 {1}%
火焰抗性 {2}%
</v>
      </c>
      <c r="AS71" s="81" t="str">
        <f t="shared" si="17"/>
        <v>火焰伤害 {0}
灼烧系数 {1}%
火焰抗性 {2}%</v>
      </c>
      <c r="BE71" s="46" t="s">
        <v>2945</v>
      </c>
      <c r="BF71" s="48" t="s">
        <v>2968</v>
      </c>
      <c r="BG71" s="53">
        <v>302</v>
      </c>
      <c r="BH71" s="59">
        <v>10</v>
      </c>
      <c r="BI71" s="111">
        <f t="shared" si="21"/>
        <v>4.9019607843137254E-2</v>
      </c>
      <c r="BJ71" s="59"/>
      <c r="BK71" s="18">
        <v>2</v>
      </c>
    </row>
    <row r="72" spans="3:63" ht="15.75" x14ac:dyDescent="0.3">
      <c r="C72" s="59">
        <v>14758</v>
      </c>
      <c r="D72" s="59" t="s">
        <v>3991</v>
      </c>
      <c r="E72" s="59">
        <v>4</v>
      </c>
      <c r="F72" s="59" t="s">
        <v>2747</v>
      </c>
      <c r="G72" s="59"/>
      <c r="H72" s="72">
        <v>8.5</v>
      </c>
      <c r="I72" s="64" t="s">
        <v>2971</v>
      </c>
      <c r="J72" s="64">
        <v>2.5</v>
      </c>
      <c r="K72" s="64">
        <v>0.2</v>
      </c>
      <c r="L72" s="65" t="s">
        <v>3219</v>
      </c>
      <c r="M72" s="65">
        <v>4</v>
      </c>
      <c r="N72" s="65">
        <v>0.25</v>
      </c>
      <c r="O72" s="66" t="s">
        <v>2962</v>
      </c>
      <c r="P72" s="66">
        <v>2</v>
      </c>
      <c r="Q72" s="66">
        <v>0</v>
      </c>
      <c r="R72" s="64"/>
      <c r="S72" s="64"/>
      <c r="T72" s="64"/>
      <c r="U72" s="65"/>
      <c r="V72" s="65"/>
      <c r="W72" s="65"/>
      <c r="X72" s="66"/>
      <c r="Y72" s="66"/>
      <c r="Z72" s="66"/>
      <c r="AA72" s="71" t="str">
        <f t="shared" ref="AA72:AA135" si="22">"1:"&amp;IF(I72&lt;&gt;"",VLOOKUP(I72,$BE$8:$BH$260,3,FALSE)&amp;","&amp;VLOOKUP(I72,$BE$8:$BH$260,4,FALSE)*(1-K72)*J72&amp;","&amp;VLOOKUP(I72,$BE$8:$BH$260,4,FALSE)*(1+K72)*J72&amp;",","xxx")&amp;IF(L72&lt;&gt;"",VLOOKUP(L72,$BE$8:$BH$260,3,FALSE)&amp;","&amp;VLOOKUP(L72,$BE$8:$BH$260,4,FALSE)*(1-N72)*M72&amp;","&amp;VLOOKUP(L72,$BE$8:$BH$260,4,FALSE)*(1+N72)*M72&amp;",","xxx")&amp;IF(O72&lt;&gt;"",VLOOKUP(O72,$BE$8:$BH$260,3,FALSE)&amp;","&amp;VLOOKUP(O72,$BE$8:$BH$260,4,FALSE)*(1-Q72)*P72&amp;","&amp;VLOOKUP(O72,$BE$8:$BH$260,4,FALSE)*(1+Q72)*P72&amp;",","xxx")&amp;IF(R72&lt;&gt;"",VLOOKUP(R72,$BE$8:$BH$260,3,FALSE)&amp;","&amp;VLOOKUP(R72,$BE$8:$BH$260,4,FALSE)*(1-T72)*S72&amp;","&amp;VLOOKUP(R72,$BE$8:$BH$260,4,FALSE)*(1+T72)*S72&amp;",","xxx")&amp;IF(U72&lt;&gt;"",VLOOKUP(U72,$BE$8:$BH$260,3,FALSE)&amp;","&amp;VLOOKUP(U72,$BE$8:$BH$260,4,FALSE)*(1-W72)*V72&amp;","&amp;VLOOKUP(U72,$BE$8:$BH$260,4,FALSE)*(1+W72)*V72&amp;",","xxx")&amp;IF(X72&lt;&gt;"",VLOOKUP(X72,$BE$8:$BH$260,3,FALSE)&amp;","&amp;VLOOKUP(X72,$BE$8:$BH$260,4,FALSE)*(1-Z72)*Y72&amp;","&amp;VLOOKUP(X72,$BE$8:$BH$260,4,FALSE)*(1+Z72)*Y72&amp;",","xxx")</f>
        <v>1:206,20,30,323,30,50,316,20,20,xxxxxxxxx</v>
      </c>
      <c r="AB72" s="78" t="str">
        <f t="shared" si="18"/>
        <v>1:206,20,30,323,30,50,316,20,20</v>
      </c>
      <c r="AC72" t="str">
        <f t="shared" si="8"/>
        <v>冰霜伤害 {0}</v>
      </c>
      <c r="AD72" t="str">
        <f t="shared" si="9"/>
        <v>护盾最大值 {1}</v>
      </c>
      <c r="AE72" t="str">
        <f t="shared" si="10"/>
        <v>冰霜抗性% {2}</v>
      </c>
      <c r="AF72" t="str">
        <f t="shared" si="11"/>
        <v>xxx</v>
      </c>
      <c r="AG72" t="str">
        <f t="shared" si="12"/>
        <v>xxx</v>
      </c>
      <c r="AH72" t="str">
        <f t="shared" si="13"/>
        <v>xxx</v>
      </c>
      <c r="AI72" t="str">
        <f t="shared" ref="AI72:AI135" si="23">_xlfn.IFNA(IF(AC72="xxx","xxx",IF(VLOOKUP(I72,$BE$8:$BK$260,7,FALSE)=1,AC72&amp;CHAR(10),SUBSTITUTE(AC72,"%","")&amp;"%"&amp;CHAR(10))),"xxx")</f>
        <v xml:space="preserve">冰霜伤害 {0}
</v>
      </c>
      <c r="AJ72" t="str">
        <f t="shared" ref="AJ72:AJ135" si="24">_xlfn.IFNA(IF(AC72="xxx","xxx",IF(VLOOKUP(L72,$BE$8:$BK$260,7,FALSE)=1,AD72&amp;CHAR(10),SUBSTITUTE(AD72,"%","")&amp;"%"&amp;CHAR(10))),"xxx")</f>
        <v xml:space="preserve">护盾最大值 {1}
</v>
      </c>
      <c r="AK72" t="str">
        <f t="shared" ref="AK72:AK135" si="25">_xlfn.IFNA(IF(AC72="xxx","xxx",IF(VLOOKUP(O72,$BE$8:$BK$260,7,FALSE)=1,AE72&amp;CHAR(10),SUBSTITUTE(AE72,"%","")&amp;"%"&amp;CHAR(10))),"xxx")</f>
        <v xml:space="preserve">冰霜抗性 {2}%
</v>
      </c>
      <c r="AL72" t="str">
        <f t="shared" ref="AL72:AL135" si="26">_xlfn.IFNA(IF(AC72="xxx","xxx",IF(VLOOKUP(R72,$BE$8:$BK$260,7,FALSE)=1,AF72&amp;CHAR(10),SUBSTITUTE(AF72,"%","")&amp;"%"&amp;CHAR(10))),"xxx")</f>
        <v>xxx</v>
      </c>
      <c r="AM72" t="str">
        <f t="shared" ref="AM72:AM135" si="27">_xlfn.IFNA(IF(AC72="xxx","xxx",IF(VLOOKUP(U72,$BE$8:$BK$260,7,FALSE)=1,AG72&amp;CHAR(10),SUBSTITUTE(AG72,"%","")&amp;"%"&amp;CHAR(10))),"xxx")</f>
        <v>xxx</v>
      </c>
      <c r="AN72" t="str">
        <f t="shared" ref="AN72:AN103" si="28">_xlfn.IFNA(IF(AC72="xxx","xxx",IF(VLOOKUP(X72,$BE$8:$BK$260,7,FALSE)=1,AH72&amp;CHAR(10),SUBSTITUTE(AH72,"%","")&amp;"%"&amp;CHAR(10))),"xxx")</f>
        <v>xxx</v>
      </c>
      <c r="AO72" t="str">
        <f t="shared" si="15"/>
        <v>冰霜伤害 {0}
护盾最大值 {1}
冰霜抗性 {2}%
xxxxxxxxx</v>
      </c>
      <c r="AP72" s="6" t="str">
        <f t="shared" si="16"/>
        <v xml:space="preserve">冰霜伤害 {0}
护盾最大值 {1}
冰霜抗性 {2}%
</v>
      </c>
      <c r="AQ72" s="80" t="s">
        <v>3367</v>
      </c>
      <c r="AR72" t="str">
        <f t="shared" si="19"/>
        <v xml:space="preserve">冰霜伤害 {0}
护盾最大值 {1}
冰霜抗性 {2}%
</v>
      </c>
      <c r="AS72" s="81" t="str">
        <f t="shared" si="17"/>
        <v>冰霜伤害 {0}
护盾最大值 {1}
冰霜抗性 {2}%</v>
      </c>
      <c r="BE72" s="46" t="s">
        <v>3004</v>
      </c>
      <c r="BF72" s="47" t="s">
        <v>2965</v>
      </c>
      <c r="BG72" s="53">
        <v>303</v>
      </c>
      <c r="BH72" s="59">
        <v>0.5</v>
      </c>
      <c r="BI72" s="111">
        <f t="shared" ref="BI72:BI103" si="29">COUNTIF($I$8:$I$1040,BE72)/COUNT($C$8:$C$1040)+COUNTIF($L$8:$L$1040,BE72)/COUNT($C$8:$C$1040)+COUNTIF($O$8:$O$1040,BE72)/COUNT($C$8:$C$1040)+COUNTIF($R$8:$R$1040,BE72)/COUNT($C$8:$C$1040)+COUNTIF($U$8:$U$1040,BE72)/COUNT($C$8:$C$1040)+COUNTIF($X$8:$X$1040,BE72)/COUNT($C$8:$C$1040)</f>
        <v>5.8823529411764705E-2</v>
      </c>
      <c r="BJ72" s="59"/>
      <c r="BK72" s="18">
        <v>1</v>
      </c>
    </row>
    <row r="73" spans="3:63" ht="15.75" x14ac:dyDescent="0.3">
      <c r="C73" s="59">
        <v>14759</v>
      </c>
      <c r="D73" s="59" t="s">
        <v>206</v>
      </c>
      <c r="E73" s="59">
        <v>3</v>
      </c>
      <c r="F73" s="59" t="s">
        <v>2747</v>
      </c>
      <c r="G73" s="59"/>
      <c r="H73" s="72">
        <v>12</v>
      </c>
      <c r="I73" s="64" t="s">
        <v>3198</v>
      </c>
      <c r="J73" s="64">
        <v>6</v>
      </c>
      <c r="K73" s="64">
        <v>0.5</v>
      </c>
      <c r="L73" s="65" t="s">
        <v>2940</v>
      </c>
      <c r="M73" s="65">
        <v>2</v>
      </c>
      <c r="N73" s="65">
        <v>0.25</v>
      </c>
      <c r="O73" s="66" t="s">
        <v>2947</v>
      </c>
      <c r="P73" s="66">
        <v>4</v>
      </c>
      <c r="Q73" s="66">
        <v>0.25</v>
      </c>
      <c r="R73" s="64"/>
      <c r="S73" s="64"/>
      <c r="T73" s="64"/>
      <c r="U73" s="65"/>
      <c r="V73" s="65"/>
      <c r="W73" s="65"/>
      <c r="X73" s="66"/>
      <c r="Y73" s="66"/>
      <c r="Z73" s="66"/>
      <c r="AA73" s="71" t="str">
        <f t="shared" si="22"/>
        <v>1:817,3,9,412,15,25,315,15,25,xxxxxxxxx</v>
      </c>
      <c r="AB73" s="78" t="str">
        <f t="shared" si="18"/>
        <v>1:817,3,9,412,15,25,315,15,25</v>
      </c>
      <c r="AC73" t="str">
        <f t="shared" ref="AC73:AC136" si="30">IF(J73&gt;0,I73&amp;" "&amp;"{"&amp;J$6&amp;"}","xxx")</f>
        <v>护甲转化荆棘 {0}</v>
      </c>
      <c r="AD73" t="str">
        <f t="shared" ref="AD73:AD136" si="31">IF(M73&gt;0,L73&amp;" "&amp;"{"&amp;M$6&amp;"}","xxx")</f>
        <v>移动速度% {1}</v>
      </c>
      <c r="AE73" t="str">
        <f t="shared" ref="AE73:AE136" si="32">IF(P73&gt;0,O73&amp;" "&amp;"{"&amp;P$6&amp;"}","xxx")</f>
        <v>元素抗性% {2}</v>
      </c>
      <c r="AF73" t="str">
        <f t="shared" ref="AF73:AF136" si="33">IF(S73&gt;0,R73&amp;" "&amp;"{"&amp;S$6&amp;"}","xxx")</f>
        <v>xxx</v>
      </c>
      <c r="AG73" t="str">
        <f t="shared" ref="AG73:AG136" si="34">IF(V73&gt;0,U73&amp;" "&amp;"{"&amp;V$6&amp;"}","xxx")</f>
        <v>xxx</v>
      </c>
      <c r="AH73" t="str">
        <f t="shared" ref="AH73:AH136" si="35">IF(Y73&gt;0,X73&amp;" "&amp;"{"&amp;Y$6&amp;"}","xxx")</f>
        <v>xxx</v>
      </c>
      <c r="AI73" t="str">
        <f t="shared" si="23"/>
        <v xml:space="preserve">护甲转化荆棘 {0}
</v>
      </c>
      <c r="AJ73" t="str">
        <f t="shared" si="24"/>
        <v xml:space="preserve">移动速度 {1}%
</v>
      </c>
      <c r="AK73" t="str">
        <f t="shared" si="25"/>
        <v xml:space="preserve">元素抗性 {2}%
</v>
      </c>
      <c r="AL73" t="str">
        <f t="shared" si="26"/>
        <v>xxx</v>
      </c>
      <c r="AM73" t="str">
        <f t="shared" si="27"/>
        <v>xxx</v>
      </c>
      <c r="AN73" t="str">
        <f t="shared" si="28"/>
        <v>xxx</v>
      </c>
      <c r="AO73" t="str">
        <f t="shared" ref="AO73:AO136" si="36">_xlfn.CONCAT(AI73:AN73)</f>
        <v>护甲转化荆棘 {0}
移动速度 {1}%
元素抗性 {2}%
xxxxxxxxx</v>
      </c>
      <c r="AP73" s="6" t="str">
        <f t="shared" ref="AP73:AP136" si="37">SUBSTITUTE(AO73,"xxx","")</f>
        <v xml:space="preserve">护甲转化荆棘 {0}
移动速度 {1}%
元素抗性 {2}%
</v>
      </c>
      <c r="AQ73" s="80" t="s">
        <v>3368</v>
      </c>
      <c r="AR73" t="str">
        <f t="shared" si="19"/>
        <v xml:space="preserve">护甲转化荆棘 {0}
移动速度 {1}%
元素抗性 {2}%
</v>
      </c>
      <c r="AS73" s="81" t="str">
        <f t="shared" ref="AS73:AS136" si="38">IF(AR73&lt;&gt;AQ73,IF(ISNUMBER(SEARCH(CHAR(10),AR73)),SUBSTITUTE(AR73,CHAR(10),"",LEN(AR73)-LEN(SUBSTITUTE(AR73,CHAR(10),""))),AR73),AR73)</f>
        <v>护甲转化荆棘 {0}
移动速度 {1}%
元素抗性 {2}%</v>
      </c>
      <c r="BE73" s="46" t="s">
        <v>2950</v>
      </c>
      <c r="BF73" s="48" t="s">
        <v>2968</v>
      </c>
      <c r="BG73" s="53">
        <v>304</v>
      </c>
      <c r="BH73" s="59">
        <v>10</v>
      </c>
      <c r="BI73" s="111">
        <f t="shared" si="29"/>
        <v>1.9607843137254902E-2</v>
      </c>
      <c r="BJ73" s="59"/>
      <c r="BK73" s="18">
        <v>2</v>
      </c>
    </row>
    <row r="74" spans="3:63" ht="15.75" x14ac:dyDescent="0.3">
      <c r="C74" s="59">
        <v>14760</v>
      </c>
      <c r="D74" s="59" t="s">
        <v>208</v>
      </c>
      <c r="E74" s="59"/>
      <c r="F74" s="59" t="s">
        <v>2747</v>
      </c>
      <c r="G74" s="59"/>
      <c r="H74" s="72">
        <v>13</v>
      </c>
      <c r="I74" s="64" t="s">
        <v>4145</v>
      </c>
      <c r="J74" s="64">
        <v>3</v>
      </c>
      <c r="K74" s="64">
        <v>0</v>
      </c>
      <c r="L74" s="65" t="s">
        <v>2946</v>
      </c>
      <c r="M74" s="65">
        <v>6</v>
      </c>
      <c r="N74" s="65">
        <v>0.25</v>
      </c>
      <c r="O74" s="66" t="s">
        <v>4146</v>
      </c>
      <c r="P74" s="66">
        <v>4</v>
      </c>
      <c r="Q74" s="66">
        <v>0.25</v>
      </c>
      <c r="R74" s="64"/>
      <c r="S74" s="64"/>
      <c r="T74" s="64"/>
      <c r="U74" s="65"/>
      <c r="V74" s="65"/>
      <c r="W74" s="65"/>
      <c r="X74" s="66"/>
      <c r="Y74" s="66"/>
      <c r="Z74" s="66"/>
      <c r="AA74" s="71" t="str">
        <f t="shared" si="22"/>
        <v>1:516,30,30,306,45,75,514,15,25,xxxxxxxxx</v>
      </c>
      <c r="AB74" s="78" t="str">
        <f>IF(LEFT(SUBSTITUTE(AA74,"x",""),LEN(SUBSTITUTE(AA74,"x",""))-1)="1","",LEFT(SUBSTITUTE(AA74,"x",""),LEN(SUBSTITUTE(AA74,"x",""))-1))</f>
        <v>1:516,30,30,306,45,75,514,15,25</v>
      </c>
      <c r="AC74" t="str">
        <f t="shared" si="30"/>
        <v>san值回复速度 {0}</v>
      </c>
      <c r="AD74" t="str">
        <f t="shared" si="31"/>
        <v>护甲值% {1}</v>
      </c>
      <c r="AE74" t="str">
        <f t="shared" si="32"/>
        <v>san值最大值 {2}</v>
      </c>
      <c r="AF74" t="str">
        <f t="shared" si="33"/>
        <v>xxx</v>
      </c>
      <c r="AG74" t="str">
        <f t="shared" si="34"/>
        <v>xxx</v>
      </c>
      <c r="AH74" t="str">
        <f t="shared" si="35"/>
        <v>xxx</v>
      </c>
      <c r="AI74" t="str">
        <f t="shared" si="23"/>
        <v xml:space="preserve">san值回复速度 {0}%
</v>
      </c>
      <c r="AJ74" t="str">
        <f t="shared" si="24"/>
        <v xml:space="preserve">护甲值 {1}%
</v>
      </c>
      <c r="AK74" t="str">
        <f t="shared" si="25"/>
        <v xml:space="preserve">san值最大值 {2}
</v>
      </c>
      <c r="AL74" t="str">
        <f t="shared" si="26"/>
        <v>xxx</v>
      </c>
      <c r="AM74" t="str">
        <f t="shared" si="27"/>
        <v>xxx</v>
      </c>
      <c r="AN74" t="str">
        <f t="shared" si="28"/>
        <v>xxx</v>
      </c>
      <c r="AO74" t="str">
        <f t="shared" si="36"/>
        <v>san值回复速度 {0}%
护甲值 {1}%
san值最大值 {2}
xxxxxxxxx</v>
      </c>
      <c r="AP74" s="6" t="str">
        <f t="shared" si="37"/>
        <v xml:space="preserve">san值回复速度 {0}%
护甲值 {1}%
san值最大值 {2}
</v>
      </c>
      <c r="AQ74" s="80" t="s">
        <v>3369</v>
      </c>
      <c r="AR74" t="str">
        <f t="shared" ref="AR74:AR137" si="39">IFERROR(IF(AP74="",AQ74,AP74),AP74)</f>
        <v xml:space="preserve">san值回复速度 {0}%
护甲值 {1}%
san值最大值 {2}
</v>
      </c>
      <c r="AS74" s="81" t="str">
        <f t="shared" si="38"/>
        <v>san值回复速度 {0}%
护甲值 {1}%
san值最大值 {2}</v>
      </c>
      <c r="BE74" s="46" t="s">
        <v>2957</v>
      </c>
      <c r="BF74" s="47" t="s">
        <v>2965</v>
      </c>
      <c r="BG74" s="53">
        <v>305</v>
      </c>
      <c r="BH74" s="59">
        <v>100</v>
      </c>
      <c r="BI74" s="111">
        <f t="shared" si="29"/>
        <v>4.9019607843137254E-2</v>
      </c>
      <c r="BJ74" s="59"/>
      <c r="BK74" s="18">
        <v>1</v>
      </c>
    </row>
    <row r="75" spans="3:63" ht="15.75" x14ac:dyDescent="0.3">
      <c r="C75" s="59">
        <v>14761</v>
      </c>
      <c r="D75" s="59" t="s">
        <v>210</v>
      </c>
      <c r="E75" s="59"/>
      <c r="F75" s="59" t="s">
        <v>2747</v>
      </c>
      <c r="G75" s="59"/>
      <c r="H75" s="72">
        <v>12</v>
      </c>
      <c r="I75" s="64" t="s">
        <v>3077</v>
      </c>
      <c r="J75" s="64">
        <v>4</v>
      </c>
      <c r="K75" s="64">
        <v>0.2</v>
      </c>
      <c r="L75" s="65" t="s">
        <v>3248</v>
      </c>
      <c r="M75" s="65">
        <v>2</v>
      </c>
      <c r="N75" s="65">
        <v>0.2</v>
      </c>
      <c r="O75" s="66" t="s">
        <v>2936</v>
      </c>
      <c r="P75" s="66">
        <v>2</v>
      </c>
      <c r="Q75" s="66">
        <v>0.2</v>
      </c>
      <c r="R75" s="64" t="s">
        <v>3585</v>
      </c>
      <c r="S75" s="64">
        <v>4</v>
      </c>
      <c r="T75" s="64">
        <v>0.25</v>
      </c>
      <c r="U75" s="65"/>
      <c r="V75" s="65"/>
      <c r="W75" s="65"/>
      <c r="X75" s="66"/>
      <c r="Y75" s="66"/>
      <c r="Z75" s="66"/>
      <c r="AA75" s="71" t="str">
        <f t="shared" si="22"/>
        <v>1:702,32,48,320,8,12,715,16,24,517,6,10,xxxxxx</v>
      </c>
      <c r="AB75" s="78" t="str">
        <f t="shared" ref="AB75:AB137" si="40">IF(LEFT(SUBSTITUTE(AA75,"x",""),LEN(SUBSTITUTE(AA75,"x",""))-1)="1","",LEFT(SUBSTITUTE(AA75,"x",""),LEN(SUBSTITUTE(AA75,"x",""))-1))</f>
        <v>1:702,32,48,320,8,12,715,16,24,517,6,10</v>
      </c>
      <c r="AC75" t="str">
        <f t="shared" si="30"/>
        <v>召唤物生命值% {0}</v>
      </c>
      <c r="AD75" t="str">
        <f t="shared" si="31"/>
        <v>物理抗性% {1}</v>
      </c>
      <c r="AE75" t="str">
        <f t="shared" si="32"/>
        <v>召唤物移动速度% {2}</v>
      </c>
      <c r="AF75" t="str">
        <f t="shared" si="33"/>
        <v>锁定次数 {3}</v>
      </c>
      <c r="AG75" t="str">
        <f t="shared" si="34"/>
        <v>xxx</v>
      </c>
      <c r="AH75" t="str">
        <f t="shared" si="35"/>
        <v>xxx</v>
      </c>
      <c r="AI75" t="str">
        <f t="shared" si="23"/>
        <v xml:space="preserve">召唤物生命值 {0}%
</v>
      </c>
      <c r="AJ75" t="str">
        <f t="shared" si="24"/>
        <v xml:space="preserve">物理抗性 {1}%
</v>
      </c>
      <c r="AK75" t="str">
        <f t="shared" si="25"/>
        <v xml:space="preserve">召唤物移动速度 {2}%
</v>
      </c>
      <c r="AL75" t="str">
        <f t="shared" si="26"/>
        <v xml:space="preserve">锁定次数 {3}
</v>
      </c>
      <c r="AM75" t="str">
        <f t="shared" si="27"/>
        <v>xxx</v>
      </c>
      <c r="AN75" t="str">
        <f t="shared" si="28"/>
        <v>xxx</v>
      </c>
      <c r="AO75" t="str">
        <f t="shared" si="36"/>
        <v>召唤物生命值 {0}%
物理抗性 {1}%
召唤物移动速度 {2}%
锁定次数 {3}
xxxxxx</v>
      </c>
      <c r="AP75" s="6" t="str">
        <f t="shared" si="37"/>
        <v xml:space="preserve">召唤物生命值 {0}%
物理抗性 {1}%
召唤物移动速度 {2}%
锁定次数 {3}
</v>
      </c>
      <c r="AQ75" s="80" t="s">
        <v>3370</v>
      </c>
      <c r="AR75" t="str">
        <f t="shared" si="39"/>
        <v xml:space="preserve">召唤物生命值 {0}%
物理抗性 {1}%
召唤物移动速度 {2}%
锁定次数 {3}
</v>
      </c>
      <c r="AS75" s="81" t="str">
        <f t="shared" si="38"/>
        <v>召唤物生命值 {0}%
物理抗性 {1}%
召唤物移动速度 {2}%
锁定次数 {3}</v>
      </c>
      <c r="BE75" s="46" t="s">
        <v>2946</v>
      </c>
      <c r="BF75" s="48" t="s">
        <v>2968</v>
      </c>
      <c r="BG75" s="53">
        <v>306</v>
      </c>
      <c r="BH75" s="59">
        <v>10</v>
      </c>
      <c r="BI75" s="111">
        <f t="shared" si="29"/>
        <v>3.2679738562091505E-2</v>
      </c>
      <c r="BJ75" s="59"/>
      <c r="BK75" s="18">
        <v>2</v>
      </c>
    </row>
    <row r="76" spans="3:63" ht="15.75" x14ac:dyDescent="0.3">
      <c r="C76" s="59">
        <v>14762</v>
      </c>
      <c r="D76" s="59" t="s">
        <v>212</v>
      </c>
      <c r="E76" s="59">
        <v>2</v>
      </c>
      <c r="F76" s="59" t="s">
        <v>2747</v>
      </c>
      <c r="G76" s="59"/>
      <c r="H76" s="72">
        <v>12</v>
      </c>
      <c r="I76" s="64" t="s">
        <v>2947</v>
      </c>
      <c r="J76" s="64">
        <v>4</v>
      </c>
      <c r="K76" s="64">
        <v>0.2</v>
      </c>
      <c r="L76" s="65" t="s">
        <v>2970</v>
      </c>
      <c r="M76" s="65">
        <v>4</v>
      </c>
      <c r="N76" s="65">
        <v>0.25</v>
      </c>
      <c r="O76" s="66" t="s">
        <v>3226</v>
      </c>
      <c r="P76" s="66">
        <v>4</v>
      </c>
      <c r="Q76" s="66">
        <v>0.25</v>
      </c>
      <c r="R76" s="64"/>
      <c r="S76" s="64"/>
      <c r="T76" s="64"/>
      <c r="U76" s="65"/>
      <c r="V76" s="65"/>
      <c r="W76" s="65"/>
      <c r="X76" s="66"/>
      <c r="Y76" s="66"/>
      <c r="Z76" s="66"/>
      <c r="AA76" s="71" t="str">
        <f t="shared" si="22"/>
        <v>1:315,16,24,205,15,25,504,15,25,xxxxxxxxx</v>
      </c>
      <c r="AB76" s="78" t="str">
        <f t="shared" si="40"/>
        <v>1:315,16,24,205,15,25,504,15,25</v>
      </c>
      <c r="AC76" t="str">
        <f t="shared" si="30"/>
        <v>元素抗性% {0}</v>
      </c>
      <c r="AD76" t="str">
        <f t="shared" si="31"/>
        <v>元素伤害 {1}</v>
      </c>
      <c r="AE76" t="str">
        <f t="shared" si="32"/>
        <v>双重施法范围 {2}</v>
      </c>
      <c r="AF76" t="str">
        <f t="shared" si="33"/>
        <v>xxx</v>
      </c>
      <c r="AG76" t="str">
        <f t="shared" si="34"/>
        <v>xxx</v>
      </c>
      <c r="AH76" t="str">
        <f t="shared" si="35"/>
        <v>xxx</v>
      </c>
      <c r="AI76" t="str">
        <f t="shared" si="23"/>
        <v xml:space="preserve">元素抗性 {0}%
</v>
      </c>
      <c r="AJ76" t="str">
        <f t="shared" si="24"/>
        <v xml:space="preserve">元素伤害 {1}
</v>
      </c>
      <c r="AK76" t="str">
        <f t="shared" si="25"/>
        <v xml:space="preserve">双重施法范围 {2}%
</v>
      </c>
      <c r="AL76" t="str">
        <f t="shared" si="26"/>
        <v>xxx</v>
      </c>
      <c r="AM76" t="str">
        <f t="shared" si="27"/>
        <v>xxx</v>
      </c>
      <c r="AN76" t="str">
        <f t="shared" si="28"/>
        <v>xxx</v>
      </c>
      <c r="AO76" t="str">
        <f t="shared" si="36"/>
        <v>元素抗性 {0}%
元素伤害 {1}
双重施法范围 {2}%
xxxxxxxxx</v>
      </c>
      <c r="AP76" s="6" t="str">
        <f t="shared" si="37"/>
        <v xml:space="preserve">元素抗性 {0}%
元素伤害 {1}
双重施法范围 {2}%
</v>
      </c>
      <c r="AQ76" s="80" t="s">
        <v>3371</v>
      </c>
      <c r="AR76" t="str">
        <f t="shared" si="39"/>
        <v xml:space="preserve">元素抗性 {0}%
元素伤害 {1}
双重施法范围 {2}%
</v>
      </c>
      <c r="AS76" s="81" t="str">
        <f t="shared" si="38"/>
        <v>元素抗性 {0}%
元素伤害 {1}
双重施法范围 {2}%</v>
      </c>
      <c r="BE76" s="46" t="s">
        <v>3005</v>
      </c>
      <c r="BF76" s="47" t="s">
        <v>2965</v>
      </c>
      <c r="BG76" s="53">
        <v>307</v>
      </c>
      <c r="BH76" s="59"/>
      <c r="BI76" s="111">
        <f t="shared" si="29"/>
        <v>0</v>
      </c>
      <c r="BJ76" s="59"/>
      <c r="BK76" s="18">
        <v>1</v>
      </c>
    </row>
    <row r="77" spans="3:63" ht="15.75" x14ac:dyDescent="0.3">
      <c r="C77" s="59">
        <v>14763</v>
      </c>
      <c r="D77" s="59" t="s">
        <v>213</v>
      </c>
      <c r="E77" s="59"/>
      <c r="F77" s="59" t="s">
        <v>2747</v>
      </c>
      <c r="G77" s="59"/>
      <c r="H77" s="72">
        <v>12</v>
      </c>
      <c r="I77" s="64" t="s">
        <v>3225</v>
      </c>
      <c r="J77" s="64">
        <v>8</v>
      </c>
      <c r="K77" s="64">
        <v>0.5</v>
      </c>
      <c r="L77" s="65" t="s">
        <v>2963</v>
      </c>
      <c r="M77" s="65">
        <v>4</v>
      </c>
      <c r="N77" s="65">
        <v>0.25</v>
      </c>
      <c r="O77" s="66"/>
      <c r="P77" s="66"/>
      <c r="Q77" s="66"/>
      <c r="R77" s="64"/>
      <c r="S77" s="64"/>
      <c r="T77" s="64"/>
      <c r="U77" s="65"/>
      <c r="V77" s="65"/>
      <c r="W77" s="65"/>
      <c r="X77" s="66"/>
      <c r="Y77" s="66"/>
      <c r="Z77" s="66"/>
      <c r="AA77" s="71" t="str">
        <f t="shared" si="22"/>
        <v>1:324,1,3,413,30,50,xxxxxxxxxxxx</v>
      </c>
      <c r="AB77" s="78" t="str">
        <f t="shared" si="40"/>
        <v>1:324,1,3,413,30,50</v>
      </c>
      <c r="AC77" t="str">
        <f t="shared" si="30"/>
        <v>百分比回复最大生命值 {0}</v>
      </c>
      <c r="AD77" t="str">
        <f t="shared" si="31"/>
        <v>荆棘 {1}</v>
      </c>
      <c r="AE77" t="str">
        <f t="shared" si="32"/>
        <v>xxx</v>
      </c>
      <c r="AF77" t="str">
        <f t="shared" si="33"/>
        <v>xxx</v>
      </c>
      <c r="AG77" t="str">
        <f t="shared" si="34"/>
        <v>xxx</v>
      </c>
      <c r="AH77" t="str">
        <f t="shared" si="35"/>
        <v>xxx</v>
      </c>
      <c r="AI77" t="str">
        <f t="shared" si="23"/>
        <v xml:space="preserve">百分比回复最大生命值 {0}%
</v>
      </c>
      <c r="AJ77" t="str">
        <f t="shared" si="24"/>
        <v xml:space="preserve">荆棘 {1}
</v>
      </c>
      <c r="AK77" t="str">
        <f t="shared" si="25"/>
        <v>xxx</v>
      </c>
      <c r="AL77" t="str">
        <f t="shared" si="26"/>
        <v>xxx</v>
      </c>
      <c r="AM77" t="str">
        <f t="shared" si="27"/>
        <v>xxx</v>
      </c>
      <c r="AN77" t="str">
        <f t="shared" si="28"/>
        <v>xxx</v>
      </c>
      <c r="AO77" t="str">
        <f t="shared" si="36"/>
        <v>百分比回复最大生命值 {0}%
荆棘 {1}
xxxxxxxxxxxx</v>
      </c>
      <c r="AP77" s="6" t="str">
        <f t="shared" si="37"/>
        <v xml:space="preserve">百分比回复最大生命值 {0}%
荆棘 {1}
</v>
      </c>
      <c r="AQ77" s="80" t="s">
        <v>3372</v>
      </c>
      <c r="AR77" t="str">
        <f t="shared" si="39"/>
        <v xml:space="preserve">百分比回复最大生命值 {0}%
荆棘 {1}
</v>
      </c>
      <c r="AS77" s="81" t="str">
        <f t="shared" si="38"/>
        <v>百分比回复最大生命值 {0}%
荆棘 {1}</v>
      </c>
      <c r="BE77" s="46" t="s">
        <v>2951</v>
      </c>
      <c r="BF77" s="48" t="s">
        <v>2968</v>
      </c>
      <c r="BG77" s="53">
        <v>308</v>
      </c>
      <c r="BH77" s="59">
        <v>10</v>
      </c>
      <c r="BI77" s="111">
        <f t="shared" si="29"/>
        <v>2.9411764705882353E-2</v>
      </c>
      <c r="BJ77" s="59"/>
      <c r="BK77" s="18">
        <v>2</v>
      </c>
    </row>
    <row r="78" spans="3:63" ht="15.75" x14ac:dyDescent="0.3">
      <c r="C78" s="59">
        <v>14764</v>
      </c>
      <c r="D78" s="59" t="s">
        <v>215</v>
      </c>
      <c r="E78" s="59"/>
      <c r="F78" s="59" t="s">
        <v>2747</v>
      </c>
      <c r="G78" s="59"/>
      <c r="H78" s="72">
        <v>11</v>
      </c>
      <c r="I78" s="64" t="s">
        <v>3159</v>
      </c>
      <c r="J78" s="64">
        <v>4</v>
      </c>
      <c r="K78" s="64">
        <v>0.25</v>
      </c>
      <c r="L78" s="65" t="s">
        <v>4147</v>
      </c>
      <c r="M78" s="65">
        <v>4</v>
      </c>
      <c r="N78" s="65">
        <v>0.25</v>
      </c>
      <c r="O78" s="66" t="s">
        <v>3581</v>
      </c>
      <c r="P78" s="66">
        <v>1</v>
      </c>
      <c r="Q78" s="66">
        <v>0</v>
      </c>
      <c r="R78" s="64" t="s">
        <v>3583</v>
      </c>
      <c r="S78" s="64">
        <v>1</v>
      </c>
      <c r="T78" s="64">
        <v>0</v>
      </c>
      <c r="U78" s="65" t="s">
        <v>3585</v>
      </c>
      <c r="V78" s="65">
        <v>1</v>
      </c>
      <c r="W78" s="65">
        <v>0</v>
      </c>
      <c r="X78" s="66"/>
      <c r="Y78" s="66"/>
      <c r="Z78" s="66"/>
      <c r="AA78" s="71" t="str">
        <f t="shared" si="22"/>
        <v>1:601,3,5,602,3,5,501,2,2,502,2,2,517,2,2,xxx</v>
      </c>
      <c r="AB78" s="78" t="str">
        <f t="shared" si="40"/>
        <v>1:601,3,5,602,3,5,501,2,2,502,2,2,517,2,2</v>
      </c>
      <c r="AC78" t="str">
        <f t="shared" si="30"/>
        <v>击杀加伤害 {0}</v>
      </c>
      <c r="AD78" t="str">
        <f t="shared" si="31"/>
        <v>击杀加范围 {1}</v>
      </c>
      <c r="AE78" t="str">
        <f t="shared" si="32"/>
        <v>刷新次数 {2}</v>
      </c>
      <c r="AF78" t="str">
        <f t="shared" si="33"/>
        <v>剔除次数 {3}</v>
      </c>
      <c r="AG78" t="str">
        <f t="shared" si="34"/>
        <v>锁定次数 {4}</v>
      </c>
      <c r="AH78" t="str">
        <f t="shared" si="35"/>
        <v>xxx</v>
      </c>
      <c r="AI78" t="str">
        <f t="shared" si="23"/>
        <v xml:space="preserve">击杀加伤害 {0}%
</v>
      </c>
      <c r="AJ78" t="str">
        <f t="shared" si="24"/>
        <v xml:space="preserve">击杀加范围 {1}%
</v>
      </c>
      <c r="AK78" t="str">
        <f t="shared" si="25"/>
        <v xml:space="preserve">刷新次数 {2}
</v>
      </c>
      <c r="AL78" t="str">
        <f t="shared" si="26"/>
        <v xml:space="preserve">剔除次数 {3}
</v>
      </c>
      <c r="AM78" t="str">
        <f t="shared" si="27"/>
        <v xml:space="preserve">锁定次数 {4}
</v>
      </c>
      <c r="AN78" t="str">
        <f t="shared" si="28"/>
        <v>xxx</v>
      </c>
      <c r="AO78" t="str">
        <f t="shared" si="36"/>
        <v>击杀加伤害 {0}%
击杀加范围 {1}%
刷新次数 {2}
剔除次数 {3}
锁定次数 {4}
xxx</v>
      </c>
      <c r="AP78" s="6" t="str">
        <f t="shared" si="37"/>
        <v xml:space="preserve">击杀加伤害 {0}%
击杀加范围 {1}%
刷新次数 {2}
剔除次数 {3}
锁定次数 {4}
</v>
      </c>
      <c r="AQ78" s="80" t="s">
        <v>3373</v>
      </c>
      <c r="AR78" t="str">
        <f t="shared" si="39"/>
        <v xml:space="preserve">击杀加伤害 {0}%
击杀加范围 {1}%
刷新次数 {2}
剔除次数 {3}
锁定次数 {4}
</v>
      </c>
      <c r="AS78" s="81" t="str">
        <f t="shared" si="38"/>
        <v>击杀加伤害 {0}%
击杀加范围 {1}%
刷新次数 {2}
剔除次数 {3}
锁定次数 {4}</v>
      </c>
      <c r="BE78" s="46" t="s">
        <v>3006</v>
      </c>
      <c r="BF78" s="47" t="s">
        <v>2965</v>
      </c>
      <c r="BG78" s="53">
        <v>309</v>
      </c>
      <c r="BH78" s="59"/>
      <c r="BI78" s="111">
        <f t="shared" si="29"/>
        <v>0</v>
      </c>
      <c r="BJ78" s="59"/>
      <c r="BK78" s="18">
        <v>1</v>
      </c>
    </row>
    <row r="79" spans="3:63" ht="15.75" x14ac:dyDescent="0.3">
      <c r="C79" s="59">
        <v>14765</v>
      </c>
      <c r="D79" s="59" t="s">
        <v>217</v>
      </c>
      <c r="E79" s="59"/>
      <c r="F79" s="59" t="s">
        <v>2748</v>
      </c>
      <c r="G79" s="59"/>
      <c r="H79" s="72">
        <v>14</v>
      </c>
      <c r="I79" s="64" t="s">
        <v>2963</v>
      </c>
      <c r="J79" s="64">
        <v>6</v>
      </c>
      <c r="K79" s="64">
        <v>0.2</v>
      </c>
      <c r="L79" s="65" t="s">
        <v>2946</v>
      </c>
      <c r="M79" s="65">
        <v>3</v>
      </c>
      <c r="N79" s="65">
        <v>0.2</v>
      </c>
      <c r="O79" s="66" t="s">
        <v>2945</v>
      </c>
      <c r="P79" s="66">
        <v>3</v>
      </c>
      <c r="Q79" s="66">
        <v>0.2</v>
      </c>
      <c r="R79" s="64" t="s">
        <v>3250</v>
      </c>
      <c r="S79" s="64">
        <v>2</v>
      </c>
      <c r="T79" s="64">
        <v>0.5</v>
      </c>
      <c r="U79" s="65"/>
      <c r="V79" s="65"/>
      <c r="W79" s="65"/>
      <c r="X79" s="66"/>
      <c r="Y79" s="66"/>
      <c r="Z79" s="66"/>
      <c r="AA79" s="71" t="str">
        <f t="shared" si="22"/>
        <v>1:413,48,72,306,24,36,302,24,36,303,0.5,1.5,xxxxxx</v>
      </c>
      <c r="AB79" s="78" t="str">
        <f t="shared" si="40"/>
        <v>1:413,48,72,306,24,36,302,24,36,303,0.5,1.5</v>
      </c>
      <c r="AC79" t="str">
        <f t="shared" si="30"/>
        <v>荆棘 {0}</v>
      </c>
      <c r="AD79" t="str">
        <f t="shared" si="31"/>
        <v>护甲值% {1}</v>
      </c>
      <c r="AE79" t="str">
        <f t="shared" si="32"/>
        <v>生命值% {2}</v>
      </c>
      <c r="AF79" t="str">
        <f t="shared" si="33"/>
        <v>生命回复 {3}</v>
      </c>
      <c r="AG79" t="str">
        <f t="shared" si="34"/>
        <v>xxx</v>
      </c>
      <c r="AH79" t="str">
        <f t="shared" si="35"/>
        <v>xxx</v>
      </c>
      <c r="AI79" t="str">
        <f t="shared" si="23"/>
        <v xml:space="preserve">荆棘 {0}
</v>
      </c>
      <c r="AJ79" t="str">
        <f t="shared" si="24"/>
        <v xml:space="preserve">护甲值 {1}%
</v>
      </c>
      <c r="AK79" t="str">
        <f t="shared" si="25"/>
        <v xml:space="preserve">生命值 {2}%
</v>
      </c>
      <c r="AL79" t="str">
        <f t="shared" si="26"/>
        <v xml:space="preserve">生命回复 {3}
</v>
      </c>
      <c r="AM79" t="str">
        <f t="shared" si="27"/>
        <v>xxx</v>
      </c>
      <c r="AN79" t="str">
        <f t="shared" si="28"/>
        <v>xxx</v>
      </c>
      <c r="AO79" t="str">
        <f t="shared" si="36"/>
        <v>荆棘 {0}
护甲值 {1}%
生命值 {2}%
生命回复 {3}
xxxxxx</v>
      </c>
      <c r="AP79" s="6" t="str">
        <f t="shared" si="37"/>
        <v xml:space="preserve">荆棘 {0}
护甲值 {1}%
生命值 {2}%
生命回复 {3}
</v>
      </c>
      <c r="AQ79" s="80" t="s">
        <v>3374</v>
      </c>
      <c r="AR79" t="str">
        <f t="shared" si="39"/>
        <v xml:space="preserve">荆棘 {0}
护甲值 {1}%
生命值 {2}%
生命回复 {3}
</v>
      </c>
      <c r="AS79" s="81" t="str">
        <f t="shared" si="38"/>
        <v>荆棘 {0}
护甲值 {1}%
生命值 {2}%
生命回复 {3}</v>
      </c>
      <c r="BE79" s="46" t="s">
        <v>2952</v>
      </c>
      <c r="BF79" s="48" t="s">
        <v>2968</v>
      </c>
      <c r="BG79" s="53">
        <v>310</v>
      </c>
      <c r="BH79" s="59">
        <v>100</v>
      </c>
      <c r="BI79" s="111">
        <f t="shared" si="29"/>
        <v>1.6339869281045753E-2</v>
      </c>
      <c r="BJ79" s="59"/>
      <c r="BK79" s="18">
        <v>2</v>
      </c>
    </row>
    <row r="80" spans="3:63" ht="15.75" x14ac:dyDescent="0.3">
      <c r="C80" s="59">
        <v>14766</v>
      </c>
      <c r="D80" s="59" t="s">
        <v>219</v>
      </c>
      <c r="E80" s="59">
        <v>-1</v>
      </c>
      <c r="F80" s="59" t="s">
        <v>2748</v>
      </c>
      <c r="G80" s="59"/>
      <c r="H80" s="72">
        <v>21</v>
      </c>
      <c r="I80" s="64" t="s">
        <v>4148</v>
      </c>
      <c r="J80" s="64">
        <v>10</v>
      </c>
      <c r="K80" s="64">
        <v>0</v>
      </c>
      <c r="L80" s="65" t="s">
        <v>3207</v>
      </c>
      <c r="M80" s="65">
        <v>3</v>
      </c>
      <c r="N80" s="65">
        <v>0</v>
      </c>
      <c r="O80" s="66" t="s">
        <v>3022</v>
      </c>
      <c r="P80" s="66">
        <v>2</v>
      </c>
      <c r="Q80" s="66">
        <v>0.2</v>
      </c>
      <c r="R80" s="64" t="s">
        <v>3024</v>
      </c>
      <c r="S80" s="64">
        <v>2</v>
      </c>
      <c r="T80" s="64">
        <v>0.2</v>
      </c>
      <c r="U80" s="65" t="s">
        <v>3204</v>
      </c>
      <c r="V80" s="65">
        <v>2</v>
      </c>
      <c r="W80" s="65">
        <v>0</v>
      </c>
      <c r="X80" s="66" t="s">
        <v>3208</v>
      </c>
      <c r="Y80" s="66">
        <v>2</v>
      </c>
      <c r="Z80" s="66">
        <v>0</v>
      </c>
      <c r="AA80" s="71" t="str">
        <f t="shared" si="22"/>
        <v>1:428,200,200,421,60,60,401,16,24,403,16,24,330,20,20,510,20,20,</v>
      </c>
      <c r="AB80" s="78" t="str">
        <f t="shared" si="40"/>
        <v>1:428,200,200,421,60,60,401,16,24,403,16,24,330,20,20,510,20,20</v>
      </c>
      <c r="AC80" t="str">
        <f t="shared" si="30"/>
        <v>经验碎片加攻速移速 {0}</v>
      </c>
      <c r="AD80" t="str">
        <f t="shared" si="31"/>
        <v>金币获取% {1}</v>
      </c>
      <c r="AE80" t="str">
        <f t="shared" si="32"/>
        <v>经验获取% {2}</v>
      </c>
      <c r="AF80" t="str">
        <f t="shared" si="33"/>
        <v>珍稀物品掉率% {3}</v>
      </c>
      <c r="AG80" t="str">
        <f t="shared" si="34"/>
        <v>受到异常时间提升 {4}</v>
      </c>
      <c r="AH80" t="str">
        <f t="shared" si="35"/>
        <v>san夜晚降低速率 {5}</v>
      </c>
      <c r="AI80" t="str">
        <f t="shared" si="23"/>
        <v xml:space="preserve">经验碎片加攻速移速 {0}%
</v>
      </c>
      <c r="AJ80" t="str">
        <f t="shared" si="24"/>
        <v xml:space="preserve">金币获取 {1}%
</v>
      </c>
      <c r="AK80" t="str">
        <f t="shared" si="25"/>
        <v xml:space="preserve">经验获取 {2}%
</v>
      </c>
      <c r="AL80" t="str">
        <f t="shared" si="26"/>
        <v xml:space="preserve">珍稀物品掉率 {3}%
</v>
      </c>
      <c r="AM80" t="str">
        <f t="shared" si="27"/>
        <v xml:space="preserve">受到异常时间提升 {4}%
</v>
      </c>
      <c r="AN80" t="str">
        <f t="shared" si="28"/>
        <v xml:space="preserve">san夜晚降低速率 {5}%
</v>
      </c>
      <c r="AO80" t="str">
        <f t="shared" si="36"/>
        <v xml:space="preserve">经验碎片加攻速移速 {0}%
金币获取 {1}%
经验获取 {2}%
珍稀物品掉率 {3}%
受到异常时间提升 {4}%
san夜晚降低速率 {5}%
</v>
      </c>
      <c r="AP80" s="6" t="str">
        <f t="shared" si="37"/>
        <v xml:space="preserve">经验碎片加攻速移速 {0}%
金币获取 {1}%
经验获取 {2}%
珍稀物品掉率 {3}%
受到异常时间提升 {4}%
san夜晚降低速率 {5}%
</v>
      </c>
      <c r="AQ80" s="80" t="s">
        <v>3375</v>
      </c>
      <c r="AR80" t="str">
        <f t="shared" si="39"/>
        <v xml:space="preserve">经验碎片加攻速移速 {0}%
金币获取 {1}%
经验获取 {2}%
珍稀物品掉率 {3}%
受到异常时间提升 {4}%
san夜晚降低速率 {5}%
</v>
      </c>
      <c r="AS80" s="81" t="str">
        <f t="shared" si="38"/>
        <v>经验碎片加攻速移速 {0}%
金币获取 {1}%
经验获取 {2}%
珍稀物品掉率 {3}%
受到异常时间提升 {4}%
san夜晚降低速率 {5}%</v>
      </c>
      <c r="BE80" s="46" t="s">
        <v>3170</v>
      </c>
      <c r="BF80" s="48" t="s">
        <v>2968</v>
      </c>
      <c r="BG80" s="53">
        <v>311</v>
      </c>
      <c r="BH80" s="59">
        <v>5</v>
      </c>
      <c r="BI80" s="111">
        <f t="shared" si="29"/>
        <v>7.1895424836601315E-2</v>
      </c>
      <c r="BJ80" s="59"/>
      <c r="BK80" s="18">
        <v>2</v>
      </c>
    </row>
    <row r="81" spans="3:63" ht="15.75" x14ac:dyDescent="0.3">
      <c r="C81" s="59">
        <v>14767</v>
      </c>
      <c r="D81" s="75" t="s">
        <v>221</v>
      </c>
      <c r="E81" s="75">
        <v>6</v>
      </c>
      <c r="F81" s="75" t="s">
        <v>2748</v>
      </c>
      <c r="G81" s="75"/>
      <c r="H81" s="72">
        <v>0</v>
      </c>
      <c r="I81" s="64"/>
      <c r="J81" s="64"/>
      <c r="K81" s="64"/>
      <c r="L81" s="65"/>
      <c r="M81" s="65"/>
      <c r="N81" s="65"/>
      <c r="O81" s="66"/>
      <c r="P81" s="66"/>
      <c r="Q81" s="66"/>
      <c r="R81" s="64"/>
      <c r="S81" s="64"/>
      <c r="T81" s="64"/>
      <c r="U81" s="65"/>
      <c r="V81" s="65"/>
      <c r="W81" s="65"/>
      <c r="X81" s="66"/>
      <c r="Y81" s="66"/>
      <c r="Z81" s="66"/>
      <c r="AA81" s="71" t="str">
        <f t="shared" si="22"/>
        <v>1:xxxxxxxxxxxxxxxxxx</v>
      </c>
      <c r="AB81" s="78" t="str">
        <f t="shared" si="40"/>
        <v/>
      </c>
      <c r="AC81" t="str">
        <f t="shared" si="30"/>
        <v>xxx</v>
      </c>
      <c r="AD81" t="str">
        <f t="shared" si="31"/>
        <v>xxx</v>
      </c>
      <c r="AE81" t="str">
        <f t="shared" si="32"/>
        <v>xxx</v>
      </c>
      <c r="AF81" t="str">
        <f t="shared" si="33"/>
        <v>xxx</v>
      </c>
      <c r="AG81" t="str">
        <f t="shared" si="34"/>
        <v>xxx</v>
      </c>
      <c r="AH81" t="str">
        <f t="shared" si="35"/>
        <v>xxx</v>
      </c>
      <c r="AI81" t="str">
        <f t="shared" si="23"/>
        <v>xxx</v>
      </c>
      <c r="AJ81" t="str">
        <f t="shared" si="24"/>
        <v>xxx</v>
      </c>
      <c r="AK81" t="str">
        <f t="shared" si="25"/>
        <v>xxx</v>
      </c>
      <c r="AL81" t="str">
        <f t="shared" si="26"/>
        <v>xxx</v>
      </c>
      <c r="AM81" t="str">
        <f t="shared" si="27"/>
        <v>xxx</v>
      </c>
      <c r="AN81" t="str">
        <f t="shared" si="28"/>
        <v>xxx</v>
      </c>
      <c r="AO81" t="str">
        <f t="shared" si="36"/>
        <v>xxxxxxxxxxxxxxxxxx</v>
      </c>
      <c r="AP81" s="6" t="str">
        <f t="shared" si="37"/>
        <v/>
      </c>
      <c r="AQ81" s="80" t="s">
        <v>3376</v>
      </c>
      <c r="AR81" t="str">
        <f t="shared" si="39"/>
        <v>生命值+{0}</v>
      </c>
      <c r="AS81" s="81" t="str">
        <f t="shared" si="38"/>
        <v>生命值+{0}</v>
      </c>
      <c r="BE81" s="46" t="s">
        <v>3007</v>
      </c>
      <c r="BF81" s="48" t="s">
        <v>2968</v>
      </c>
      <c r="BG81" s="53">
        <v>312</v>
      </c>
      <c r="BH81" s="59">
        <v>5</v>
      </c>
      <c r="BI81" s="111">
        <f t="shared" si="29"/>
        <v>1.6339869281045753E-2</v>
      </c>
      <c r="BJ81" s="59"/>
      <c r="BK81" s="18">
        <v>2</v>
      </c>
    </row>
    <row r="82" spans="3:63" ht="15.75" x14ac:dyDescent="0.3">
      <c r="C82" s="59">
        <v>14768</v>
      </c>
      <c r="D82" s="59" t="s">
        <v>222</v>
      </c>
      <c r="E82" s="59"/>
      <c r="F82" s="59" t="s">
        <v>2748</v>
      </c>
      <c r="G82" s="59"/>
      <c r="H82" s="72">
        <v>10</v>
      </c>
      <c r="I82" s="64" t="s">
        <v>2949</v>
      </c>
      <c r="J82" s="64">
        <v>4</v>
      </c>
      <c r="K82" s="64">
        <v>0.25</v>
      </c>
      <c r="L82" s="65" t="s">
        <v>3007</v>
      </c>
      <c r="M82" s="65">
        <v>2</v>
      </c>
      <c r="N82" s="65">
        <v>0</v>
      </c>
      <c r="O82" s="66" t="s">
        <v>3224</v>
      </c>
      <c r="P82" s="66">
        <v>4</v>
      </c>
      <c r="Q82" s="66">
        <v>0.25</v>
      </c>
      <c r="R82" s="64"/>
      <c r="S82" s="64"/>
      <c r="T82" s="64"/>
      <c r="U82" s="65"/>
      <c r="V82" s="65"/>
      <c r="W82" s="65"/>
      <c r="X82" s="66"/>
      <c r="Y82" s="66"/>
      <c r="Z82" s="66"/>
      <c r="AA82" s="71" t="str">
        <f t="shared" si="22"/>
        <v>1:311,15,25,312,10,10,257,30,50,xxxxxxxxx</v>
      </c>
      <c r="AB82" s="78" t="str">
        <f t="shared" si="40"/>
        <v>1:311,15,25,312,10,10,257,30,50</v>
      </c>
      <c r="AC82" t="str">
        <f t="shared" si="30"/>
        <v>闪避几率% {0}</v>
      </c>
      <c r="AD82" t="str">
        <f t="shared" si="31"/>
        <v>闪避几率上限% {1}</v>
      </c>
      <c r="AE82" t="str">
        <f t="shared" si="32"/>
        <v>暴击率增幅 {2}</v>
      </c>
      <c r="AF82" t="str">
        <f t="shared" si="33"/>
        <v>xxx</v>
      </c>
      <c r="AG82" t="str">
        <f t="shared" si="34"/>
        <v>xxx</v>
      </c>
      <c r="AH82" t="str">
        <f t="shared" si="35"/>
        <v>xxx</v>
      </c>
      <c r="AI82" t="str">
        <f t="shared" si="23"/>
        <v xml:space="preserve">闪避几率 {0}%
</v>
      </c>
      <c r="AJ82" t="str">
        <f t="shared" si="24"/>
        <v xml:space="preserve">闪避几率上限 {1}%
</v>
      </c>
      <c r="AK82" t="str">
        <f t="shared" si="25"/>
        <v xml:space="preserve">暴击率增幅 {2}%
</v>
      </c>
      <c r="AL82" t="str">
        <f t="shared" si="26"/>
        <v>xxx</v>
      </c>
      <c r="AM82" t="str">
        <f t="shared" si="27"/>
        <v>xxx</v>
      </c>
      <c r="AN82" t="str">
        <f t="shared" si="28"/>
        <v>xxx</v>
      </c>
      <c r="AO82" t="str">
        <f t="shared" si="36"/>
        <v>闪避几率 {0}%
闪避几率上限 {1}%
暴击率增幅 {2}%
xxxxxxxxx</v>
      </c>
      <c r="AP82" s="6" t="str">
        <f t="shared" si="37"/>
        <v xml:space="preserve">闪避几率 {0}%
闪避几率上限 {1}%
暴击率增幅 {2}%
</v>
      </c>
      <c r="AQ82" s="80" t="s">
        <v>3377</v>
      </c>
      <c r="AR82" t="str">
        <f t="shared" si="39"/>
        <v xml:space="preserve">闪避几率 {0}%
闪避几率上限 {1}%
暴击率增幅 {2}%
</v>
      </c>
      <c r="AS82" s="81" t="str">
        <f t="shared" si="38"/>
        <v>闪避几率 {0}%
闪避几率上限 {1}%
暴击率增幅 {2}%</v>
      </c>
      <c r="BE82" s="46" t="s">
        <v>3221</v>
      </c>
      <c r="BF82" s="48" t="s">
        <v>2968</v>
      </c>
      <c r="BG82" s="53">
        <v>313</v>
      </c>
      <c r="BH82" s="59">
        <v>10</v>
      </c>
      <c r="BI82" s="111">
        <f t="shared" si="29"/>
        <v>2.2875816993464051E-2</v>
      </c>
      <c r="BJ82" s="59"/>
      <c r="BK82" s="18">
        <v>2</v>
      </c>
    </row>
    <row r="83" spans="3:63" ht="15.75" x14ac:dyDescent="0.3">
      <c r="C83" s="59">
        <v>14769</v>
      </c>
      <c r="D83" s="59" t="s">
        <v>224</v>
      </c>
      <c r="E83" s="59">
        <v>1</v>
      </c>
      <c r="F83" s="59" t="s">
        <v>2748</v>
      </c>
      <c r="G83" s="59"/>
      <c r="H83" s="72">
        <v>12</v>
      </c>
      <c r="I83" s="64" t="s">
        <v>3219</v>
      </c>
      <c r="J83" s="64">
        <v>6</v>
      </c>
      <c r="K83" s="64">
        <v>0.25</v>
      </c>
      <c r="L83" s="65" t="s">
        <v>3030</v>
      </c>
      <c r="M83" s="65">
        <v>4</v>
      </c>
      <c r="N83" s="65">
        <v>0.25</v>
      </c>
      <c r="O83" s="66" t="s">
        <v>3240</v>
      </c>
      <c r="P83" s="66">
        <v>2</v>
      </c>
      <c r="Q83" s="66">
        <v>0</v>
      </c>
      <c r="R83" s="64"/>
      <c r="S83" s="64"/>
      <c r="T83" s="64"/>
      <c r="U83" s="65"/>
      <c r="V83" s="65"/>
      <c r="W83" s="65"/>
      <c r="X83" s="66"/>
      <c r="Y83" s="66"/>
      <c r="Z83" s="66"/>
      <c r="AA83" s="71" t="str">
        <f t="shared" si="22"/>
        <v>1:323,45,75,410,15,25,434,20,20,xxxxxxxxx</v>
      </c>
      <c r="AB83" s="78" t="str">
        <f t="shared" si="40"/>
        <v>1:323,45,75,410,15,25,434,20,20</v>
      </c>
      <c r="AC83" t="str">
        <f t="shared" si="30"/>
        <v>护盾最大值 {0}</v>
      </c>
      <c r="AD83" t="str">
        <f t="shared" si="31"/>
        <v>冲刺冷却缩减% {1}</v>
      </c>
      <c r="AE83" t="str">
        <f t="shared" si="32"/>
        <v>子弹技能范围% {2}</v>
      </c>
      <c r="AF83" t="str">
        <f t="shared" si="33"/>
        <v>xxx</v>
      </c>
      <c r="AG83" t="str">
        <f t="shared" si="34"/>
        <v>xxx</v>
      </c>
      <c r="AH83" t="str">
        <f t="shared" si="35"/>
        <v>xxx</v>
      </c>
      <c r="AI83" t="str">
        <f t="shared" si="23"/>
        <v xml:space="preserve">护盾最大值 {0}
</v>
      </c>
      <c r="AJ83" t="str">
        <f t="shared" si="24"/>
        <v xml:space="preserve">冲刺冷却缩减 {1}%
</v>
      </c>
      <c r="AK83" t="str">
        <f t="shared" si="25"/>
        <v xml:space="preserve">子弹技能范围 {2}%
</v>
      </c>
      <c r="AL83" t="str">
        <f t="shared" si="26"/>
        <v>xxx</v>
      </c>
      <c r="AM83" t="str">
        <f t="shared" si="27"/>
        <v>xxx</v>
      </c>
      <c r="AN83" t="str">
        <f t="shared" si="28"/>
        <v>xxx</v>
      </c>
      <c r="AO83" t="str">
        <f t="shared" si="36"/>
        <v>护盾最大值 {0}
冲刺冷却缩减 {1}%
子弹技能范围 {2}%
xxxxxxxxx</v>
      </c>
      <c r="AP83" s="6" t="str">
        <f t="shared" si="37"/>
        <v xml:space="preserve">护盾最大值 {0}
冲刺冷却缩减 {1}%
子弹技能范围 {2}%
</v>
      </c>
      <c r="AQ83" s="80" t="s">
        <v>3378</v>
      </c>
      <c r="AR83" t="str">
        <f t="shared" si="39"/>
        <v xml:space="preserve">护盾最大值 {0}
冲刺冷却缩减 {1}%
子弹技能范围 {2}%
</v>
      </c>
      <c r="AS83" s="81" t="str">
        <f t="shared" si="38"/>
        <v>护盾最大值 {0}
冲刺冷却缩减 {1}%
子弹技能范围 {2}%</v>
      </c>
      <c r="BE83" s="46" t="s">
        <v>3008</v>
      </c>
      <c r="BF83" s="48" t="s">
        <v>2968</v>
      </c>
      <c r="BG83" s="53">
        <v>314</v>
      </c>
      <c r="BH83" s="59">
        <v>5</v>
      </c>
      <c r="BI83" s="111">
        <f t="shared" si="29"/>
        <v>0</v>
      </c>
      <c r="BJ83" s="59"/>
      <c r="BK83" s="18">
        <v>2</v>
      </c>
    </row>
    <row r="84" spans="3:63" ht="15.75" x14ac:dyDescent="0.3">
      <c r="C84" s="59">
        <v>14770</v>
      </c>
      <c r="D84" s="59" t="s">
        <v>225</v>
      </c>
      <c r="E84" s="59"/>
      <c r="F84" s="59" t="s">
        <v>2748</v>
      </c>
      <c r="G84" s="59"/>
      <c r="H84" s="72">
        <v>12</v>
      </c>
      <c r="I84" s="64" t="s">
        <v>4142</v>
      </c>
      <c r="J84" s="64">
        <v>8</v>
      </c>
      <c r="K84" s="64">
        <v>0.5</v>
      </c>
      <c r="L84" s="65" t="s">
        <v>2940</v>
      </c>
      <c r="M84" s="65">
        <v>2</v>
      </c>
      <c r="N84" s="65">
        <v>0.25</v>
      </c>
      <c r="O84" s="66" t="s">
        <v>2933</v>
      </c>
      <c r="P84" s="66">
        <v>2</v>
      </c>
      <c r="Q84" s="66">
        <v>0.25</v>
      </c>
      <c r="R84" s="64" t="s">
        <v>2949</v>
      </c>
      <c r="S84" s="64">
        <v>2</v>
      </c>
      <c r="T84" s="64">
        <v>0</v>
      </c>
      <c r="U84" s="65" t="s">
        <v>2931</v>
      </c>
      <c r="V84" s="65">
        <v>-2</v>
      </c>
      <c r="W84" s="65">
        <v>0</v>
      </c>
      <c r="X84" s="66"/>
      <c r="Y84" s="66"/>
      <c r="Z84" s="66"/>
      <c r="AA84" s="71" t="str">
        <f t="shared" si="22"/>
        <v>1:405,1,3,412,15,25,217,15,25,311,10,10,211,-20,-20,xxx</v>
      </c>
      <c r="AB84" s="78" t="str">
        <f t="shared" si="40"/>
        <v>1:405,1,3,412,15,25,217,15,25,311,10,10,211,-20,-20</v>
      </c>
      <c r="AC84" t="str">
        <f t="shared" si="30"/>
        <v>子弹穿刺 {0}</v>
      </c>
      <c r="AD84" t="str">
        <f t="shared" si="31"/>
        <v>移动速度% {1}</v>
      </c>
      <c r="AE84" t="str">
        <f t="shared" si="32"/>
        <v>攻击速度% {2}</v>
      </c>
      <c r="AF84" t="str">
        <f t="shared" si="33"/>
        <v>闪避几率% {3}</v>
      </c>
      <c r="AG84" t="str">
        <f t="shared" si="34"/>
        <v>xxx</v>
      </c>
      <c r="AH84" t="str">
        <f t="shared" si="35"/>
        <v>xxx</v>
      </c>
      <c r="AI84" t="str">
        <f t="shared" si="23"/>
        <v xml:space="preserve">子弹穿刺 {0}
</v>
      </c>
      <c r="AJ84" t="str">
        <f t="shared" si="24"/>
        <v xml:space="preserve">移动速度 {1}%
</v>
      </c>
      <c r="AK84" t="str">
        <f t="shared" si="25"/>
        <v xml:space="preserve">攻击速度 {2}%
</v>
      </c>
      <c r="AL84" t="str">
        <f t="shared" si="26"/>
        <v xml:space="preserve">闪避几率 {3}%
</v>
      </c>
      <c r="AM84" t="str">
        <f t="shared" si="27"/>
        <v xml:space="preserve">xxx%
</v>
      </c>
      <c r="AN84" t="str">
        <f t="shared" si="28"/>
        <v>xxx</v>
      </c>
      <c r="AO84" t="str">
        <f t="shared" si="36"/>
        <v>子弹穿刺 {0}
移动速度 {1}%
攻击速度 {2}%
闪避几率 {3}%
xxx%
xxx</v>
      </c>
      <c r="AP84" s="6" t="str">
        <f t="shared" si="37"/>
        <v xml:space="preserve">子弹穿刺 {0}
移动速度 {1}%
攻击速度 {2}%
闪避几率 {3}%
%
</v>
      </c>
      <c r="AQ84" s="80" t="s">
        <v>3379</v>
      </c>
      <c r="AR84" t="str">
        <f t="shared" si="39"/>
        <v xml:space="preserve">子弹穿刺 {0}
移动速度 {1}%
攻击速度 {2}%
闪避几率 {3}%
%
</v>
      </c>
      <c r="AS84" s="81" t="str">
        <f t="shared" si="38"/>
        <v>子弹穿刺 {0}
移动速度 {1}%
攻击速度 {2}%
闪避几率 {3}%
%</v>
      </c>
      <c r="BE84" s="46" t="s">
        <v>2947</v>
      </c>
      <c r="BF84" s="48" t="s">
        <v>2968</v>
      </c>
      <c r="BG84" s="53">
        <v>315</v>
      </c>
      <c r="BH84" s="59">
        <v>5</v>
      </c>
      <c r="BI84" s="111">
        <f t="shared" si="29"/>
        <v>5.5555555555555559E-2</v>
      </c>
      <c r="BJ84" s="59"/>
      <c r="BK84" s="18">
        <v>2</v>
      </c>
    </row>
    <row r="85" spans="3:63" ht="15.75" x14ac:dyDescent="0.3">
      <c r="C85" s="59">
        <v>14771</v>
      </c>
      <c r="D85" s="75" t="s">
        <v>227</v>
      </c>
      <c r="E85" s="75"/>
      <c r="F85" s="75" t="s">
        <v>2748</v>
      </c>
      <c r="G85" s="75"/>
      <c r="H85" s="72">
        <v>0</v>
      </c>
      <c r="I85" s="64"/>
      <c r="J85" s="64"/>
      <c r="K85" s="64"/>
      <c r="L85" s="65"/>
      <c r="M85" s="65"/>
      <c r="N85" s="65"/>
      <c r="O85" s="66"/>
      <c r="P85" s="66"/>
      <c r="Q85" s="66"/>
      <c r="R85" s="64"/>
      <c r="S85" s="64"/>
      <c r="T85" s="64"/>
      <c r="U85" s="65"/>
      <c r="V85" s="65"/>
      <c r="W85" s="65"/>
      <c r="X85" s="66"/>
      <c r="Y85" s="66"/>
      <c r="Z85" s="66"/>
      <c r="AA85" s="71" t="str">
        <f t="shared" si="22"/>
        <v>1:xxxxxxxxxxxxxxxxxx</v>
      </c>
      <c r="AB85" s="78" t="str">
        <f t="shared" si="40"/>
        <v/>
      </c>
      <c r="AC85" t="str">
        <f t="shared" si="30"/>
        <v>xxx</v>
      </c>
      <c r="AD85" t="str">
        <f t="shared" si="31"/>
        <v>xxx</v>
      </c>
      <c r="AE85" t="str">
        <f t="shared" si="32"/>
        <v>xxx</v>
      </c>
      <c r="AF85" t="str">
        <f t="shared" si="33"/>
        <v>xxx</v>
      </c>
      <c r="AG85" t="str">
        <f t="shared" si="34"/>
        <v>xxx</v>
      </c>
      <c r="AH85" t="str">
        <f t="shared" si="35"/>
        <v>xxx</v>
      </c>
      <c r="AI85" t="str">
        <f t="shared" si="23"/>
        <v>xxx</v>
      </c>
      <c r="AJ85" t="str">
        <f t="shared" si="24"/>
        <v>xxx</v>
      </c>
      <c r="AK85" t="str">
        <f t="shared" si="25"/>
        <v>xxx</v>
      </c>
      <c r="AL85" t="str">
        <f t="shared" si="26"/>
        <v>xxx</v>
      </c>
      <c r="AM85" t="str">
        <f t="shared" si="27"/>
        <v>xxx</v>
      </c>
      <c r="AN85" t="str">
        <f t="shared" si="28"/>
        <v>xxx</v>
      </c>
      <c r="AO85" t="str">
        <f t="shared" si="36"/>
        <v>xxxxxxxxxxxxxxxxxx</v>
      </c>
      <c r="AP85" s="6" t="str">
        <f t="shared" si="37"/>
        <v/>
      </c>
      <c r="AQ85" s="80" t="s">
        <v>3380</v>
      </c>
      <c r="AR85" t="str">
        <f t="shared" si="39"/>
        <v>护甲+{0}%</v>
      </c>
      <c r="AS85" s="81" t="str">
        <f t="shared" si="38"/>
        <v>护甲+{0}%</v>
      </c>
      <c r="BE85" s="46" t="s">
        <v>3218</v>
      </c>
      <c r="BF85" s="48" t="s">
        <v>2968</v>
      </c>
      <c r="BG85" s="53">
        <v>316</v>
      </c>
      <c r="BH85" s="59">
        <v>10</v>
      </c>
      <c r="BI85" s="111">
        <f t="shared" si="29"/>
        <v>3.5947712418300658E-2</v>
      </c>
      <c r="BJ85" s="59"/>
      <c r="BK85" s="18">
        <v>2</v>
      </c>
    </row>
    <row r="86" spans="3:63" ht="15.75" x14ac:dyDescent="0.3">
      <c r="C86" s="59">
        <v>14772</v>
      </c>
      <c r="D86" s="59" t="s">
        <v>229</v>
      </c>
      <c r="E86" s="59"/>
      <c r="F86" s="59" t="s">
        <v>2748</v>
      </c>
      <c r="G86" s="59"/>
      <c r="H86" s="72">
        <v>12.5</v>
      </c>
      <c r="I86" s="64" t="s">
        <v>2944</v>
      </c>
      <c r="J86" s="64">
        <v>7.5</v>
      </c>
      <c r="K86" s="64">
        <v>0</v>
      </c>
      <c r="L86" s="65" t="s">
        <v>3173</v>
      </c>
      <c r="M86" s="65">
        <v>5</v>
      </c>
      <c r="N86" s="65">
        <v>0.2</v>
      </c>
      <c r="O86" s="66"/>
      <c r="P86" s="66"/>
      <c r="Q86" s="66"/>
      <c r="R86" s="64"/>
      <c r="S86" s="64"/>
      <c r="T86" s="64"/>
      <c r="U86" s="65"/>
      <c r="V86" s="65"/>
      <c r="W86" s="65"/>
      <c r="X86" s="66"/>
      <c r="Y86" s="66"/>
      <c r="Z86" s="66"/>
      <c r="AA86" s="71" t="str">
        <f t="shared" si="22"/>
        <v>1:317,75,75,230,40,60,xxxxxxxxxxxx</v>
      </c>
      <c r="AB86" s="78" t="str">
        <f t="shared" si="40"/>
        <v>1:317,75,75,230,40,60</v>
      </c>
      <c r="AC86" t="str">
        <f t="shared" si="30"/>
        <v>火焰抗性% {0}</v>
      </c>
      <c r="AD86" t="str">
        <f t="shared" si="31"/>
        <v>附加火焰伤害 {1}</v>
      </c>
      <c r="AE86" t="str">
        <f t="shared" si="32"/>
        <v>xxx</v>
      </c>
      <c r="AF86" t="str">
        <f t="shared" si="33"/>
        <v>xxx</v>
      </c>
      <c r="AG86" t="str">
        <f t="shared" si="34"/>
        <v>xxx</v>
      </c>
      <c r="AH86" t="str">
        <f t="shared" si="35"/>
        <v>xxx</v>
      </c>
      <c r="AI86" t="str">
        <f t="shared" si="23"/>
        <v xml:space="preserve">火焰抗性 {0}%
</v>
      </c>
      <c r="AJ86" t="str">
        <f t="shared" si="24"/>
        <v xml:space="preserve">附加火焰伤害 {1}%
</v>
      </c>
      <c r="AK86" t="str">
        <f t="shared" si="25"/>
        <v>xxx</v>
      </c>
      <c r="AL86" t="str">
        <f t="shared" si="26"/>
        <v>xxx</v>
      </c>
      <c r="AM86" t="str">
        <f t="shared" si="27"/>
        <v>xxx</v>
      </c>
      <c r="AN86" t="str">
        <f t="shared" si="28"/>
        <v>xxx</v>
      </c>
      <c r="AO86" t="str">
        <f t="shared" si="36"/>
        <v>火焰抗性 {0}%
附加火焰伤害 {1}%
xxxxxxxxxxxx</v>
      </c>
      <c r="AP86" s="6" t="str">
        <f t="shared" si="37"/>
        <v xml:space="preserve">火焰抗性 {0}%
附加火焰伤害 {1}%
</v>
      </c>
      <c r="AQ86" s="80" t="s">
        <v>3381</v>
      </c>
      <c r="AR86" t="str">
        <f t="shared" si="39"/>
        <v xml:space="preserve">火焰抗性 {0}%
附加火焰伤害 {1}%
</v>
      </c>
      <c r="AS86" s="81" t="str">
        <f t="shared" si="38"/>
        <v>火焰抗性 {0}%
附加火焰伤害 {1}%</v>
      </c>
      <c r="BE86" s="46" t="s">
        <v>2944</v>
      </c>
      <c r="BF86" s="48" t="s">
        <v>2968</v>
      </c>
      <c r="BG86" s="53">
        <v>317</v>
      </c>
      <c r="BH86" s="59">
        <v>10</v>
      </c>
      <c r="BI86" s="111">
        <f t="shared" si="29"/>
        <v>3.9215686274509803E-2</v>
      </c>
      <c r="BJ86" s="59"/>
      <c r="BK86" s="18">
        <v>2</v>
      </c>
    </row>
    <row r="87" spans="3:63" ht="15.75" x14ac:dyDescent="0.3">
      <c r="C87" s="59">
        <v>14773</v>
      </c>
      <c r="D87" s="59" t="s">
        <v>4149</v>
      </c>
      <c r="E87" s="59">
        <v>2</v>
      </c>
      <c r="F87" s="59" t="s">
        <v>2748</v>
      </c>
      <c r="G87" s="59"/>
      <c r="H87" s="72">
        <v>12.5</v>
      </c>
      <c r="I87" s="64" t="s">
        <v>2966</v>
      </c>
      <c r="J87" s="64">
        <v>6</v>
      </c>
      <c r="K87" s="64">
        <v>0.25</v>
      </c>
      <c r="L87" s="65" t="s">
        <v>4145</v>
      </c>
      <c r="M87" s="65">
        <v>2</v>
      </c>
      <c r="N87" s="65">
        <v>0</v>
      </c>
      <c r="O87" s="66" t="s">
        <v>2941</v>
      </c>
      <c r="P87" s="66">
        <v>1</v>
      </c>
      <c r="Q87" s="66">
        <v>0.5</v>
      </c>
      <c r="R87" s="64" t="s">
        <v>2929</v>
      </c>
      <c r="S87" s="64">
        <v>1.5</v>
      </c>
      <c r="T87" s="64">
        <v>0.2</v>
      </c>
      <c r="U87" s="65" t="s">
        <v>2942</v>
      </c>
      <c r="V87" s="65">
        <v>1</v>
      </c>
      <c r="W87" s="65">
        <v>0.5</v>
      </c>
      <c r="X87" s="66" t="s">
        <v>3209</v>
      </c>
      <c r="Y87" s="66">
        <v>1</v>
      </c>
      <c r="Z87" s="66">
        <v>0</v>
      </c>
      <c r="AA87" s="71" t="str">
        <f t="shared" si="22"/>
        <v>1:104,45,75,516,20,20,101,5,15,103,12,18,102,5,15,432,10,10,</v>
      </c>
      <c r="AB87" s="78" t="str">
        <f t="shared" si="40"/>
        <v>1:104,45,75,516,20,20,101,5,15,103,12,18,102,5,15,432,10,10</v>
      </c>
      <c r="AC87" t="str">
        <f t="shared" si="30"/>
        <v>幸运 {0}</v>
      </c>
      <c r="AD87" t="str">
        <f t="shared" si="31"/>
        <v>san值回复速度 {1}</v>
      </c>
      <c r="AE87" t="str">
        <f t="shared" si="32"/>
        <v>力量 {2}</v>
      </c>
      <c r="AF87" t="str">
        <f t="shared" si="33"/>
        <v>智力 {3}</v>
      </c>
      <c r="AG87" t="str">
        <f t="shared" si="34"/>
        <v>敏捷 {4}</v>
      </c>
      <c r="AH87" t="str">
        <f t="shared" si="35"/>
        <v>区域技能范围%  {5}</v>
      </c>
      <c r="AI87" t="str">
        <f t="shared" si="23"/>
        <v xml:space="preserve">幸运 {0}
</v>
      </c>
      <c r="AJ87" t="str">
        <f t="shared" si="24"/>
        <v xml:space="preserve">san值回复速度 {1}%
</v>
      </c>
      <c r="AK87" t="str">
        <f t="shared" si="25"/>
        <v xml:space="preserve">力量 {2}
</v>
      </c>
      <c r="AL87" t="str">
        <f t="shared" si="26"/>
        <v xml:space="preserve">智力 {3}
</v>
      </c>
      <c r="AM87" t="str">
        <f t="shared" si="27"/>
        <v xml:space="preserve">敏捷 {4}
</v>
      </c>
      <c r="AN87" t="str">
        <f t="shared" si="28"/>
        <v xml:space="preserve">区域技能范围  {5}%
</v>
      </c>
      <c r="AO87" t="str">
        <f t="shared" si="36"/>
        <v xml:space="preserve">幸运 {0}
san值回复速度 {1}%
力量 {2}
智力 {3}
敏捷 {4}
区域技能范围  {5}%
</v>
      </c>
      <c r="AP87" s="6" t="str">
        <f t="shared" si="37"/>
        <v xml:space="preserve">幸运 {0}
san值回复速度 {1}%
力量 {2}
智力 {3}
敏捷 {4}
区域技能范围  {5}%
</v>
      </c>
      <c r="AQ87" s="80" t="s">
        <v>3382</v>
      </c>
      <c r="AR87" t="str">
        <f t="shared" si="39"/>
        <v xml:space="preserve">幸运 {0}
san值回复速度 {1}%
力量 {2}
智力 {3}
敏捷 {4}
区域技能范围  {5}%
</v>
      </c>
      <c r="AS87" s="81" t="str">
        <f t="shared" si="38"/>
        <v>幸运 {0}
san值回复速度 {1}%
力量 {2}
智力 {3}
敏捷 {4}
区域技能范围  {5}%</v>
      </c>
      <c r="BE87" s="46" t="s">
        <v>3009</v>
      </c>
      <c r="BF87" s="48" t="s">
        <v>2968</v>
      </c>
      <c r="BG87" s="53">
        <v>318</v>
      </c>
      <c r="BH87" s="59">
        <v>10</v>
      </c>
      <c r="BI87" s="111">
        <f t="shared" si="29"/>
        <v>1.6339869281045753E-2</v>
      </c>
      <c r="BJ87" s="59"/>
      <c r="BK87" s="18">
        <v>2</v>
      </c>
    </row>
    <row r="88" spans="3:63" ht="15.75" x14ac:dyDescent="0.3">
      <c r="C88" s="59">
        <v>14774</v>
      </c>
      <c r="D88" s="59" t="s">
        <v>232</v>
      </c>
      <c r="E88" s="59">
        <v>3</v>
      </c>
      <c r="F88" s="59" t="s">
        <v>2748</v>
      </c>
      <c r="G88" s="59"/>
      <c r="H88" s="72">
        <v>10</v>
      </c>
      <c r="I88" s="64" t="s">
        <v>2941</v>
      </c>
      <c r="J88" s="64">
        <v>6</v>
      </c>
      <c r="K88" s="64">
        <v>0.25</v>
      </c>
      <c r="L88" s="65" t="s">
        <v>3250</v>
      </c>
      <c r="M88" s="65">
        <v>1</v>
      </c>
      <c r="N88" s="65">
        <v>0</v>
      </c>
      <c r="O88" s="66" t="s">
        <v>3239</v>
      </c>
      <c r="P88" s="66">
        <v>3</v>
      </c>
      <c r="Q88" s="66">
        <v>0.2</v>
      </c>
      <c r="R88" s="64"/>
      <c r="S88" s="64"/>
      <c r="T88" s="64"/>
      <c r="U88" s="65"/>
      <c r="V88" s="65"/>
      <c r="W88" s="65"/>
      <c r="X88" s="66"/>
      <c r="Y88" s="66"/>
      <c r="Z88" s="66"/>
      <c r="AA88" s="71" t="str">
        <f t="shared" si="22"/>
        <v>1:101,45,75,303,0.5,0.5,505,12,18,xxxxxxxxx</v>
      </c>
      <c r="AB88" s="78" t="str">
        <f t="shared" si="40"/>
        <v>1:101,45,75,303,0.5,0.5,505,12,18</v>
      </c>
      <c r="AC88" t="str">
        <f t="shared" si="30"/>
        <v>力量 {0}</v>
      </c>
      <c r="AD88" t="str">
        <f t="shared" si="31"/>
        <v>生命回复 {1}</v>
      </c>
      <c r="AE88" t="str">
        <f t="shared" si="32"/>
        <v>双重施法近战 {2}</v>
      </c>
      <c r="AF88" t="str">
        <f t="shared" si="33"/>
        <v>xxx</v>
      </c>
      <c r="AG88" t="str">
        <f t="shared" si="34"/>
        <v>xxx</v>
      </c>
      <c r="AH88" t="str">
        <f t="shared" si="35"/>
        <v>xxx</v>
      </c>
      <c r="AI88" t="str">
        <f t="shared" si="23"/>
        <v xml:space="preserve">力量 {0}
</v>
      </c>
      <c r="AJ88" t="str">
        <f t="shared" si="24"/>
        <v xml:space="preserve">生命回复 {1}
</v>
      </c>
      <c r="AK88" t="str">
        <f t="shared" si="25"/>
        <v xml:space="preserve">双重施法近战 {2}%
</v>
      </c>
      <c r="AL88" t="str">
        <f t="shared" si="26"/>
        <v>xxx</v>
      </c>
      <c r="AM88" t="str">
        <f t="shared" si="27"/>
        <v>xxx</v>
      </c>
      <c r="AN88" t="str">
        <f t="shared" si="28"/>
        <v>xxx</v>
      </c>
      <c r="AO88" t="str">
        <f t="shared" si="36"/>
        <v>力量 {0}
生命回复 {1}
双重施法近战 {2}%
xxxxxxxxx</v>
      </c>
      <c r="AP88" s="6" t="str">
        <f t="shared" si="37"/>
        <v xml:space="preserve">力量 {0}
生命回复 {1}
双重施法近战 {2}%
</v>
      </c>
      <c r="AQ88" s="80" t="s">
        <v>3383</v>
      </c>
      <c r="AR88" t="str">
        <f t="shared" si="39"/>
        <v xml:space="preserve">力量 {0}
生命回复 {1}
双重施法近战 {2}%
</v>
      </c>
      <c r="AS88" s="81" t="str">
        <f t="shared" si="38"/>
        <v>力量 {0}
生命回复 {1}
双重施法近战 {2}%</v>
      </c>
      <c r="BE88" s="46" t="s">
        <v>3010</v>
      </c>
      <c r="BF88" s="48" t="s">
        <v>2968</v>
      </c>
      <c r="BG88" s="53">
        <v>319</v>
      </c>
      <c r="BH88" s="59">
        <v>10</v>
      </c>
      <c r="BI88" s="111">
        <f t="shared" si="29"/>
        <v>1.9607843137254902E-2</v>
      </c>
      <c r="BJ88" s="59"/>
      <c r="BK88" s="18">
        <v>2</v>
      </c>
    </row>
    <row r="89" spans="3:63" ht="15.75" x14ac:dyDescent="0.3">
      <c r="C89" s="59">
        <v>14775</v>
      </c>
      <c r="D89" s="59" t="s">
        <v>234</v>
      </c>
      <c r="E89" s="59">
        <v>1</v>
      </c>
      <c r="F89" s="59" t="s">
        <v>2748</v>
      </c>
      <c r="G89" s="59"/>
      <c r="H89" s="72">
        <v>12</v>
      </c>
      <c r="I89" s="64" t="s">
        <v>3224</v>
      </c>
      <c r="J89" s="64">
        <v>8</v>
      </c>
      <c r="K89" s="64">
        <v>0.25</v>
      </c>
      <c r="L89" s="65" t="s">
        <v>2959</v>
      </c>
      <c r="M89" s="65">
        <v>2</v>
      </c>
      <c r="N89" s="65">
        <v>0.25</v>
      </c>
      <c r="O89" s="66" t="s">
        <v>2946</v>
      </c>
      <c r="P89" s="66">
        <v>2</v>
      </c>
      <c r="Q89" s="66">
        <v>0.25</v>
      </c>
      <c r="R89" s="64"/>
      <c r="S89" s="64"/>
      <c r="T89" s="64"/>
      <c r="U89" s="65"/>
      <c r="V89" s="65"/>
      <c r="W89" s="65"/>
      <c r="X89" s="66"/>
      <c r="Y89" s="66"/>
      <c r="Z89" s="66"/>
      <c r="AA89" s="71" t="str">
        <f t="shared" si="22"/>
        <v>1:257,60,100,313,15,25,306,15,25,xxxxxxxxx</v>
      </c>
      <c r="AB89" s="78" t="str">
        <f t="shared" si="40"/>
        <v>1:257,60,100,313,15,25,306,15,25</v>
      </c>
      <c r="AC89" t="str">
        <f t="shared" si="30"/>
        <v>暴击率增幅 {0}</v>
      </c>
      <c r="AD89" t="str">
        <f t="shared" si="31"/>
        <v>格挡几率% {1}</v>
      </c>
      <c r="AE89" t="str">
        <f t="shared" si="32"/>
        <v>护甲值% {2}</v>
      </c>
      <c r="AF89" t="str">
        <f t="shared" si="33"/>
        <v>xxx</v>
      </c>
      <c r="AG89" t="str">
        <f t="shared" si="34"/>
        <v>xxx</v>
      </c>
      <c r="AH89" t="str">
        <f t="shared" si="35"/>
        <v>xxx</v>
      </c>
      <c r="AI89" t="str">
        <f t="shared" si="23"/>
        <v xml:space="preserve">暴击率增幅 {0}%
</v>
      </c>
      <c r="AJ89" t="str">
        <f t="shared" si="24"/>
        <v xml:space="preserve">格挡几率 {1}%
</v>
      </c>
      <c r="AK89" t="str">
        <f t="shared" si="25"/>
        <v xml:space="preserve">护甲值 {2}%
</v>
      </c>
      <c r="AL89" t="str">
        <f t="shared" si="26"/>
        <v>xxx</v>
      </c>
      <c r="AM89" t="str">
        <f t="shared" si="27"/>
        <v>xxx</v>
      </c>
      <c r="AN89" t="str">
        <f t="shared" si="28"/>
        <v>xxx</v>
      </c>
      <c r="AO89" t="str">
        <f t="shared" si="36"/>
        <v>暴击率增幅 {0}%
格挡几率 {1}%
护甲值 {2}%
xxxxxxxxx</v>
      </c>
      <c r="AP89" s="6" t="str">
        <f t="shared" si="37"/>
        <v xml:space="preserve">暴击率增幅 {0}%
格挡几率 {1}%
护甲值 {2}%
</v>
      </c>
      <c r="AQ89" s="80" t="s">
        <v>3384</v>
      </c>
      <c r="AR89" t="str">
        <f t="shared" si="39"/>
        <v xml:space="preserve">暴击率增幅 {0}%
格挡几率 {1}%
护甲值 {2}%
</v>
      </c>
      <c r="AS89" s="81" t="str">
        <f t="shared" si="38"/>
        <v>暴击率增幅 {0}%
格挡几率 {1}%
护甲值 {2}%</v>
      </c>
      <c r="BE89" s="46" t="s">
        <v>3011</v>
      </c>
      <c r="BF89" s="48" t="s">
        <v>2968</v>
      </c>
      <c r="BG89" s="53">
        <v>320</v>
      </c>
      <c r="BH89" s="59">
        <v>5</v>
      </c>
      <c r="BI89" s="111">
        <f t="shared" si="29"/>
        <v>1.9607843137254902E-2</v>
      </c>
      <c r="BJ89" s="59"/>
      <c r="BK89" s="18">
        <v>2</v>
      </c>
    </row>
    <row r="90" spans="3:63" ht="15.75" x14ac:dyDescent="0.3">
      <c r="C90" s="59">
        <v>14776</v>
      </c>
      <c r="D90" s="59" t="s">
        <v>236</v>
      </c>
      <c r="E90" s="59">
        <v>1</v>
      </c>
      <c r="F90" s="59" t="s">
        <v>2748</v>
      </c>
      <c r="G90" s="59"/>
      <c r="H90" s="72">
        <v>21</v>
      </c>
      <c r="I90" s="64" t="s">
        <v>2958</v>
      </c>
      <c r="J90" s="64">
        <v>4</v>
      </c>
      <c r="K90" s="64">
        <v>0.25</v>
      </c>
      <c r="L90" s="65" t="s">
        <v>4146</v>
      </c>
      <c r="M90" s="65">
        <v>5</v>
      </c>
      <c r="N90" s="65">
        <v>0</v>
      </c>
      <c r="O90" s="66" t="s">
        <v>2930</v>
      </c>
      <c r="P90" s="66">
        <v>4</v>
      </c>
      <c r="Q90" s="66">
        <v>0.25</v>
      </c>
      <c r="R90" s="64" t="s">
        <v>3204</v>
      </c>
      <c r="S90" s="64">
        <v>3</v>
      </c>
      <c r="T90" s="64">
        <v>0</v>
      </c>
      <c r="U90" s="65" t="s">
        <v>3227</v>
      </c>
      <c r="V90" s="65">
        <v>5</v>
      </c>
      <c r="W90" s="65">
        <v>0</v>
      </c>
      <c r="X90" s="66"/>
      <c r="Y90" s="66"/>
      <c r="Z90" s="66"/>
      <c r="AA90" s="71" t="str">
        <f t="shared" si="22"/>
        <v>1:321,15,25,514,25,25,202,30,50,330,30,30,426,1,1,xxx</v>
      </c>
      <c r="AB90" s="78" t="str">
        <f t="shared" si="40"/>
        <v>1:321,15,25,514,25,25,202,30,50,330,30,30,426,1,1</v>
      </c>
      <c r="AC90" t="str">
        <f t="shared" si="30"/>
        <v>所有伤害减免% {0}</v>
      </c>
      <c r="AD90" t="str">
        <f t="shared" si="31"/>
        <v>san值最大值 {1}</v>
      </c>
      <c r="AE90" t="str">
        <f t="shared" si="32"/>
        <v>所有伤害增加% {2}</v>
      </c>
      <c r="AF90" t="str">
        <f t="shared" si="33"/>
        <v>受到异常时间提升 {3}</v>
      </c>
      <c r="AG90" t="str">
        <f t="shared" si="34"/>
        <v>复活 {4}</v>
      </c>
      <c r="AH90" t="str">
        <f t="shared" si="35"/>
        <v>xxx</v>
      </c>
      <c r="AI90" t="str">
        <f t="shared" si="23"/>
        <v xml:space="preserve">所有伤害减免 {0}%
</v>
      </c>
      <c r="AJ90" t="str">
        <f t="shared" si="24"/>
        <v xml:space="preserve">san值最大值 {1}
</v>
      </c>
      <c r="AK90" t="str">
        <f t="shared" si="25"/>
        <v xml:space="preserve">所有伤害增加 {2}%
</v>
      </c>
      <c r="AL90" t="str">
        <f t="shared" si="26"/>
        <v xml:space="preserve">受到异常时间提升 {3}%
</v>
      </c>
      <c r="AM90" t="str">
        <f t="shared" si="27"/>
        <v xml:space="preserve">复活 {4}
</v>
      </c>
      <c r="AN90" t="str">
        <f t="shared" si="28"/>
        <v>xxx</v>
      </c>
      <c r="AO90" t="str">
        <f t="shared" si="36"/>
        <v>所有伤害减免 {0}%
san值最大值 {1}
所有伤害增加 {2}%
受到异常时间提升 {3}%
复活 {4}
xxx</v>
      </c>
      <c r="AP90" s="6" t="str">
        <f t="shared" si="37"/>
        <v xml:space="preserve">所有伤害减免 {0}%
san值最大值 {1}
所有伤害增加 {2}%
受到异常时间提升 {3}%
复活 {4}
</v>
      </c>
      <c r="AQ90" s="80" t="s">
        <v>3385</v>
      </c>
      <c r="AR90" t="str">
        <f t="shared" si="39"/>
        <v xml:space="preserve">所有伤害减免 {0}%
san值最大值 {1}
所有伤害增加 {2}%
受到异常时间提升 {3}%
复活 {4}
</v>
      </c>
      <c r="AS90" s="81" t="str">
        <f t="shared" si="38"/>
        <v>所有伤害减免 {0}%
san值最大值 {1}
所有伤害增加 {2}%
受到异常时间提升 {3}%
复活 {4}</v>
      </c>
      <c r="BE90" s="46" t="s">
        <v>3197</v>
      </c>
      <c r="BF90" s="48" t="s">
        <v>2968</v>
      </c>
      <c r="BG90" s="53">
        <v>321</v>
      </c>
      <c r="BH90" s="59">
        <v>5</v>
      </c>
      <c r="BI90" s="111">
        <f t="shared" si="29"/>
        <v>5.22875816993464E-2</v>
      </c>
      <c r="BJ90" s="59"/>
      <c r="BK90" s="18">
        <v>2</v>
      </c>
    </row>
    <row r="91" spans="3:63" ht="15.75" x14ac:dyDescent="0.3">
      <c r="C91" s="59">
        <v>14777</v>
      </c>
      <c r="D91" s="59" t="s">
        <v>238</v>
      </c>
      <c r="E91" s="59">
        <v>1</v>
      </c>
      <c r="F91" s="59" t="s">
        <v>2748</v>
      </c>
      <c r="G91" s="59"/>
      <c r="H91" s="72">
        <v>11</v>
      </c>
      <c r="I91" s="64" t="s">
        <v>3248</v>
      </c>
      <c r="J91" s="64">
        <v>6</v>
      </c>
      <c r="K91" s="64">
        <v>0.2</v>
      </c>
      <c r="L91" s="65" t="s">
        <v>3024</v>
      </c>
      <c r="M91" s="65">
        <v>3</v>
      </c>
      <c r="N91" s="65">
        <v>0</v>
      </c>
      <c r="O91" s="66" t="s">
        <v>3028</v>
      </c>
      <c r="P91" s="66">
        <v>2</v>
      </c>
      <c r="Q91" s="66">
        <v>0.25</v>
      </c>
      <c r="R91" s="64"/>
      <c r="S91" s="64"/>
      <c r="T91" s="64"/>
      <c r="U91" s="65"/>
      <c r="V91" s="65"/>
      <c r="W91" s="65"/>
      <c r="X91" s="66"/>
      <c r="Y91" s="66"/>
      <c r="Z91" s="66"/>
      <c r="AA91" s="71" t="str">
        <f t="shared" si="22"/>
        <v>1:320,24,36,403,30,30,407,30,50,xxxxxxxxx</v>
      </c>
      <c r="AB91" s="78" t="str">
        <f t="shared" si="40"/>
        <v>1:320,24,36,403,30,30,407,30,50</v>
      </c>
      <c r="AC91" t="str">
        <f t="shared" si="30"/>
        <v>物理抗性% {0}</v>
      </c>
      <c r="AD91" t="str">
        <f t="shared" si="31"/>
        <v>珍稀物品掉率% {1}</v>
      </c>
      <c r="AE91" t="str">
        <f t="shared" si="32"/>
        <v>拾取范围% {2}</v>
      </c>
      <c r="AF91" t="str">
        <f t="shared" si="33"/>
        <v>xxx</v>
      </c>
      <c r="AG91" t="str">
        <f t="shared" si="34"/>
        <v>xxx</v>
      </c>
      <c r="AH91" t="str">
        <f t="shared" si="35"/>
        <v>xxx</v>
      </c>
      <c r="AI91" t="str">
        <f t="shared" si="23"/>
        <v xml:space="preserve">物理抗性 {0}%
</v>
      </c>
      <c r="AJ91" t="str">
        <f t="shared" si="24"/>
        <v xml:space="preserve">珍稀物品掉率 {1}%
</v>
      </c>
      <c r="AK91" t="str">
        <f t="shared" si="25"/>
        <v xml:space="preserve">拾取范围 {2}%
</v>
      </c>
      <c r="AL91" t="str">
        <f t="shared" si="26"/>
        <v>xxx</v>
      </c>
      <c r="AM91" t="str">
        <f t="shared" si="27"/>
        <v>xxx</v>
      </c>
      <c r="AN91" t="str">
        <f t="shared" si="28"/>
        <v>xxx</v>
      </c>
      <c r="AO91" t="str">
        <f t="shared" si="36"/>
        <v>物理抗性 {0}%
珍稀物品掉率 {1}%
拾取范围 {2}%
xxxxxxxxx</v>
      </c>
      <c r="AP91" s="6" t="str">
        <f t="shared" si="37"/>
        <v xml:space="preserve">物理抗性 {0}%
珍稀物品掉率 {1}%
拾取范围 {2}%
</v>
      </c>
      <c r="AQ91" s="80" t="s">
        <v>3386</v>
      </c>
      <c r="AR91" t="str">
        <f t="shared" si="39"/>
        <v xml:space="preserve">物理抗性 {0}%
珍稀物品掉率 {1}%
拾取范围 {2}%
</v>
      </c>
      <c r="AS91" s="81" t="str">
        <f t="shared" si="38"/>
        <v>物理抗性 {0}%
珍稀物品掉率 {1}%
拾取范围 {2}%</v>
      </c>
      <c r="BE91" s="46" t="s">
        <v>3012</v>
      </c>
      <c r="BF91" s="48" t="s">
        <v>2968</v>
      </c>
      <c r="BG91" s="53">
        <v>322</v>
      </c>
      <c r="BH91" s="59"/>
      <c r="BI91" s="111">
        <f t="shared" si="29"/>
        <v>0</v>
      </c>
      <c r="BJ91" s="59"/>
      <c r="BK91" s="18">
        <v>2</v>
      </c>
    </row>
    <row r="92" spans="3:63" ht="15.75" x14ac:dyDescent="0.3">
      <c r="C92" s="59">
        <v>14778</v>
      </c>
      <c r="D92" s="59" t="s">
        <v>240</v>
      </c>
      <c r="E92" s="59"/>
      <c r="F92" s="59" t="s">
        <v>2748</v>
      </c>
      <c r="G92" s="59"/>
      <c r="H92" s="72">
        <v>16</v>
      </c>
      <c r="I92" s="64" t="s">
        <v>4145</v>
      </c>
      <c r="J92" s="64">
        <v>10</v>
      </c>
      <c r="K92" s="64">
        <v>0</v>
      </c>
      <c r="L92" s="65" t="s">
        <v>3028</v>
      </c>
      <c r="M92" s="65">
        <v>2</v>
      </c>
      <c r="N92" s="65">
        <v>0.25</v>
      </c>
      <c r="O92" s="66" t="s">
        <v>2945</v>
      </c>
      <c r="P92" s="66">
        <v>2</v>
      </c>
      <c r="Q92" s="66">
        <v>0.25</v>
      </c>
      <c r="R92" s="64" t="s">
        <v>4146</v>
      </c>
      <c r="S92" s="64">
        <v>2</v>
      </c>
      <c r="T92" s="64">
        <v>0</v>
      </c>
      <c r="U92" s="65"/>
      <c r="V92" s="65"/>
      <c r="W92" s="65"/>
      <c r="X92" s="66"/>
      <c r="Y92" s="66"/>
      <c r="Z92" s="66"/>
      <c r="AA92" s="71" t="str">
        <f t="shared" si="22"/>
        <v>1:516,100,100,407,30,50,302,15,25,514,10,10,xxxxxx</v>
      </c>
      <c r="AB92" s="78" t="str">
        <f t="shared" si="40"/>
        <v>1:516,100,100,407,30,50,302,15,25,514,10,10</v>
      </c>
      <c r="AC92" t="str">
        <f t="shared" si="30"/>
        <v>san值回复速度 {0}</v>
      </c>
      <c r="AD92" t="str">
        <f t="shared" si="31"/>
        <v>拾取范围% {1}</v>
      </c>
      <c r="AE92" t="str">
        <f t="shared" si="32"/>
        <v>生命值% {2}</v>
      </c>
      <c r="AF92" t="str">
        <f t="shared" si="33"/>
        <v>san值最大值 {3}</v>
      </c>
      <c r="AG92" t="str">
        <f t="shared" si="34"/>
        <v>xxx</v>
      </c>
      <c r="AH92" t="str">
        <f t="shared" si="35"/>
        <v>xxx</v>
      </c>
      <c r="AI92" t="str">
        <f t="shared" si="23"/>
        <v xml:space="preserve">san值回复速度 {0}%
</v>
      </c>
      <c r="AJ92" t="str">
        <f t="shared" si="24"/>
        <v xml:space="preserve">拾取范围 {1}%
</v>
      </c>
      <c r="AK92" t="str">
        <f t="shared" si="25"/>
        <v xml:space="preserve">生命值 {2}%
</v>
      </c>
      <c r="AL92" t="str">
        <f t="shared" si="26"/>
        <v xml:space="preserve">san值最大值 {3}
</v>
      </c>
      <c r="AM92" t="str">
        <f t="shared" si="27"/>
        <v>xxx</v>
      </c>
      <c r="AN92" t="str">
        <f t="shared" si="28"/>
        <v>xxx</v>
      </c>
      <c r="AO92" t="str">
        <f t="shared" si="36"/>
        <v>san值回复速度 {0}%
拾取范围 {1}%
生命值 {2}%
san值最大值 {3}
xxxxxx</v>
      </c>
      <c r="AP92" s="6" t="str">
        <f t="shared" si="37"/>
        <v xml:space="preserve">san值回复速度 {0}%
拾取范围 {1}%
生命值 {2}%
san值最大值 {3}
</v>
      </c>
      <c r="AQ92" s="80" t="s">
        <v>3387</v>
      </c>
      <c r="AR92" t="str">
        <f t="shared" si="39"/>
        <v xml:space="preserve">san值回复速度 {0}%
拾取范围 {1}%
生命值 {2}%
san值最大值 {3}
</v>
      </c>
      <c r="AS92" s="81" t="str">
        <f>IF(AR92&lt;&gt;AQ92,IF(ISNUMBER(SEARCH(CHAR(10),AR92)),SUBSTITUTE(AR92,CHAR(10),"",LEN(AR92)-LEN(SUBSTITUTE(AR92,CHAR(10),""))),AR92),AR92)</f>
        <v>san值回复速度 {0}%
拾取范围 {1}%
生命值 {2}%
san值最大值 {3}</v>
      </c>
      <c r="BE92" s="46" t="s">
        <v>3013</v>
      </c>
      <c r="BF92" s="47" t="s">
        <v>2965</v>
      </c>
      <c r="BG92" s="53">
        <v>323</v>
      </c>
      <c r="BH92" s="59">
        <v>10</v>
      </c>
      <c r="BI92" s="111">
        <f t="shared" si="29"/>
        <v>1.3071895424836602E-2</v>
      </c>
      <c r="BJ92" s="59"/>
      <c r="BK92" s="18">
        <v>1</v>
      </c>
    </row>
    <row r="93" spans="3:63" ht="15.75" x14ac:dyDescent="0.3">
      <c r="C93" s="59">
        <v>14779</v>
      </c>
      <c r="D93" s="73" t="s">
        <v>242</v>
      </c>
      <c r="E93" s="73"/>
      <c r="F93" s="73" t="s">
        <v>2748</v>
      </c>
      <c r="G93" s="73"/>
      <c r="H93" s="72">
        <v>0</v>
      </c>
      <c r="I93" s="64"/>
      <c r="J93" s="64"/>
      <c r="K93" s="64"/>
      <c r="L93" s="65"/>
      <c r="M93" s="65"/>
      <c r="N93" s="65"/>
      <c r="O93" s="66"/>
      <c r="P93" s="66"/>
      <c r="Q93" s="66"/>
      <c r="R93" s="64"/>
      <c r="S93" s="64"/>
      <c r="T93" s="64"/>
      <c r="U93" s="65"/>
      <c r="V93" s="65"/>
      <c r="W93" s="65"/>
      <c r="X93" s="66"/>
      <c r="Y93" s="66"/>
      <c r="Z93" s="66"/>
      <c r="AA93" s="71" t="str">
        <f t="shared" si="22"/>
        <v>1:xxxxxxxxxxxxxxxxxx</v>
      </c>
      <c r="AB93" s="78" t="str">
        <f t="shared" si="40"/>
        <v/>
      </c>
      <c r="AC93" t="str">
        <f t="shared" si="30"/>
        <v>xxx</v>
      </c>
      <c r="AD93" t="str">
        <f t="shared" si="31"/>
        <v>xxx</v>
      </c>
      <c r="AE93" t="str">
        <f t="shared" si="32"/>
        <v>xxx</v>
      </c>
      <c r="AF93" t="str">
        <f t="shared" si="33"/>
        <v>xxx</v>
      </c>
      <c r="AG93" t="str">
        <f t="shared" si="34"/>
        <v>xxx</v>
      </c>
      <c r="AH93" t="str">
        <f t="shared" si="35"/>
        <v>xxx</v>
      </c>
      <c r="AI93" t="str">
        <f t="shared" si="23"/>
        <v>xxx</v>
      </c>
      <c r="AJ93" t="str">
        <f t="shared" si="24"/>
        <v>xxx</v>
      </c>
      <c r="AK93" t="str">
        <f t="shared" si="25"/>
        <v>xxx</v>
      </c>
      <c r="AL93" t="str">
        <f t="shared" si="26"/>
        <v>xxx</v>
      </c>
      <c r="AM93" t="str">
        <f t="shared" si="27"/>
        <v>xxx</v>
      </c>
      <c r="AN93" t="str">
        <f t="shared" si="28"/>
        <v>xxx</v>
      </c>
      <c r="AO93" t="str">
        <f t="shared" si="36"/>
        <v>xxxxxxxxxxxxxxxxxx</v>
      </c>
      <c r="AP93" s="6" t="str">
        <f t="shared" si="37"/>
        <v/>
      </c>
      <c r="AQ93" s="80" t="s">
        <v>3388</v>
      </c>
      <c r="AR93" t="str">
        <f t="shared" si="39"/>
        <v>力量 +{0}
智力 +{1}
冰霜抗性 +{2}% 
无法被冰缓
有20%的几率使攻击你的敌人冻结2秒</v>
      </c>
      <c r="AS93" s="81" t="str">
        <f t="shared" si="38"/>
        <v>力量 +{0}
智力 +{1}
冰霜抗性 +{2}% 
无法被冰缓
有20%的几率使攻击你的敌人冻结2秒</v>
      </c>
      <c r="BE93" s="46" t="s">
        <v>3014</v>
      </c>
      <c r="BF93" s="47" t="s">
        <v>2988</v>
      </c>
      <c r="BG93" s="52">
        <v>324</v>
      </c>
      <c r="BH93" s="59">
        <v>0.25</v>
      </c>
      <c r="BI93" s="111">
        <f t="shared" si="29"/>
        <v>6.5359477124183009E-3</v>
      </c>
      <c r="BJ93" s="59"/>
      <c r="BK93" s="18">
        <v>2</v>
      </c>
    </row>
    <row r="94" spans="3:63" ht="15.75" x14ac:dyDescent="0.3">
      <c r="C94" s="59">
        <v>14780</v>
      </c>
      <c r="D94" s="59" t="s">
        <v>244</v>
      </c>
      <c r="E94" s="59"/>
      <c r="F94" s="59" t="s">
        <v>2748</v>
      </c>
      <c r="G94" s="59"/>
      <c r="H94" s="72">
        <v>12</v>
      </c>
      <c r="I94" s="64" t="s">
        <v>3202</v>
      </c>
      <c r="J94" s="64">
        <v>5</v>
      </c>
      <c r="K94" s="64">
        <v>0.2</v>
      </c>
      <c r="L94" s="65" t="s">
        <v>2945</v>
      </c>
      <c r="M94" s="65">
        <v>2</v>
      </c>
      <c r="N94" s="65">
        <v>0</v>
      </c>
      <c r="O94" s="66" t="s">
        <v>3224</v>
      </c>
      <c r="P94" s="66">
        <v>5</v>
      </c>
      <c r="Q94" s="66">
        <v>0.2</v>
      </c>
      <c r="R94" s="64"/>
      <c r="S94" s="64"/>
      <c r="T94" s="64"/>
      <c r="U94" s="65"/>
      <c r="V94" s="65"/>
      <c r="W94" s="65"/>
      <c r="X94" s="66"/>
      <c r="Y94" s="66"/>
      <c r="Z94" s="66"/>
      <c r="AA94" s="71" t="str">
        <f t="shared" si="22"/>
        <v>1:430,40,60,302,20,20,257,40,60,xxxxxxxxx</v>
      </c>
      <c r="AB94" s="78" t="str">
        <f t="shared" si="40"/>
        <v>1:430,40,60,302,20,20,257,40,60</v>
      </c>
      <c r="AC94" t="str">
        <f t="shared" si="30"/>
        <v>近战技能范围% {0}</v>
      </c>
      <c r="AD94" t="str">
        <f t="shared" si="31"/>
        <v>生命值% {1}</v>
      </c>
      <c r="AE94" t="str">
        <f t="shared" si="32"/>
        <v>暴击率增幅 {2}</v>
      </c>
      <c r="AF94" t="str">
        <f t="shared" si="33"/>
        <v>xxx</v>
      </c>
      <c r="AG94" t="str">
        <f t="shared" si="34"/>
        <v>xxx</v>
      </c>
      <c r="AH94" t="str">
        <f t="shared" si="35"/>
        <v>xxx</v>
      </c>
      <c r="AI94" t="str">
        <f t="shared" si="23"/>
        <v xml:space="preserve">近战技能范围 {0}%
</v>
      </c>
      <c r="AJ94" t="str">
        <f t="shared" si="24"/>
        <v xml:space="preserve">生命值 {1}%
</v>
      </c>
      <c r="AK94" t="str">
        <f t="shared" si="25"/>
        <v xml:space="preserve">暴击率增幅 {2}%
</v>
      </c>
      <c r="AL94" t="str">
        <f t="shared" si="26"/>
        <v>xxx</v>
      </c>
      <c r="AM94" t="str">
        <f t="shared" si="27"/>
        <v>xxx</v>
      </c>
      <c r="AN94" t="str">
        <f t="shared" si="28"/>
        <v>xxx</v>
      </c>
      <c r="AO94" t="str">
        <f t="shared" si="36"/>
        <v>近战技能范围 {0}%
生命值 {1}%
暴击率增幅 {2}%
xxxxxxxxx</v>
      </c>
      <c r="AP94" s="6" t="str">
        <f t="shared" si="37"/>
        <v xml:space="preserve">近战技能范围 {0}%
生命值 {1}%
暴击率增幅 {2}%
</v>
      </c>
      <c r="AQ94" s="80" t="s">
        <v>3389</v>
      </c>
      <c r="AR94" t="str">
        <f t="shared" si="39"/>
        <v xml:space="preserve">近战技能范围 {0}%
生命值 {1}%
暴击率增幅 {2}%
</v>
      </c>
      <c r="AS94" s="81" t="str">
        <f t="shared" si="38"/>
        <v>近战技能范围 {0}%
生命值 {1}%
暴击率增幅 {2}%</v>
      </c>
      <c r="BE94" s="46" t="s">
        <v>3015</v>
      </c>
      <c r="BF94" s="47" t="s">
        <v>2988</v>
      </c>
      <c r="BG94" s="52" t="s">
        <v>3016</v>
      </c>
      <c r="BH94" s="59">
        <v>5</v>
      </c>
      <c r="BI94" s="111">
        <f t="shared" si="29"/>
        <v>3.2679738562091504E-3</v>
      </c>
      <c r="BJ94" s="59"/>
      <c r="BK94" s="18">
        <v>2</v>
      </c>
    </row>
    <row r="95" spans="3:63" ht="15.75" x14ac:dyDescent="0.3">
      <c r="C95" s="59">
        <v>14781</v>
      </c>
      <c r="D95" s="59" t="s">
        <v>246</v>
      </c>
      <c r="E95" s="59">
        <v>2</v>
      </c>
      <c r="F95" s="59" t="s">
        <v>2748</v>
      </c>
      <c r="G95" s="59"/>
      <c r="H95" s="72">
        <v>12</v>
      </c>
      <c r="I95" s="64" t="s">
        <v>2938</v>
      </c>
      <c r="J95" s="64">
        <v>5</v>
      </c>
      <c r="K95" s="64">
        <v>0.4</v>
      </c>
      <c r="L95" s="65" t="s">
        <v>2948</v>
      </c>
      <c r="M95" s="65">
        <v>4</v>
      </c>
      <c r="N95" s="65">
        <v>0.25</v>
      </c>
      <c r="O95" s="66" t="s">
        <v>3581</v>
      </c>
      <c r="P95" s="66">
        <v>3</v>
      </c>
      <c r="Q95" s="66">
        <v>0</v>
      </c>
      <c r="R95" s="64"/>
      <c r="S95" s="64"/>
      <c r="T95" s="64"/>
      <c r="U95" s="65"/>
      <c r="V95" s="65"/>
      <c r="W95" s="65"/>
      <c r="X95" s="66"/>
      <c r="Y95" s="66"/>
      <c r="Z95" s="66"/>
      <c r="AA95" s="71" t="str">
        <f t="shared" si="22"/>
        <v>1:215,30,70,409,15,25,501,6,6,xxxxxxxxx</v>
      </c>
      <c r="AB95" s="78" t="str">
        <f t="shared" si="40"/>
        <v>1:215,30,70,409,15,25,501,6,6</v>
      </c>
      <c r="AC95" t="str">
        <f t="shared" si="30"/>
        <v>闪电伤害% {0}</v>
      </c>
      <c r="AD95" t="str">
        <f t="shared" si="31"/>
        <v>冷却缩减% {1}</v>
      </c>
      <c r="AE95" t="str">
        <f t="shared" si="32"/>
        <v>刷新次数 {2}</v>
      </c>
      <c r="AF95" t="str">
        <f t="shared" si="33"/>
        <v>xxx</v>
      </c>
      <c r="AG95" t="str">
        <f t="shared" si="34"/>
        <v>xxx</v>
      </c>
      <c r="AH95" t="str">
        <f t="shared" si="35"/>
        <v>xxx</v>
      </c>
      <c r="AI95" t="str">
        <f t="shared" si="23"/>
        <v xml:space="preserve">闪电伤害 {0}%
</v>
      </c>
      <c r="AJ95" t="str">
        <f t="shared" si="24"/>
        <v xml:space="preserve">冷却缩减 {1}%
</v>
      </c>
      <c r="AK95" t="str">
        <f t="shared" si="25"/>
        <v xml:space="preserve">刷新次数 {2}
</v>
      </c>
      <c r="AL95" t="str">
        <f t="shared" si="26"/>
        <v>xxx</v>
      </c>
      <c r="AM95" t="str">
        <f t="shared" si="27"/>
        <v>xxx</v>
      </c>
      <c r="AN95" t="str">
        <f t="shared" si="28"/>
        <v>xxx</v>
      </c>
      <c r="AO95" t="str">
        <f t="shared" si="36"/>
        <v>闪电伤害 {0}%
冷却缩减 {1}%
刷新次数 {2}
xxxxxxxxx</v>
      </c>
      <c r="AP95" s="6" t="str">
        <f t="shared" si="37"/>
        <v xml:space="preserve">闪电伤害 {0}%
冷却缩减 {1}%
刷新次数 {2}
</v>
      </c>
      <c r="AQ95" s="80" t="s">
        <v>3390</v>
      </c>
      <c r="AR95" t="str">
        <f t="shared" si="39"/>
        <v xml:space="preserve">闪电伤害 {0}%
冷却缩减 {1}%
刷新次数 {2}
</v>
      </c>
      <c r="AS95" s="81" t="str">
        <f t="shared" si="38"/>
        <v>闪电伤害 {0}%
冷却缩减 {1}%
刷新次数 {2}</v>
      </c>
      <c r="BE95" s="46" t="s">
        <v>3017</v>
      </c>
      <c r="BF95" s="48" t="s">
        <v>2988</v>
      </c>
      <c r="BG95" s="53">
        <v>326</v>
      </c>
      <c r="BH95" s="59">
        <v>10</v>
      </c>
      <c r="BI95" s="111">
        <f t="shared" si="29"/>
        <v>0</v>
      </c>
      <c r="BJ95" s="59"/>
      <c r="BK95" s="18">
        <v>2</v>
      </c>
    </row>
    <row r="96" spans="3:63" ht="15.75" x14ac:dyDescent="0.3">
      <c r="C96" s="59">
        <v>14782</v>
      </c>
      <c r="D96" s="59" t="s">
        <v>248</v>
      </c>
      <c r="E96" s="59"/>
      <c r="F96" s="59" t="s">
        <v>2748</v>
      </c>
      <c r="G96" s="59"/>
      <c r="H96" s="72">
        <v>12</v>
      </c>
      <c r="I96" s="64" t="s">
        <v>2939</v>
      </c>
      <c r="J96" s="64">
        <v>6</v>
      </c>
      <c r="K96" s="64">
        <v>0</v>
      </c>
      <c r="L96" s="65" t="s">
        <v>2928</v>
      </c>
      <c r="M96" s="65">
        <v>6</v>
      </c>
      <c r="N96" s="65">
        <v>0</v>
      </c>
      <c r="O96" s="66" t="s">
        <v>2954</v>
      </c>
      <c r="P96" s="66">
        <v>6</v>
      </c>
      <c r="Q96" s="66">
        <v>0</v>
      </c>
      <c r="R96" s="64" t="s">
        <v>3245</v>
      </c>
      <c r="S96" s="64">
        <v>6</v>
      </c>
      <c r="T96" s="64">
        <v>0</v>
      </c>
      <c r="U96" s="65" t="s">
        <v>2947</v>
      </c>
      <c r="V96" s="65">
        <v>-12</v>
      </c>
      <c r="W96" s="65">
        <v>0</v>
      </c>
      <c r="X96" s="66"/>
      <c r="Y96" s="66"/>
      <c r="Z96" s="66"/>
      <c r="AA96" s="71" t="str">
        <f t="shared" si="22"/>
        <v>1:224,30,30,223,30,30,222,30,30,225,30,30,315,-60,-60,xxx</v>
      </c>
      <c r="AB96" s="78" t="str">
        <f t="shared" si="40"/>
        <v>1:224,30,30,223,30,30,222,30,30,225,30,30,315,-60,-60</v>
      </c>
      <c r="AC96" t="str">
        <f t="shared" si="30"/>
        <v>闪电减抗% {0}</v>
      </c>
      <c r="AD96" t="str">
        <f t="shared" si="31"/>
        <v>火焰减抗% {1}</v>
      </c>
      <c r="AE96" t="str">
        <f t="shared" si="32"/>
        <v>冰霜减抗% {2}</v>
      </c>
      <c r="AF96" t="str">
        <f t="shared" si="33"/>
        <v>混沌减抗% {3}</v>
      </c>
      <c r="AG96" t="str">
        <f t="shared" si="34"/>
        <v>xxx</v>
      </c>
      <c r="AH96" t="str">
        <f t="shared" si="35"/>
        <v>xxx</v>
      </c>
      <c r="AI96" t="str">
        <f t="shared" si="23"/>
        <v xml:space="preserve">闪电减抗 {0}%
</v>
      </c>
      <c r="AJ96" t="str">
        <f t="shared" si="24"/>
        <v xml:space="preserve">火焰减抗 {1}%
</v>
      </c>
      <c r="AK96" t="str">
        <f t="shared" si="25"/>
        <v xml:space="preserve">冰霜减抗 {2}%
</v>
      </c>
      <c r="AL96" t="str">
        <f t="shared" si="26"/>
        <v xml:space="preserve">混沌减抗 {3}%
</v>
      </c>
      <c r="AM96" t="str">
        <f t="shared" si="27"/>
        <v xml:space="preserve">xxx%
</v>
      </c>
      <c r="AN96" t="str">
        <f t="shared" si="28"/>
        <v>xxx</v>
      </c>
      <c r="AO96" t="str">
        <f t="shared" si="36"/>
        <v>闪电减抗 {0}%
火焰减抗 {1}%
冰霜减抗 {2}%
混沌减抗 {3}%
xxx%
xxx</v>
      </c>
      <c r="AP96" s="6" t="str">
        <f t="shared" si="37"/>
        <v xml:space="preserve">闪电减抗 {0}%
火焰减抗 {1}%
冰霜减抗 {2}%
混沌减抗 {3}%
%
</v>
      </c>
      <c r="AQ96" s="80" t="s">
        <v>3391</v>
      </c>
      <c r="AR96" t="str">
        <f t="shared" si="39"/>
        <v xml:space="preserve">闪电减抗 {0}%
火焰减抗 {1}%
冰霜减抗 {2}%
混沌减抗 {3}%
%
</v>
      </c>
      <c r="AS96" s="81" t="str">
        <f t="shared" si="38"/>
        <v>闪电减抗 {0}%
火焰减抗 {1}%
冰霜减抗 {2}%
混沌减抗 {3}%
%</v>
      </c>
      <c r="BE96" s="46" t="s">
        <v>3018</v>
      </c>
      <c r="BF96" s="48" t="s">
        <v>2988</v>
      </c>
      <c r="BG96" s="53">
        <v>327</v>
      </c>
      <c r="BH96" s="59">
        <v>10</v>
      </c>
      <c r="BI96" s="111">
        <f t="shared" si="29"/>
        <v>0</v>
      </c>
      <c r="BJ96" s="59"/>
      <c r="BK96" s="18">
        <v>2</v>
      </c>
    </row>
    <row r="97" spans="3:63" ht="15.75" x14ac:dyDescent="0.3">
      <c r="C97" s="59">
        <v>14783</v>
      </c>
      <c r="D97" s="59" t="s">
        <v>4013</v>
      </c>
      <c r="E97" s="59"/>
      <c r="F97" s="59" t="s">
        <v>2748</v>
      </c>
      <c r="G97" s="59"/>
      <c r="H97" s="72">
        <v>15</v>
      </c>
      <c r="I97" s="64" t="s">
        <v>2927</v>
      </c>
      <c r="J97" s="64">
        <v>8</v>
      </c>
      <c r="K97" s="64">
        <v>0.25</v>
      </c>
      <c r="L97" s="65" t="s">
        <v>2929</v>
      </c>
      <c r="M97" s="65">
        <v>4</v>
      </c>
      <c r="N97" s="65">
        <v>0.25</v>
      </c>
      <c r="O97" s="66" t="s">
        <v>3581</v>
      </c>
      <c r="P97" s="66">
        <v>1</v>
      </c>
      <c r="Q97" s="66">
        <v>0</v>
      </c>
      <c r="R97" s="64" t="s">
        <v>3583</v>
      </c>
      <c r="S97" s="64">
        <v>1</v>
      </c>
      <c r="T97" s="64">
        <v>0</v>
      </c>
      <c r="U97" s="65" t="s">
        <v>3585</v>
      </c>
      <c r="V97" s="65">
        <v>1</v>
      </c>
      <c r="W97" s="65">
        <v>0</v>
      </c>
      <c r="X97" s="66"/>
      <c r="Y97" s="66"/>
      <c r="Z97" s="66"/>
      <c r="AA97" s="71" t="str">
        <f t="shared" si="22"/>
        <v>1:212,30,50,103,30,50,501,2,2,502,2,2,517,2,2,xxx</v>
      </c>
      <c r="AB97" s="78" t="str">
        <f t="shared" si="40"/>
        <v>1:212,30,50,103,30,50,501,2,2,502,2,2,517,2,2</v>
      </c>
      <c r="AC97" t="str">
        <f t="shared" si="30"/>
        <v>元素伤害% {0}</v>
      </c>
      <c r="AD97" t="str">
        <f t="shared" si="31"/>
        <v>智力 {1}</v>
      </c>
      <c r="AE97" t="str">
        <f t="shared" si="32"/>
        <v>刷新次数 {2}</v>
      </c>
      <c r="AF97" t="str">
        <f t="shared" si="33"/>
        <v>剔除次数 {3}</v>
      </c>
      <c r="AG97" t="str">
        <f t="shared" si="34"/>
        <v>锁定次数 {4}</v>
      </c>
      <c r="AH97" t="str">
        <f t="shared" si="35"/>
        <v>xxx</v>
      </c>
      <c r="AI97" t="str">
        <f t="shared" si="23"/>
        <v xml:space="preserve">元素伤害 {0}%
</v>
      </c>
      <c r="AJ97" t="str">
        <f t="shared" si="24"/>
        <v xml:space="preserve">智力 {1}
</v>
      </c>
      <c r="AK97" t="str">
        <f t="shared" si="25"/>
        <v xml:space="preserve">刷新次数 {2}
</v>
      </c>
      <c r="AL97" t="str">
        <f t="shared" si="26"/>
        <v xml:space="preserve">剔除次数 {3}
</v>
      </c>
      <c r="AM97" t="str">
        <f t="shared" si="27"/>
        <v xml:space="preserve">锁定次数 {4}
</v>
      </c>
      <c r="AN97" t="str">
        <f t="shared" si="28"/>
        <v>xxx</v>
      </c>
      <c r="AO97" t="str">
        <f t="shared" si="36"/>
        <v>元素伤害 {0}%
智力 {1}
刷新次数 {2}
剔除次数 {3}
锁定次数 {4}
xxx</v>
      </c>
      <c r="AP97" s="6" t="str">
        <f t="shared" si="37"/>
        <v xml:space="preserve">元素伤害 {0}%
智力 {1}
刷新次数 {2}
剔除次数 {3}
锁定次数 {4}
</v>
      </c>
      <c r="AQ97" s="80" t="s">
        <v>3392</v>
      </c>
      <c r="AR97" t="str">
        <f t="shared" si="39"/>
        <v xml:space="preserve">元素伤害 {0}%
智力 {1}
刷新次数 {2}
剔除次数 {3}
锁定次数 {4}
</v>
      </c>
      <c r="AS97" s="81" t="str">
        <f t="shared" si="38"/>
        <v>元素伤害 {0}%
智力 {1}
刷新次数 {2}
剔除次数 {3}
锁定次数 {4}</v>
      </c>
      <c r="BE97" s="46" t="s">
        <v>3019</v>
      </c>
      <c r="BF97" s="48" t="s">
        <v>2988</v>
      </c>
      <c r="BG97" s="53">
        <v>328</v>
      </c>
      <c r="BH97" s="59">
        <v>10</v>
      </c>
      <c r="BI97" s="111">
        <f t="shared" si="29"/>
        <v>0</v>
      </c>
      <c r="BJ97" s="59"/>
      <c r="BK97" s="18">
        <v>2</v>
      </c>
    </row>
    <row r="98" spans="3:63" ht="15.75" x14ac:dyDescent="0.3">
      <c r="C98" s="59">
        <v>14784</v>
      </c>
      <c r="D98" s="59" t="s">
        <v>252</v>
      </c>
      <c r="E98" s="59"/>
      <c r="F98" s="59" t="s">
        <v>2748</v>
      </c>
      <c r="G98" s="59"/>
      <c r="H98" s="72">
        <v>16</v>
      </c>
      <c r="I98" s="64" t="s">
        <v>2954</v>
      </c>
      <c r="J98" s="64">
        <v>10</v>
      </c>
      <c r="K98" s="64">
        <v>0.2</v>
      </c>
      <c r="L98" s="65" t="s">
        <v>3230</v>
      </c>
      <c r="M98" s="65">
        <v>2</v>
      </c>
      <c r="N98" s="65">
        <v>0.25</v>
      </c>
      <c r="O98" s="66" t="s">
        <v>3235</v>
      </c>
      <c r="P98" s="66">
        <v>2</v>
      </c>
      <c r="Q98" s="66">
        <v>0.25</v>
      </c>
      <c r="R98" s="64" t="s">
        <v>3195</v>
      </c>
      <c r="S98" s="64">
        <v>2</v>
      </c>
      <c r="T98" s="64">
        <v>0</v>
      </c>
      <c r="U98" s="65"/>
      <c r="V98" s="65"/>
      <c r="W98" s="65"/>
      <c r="X98" s="66"/>
      <c r="Y98" s="66"/>
      <c r="Z98" s="66"/>
      <c r="AA98" s="71" t="str">
        <f t="shared" si="22"/>
        <v>1:222,40,60,331,15,25,706,30,50,722,10,10,xxxxxx</v>
      </c>
      <c r="AB98" s="78" t="str">
        <f t="shared" si="40"/>
        <v>1:222,40,60,331,15,25,706,30,50,722,10,10</v>
      </c>
      <c r="AC98" t="str">
        <f t="shared" si="30"/>
        <v>冰霜减抗% {0}</v>
      </c>
      <c r="AD98" t="str">
        <f t="shared" si="31"/>
        <v>暴击抗性 {1}</v>
      </c>
      <c r="AE98" t="str">
        <f t="shared" si="32"/>
        <v>召唤物冰霜伤害% {2}</v>
      </c>
      <c r="AF98" t="str">
        <f t="shared" si="33"/>
        <v>召唤物格挡几率 {3}</v>
      </c>
      <c r="AG98" t="str">
        <f t="shared" si="34"/>
        <v>xxx</v>
      </c>
      <c r="AH98" t="str">
        <f t="shared" si="35"/>
        <v>xxx</v>
      </c>
      <c r="AI98" t="str">
        <f t="shared" si="23"/>
        <v xml:space="preserve">冰霜减抗 {0}%
</v>
      </c>
      <c r="AJ98" t="str">
        <f t="shared" si="24"/>
        <v xml:space="preserve">暴击抗性 {1}%
</v>
      </c>
      <c r="AK98" t="str">
        <f t="shared" si="25"/>
        <v xml:space="preserve">召唤物冰霜伤害 {2}%
</v>
      </c>
      <c r="AL98" t="str">
        <f t="shared" si="26"/>
        <v xml:space="preserve">召唤物格挡几率 {3}%
</v>
      </c>
      <c r="AM98" t="str">
        <f t="shared" si="27"/>
        <v>xxx</v>
      </c>
      <c r="AN98" t="str">
        <f t="shared" si="28"/>
        <v>xxx</v>
      </c>
      <c r="AO98" t="str">
        <f t="shared" si="36"/>
        <v>冰霜减抗 {0}%
暴击抗性 {1}%
召唤物冰霜伤害 {2}%
召唤物格挡几率 {3}%
xxxxxx</v>
      </c>
      <c r="AP98" s="6" t="str">
        <f t="shared" si="37"/>
        <v xml:space="preserve">冰霜减抗 {0}%
暴击抗性 {1}%
召唤物冰霜伤害 {2}%
召唤物格挡几率 {3}%
</v>
      </c>
      <c r="AQ98" s="80" t="s">
        <v>3393</v>
      </c>
      <c r="AR98" t="str">
        <f t="shared" si="39"/>
        <v xml:space="preserve">冰霜减抗 {0}%
暴击抗性 {1}%
召唤物冰霜伤害 {2}%
召唤物格挡几率 {3}%
</v>
      </c>
      <c r="AS98" s="81" t="str">
        <f t="shared" si="38"/>
        <v>冰霜减抗 {0}%
暴击抗性 {1}%
召唤物冰霜伤害 {2}%
召唤物格挡几率 {3}%</v>
      </c>
      <c r="BE98" s="46" t="s">
        <v>3020</v>
      </c>
      <c r="BF98" s="48" t="s">
        <v>2988</v>
      </c>
      <c r="BG98" s="53">
        <v>329</v>
      </c>
      <c r="BH98" s="59">
        <v>10</v>
      </c>
      <c r="BI98" s="111">
        <f t="shared" si="29"/>
        <v>3.2679738562091504E-3</v>
      </c>
      <c r="BJ98" s="59"/>
      <c r="BK98" s="18">
        <v>2</v>
      </c>
    </row>
    <row r="99" spans="3:63" ht="15.75" x14ac:dyDescent="0.3">
      <c r="C99" s="59">
        <v>14785</v>
      </c>
      <c r="D99" s="59" t="s">
        <v>3696</v>
      </c>
      <c r="E99" s="59">
        <v>2</v>
      </c>
      <c r="F99" s="59" t="s">
        <v>2750</v>
      </c>
      <c r="G99" s="59"/>
      <c r="H99" s="72">
        <v>11</v>
      </c>
      <c r="I99" s="64" t="s">
        <v>2940</v>
      </c>
      <c r="J99" s="64">
        <v>2</v>
      </c>
      <c r="K99" s="64">
        <v>0.2</v>
      </c>
      <c r="L99" s="65" t="s">
        <v>2973</v>
      </c>
      <c r="M99" s="65">
        <v>3</v>
      </c>
      <c r="N99" s="65">
        <v>0.2</v>
      </c>
      <c r="O99" s="66" t="s">
        <v>2939</v>
      </c>
      <c r="P99" s="66">
        <v>2</v>
      </c>
      <c r="Q99" s="66">
        <v>0.2</v>
      </c>
      <c r="R99" s="64" t="s">
        <v>2932</v>
      </c>
      <c r="S99" s="64">
        <v>2</v>
      </c>
      <c r="T99" s="64">
        <v>0.2</v>
      </c>
      <c r="U99" s="65" t="s">
        <v>3224</v>
      </c>
      <c r="V99" s="65">
        <v>2</v>
      </c>
      <c r="W99" s="65">
        <v>0.2</v>
      </c>
      <c r="X99" s="66"/>
      <c r="Y99" s="66"/>
      <c r="Z99" s="66"/>
      <c r="AA99" s="71" t="str">
        <f t="shared" si="22"/>
        <v>1:412,16,24,208,24,36,224,8,12,220,32,48,257,16,24,xxx</v>
      </c>
      <c r="AB99" s="78" t="str">
        <f t="shared" si="40"/>
        <v>1:412,16,24,208,24,36,224,8,12,220,32,48,257,16,24</v>
      </c>
      <c r="AC99" t="str">
        <f t="shared" si="30"/>
        <v>移动速度% {0}</v>
      </c>
      <c r="AD99" t="str">
        <f t="shared" si="31"/>
        <v>闪电伤害 {1}</v>
      </c>
      <c r="AE99" t="str">
        <f t="shared" si="32"/>
        <v>闪电减抗% {2}</v>
      </c>
      <c r="AF99" t="str">
        <f t="shared" si="33"/>
        <v>暴击伤害% {3}</v>
      </c>
      <c r="AG99" t="str">
        <f t="shared" si="34"/>
        <v>暴击率增幅 {4}</v>
      </c>
      <c r="AH99" t="str">
        <f t="shared" si="35"/>
        <v>xxx</v>
      </c>
      <c r="AI99" t="str">
        <f t="shared" si="23"/>
        <v xml:space="preserve">移动速度 {0}%
</v>
      </c>
      <c r="AJ99" t="str">
        <f t="shared" si="24"/>
        <v xml:space="preserve">闪电伤害 {1}
</v>
      </c>
      <c r="AK99" t="str">
        <f t="shared" si="25"/>
        <v xml:space="preserve">闪电减抗 {2}%
</v>
      </c>
      <c r="AL99" t="str">
        <f t="shared" si="26"/>
        <v xml:space="preserve">暴击伤害 {3}%
</v>
      </c>
      <c r="AM99" t="str">
        <f t="shared" si="27"/>
        <v xml:space="preserve">暴击率增幅 {4}%
</v>
      </c>
      <c r="AN99" t="str">
        <f t="shared" si="28"/>
        <v>xxx</v>
      </c>
      <c r="AO99" t="str">
        <f t="shared" si="36"/>
        <v>移动速度 {0}%
闪电伤害 {1}
闪电减抗 {2}%
暴击伤害 {3}%
暴击率增幅 {4}%
xxx</v>
      </c>
      <c r="AP99" s="6" t="str">
        <f t="shared" si="37"/>
        <v xml:space="preserve">移动速度 {0}%
闪电伤害 {1}
闪电减抗 {2}%
暴击伤害 {3}%
暴击率增幅 {4}%
</v>
      </c>
      <c r="AQ99" s="80" t="s">
        <v>3394</v>
      </c>
      <c r="AR99" t="str">
        <f t="shared" si="39"/>
        <v xml:space="preserve">移动速度 {0}%
闪电伤害 {1}
闪电减抗 {2}%
暴击伤害 {3}%
暴击率增幅 {4}%
</v>
      </c>
      <c r="AS99" s="81" t="str">
        <f t="shared" si="38"/>
        <v>移动速度 {0}%
闪电伤害 {1}
闪电减抗 {2}%
暴击伤害 {3}%
暴击率增幅 {4}%</v>
      </c>
      <c r="BE99" s="46" t="s">
        <v>3205</v>
      </c>
      <c r="BF99" s="48" t="s">
        <v>2988</v>
      </c>
      <c r="BG99" s="53">
        <v>330</v>
      </c>
      <c r="BH99" s="59">
        <v>10</v>
      </c>
      <c r="BI99" s="111">
        <f t="shared" si="29"/>
        <v>3.2679738562091505E-2</v>
      </c>
      <c r="BJ99" s="59"/>
      <c r="BK99" s="18">
        <v>2</v>
      </c>
    </row>
    <row r="100" spans="3:63" ht="15.75" x14ac:dyDescent="0.3">
      <c r="C100" s="59">
        <v>14786</v>
      </c>
      <c r="D100" s="59" t="s">
        <v>255</v>
      </c>
      <c r="E100" s="59">
        <v>5</v>
      </c>
      <c r="F100" s="59" t="s">
        <v>2750</v>
      </c>
      <c r="G100" s="59"/>
      <c r="H100" s="72">
        <v>12</v>
      </c>
      <c r="I100" s="64" t="s">
        <v>2940</v>
      </c>
      <c r="J100" s="64">
        <v>2</v>
      </c>
      <c r="K100" s="64">
        <v>0.2</v>
      </c>
      <c r="L100" s="65" t="s">
        <v>2957</v>
      </c>
      <c r="M100" s="65">
        <v>3</v>
      </c>
      <c r="N100" s="65">
        <v>0.2</v>
      </c>
      <c r="O100" s="66" t="s">
        <v>3241</v>
      </c>
      <c r="P100" s="66">
        <v>2</v>
      </c>
      <c r="Q100" s="66">
        <v>0.2</v>
      </c>
      <c r="R100" s="64" t="s">
        <v>3242</v>
      </c>
      <c r="S100" s="64">
        <v>2</v>
      </c>
      <c r="T100" s="64">
        <v>0.2</v>
      </c>
      <c r="U100" s="65" t="s">
        <v>2936</v>
      </c>
      <c r="V100" s="65">
        <v>3</v>
      </c>
      <c r="W100" s="65">
        <v>0.2</v>
      </c>
      <c r="X100" s="66"/>
      <c r="Y100" s="66"/>
      <c r="Z100" s="66"/>
      <c r="AA100" s="71" t="str">
        <f t="shared" si="22"/>
        <v>1:412,16,24,305,240,360,707,32,48,711,16,24,715,24,36,xxx</v>
      </c>
      <c r="AB100" s="78" t="str">
        <f t="shared" si="40"/>
        <v>1:412,16,24,305,240,360,707,32,48,711,16,24,715,24,36</v>
      </c>
      <c r="AC100" t="str">
        <f t="shared" si="30"/>
        <v>移动速度% {0}</v>
      </c>
      <c r="AD100" t="str">
        <f t="shared" si="31"/>
        <v>护甲值 {1}</v>
      </c>
      <c r="AE100" t="str">
        <f t="shared" si="32"/>
        <v>召唤物火焰伤害% {2}</v>
      </c>
      <c r="AF100" t="str">
        <f t="shared" si="33"/>
        <v>召唤物火焰抗性% {3}</v>
      </c>
      <c r="AG100" t="str">
        <f t="shared" si="34"/>
        <v>召唤物移动速度% {4}</v>
      </c>
      <c r="AH100" t="str">
        <f t="shared" si="35"/>
        <v>xxx</v>
      </c>
      <c r="AI100" t="str">
        <f t="shared" si="23"/>
        <v xml:space="preserve">移动速度 {0}%
</v>
      </c>
      <c r="AJ100" t="str">
        <f t="shared" si="24"/>
        <v xml:space="preserve">护甲值 {1}
</v>
      </c>
      <c r="AK100" t="str">
        <f t="shared" si="25"/>
        <v xml:space="preserve">召唤物火焰伤害 {2}%
</v>
      </c>
      <c r="AL100" t="str">
        <f t="shared" si="26"/>
        <v xml:space="preserve">召唤物火焰抗性 {3}%
</v>
      </c>
      <c r="AM100" t="str">
        <f t="shared" si="27"/>
        <v xml:space="preserve">召唤物移动速度 {4}%
</v>
      </c>
      <c r="AN100" t="str">
        <f t="shared" si="28"/>
        <v>xxx</v>
      </c>
      <c r="AO100" t="str">
        <f t="shared" si="36"/>
        <v>移动速度 {0}%
护甲值 {1}
召唤物火焰伤害 {2}%
召唤物火焰抗性 {3}%
召唤物移动速度 {4}%
xxx</v>
      </c>
      <c r="AP100" s="6" t="str">
        <f t="shared" si="37"/>
        <v xml:space="preserve">移动速度 {0}%
护甲值 {1}
召唤物火焰伤害 {2}%
召唤物火焰抗性 {3}%
召唤物移动速度 {4}%
</v>
      </c>
      <c r="AQ100" s="80" t="s">
        <v>3395</v>
      </c>
      <c r="AR100" t="str">
        <f t="shared" si="39"/>
        <v xml:space="preserve">移动速度 {0}%
护甲值 {1}
召唤物火焰伤害 {2}%
召唤物火焰抗性 {3}%
召唤物移动速度 {4}%
</v>
      </c>
      <c r="AS100" s="81" t="str">
        <f t="shared" si="38"/>
        <v>移动速度 {0}%
护甲值 {1}
召唤物火焰伤害 {2}%
召唤物火焰抗性 {3}%
召唤物移动速度 {4}%</v>
      </c>
      <c r="BE100" s="46" t="s">
        <v>3021</v>
      </c>
      <c r="BF100" s="48" t="s">
        <v>2988</v>
      </c>
      <c r="BG100" s="53">
        <v>331</v>
      </c>
      <c r="BH100" s="59">
        <v>10</v>
      </c>
      <c r="BI100" s="111">
        <f t="shared" si="29"/>
        <v>6.5359477124183009E-3</v>
      </c>
      <c r="BJ100" s="59"/>
      <c r="BK100" s="18">
        <v>2</v>
      </c>
    </row>
    <row r="101" spans="3:63" ht="15.75" x14ac:dyDescent="0.3">
      <c r="C101" s="59">
        <v>14787</v>
      </c>
      <c r="D101" s="59" t="s">
        <v>3697</v>
      </c>
      <c r="E101" s="59">
        <v>2</v>
      </c>
      <c r="F101" s="59" t="s">
        <v>2750</v>
      </c>
      <c r="G101" s="59"/>
      <c r="H101" s="72">
        <v>13</v>
      </c>
      <c r="I101" s="64" t="s">
        <v>2940</v>
      </c>
      <c r="J101" s="64">
        <v>2.5</v>
      </c>
      <c r="K101" s="64">
        <v>0.2</v>
      </c>
      <c r="L101" s="65" t="s">
        <v>3029</v>
      </c>
      <c r="M101" s="65">
        <v>4</v>
      </c>
      <c r="N101" s="65">
        <v>0</v>
      </c>
      <c r="O101" s="66" t="s">
        <v>3030</v>
      </c>
      <c r="P101" s="66">
        <v>1.5</v>
      </c>
      <c r="Q101" s="66">
        <v>0.2</v>
      </c>
      <c r="R101" s="64" t="s">
        <v>3243</v>
      </c>
      <c r="S101" s="64">
        <v>2</v>
      </c>
      <c r="T101" s="64">
        <v>0.2</v>
      </c>
      <c r="U101" s="65" t="s">
        <v>2949</v>
      </c>
      <c r="V101" s="65">
        <v>1.5</v>
      </c>
      <c r="W101" s="65">
        <v>0.2</v>
      </c>
      <c r="X101" s="66" t="s">
        <v>3007</v>
      </c>
      <c r="Y101" s="66">
        <v>1.5</v>
      </c>
      <c r="Z101" s="66">
        <v>0.2</v>
      </c>
      <c r="AA101" s="71" t="str">
        <f t="shared" si="22"/>
        <v>1:412,20,30,408,4,4,410,6,9,419,80,120,311,6,9,312,6,9,</v>
      </c>
      <c r="AB101" s="78" t="str">
        <f t="shared" si="40"/>
        <v>1:412,20,30,408,4,4,410,6,9,419,80,120,311,6,9,312,6,9</v>
      </c>
      <c r="AC101" t="str">
        <f t="shared" si="30"/>
        <v>移动速度% {0}</v>
      </c>
      <c r="AD101" t="str">
        <f t="shared" si="31"/>
        <v>冲刺次数 {1}</v>
      </c>
      <c r="AE101" t="str">
        <f t="shared" si="32"/>
        <v>冲刺冷却缩减% {2}</v>
      </c>
      <c r="AF101" t="str">
        <f t="shared" si="33"/>
        <v>冲刺距离 {3}</v>
      </c>
      <c r="AG101" t="str">
        <f t="shared" si="34"/>
        <v>闪避几率% {4}</v>
      </c>
      <c r="AH101" t="str">
        <f t="shared" si="35"/>
        <v>闪避几率上限% {5}</v>
      </c>
      <c r="AI101" t="str">
        <f t="shared" si="23"/>
        <v xml:space="preserve">移动速度 {0}%
</v>
      </c>
      <c r="AJ101" t="str">
        <f t="shared" si="24"/>
        <v xml:space="preserve">冲刺次数 {1}
</v>
      </c>
      <c r="AK101" t="str">
        <f t="shared" si="25"/>
        <v xml:space="preserve">冲刺冷却缩减 {2}%
</v>
      </c>
      <c r="AL101" t="str">
        <f t="shared" si="26"/>
        <v xml:space="preserve">冲刺距离 {3}
</v>
      </c>
      <c r="AM101" t="str">
        <f t="shared" si="27"/>
        <v xml:space="preserve">闪避几率 {4}%
</v>
      </c>
      <c r="AN101" t="str">
        <f t="shared" si="28"/>
        <v xml:space="preserve">闪避几率上限 {5}%
</v>
      </c>
      <c r="AO101" t="str">
        <f t="shared" si="36"/>
        <v xml:space="preserve">移动速度 {0}%
冲刺次数 {1}
冲刺冷却缩减 {2}%
冲刺距离 {3}
闪避几率 {4}%
闪避几率上限 {5}%
</v>
      </c>
      <c r="AP101" s="6" t="str">
        <f t="shared" si="37"/>
        <v xml:space="preserve">移动速度 {0}%
冲刺次数 {1}
冲刺冷却缩减 {2}%
冲刺距离 {3}
闪避几率 {4}%
闪避几率上限 {5}%
</v>
      </c>
      <c r="AQ101" s="80" t="s">
        <v>3396</v>
      </c>
      <c r="AR101" t="str">
        <f t="shared" si="39"/>
        <v xml:space="preserve">移动速度 {0}%
冲刺次数 {1}
冲刺冷却缩减 {2}%
冲刺距离 {3}
闪避几率 {4}%
闪避几率上限 {5}%
</v>
      </c>
      <c r="AS101" s="81" t="str">
        <f t="shared" si="38"/>
        <v>移动速度 {0}%
冲刺次数 {1}
冲刺冷却缩减 {2}%
冲刺距离 {3}
闪避几率 {4}%
闪避几率上限 {5}%</v>
      </c>
      <c r="BE101" s="46" t="s">
        <v>3186</v>
      </c>
      <c r="BF101" s="48" t="s">
        <v>2968</v>
      </c>
      <c r="BG101" s="53">
        <v>401</v>
      </c>
      <c r="BH101" s="59">
        <v>10</v>
      </c>
      <c r="BI101" s="111">
        <f t="shared" si="29"/>
        <v>2.6143790849673203E-2</v>
      </c>
      <c r="BJ101" s="59"/>
      <c r="BK101" s="18">
        <v>2</v>
      </c>
    </row>
    <row r="102" spans="3:63" ht="15.75" x14ac:dyDescent="0.3">
      <c r="C102" s="59">
        <v>14788</v>
      </c>
      <c r="D102" s="59" t="s">
        <v>258</v>
      </c>
      <c r="E102" s="59">
        <v>3</v>
      </c>
      <c r="F102" s="59" t="s">
        <v>2750</v>
      </c>
      <c r="G102" s="59"/>
      <c r="H102" s="72">
        <v>12.5</v>
      </c>
      <c r="I102" s="64" t="s">
        <v>2940</v>
      </c>
      <c r="J102" s="64">
        <v>2.5</v>
      </c>
      <c r="K102" s="64">
        <v>0.2</v>
      </c>
      <c r="L102" s="65" t="s">
        <v>3158</v>
      </c>
      <c r="M102" s="65">
        <v>3</v>
      </c>
      <c r="N102" s="65">
        <v>0.2</v>
      </c>
      <c r="O102" s="66" t="s">
        <v>2933</v>
      </c>
      <c r="P102" s="66">
        <v>3</v>
      </c>
      <c r="Q102" s="66">
        <v>0.2</v>
      </c>
      <c r="R102" s="64" t="s">
        <v>2932</v>
      </c>
      <c r="S102" s="64">
        <v>2</v>
      </c>
      <c r="T102" s="64">
        <v>0.2</v>
      </c>
      <c r="U102" s="65" t="s">
        <v>3182</v>
      </c>
      <c r="V102" s="65">
        <v>2</v>
      </c>
      <c r="W102" s="65">
        <v>0.2</v>
      </c>
      <c r="X102" s="66"/>
      <c r="Y102" s="66"/>
      <c r="Z102" s="66"/>
      <c r="AA102" s="71" t="str">
        <f t="shared" si="22"/>
        <v>1:412,20,30,240,24,36,217,24,36,220,32,48,813,0.8,1.2,xxx</v>
      </c>
      <c r="AB102" s="78" t="str">
        <f t="shared" si="40"/>
        <v>1:412,20,30,240,24,36,217,24,36,220,32,48,813,0.8,1.2</v>
      </c>
      <c r="AC102" t="str">
        <f t="shared" si="30"/>
        <v>移动速度% {0}</v>
      </c>
      <c r="AD102" t="str">
        <f t="shared" si="31"/>
        <v>流血系数 {1}</v>
      </c>
      <c r="AE102" t="str">
        <f t="shared" si="32"/>
        <v>攻击速度% {2}</v>
      </c>
      <c r="AF102" t="str">
        <f t="shared" si="33"/>
        <v>暴击伤害% {3}</v>
      </c>
      <c r="AG102" t="str">
        <f t="shared" si="34"/>
        <v>每点暴击提升流血系数 {4}</v>
      </c>
      <c r="AH102" t="str">
        <f t="shared" si="35"/>
        <v>xxx</v>
      </c>
      <c r="AI102" t="str">
        <f t="shared" si="23"/>
        <v xml:space="preserve">移动速度 {0}%
</v>
      </c>
      <c r="AJ102" t="str">
        <f t="shared" si="24"/>
        <v xml:space="preserve">流血系数 {1}%
</v>
      </c>
      <c r="AK102" t="str">
        <f t="shared" si="25"/>
        <v xml:space="preserve">攻击速度 {2}%
</v>
      </c>
      <c r="AL102" t="str">
        <f t="shared" si="26"/>
        <v xml:space="preserve">暴击伤害 {3}%
</v>
      </c>
      <c r="AM102" t="str">
        <f t="shared" si="27"/>
        <v xml:space="preserve">每点暴击提升流血系数 {4}%
</v>
      </c>
      <c r="AN102" t="str">
        <f t="shared" si="28"/>
        <v>xxx</v>
      </c>
      <c r="AO102" t="str">
        <f t="shared" si="36"/>
        <v>移动速度 {0}%
流血系数 {1}%
攻击速度 {2}%
暴击伤害 {3}%
每点暴击提升流血系数 {4}%
xxx</v>
      </c>
      <c r="AP102" s="6" t="str">
        <f t="shared" si="37"/>
        <v xml:space="preserve">移动速度 {0}%
流血系数 {1}%
攻击速度 {2}%
暴击伤害 {3}%
每点暴击提升流血系数 {4}%
</v>
      </c>
      <c r="AQ102" s="80" t="s">
        <v>3397</v>
      </c>
      <c r="AR102" t="str">
        <f t="shared" si="39"/>
        <v xml:space="preserve">移动速度 {0}%
流血系数 {1}%
攻击速度 {2}%
暴击伤害 {3}%
每点暴击提升流血系数 {4}%
</v>
      </c>
      <c r="AS102" s="81" t="str">
        <f t="shared" si="38"/>
        <v>移动速度 {0}%
流血系数 {1}%
攻击速度 {2}%
暴击伤害 {3}%
每点暴击提升流血系数 {4}%</v>
      </c>
      <c r="BE102" s="46" t="s">
        <v>3023</v>
      </c>
      <c r="BF102" s="48" t="s">
        <v>2968</v>
      </c>
      <c r="BG102" s="53">
        <v>402</v>
      </c>
      <c r="BH102" s="59">
        <v>10</v>
      </c>
      <c r="BI102" s="111">
        <f t="shared" si="29"/>
        <v>1.9607843137254902E-2</v>
      </c>
      <c r="BJ102" s="59"/>
      <c r="BK102" s="18">
        <v>2</v>
      </c>
    </row>
    <row r="103" spans="3:63" ht="15.75" x14ac:dyDescent="0.3">
      <c r="C103" s="59">
        <v>14789</v>
      </c>
      <c r="D103" s="74" t="s">
        <v>260</v>
      </c>
      <c r="E103" s="74"/>
      <c r="F103" s="74" t="s">
        <v>2750</v>
      </c>
      <c r="G103" s="74"/>
      <c r="H103" s="72">
        <v>0</v>
      </c>
      <c r="I103" s="64"/>
      <c r="J103" s="64"/>
      <c r="K103" s="64"/>
      <c r="L103" s="65"/>
      <c r="M103" s="65"/>
      <c r="N103" s="65"/>
      <c r="O103" s="66"/>
      <c r="P103" s="66"/>
      <c r="Q103" s="66"/>
      <c r="R103" s="64"/>
      <c r="S103" s="64"/>
      <c r="T103" s="64"/>
      <c r="U103" s="65"/>
      <c r="V103" s="65"/>
      <c r="W103" s="65"/>
      <c r="X103" s="66"/>
      <c r="Y103" s="66"/>
      <c r="Z103" s="66"/>
      <c r="AA103" s="71" t="str">
        <f t="shared" si="22"/>
        <v>1:xxxxxxxxxxxxxxxxxx</v>
      </c>
      <c r="AB103" s="78" t="str">
        <f t="shared" si="40"/>
        <v/>
      </c>
      <c r="AC103" t="str">
        <f t="shared" si="30"/>
        <v>xxx</v>
      </c>
      <c r="AD103" t="str">
        <f t="shared" si="31"/>
        <v>xxx</v>
      </c>
      <c r="AE103" t="str">
        <f t="shared" si="32"/>
        <v>xxx</v>
      </c>
      <c r="AF103" t="str">
        <f t="shared" si="33"/>
        <v>xxx</v>
      </c>
      <c r="AG103" t="str">
        <f t="shared" si="34"/>
        <v>xxx</v>
      </c>
      <c r="AH103" t="str">
        <f t="shared" si="35"/>
        <v>xxx</v>
      </c>
      <c r="AI103" t="str">
        <f t="shared" si="23"/>
        <v>xxx</v>
      </c>
      <c r="AJ103" t="str">
        <f t="shared" si="24"/>
        <v>xxx</v>
      </c>
      <c r="AK103" t="str">
        <f t="shared" si="25"/>
        <v>xxx</v>
      </c>
      <c r="AL103" t="str">
        <f t="shared" si="26"/>
        <v>xxx</v>
      </c>
      <c r="AM103" t="str">
        <f t="shared" si="27"/>
        <v>xxx</v>
      </c>
      <c r="AN103" t="str">
        <f t="shared" si="28"/>
        <v>xxx</v>
      </c>
      <c r="AO103" t="str">
        <f t="shared" si="36"/>
        <v>xxxxxxxxxxxxxxxxxx</v>
      </c>
      <c r="AP103" s="6" t="str">
        <f t="shared" si="37"/>
        <v/>
      </c>
      <c r="AQ103" s="80" t="s">
        <v>3398</v>
      </c>
      <c r="AR103" t="str">
        <f t="shared" si="39"/>
        <v>移动速度减少{0}%
生命值+{1}
无法被减速</v>
      </c>
      <c r="AS103" s="81" t="str">
        <f t="shared" si="38"/>
        <v>移动速度减少{0}%
生命值+{1}
无法被减速</v>
      </c>
      <c r="BE103" s="46" t="s">
        <v>3184</v>
      </c>
      <c r="BF103" s="48" t="s">
        <v>2968</v>
      </c>
      <c r="BG103" s="53">
        <v>403</v>
      </c>
      <c r="BH103" s="59">
        <v>10</v>
      </c>
      <c r="BI103" s="111">
        <f t="shared" si="29"/>
        <v>2.2875816993464051E-2</v>
      </c>
      <c r="BJ103" s="59"/>
      <c r="BK103" s="18">
        <v>2</v>
      </c>
    </row>
    <row r="104" spans="3:63" ht="15.75" x14ac:dyDescent="0.3">
      <c r="C104" s="59">
        <v>14790</v>
      </c>
      <c r="D104" s="59" t="s">
        <v>3698</v>
      </c>
      <c r="E104" s="59"/>
      <c r="F104" s="59" t="s">
        <v>2750</v>
      </c>
      <c r="G104" s="59"/>
      <c r="H104" s="72">
        <v>11</v>
      </c>
      <c r="I104" s="64" t="s">
        <v>2940</v>
      </c>
      <c r="J104" s="64">
        <v>3</v>
      </c>
      <c r="K104" s="64">
        <v>0.2</v>
      </c>
      <c r="L104" s="65" t="s">
        <v>2956</v>
      </c>
      <c r="M104" s="65">
        <v>3</v>
      </c>
      <c r="N104" s="65">
        <v>0.2</v>
      </c>
      <c r="O104" s="66" t="s">
        <v>3010</v>
      </c>
      <c r="P104" s="66">
        <v>3</v>
      </c>
      <c r="Q104" s="66">
        <v>0.2</v>
      </c>
      <c r="R104" s="64" t="s">
        <v>3164</v>
      </c>
      <c r="S104" s="64">
        <v>2</v>
      </c>
      <c r="T104" s="64">
        <v>0.2</v>
      </c>
      <c r="U104" s="65"/>
      <c r="V104" s="65"/>
      <c r="W104" s="65"/>
      <c r="X104" s="66"/>
      <c r="Y104" s="66"/>
      <c r="Z104" s="66"/>
      <c r="AA104" s="71" t="str">
        <f t="shared" si="22"/>
        <v>1:412,24,36,209,24,36,319,24,36,232,16,24,xxxxxx</v>
      </c>
      <c r="AB104" s="78" t="str">
        <f t="shared" si="40"/>
        <v>1:412,24,36,209,24,36,319,24,36,232,16,24</v>
      </c>
      <c r="AC104" t="str">
        <f t="shared" si="30"/>
        <v>移动速度% {0}</v>
      </c>
      <c r="AD104" t="str">
        <f t="shared" si="31"/>
        <v>混沌伤害 {1}</v>
      </c>
      <c r="AE104" t="str">
        <f t="shared" si="32"/>
        <v>混沌抗性% {2}</v>
      </c>
      <c r="AF104" t="str">
        <f t="shared" si="33"/>
        <v>附加混沌伤害 {3}</v>
      </c>
      <c r="AG104" t="str">
        <f t="shared" si="34"/>
        <v>xxx</v>
      </c>
      <c r="AH104" t="str">
        <f t="shared" si="35"/>
        <v>xxx</v>
      </c>
      <c r="AI104" t="str">
        <f t="shared" si="23"/>
        <v xml:space="preserve">移动速度 {0}%
</v>
      </c>
      <c r="AJ104" t="str">
        <f t="shared" si="24"/>
        <v xml:space="preserve">混沌伤害 {1}
</v>
      </c>
      <c r="AK104" t="str">
        <f t="shared" si="25"/>
        <v xml:space="preserve">混沌抗性 {2}%
</v>
      </c>
      <c r="AL104" t="str">
        <f t="shared" si="26"/>
        <v xml:space="preserve">附加混沌伤害 {3}%
</v>
      </c>
      <c r="AM104" t="str">
        <f t="shared" si="27"/>
        <v>xxx</v>
      </c>
      <c r="AN104" t="str">
        <f t="shared" ref="AN104:AN135" si="41">_xlfn.IFNA(IF(AC104="xxx","xxx",IF(VLOOKUP(X104,$BE$8:$BK$260,7,FALSE)=1,AH104&amp;CHAR(10),SUBSTITUTE(AH104,"%","")&amp;"%"&amp;CHAR(10))),"xxx")</f>
        <v>xxx</v>
      </c>
      <c r="AO104" t="str">
        <f t="shared" si="36"/>
        <v>移动速度 {0}%
混沌伤害 {1}
混沌抗性 {2}%
附加混沌伤害 {3}%
xxxxxx</v>
      </c>
      <c r="AP104" s="6" t="str">
        <f t="shared" si="37"/>
        <v xml:space="preserve">移动速度 {0}%
混沌伤害 {1}
混沌抗性 {2}%
附加混沌伤害 {3}%
</v>
      </c>
      <c r="AQ104" s="80" t="s">
        <v>3399</v>
      </c>
      <c r="AR104" t="str">
        <f t="shared" si="39"/>
        <v xml:space="preserve">移动速度 {0}%
混沌伤害 {1}
混沌抗性 {2}%
附加混沌伤害 {3}%
</v>
      </c>
      <c r="AS104" s="81" t="str">
        <f t="shared" si="38"/>
        <v>移动速度 {0}%
混沌伤害 {1}
混沌抗性 {2}%
附加混沌伤害 {3}%</v>
      </c>
      <c r="BE104" s="46" t="s">
        <v>3025</v>
      </c>
      <c r="BF104" s="47" t="s">
        <v>2965</v>
      </c>
      <c r="BG104" s="53">
        <v>404</v>
      </c>
      <c r="BH104" s="59">
        <v>0.5</v>
      </c>
      <c r="BI104" s="111">
        <f t="shared" ref="BI104:BI135" si="42">COUNTIF($I$8:$I$1040,BE104)/COUNT($C$8:$C$1040)+COUNTIF($L$8:$L$1040,BE104)/COUNT($C$8:$C$1040)+COUNTIF($O$8:$O$1040,BE104)/COUNT($C$8:$C$1040)+COUNTIF($R$8:$R$1040,BE104)/COUNT($C$8:$C$1040)+COUNTIF($U$8:$U$1040,BE104)/COUNT($C$8:$C$1040)+COUNTIF($X$8:$X$1040,BE104)/COUNT($C$8:$C$1040)</f>
        <v>3.5947712418300658E-2</v>
      </c>
      <c r="BJ104" s="59"/>
      <c r="BK104" s="18">
        <v>1</v>
      </c>
    </row>
    <row r="105" spans="3:63" ht="15.75" x14ac:dyDescent="0.3">
      <c r="C105" s="59">
        <v>14791</v>
      </c>
      <c r="D105" s="59" t="s">
        <v>3699</v>
      </c>
      <c r="E105" s="59"/>
      <c r="F105" s="59" t="s">
        <v>2750</v>
      </c>
      <c r="G105" s="59"/>
      <c r="H105" s="72">
        <v>12</v>
      </c>
      <c r="I105" s="64" t="s">
        <v>2940</v>
      </c>
      <c r="J105" s="64">
        <v>2</v>
      </c>
      <c r="K105" s="64">
        <v>0.2</v>
      </c>
      <c r="L105" s="65" t="s">
        <v>2947</v>
      </c>
      <c r="M105" s="65">
        <v>3</v>
      </c>
      <c r="N105" s="65">
        <v>0.2</v>
      </c>
      <c r="O105" s="66" t="s">
        <v>2970</v>
      </c>
      <c r="P105" s="66">
        <v>3</v>
      </c>
      <c r="Q105" s="66">
        <v>0.2</v>
      </c>
      <c r="R105" s="64" t="s">
        <v>2975</v>
      </c>
      <c r="S105" s="64">
        <v>2</v>
      </c>
      <c r="T105" s="64">
        <v>0.2</v>
      </c>
      <c r="U105" s="65" t="s">
        <v>3189</v>
      </c>
      <c r="V105" s="65">
        <v>2</v>
      </c>
      <c r="W105" s="65">
        <v>0.2</v>
      </c>
      <c r="X105" s="66"/>
      <c r="Y105" s="66"/>
      <c r="Z105" s="66"/>
      <c r="AA105" s="71" t="str">
        <f t="shared" si="22"/>
        <v>1:412,16,24,315,12,18,205,12,18,221,3.2,4.8,809,0.4,0.6,xxx</v>
      </c>
      <c r="AB105" s="78" t="str">
        <f t="shared" si="40"/>
        <v>1:412,16,24,315,12,18,205,12,18,221,3.2,4.8,809,0.4,0.6</v>
      </c>
      <c r="AC105" t="str">
        <f t="shared" si="30"/>
        <v>移动速度% {0}</v>
      </c>
      <c r="AD105" t="str">
        <f t="shared" si="31"/>
        <v>元素抗性% {1}</v>
      </c>
      <c r="AE105" t="str">
        <f t="shared" si="32"/>
        <v>元素伤害 {2}</v>
      </c>
      <c r="AF105" t="str">
        <f t="shared" si="33"/>
        <v>元素减抗% {3}</v>
      </c>
      <c r="AG105" t="str">
        <f t="shared" si="34"/>
        <v>每点智力提升元素伤害 {4}</v>
      </c>
      <c r="AH105" t="str">
        <f t="shared" si="35"/>
        <v>xxx</v>
      </c>
      <c r="AI105" t="str">
        <f t="shared" si="23"/>
        <v xml:space="preserve">移动速度 {0}%
</v>
      </c>
      <c r="AJ105" t="str">
        <f t="shared" si="24"/>
        <v xml:space="preserve">元素抗性 {1}%
</v>
      </c>
      <c r="AK105" t="str">
        <f t="shared" si="25"/>
        <v xml:space="preserve">元素伤害 {2}
</v>
      </c>
      <c r="AL105" t="str">
        <f t="shared" si="26"/>
        <v xml:space="preserve">元素减抗 {3}%
</v>
      </c>
      <c r="AM105" t="str">
        <f t="shared" si="27"/>
        <v xml:space="preserve">每点智力提升元素伤害 {4}%
</v>
      </c>
      <c r="AN105" t="str">
        <f t="shared" si="41"/>
        <v>xxx</v>
      </c>
      <c r="AO105" t="str">
        <f t="shared" si="36"/>
        <v>移动速度 {0}%
元素抗性 {1}%
元素伤害 {2}
元素减抗 {3}%
每点智力提升元素伤害 {4}%
xxx</v>
      </c>
      <c r="AP105" s="6" t="str">
        <f t="shared" si="37"/>
        <v xml:space="preserve">移动速度 {0}%
元素抗性 {1}%
元素伤害 {2}
元素减抗 {3}%
每点智力提升元素伤害 {4}%
</v>
      </c>
      <c r="AQ105" s="80" t="s">
        <v>3400</v>
      </c>
      <c r="AR105" t="str">
        <f t="shared" si="39"/>
        <v xml:space="preserve">移动速度 {0}%
元素抗性 {1}%
元素伤害 {2}
元素减抗 {3}%
每点智力提升元素伤害 {4}%
</v>
      </c>
      <c r="AS105" s="81" t="str">
        <f t="shared" si="38"/>
        <v>移动速度 {0}%
元素抗性 {1}%
元素伤害 {2}
元素减抗 {3}%
每点智力提升元素伤害 {4}%</v>
      </c>
      <c r="BE105" s="46" t="s">
        <v>3026</v>
      </c>
      <c r="BF105" s="47" t="s">
        <v>2965</v>
      </c>
      <c r="BG105" s="53">
        <v>405</v>
      </c>
      <c r="BH105" s="59">
        <v>0.25</v>
      </c>
      <c r="BI105" s="111">
        <f t="shared" si="42"/>
        <v>2.9411764705882353E-2</v>
      </c>
      <c r="BJ105" s="59"/>
      <c r="BK105" s="18">
        <v>1</v>
      </c>
    </row>
    <row r="106" spans="3:63" ht="15.75" x14ac:dyDescent="0.3">
      <c r="C106" s="59">
        <v>14792</v>
      </c>
      <c r="D106" s="59" t="s">
        <v>262</v>
      </c>
      <c r="E106" s="59"/>
      <c r="F106" s="59" t="s">
        <v>2750</v>
      </c>
      <c r="G106" s="59"/>
      <c r="H106" s="72">
        <v>10.5</v>
      </c>
      <c r="I106" s="64" t="s">
        <v>2940</v>
      </c>
      <c r="J106" s="64">
        <v>2</v>
      </c>
      <c r="K106" s="64">
        <v>0.2</v>
      </c>
      <c r="L106" s="65" t="s">
        <v>2949</v>
      </c>
      <c r="M106" s="65">
        <v>3</v>
      </c>
      <c r="N106" s="65">
        <v>0.2</v>
      </c>
      <c r="O106" s="66" t="s">
        <v>3030</v>
      </c>
      <c r="P106" s="66">
        <v>1.5</v>
      </c>
      <c r="Q106" s="66">
        <v>0.2</v>
      </c>
      <c r="R106" s="64" t="s">
        <v>3243</v>
      </c>
      <c r="S106" s="64">
        <v>2</v>
      </c>
      <c r="T106" s="64">
        <v>0.2</v>
      </c>
      <c r="U106" s="65" t="s">
        <v>2942</v>
      </c>
      <c r="V106" s="65">
        <v>2</v>
      </c>
      <c r="W106" s="65">
        <v>0.2</v>
      </c>
      <c r="X106" s="66"/>
      <c r="Y106" s="66"/>
      <c r="Z106" s="66"/>
      <c r="AA106" s="71" t="str">
        <f t="shared" si="22"/>
        <v>1:412,16,24,311,12,18,410,6,9,419,80,120,102,16,24,xxx</v>
      </c>
      <c r="AB106" s="78" t="str">
        <f t="shared" si="40"/>
        <v>1:412,16,24,311,12,18,410,6,9,419,80,120,102,16,24</v>
      </c>
      <c r="AC106" t="str">
        <f t="shared" si="30"/>
        <v>移动速度% {0}</v>
      </c>
      <c r="AD106" t="str">
        <f t="shared" si="31"/>
        <v>闪避几率% {1}</v>
      </c>
      <c r="AE106" t="str">
        <f t="shared" si="32"/>
        <v>冲刺冷却缩减% {2}</v>
      </c>
      <c r="AF106" t="str">
        <f t="shared" si="33"/>
        <v>冲刺距离 {3}</v>
      </c>
      <c r="AG106" t="str">
        <f t="shared" si="34"/>
        <v>敏捷 {4}</v>
      </c>
      <c r="AH106" t="str">
        <f t="shared" si="35"/>
        <v>xxx</v>
      </c>
      <c r="AI106" t="str">
        <f t="shared" si="23"/>
        <v xml:space="preserve">移动速度 {0}%
</v>
      </c>
      <c r="AJ106" t="str">
        <f t="shared" si="24"/>
        <v xml:space="preserve">闪避几率 {1}%
</v>
      </c>
      <c r="AK106" t="str">
        <f t="shared" si="25"/>
        <v xml:space="preserve">冲刺冷却缩减 {2}%
</v>
      </c>
      <c r="AL106" t="str">
        <f t="shared" si="26"/>
        <v xml:space="preserve">冲刺距离 {3}
</v>
      </c>
      <c r="AM106" t="str">
        <f t="shared" si="27"/>
        <v xml:space="preserve">敏捷 {4}
</v>
      </c>
      <c r="AN106" t="str">
        <f t="shared" si="41"/>
        <v>xxx</v>
      </c>
      <c r="AO106" t="str">
        <f t="shared" si="36"/>
        <v>移动速度 {0}%
闪避几率 {1}%
冲刺冷却缩减 {2}%
冲刺距离 {3}
敏捷 {4}
xxx</v>
      </c>
      <c r="AP106" s="6" t="str">
        <f t="shared" si="37"/>
        <v xml:space="preserve">移动速度 {0}%
闪避几率 {1}%
冲刺冷却缩减 {2}%
冲刺距离 {3}
敏捷 {4}
</v>
      </c>
      <c r="AQ106" s="80" t="s">
        <v>3401</v>
      </c>
      <c r="AR106" t="str">
        <f t="shared" si="39"/>
        <v xml:space="preserve">移动速度 {0}%
闪避几率 {1}%
冲刺冷却缩减 {2}%
冲刺距离 {3}
敏捷 {4}
</v>
      </c>
      <c r="AS106" s="81" t="str">
        <f t="shared" si="38"/>
        <v>移动速度 {0}%
闪避几率 {1}%
冲刺冷却缩减 {2}%
冲刺距离 {3}
敏捷 {4}</v>
      </c>
      <c r="BE106" s="46" t="s">
        <v>3027</v>
      </c>
      <c r="BF106" s="47" t="s">
        <v>2965</v>
      </c>
      <c r="BG106" s="53">
        <v>406</v>
      </c>
      <c r="BH106" s="59"/>
      <c r="BI106" s="111">
        <f t="shared" si="42"/>
        <v>0</v>
      </c>
      <c r="BJ106" s="59"/>
      <c r="BK106" s="18">
        <v>1</v>
      </c>
    </row>
    <row r="107" spans="3:63" ht="15.75" x14ac:dyDescent="0.3">
      <c r="C107" s="59">
        <v>14793</v>
      </c>
      <c r="D107" s="59" t="s">
        <v>264</v>
      </c>
      <c r="E107" s="59"/>
      <c r="F107" s="59" t="s">
        <v>2750</v>
      </c>
      <c r="G107" s="59"/>
      <c r="H107" s="72">
        <v>13</v>
      </c>
      <c r="I107" s="64" t="s">
        <v>2940</v>
      </c>
      <c r="J107" s="64">
        <v>3</v>
      </c>
      <c r="K107" s="64">
        <v>0.2</v>
      </c>
      <c r="L107" s="65" t="s">
        <v>3025</v>
      </c>
      <c r="M107" s="65">
        <v>4</v>
      </c>
      <c r="N107" s="65">
        <v>0.5</v>
      </c>
      <c r="O107" s="66" t="s">
        <v>2933</v>
      </c>
      <c r="P107" s="66">
        <v>2</v>
      </c>
      <c r="Q107" s="66">
        <v>0.2</v>
      </c>
      <c r="R107" s="64" t="s">
        <v>3240</v>
      </c>
      <c r="S107" s="64">
        <v>2</v>
      </c>
      <c r="T107" s="64">
        <v>0.2</v>
      </c>
      <c r="U107" s="65" t="s">
        <v>3244</v>
      </c>
      <c r="V107" s="65">
        <v>2</v>
      </c>
      <c r="W107" s="65">
        <v>0.2</v>
      </c>
      <c r="X107" s="66"/>
      <c r="Y107" s="66"/>
      <c r="Z107" s="66"/>
      <c r="AA107" s="71" t="str">
        <f t="shared" si="22"/>
        <v>1:412,24,36,404,1,3,217,16,24,434,16,24,805,0.4,0.6,xxx</v>
      </c>
      <c r="AB107" s="78" t="str">
        <f t="shared" si="40"/>
        <v>1:412,24,36,404,1,3,217,16,24,434,16,24,805,0.4,0.6</v>
      </c>
      <c r="AC107" t="str">
        <f t="shared" si="30"/>
        <v>移动速度% {0}</v>
      </c>
      <c r="AD107" t="str">
        <f t="shared" si="31"/>
        <v>子弹数量 {1}</v>
      </c>
      <c r="AE107" t="str">
        <f t="shared" si="32"/>
        <v>攻击速度% {2}</v>
      </c>
      <c r="AF107" t="str">
        <f t="shared" si="33"/>
        <v>子弹技能范围% {3}</v>
      </c>
      <c r="AG107" t="str">
        <f t="shared" si="34"/>
        <v>每移速额外提升攻速 {4}</v>
      </c>
      <c r="AH107" t="str">
        <f t="shared" si="35"/>
        <v>xxx</v>
      </c>
      <c r="AI107" t="str">
        <f t="shared" si="23"/>
        <v xml:space="preserve">移动速度 {0}%
</v>
      </c>
      <c r="AJ107" t="str">
        <f t="shared" si="24"/>
        <v xml:space="preserve">子弹数量 {1}
</v>
      </c>
      <c r="AK107" t="str">
        <f t="shared" si="25"/>
        <v xml:space="preserve">攻击速度 {2}%
</v>
      </c>
      <c r="AL107" t="str">
        <f t="shared" si="26"/>
        <v xml:space="preserve">子弹技能范围 {3}%
</v>
      </c>
      <c r="AM107" t="str">
        <f t="shared" si="27"/>
        <v xml:space="preserve">每移速额外提升攻速 {4}%
</v>
      </c>
      <c r="AN107" t="str">
        <f t="shared" si="41"/>
        <v>xxx</v>
      </c>
      <c r="AO107" t="str">
        <f t="shared" si="36"/>
        <v>移动速度 {0}%
子弹数量 {1}
攻击速度 {2}%
子弹技能范围 {3}%
每移速额外提升攻速 {4}%
xxx</v>
      </c>
      <c r="AP107" s="6" t="str">
        <f t="shared" si="37"/>
        <v xml:space="preserve">移动速度 {0}%
子弹数量 {1}
攻击速度 {2}%
子弹技能范围 {3}%
每移速额外提升攻速 {4}%
</v>
      </c>
      <c r="AQ107" s="80" t="s">
        <v>3402</v>
      </c>
      <c r="AR107" t="str">
        <f t="shared" si="39"/>
        <v xml:space="preserve">移动速度 {0}%
子弹数量 {1}
攻击速度 {2}%
子弹技能范围 {3}%
每移速额外提升攻速 {4}%
</v>
      </c>
      <c r="AS107" s="81" t="str">
        <f t="shared" si="38"/>
        <v>移动速度 {0}%
子弹数量 {1}
攻击速度 {2}%
子弹技能范围 {3}%
每移速额外提升攻速 {4}%</v>
      </c>
      <c r="BE107" s="46" t="s">
        <v>3185</v>
      </c>
      <c r="BF107" s="48" t="s">
        <v>2968</v>
      </c>
      <c r="BG107" s="53">
        <v>407</v>
      </c>
      <c r="BH107" s="59">
        <v>20</v>
      </c>
      <c r="BI107" s="111">
        <f t="shared" si="42"/>
        <v>3.5947712418300658E-2</v>
      </c>
      <c r="BJ107" s="59"/>
      <c r="BK107" s="18">
        <v>2</v>
      </c>
    </row>
    <row r="108" spans="3:63" ht="15.75" x14ac:dyDescent="0.3">
      <c r="C108" s="59">
        <v>14794</v>
      </c>
      <c r="D108" s="75" t="s">
        <v>266</v>
      </c>
      <c r="E108" s="75">
        <v>5</v>
      </c>
      <c r="F108" s="75" t="s">
        <v>2750</v>
      </c>
      <c r="G108" s="75"/>
      <c r="H108" s="72">
        <v>0</v>
      </c>
      <c r="I108" s="64"/>
      <c r="J108" s="64"/>
      <c r="K108" s="64"/>
      <c r="L108" s="65"/>
      <c r="M108" s="65"/>
      <c r="N108" s="65"/>
      <c r="O108" s="66"/>
      <c r="P108" s="66"/>
      <c r="Q108" s="66"/>
      <c r="R108" s="64"/>
      <c r="S108" s="64"/>
      <c r="T108" s="64"/>
      <c r="U108" s="65"/>
      <c r="V108" s="65"/>
      <c r="W108" s="65"/>
      <c r="X108" s="66"/>
      <c r="Y108" s="66"/>
      <c r="Z108" s="66"/>
      <c r="AA108" s="71" t="str">
        <f t="shared" si="22"/>
        <v>1:xxxxxxxxxxxxxxxxxx</v>
      </c>
      <c r="AB108" s="78" t="str">
        <f t="shared" si="40"/>
        <v/>
      </c>
      <c r="AC108" t="str">
        <f t="shared" si="30"/>
        <v>xxx</v>
      </c>
      <c r="AD108" t="str">
        <f t="shared" si="31"/>
        <v>xxx</v>
      </c>
      <c r="AE108" t="str">
        <f t="shared" si="32"/>
        <v>xxx</v>
      </c>
      <c r="AF108" t="str">
        <f t="shared" si="33"/>
        <v>xxx</v>
      </c>
      <c r="AG108" t="str">
        <f t="shared" si="34"/>
        <v>xxx</v>
      </c>
      <c r="AH108" t="str">
        <f t="shared" si="35"/>
        <v>xxx</v>
      </c>
      <c r="AI108" t="str">
        <f t="shared" si="23"/>
        <v>xxx</v>
      </c>
      <c r="AJ108" t="str">
        <f t="shared" si="24"/>
        <v>xxx</v>
      </c>
      <c r="AK108" t="str">
        <f t="shared" si="25"/>
        <v>xxx</v>
      </c>
      <c r="AL108" t="str">
        <f t="shared" si="26"/>
        <v>xxx</v>
      </c>
      <c r="AM108" t="str">
        <f t="shared" si="27"/>
        <v>xxx</v>
      </c>
      <c r="AN108" t="str">
        <f t="shared" si="41"/>
        <v>xxx</v>
      </c>
      <c r="AO108" t="str">
        <f t="shared" si="36"/>
        <v>xxxxxxxxxxxxxxxxxx</v>
      </c>
      <c r="AP108" s="6" t="str">
        <f t="shared" si="37"/>
        <v/>
      </c>
      <c r="AQ108" s="80" t="s">
        <v>3403</v>
      </c>
      <c r="AR108" t="str">
        <f t="shared" si="39"/>
        <v>物品稀有度提高{0}%
火焰抗性+{1}%
移动速度+{2}%</v>
      </c>
      <c r="AS108" s="81" t="str">
        <f t="shared" si="38"/>
        <v>物品稀有度提高{0}%
火焰抗性+{1}%
移动速度+{2}%</v>
      </c>
      <c r="BE108" s="46" t="s">
        <v>3029</v>
      </c>
      <c r="BF108" s="47" t="s">
        <v>2965</v>
      </c>
      <c r="BG108" s="53">
        <v>408</v>
      </c>
      <c r="BH108" s="59">
        <v>1</v>
      </c>
      <c r="BI108" s="111">
        <f t="shared" si="42"/>
        <v>3.2679738562091504E-3</v>
      </c>
      <c r="BJ108" s="59"/>
      <c r="BK108" s="18">
        <v>1</v>
      </c>
    </row>
    <row r="109" spans="3:63" ht="15.75" x14ac:dyDescent="0.3">
      <c r="C109" s="59">
        <v>14795</v>
      </c>
      <c r="D109" s="59" t="s">
        <v>268</v>
      </c>
      <c r="E109" s="59">
        <v>3</v>
      </c>
      <c r="F109" s="59" t="s">
        <v>2750</v>
      </c>
      <c r="G109" s="59"/>
      <c r="H109" s="72">
        <v>12</v>
      </c>
      <c r="I109" s="64" t="s">
        <v>2940</v>
      </c>
      <c r="J109" s="64">
        <v>2</v>
      </c>
      <c r="K109" s="64">
        <v>0.2</v>
      </c>
      <c r="L109" s="65" t="s">
        <v>3166</v>
      </c>
      <c r="M109" s="65">
        <v>5</v>
      </c>
      <c r="N109" s="65">
        <v>0.2</v>
      </c>
      <c r="O109" s="66" t="s">
        <v>2956</v>
      </c>
      <c r="P109" s="66">
        <v>3</v>
      </c>
      <c r="Q109" s="66">
        <v>0.2</v>
      </c>
      <c r="R109" s="64" t="s">
        <v>3245</v>
      </c>
      <c r="S109" s="64">
        <v>2</v>
      </c>
      <c r="T109" s="64">
        <v>0.2</v>
      </c>
      <c r="U109" s="65"/>
      <c r="V109" s="65"/>
      <c r="W109" s="65"/>
      <c r="X109" s="66"/>
      <c r="Y109" s="66"/>
      <c r="Z109" s="66"/>
      <c r="AA109" s="71" t="str">
        <f t="shared" si="22"/>
        <v>1:412,16,24,242,40,60,209,24,36,225,8,12,xxxxxx</v>
      </c>
      <c r="AB109" s="78" t="str">
        <f t="shared" si="40"/>
        <v>1:412,16,24,242,40,60,209,24,36,225,8,12</v>
      </c>
      <c r="AC109" t="str">
        <f t="shared" si="30"/>
        <v>移动速度% {0}</v>
      </c>
      <c r="AD109" t="str">
        <f t="shared" si="31"/>
        <v>中毒系数 {1}</v>
      </c>
      <c r="AE109" t="str">
        <f t="shared" si="32"/>
        <v>混沌伤害 {2}</v>
      </c>
      <c r="AF109" t="str">
        <f t="shared" si="33"/>
        <v>混沌减抗% {3}</v>
      </c>
      <c r="AG109" t="str">
        <f t="shared" si="34"/>
        <v>xxx</v>
      </c>
      <c r="AH109" t="str">
        <f t="shared" si="35"/>
        <v>xxx</v>
      </c>
      <c r="AI109" t="str">
        <f t="shared" si="23"/>
        <v xml:space="preserve">移动速度 {0}%
</v>
      </c>
      <c r="AJ109" t="str">
        <f t="shared" si="24"/>
        <v xml:space="preserve">中毒系数 {1}%
</v>
      </c>
      <c r="AK109" t="str">
        <f t="shared" si="25"/>
        <v xml:space="preserve">混沌伤害 {2}
</v>
      </c>
      <c r="AL109" t="str">
        <f t="shared" si="26"/>
        <v xml:space="preserve">混沌减抗 {3}%
</v>
      </c>
      <c r="AM109" t="str">
        <f t="shared" si="27"/>
        <v>xxx</v>
      </c>
      <c r="AN109" t="str">
        <f t="shared" si="41"/>
        <v>xxx</v>
      </c>
      <c r="AO109" t="str">
        <f t="shared" si="36"/>
        <v>移动速度 {0}%
中毒系数 {1}%
混沌伤害 {2}
混沌减抗 {3}%
xxxxxx</v>
      </c>
      <c r="AP109" s="6" t="str">
        <f t="shared" si="37"/>
        <v xml:space="preserve">移动速度 {0}%
中毒系数 {1}%
混沌伤害 {2}
混沌减抗 {3}%
</v>
      </c>
      <c r="AQ109" s="80" t="s">
        <v>3404</v>
      </c>
      <c r="AR109" t="str">
        <f t="shared" si="39"/>
        <v xml:space="preserve">移动速度 {0}%
中毒系数 {1}%
混沌伤害 {2}
混沌减抗 {3}%
</v>
      </c>
      <c r="AS109" s="81" t="str">
        <f t="shared" si="38"/>
        <v>移动速度 {0}%
中毒系数 {1}%
混沌伤害 {2}
混沌减抗 {3}%</v>
      </c>
      <c r="BE109" s="46" t="s">
        <v>3152</v>
      </c>
      <c r="BF109" s="48" t="s">
        <v>2968</v>
      </c>
      <c r="BG109" s="53">
        <v>409</v>
      </c>
      <c r="BH109" s="59">
        <v>5</v>
      </c>
      <c r="BI109" s="111">
        <f t="shared" si="42"/>
        <v>6.8627450980392163E-2</v>
      </c>
      <c r="BJ109" s="59"/>
      <c r="BK109" s="18">
        <v>2</v>
      </c>
    </row>
    <row r="110" spans="3:63" ht="15.75" x14ac:dyDescent="0.3">
      <c r="C110" s="59">
        <v>14796</v>
      </c>
      <c r="D110" s="59" t="s">
        <v>270</v>
      </c>
      <c r="E110" s="59"/>
      <c r="F110" s="59" t="s">
        <v>2750</v>
      </c>
      <c r="G110" s="59"/>
      <c r="H110" s="72">
        <v>12.5</v>
      </c>
      <c r="I110" s="64" t="s">
        <v>2940</v>
      </c>
      <c r="J110" s="64">
        <v>3.5</v>
      </c>
      <c r="K110" s="64">
        <v>0.2</v>
      </c>
      <c r="L110" s="65" t="s">
        <v>2942</v>
      </c>
      <c r="M110" s="65">
        <v>5</v>
      </c>
      <c r="N110" s="65">
        <v>0.2</v>
      </c>
      <c r="O110" s="66" t="s">
        <v>2949</v>
      </c>
      <c r="P110" s="66">
        <v>2</v>
      </c>
      <c r="Q110" s="66">
        <v>0.2</v>
      </c>
      <c r="R110" s="64" t="s">
        <v>3246</v>
      </c>
      <c r="S110" s="64">
        <v>2</v>
      </c>
      <c r="T110" s="64">
        <v>0.2</v>
      </c>
      <c r="U110" s="65"/>
      <c r="V110" s="65"/>
      <c r="W110" s="65"/>
      <c r="X110" s="66"/>
      <c r="Y110" s="66"/>
      <c r="Z110" s="66"/>
      <c r="AA110" s="71" t="str">
        <f t="shared" si="22"/>
        <v>1:412,28,42,102,40,60,311,8,12,803,0.4,0.6,xxxxxx</v>
      </c>
      <c r="AB110" s="78" t="str">
        <f t="shared" si="40"/>
        <v>1:412,28,42,102,40,60,311,8,12,803,0.4,0.6</v>
      </c>
      <c r="AC110" t="str">
        <f t="shared" si="30"/>
        <v>移动速度% {0}</v>
      </c>
      <c r="AD110" t="str">
        <f t="shared" si="31"/>
        <v>敏捷 {1}</v>
      </c>
      <c r="AE110" t="str">
        <f t="shared" si="32"/>
        <v>闪避几率% {2}</v>
      </c>
      <c r="AF110" t="str">
        <f t="shared" si="33"/>
        <v>每点敏捷额外提升移速 {3}</v>
      </c>
      <c r="AG110" t="str">
        <f t="shared" si="34"/>
        <v>xxx</v>
      </c>
      <c r="AH110" t="str">
        <f t="shared" si="35"/>
        <v>xxx</v>
      </c>
      <c r="AI110" t="str">
        <f t="shared" si="23"/>
        <v xml:space="preserve">移动速度 {0}%
</v>
      </c>
      <c r="AJ110" t="str">
        <f t="shared" si="24"/>
        <v xml:space="preserve">敏捷 {1}
</v>
      </c>
      <c r="AK110" t="str">
        <f t="shared" si="25"/>
        <v xml:space="preserve">闪避几率 {2}%
</v>
      </c>
      <c r="AL110" t="str">
        <f t="shared" si="26"/>
        <v xml:space="preserve">每点敏捷额外提升移速 {3}%
</v>
      </c>
      <c r="AM110" t="str">
        <f t="shared" si="27"/>
        <v>xxx</v>
      </c>
      <c r="AN110" t="str">
        <f t="shared" si="41"/>
        <v>xxx</v>
      </c>
      <c r="AO110" t="str">
        <f t="shared" si="36"/>
        <v>移动速度 {0}%
敏捷 {1}
闪避几率 {2}%
每点敏捷额外提升移速 {3}%
xxxxxx</v>
      </c>
      <c r="AP110" s="6" t="str">
        <f t="shared" si="37"/>
        <v xml:space="preserve">移动速度 {0}%
敏捷 {1}
闪避几率 {2}%
每点敏捷额外提升移速 {3}%
</v>
      </c>
      <c r="AQ110" s="80" t="s">
        <v>3405</v>
      </c>
      <c r="AR110" t="str">
        <f t="shared" si="39"/>
        <v xml:space="preserve">移动速度 {0}%
敏捷 {1}
闪避几率 {2}%
每点敏捷额外提升移速 {3}%
</v>
      </c>
      <c r="AS110" s="81" t="str">
        <f t="shared" si="38"/>
        <v>移动速度 {0}%
敏捷 {1}
闪避几率 {2}%
每点敏捷额外提升移速 {3}%</v>
      </c>
      <c r="BE110" s="46" t="s">
        <v>3229</v>
      </c>
      <c r="BF110" s="48" t="s">
        <v>2968</v>
      </c>
      <c r="BG110" s="53">
        <v>410</v>
      </c>
      <c r="BH110" s="59">
        <v>5</v>
      </c>
      <c r="BI110" s="111">
        <f t="shared" si="42"/>
        <v>1.9607843137254902E-2</v>
      </c>
      <c r="BJ110" s="59"/>
      <c r="BK110" s="18">
        <v>2</v>
      </c>
    </row>
    <row r="111" spans="3:63" ht="15.75" x14ac:dyDescent="0.3">
      <c r="C111" s="77">
        <v>14797</v>
      </c>
      <c r="D111" s="77" t="s">
        <v>272</v>
      </c>
      <c r="E111" s="77">
        <v>-99</v>
      </c>
      <c r="F111" s="77" t="s">
        <v>2750</v>
      </c>
      <c r="G111" s="77"/>
      <c r="H111" s="100">
        <v>0</v>
      </c>
      <c r="I111" s="64"/>
      <c r="J111" s="64"/>
      <c r="K111" s="64"/>
      <c r="L111" s="65"/>
      <c r="M111" s="65"/>
      <c r="N111" s="65"/>
      <c r="O111" s="66"/>
      <c r="P111" s="66"/>
      <c r="Q111" s="66"/>
      <c r="R111" s="64"/>
      <c r="S111" s="64"/>
      <c r="T111" s="64"/>
      <c r="U111" s="65"/>
      <c r="V111" s="65"/>
      <c r="W111" s="65"/>
      <c r="X111" s="66"/>
      <c r="Y111" s="66"/>
      <c r="Z111" s="66"/>
      <c r="AA111" s="71" t="str">
        <f t="shared" si="22"/>
        <v>1:xxxxxxxxxxxxxxxxxx</v>
      </c>
      <c r="AB111" s="78" t="str">
        <f t="shared" si="40"/>
        <v/>
      </c>
      <c r="AC111" t="str">
        <f t="shared" si="30"/>
        <v>xxx</v>
      </c>
      <c r="AD111" t="str">
        <f t="shared" si="31"/>
        <v>xxx</v>
      </c>
      <c r="AE111" t="str">
        <f t="shared" si="32"/>
        <v>xxx</v>
      </c>
      <c r="AF111" t="str">
        <f t="shared" si="33"/>
        <v>xxx</v>
      </c>
      <c r="AG111" t="str">
        <f t="shared" si="34"/>
        <v>xxx</v>
      </c>
      <c r="AH111" t="str">
        <f t="shared" si="35"/>
        <v>xxx</v>
      </c>
      <c r="AI111" t="str">
        <f t="shared" si="23"/>
        <v>xxx</v>
      </c>
      <c r="AJ111" t="str">
        <f t="shared" si="24"/>
        <v>xxx</v>
      </c>
      <c r="AK111" t="str">
        <f t="shared" si="25"/>
        <v>xxx</v>
      </c>
      <c r="AL111" t="str">
        <f t="shared" si="26"/>
        <v>xxx</v>
      </c>
      <c r="AM111" t="str">
        <f t="shared" si="27"/>
        <v>xxx</v>
      </c>
      <c r="AN111" t="str">
        <f t="shared" si="41"/>
        <v>xxx</v>
      </c>
      <c r="AO111" t="str">
        <f t="shared" si="36"/>
        <v>xxxxxxxxxxxxxxxxxx</v>
      </c>
      <c r="AP111" s="6" t="str">
        <f t="shared" si="37"/>
        <v/>
      </c>
      <c r="AQ111" s="80" t="s">
        <v>3406</v>
      </c>
      <c r="AR111" t="str">
        <f t="shared" si="39"/>
        <v>智力+(10–20) 
移动速度+ 15%
满血时移动速度+ 20%</v>
      </c>
      <c r="AS111" s="81" t="str">
        <f t="shared" si="38"/>
        <v>智力+(10–20) 
移动速度+ 15%
满血时移动速度+ 20%</v>
      </c>
      <c r="BE111" s="46" t="s">
        <v>3031</v>
      </c>
      <c r="BF111" s="47" t="s">
        <v>2965</v>
      </c>
      <c r="BG111" s="53">
        <v>411</v>
      </c>
      <c r="BH111" s="59"/>
      <c r="BI111" s="111">
        <f t="shared" si="42"/>
        <v>1.6339869281045753E-2</v>
      </c>
      <c r="BJ111" s="59"/>
      <c r="BK111" s="18">
        <v>1</v>
      </c>
    </row>
    <row r="112" spans="3:63" ht="15.75" x14ac:dyDescent="0.3">
      <c r="C112" s="59">
        <v>14798</v>
      </c>
      <c r="D112" s="59" t="s">
        <v>273</v>
      </c>
      <c r="E112" s="59"/>
      <c r="F112" s="59" t="s">
        <v>2750</v>
      </c>
      <c r="G112" s="59"/>
      <c r="H112" s="72">
        <v>12</v>
      </c>
      <c r="I112" s="64" t="s">
        <v>2940</v>
      </c>
      <c r="J112" s="64">
        <v>2</v>
      </c>
      <c r="K112" s="64">
        <v>0.2</v>
      </c>
      <c r="L112" s="65" t="s">
        <v>2934</v>
      </c>
      <c r="M112" s="65">
        <v>4</v>
      </c>
      <c r="N112" s="65">
        <v>0.2</v>
      </c>
      <c r="O112" s="66" t="s">
        <v>3247</v>
      </c>
      <c r="P112" s="66">
        <v>2</v>
      </c>
      <c r="Q112" s="66">
        <v>0.2</v>
      </c>
      <c r="R112" s="64" t="s">
        <v>3188</v>
      </c>
      <c r="S112" s="64">
        <v>2</v>
      </c>
      <c r="T112" s="64">
        <v>0.2</v>
      </c>
      <c r="U112" s="65" t="s">
        <v>3195</v>
      </c>
      <c r="V112" s="65">
        <v>2</v>
      </c>
      <c r="W112" s="65">
        <v>0.2</v>
      </c>
      <c r="X112" s="66"/>
      <c r="Y112" s="66"/>
      <c r="Z112" s="66"/>
      <c r="AA112" s="71" t="str">
        <f t="shared" si="22"/>
        <v>1:412,16,24,701,160,240,718,80,120,719,1.6,2.4,722,8,12,xxx</v>
      </c>
      <c r="AB112" s="78" t="str">
        <f t="shared" si="40"/>
        <v>1:412,16,24,701,160,240,718,80,120,719,1.6,2.4,722,8,12</v>
      </c>
      <c r="AC112" t="str">
        <f t="shared" si="30"/>
        <v>移动速度% {0}</v>
      </c>
      <c r="AD112" t="str">
        <f t="shared" si="31"/>
        <v>召唤物生命值 {1}</v>
      </c>
      <c r="AE112" t="str">
        <f t="shared" si="32"/>
        <v>召唤物护甲 {2}</v>
      </c>
      <c r="AF112" t="str">
        <f t="shared" si="33"/>
        <v>召唤物百分比回血 {3}</v>
      </c>
      <c r="AG112" t="str">
        <f t="shared" si="34"/>
        <v>召唤物格挡几率 {4}</v>
      </c>
      <c r="AH112" t="str">
        <f t="shared" si="35"/>
        <v>xxx</v>
      </c>
      <c r="AI112" t="str">
        <f t="shared" si="23"/>
        <v xml:space="preserve">移动速度 {0}%
</v>
      </c>
      <c r="AJ112" t="str">
        <f t="shared" si="24"/>
        <v xml:space="preserve">召唤物生命值 {1}
</v>
      </c>
      <c r="AK112" t="str">
        <f t="shared" si="25"/>
        <v xml:space="preserve">召唤物护甲 {2}
</v>
      </c>
      <c r="AL112" t="str">
        <f t="shared" si="26"/>
        <v xml:space="preserve">召唤物百分比回血 {3}%
</v>
      </c>
      <c r="AM112" t="str">
        <f t="shared" si="27"/>
        <v xml:space="preserve">召唤物格挡几率 {4}%
</v>
      </c>
      <c r="AN112" t="str">
        <f t="shared" si="41"/>
        <v>xxx</v>
      </c>
      <c r="AO112" t="str">
        <f t="shared" si="36"/>
        <v>移动速度 {0}%
召唤物生命值 {1}
召唤物护甲 {2}
召唤物百分比回血 {3}%
召唤物格挡几率 {4}%
xxx</v>
      </c>
      <c r="AP112" s="6" t="str">
        <f t="shared" si="37"/>
        <v xml:space="preserve">移动速度 {0}%
召唤物生命值 {1}
召唤物护甲 {2}
召唤物百分比回血 {3}%
召唤物格挡几率 {4}%
</v>
      </c>
      <c r="AQ112" s="80" t="s">
        <v>3407</v>
      </c>
      <c r="AR112" t="str">
        <f t="shared" si="39"/>
        <v xml:space="preserve">移动速度 {0}%
召唤物生命值 {1}
召唤物护甲 {2}
召唤物百分比回血 {3}%
召唤物格挡几率 {4}%
</v>
      </c>
      <c r="AS112" s="81" t="str">
        <f t="shared" si="38"/>
        <v>移动速度 {0}%
召唤物生命值 {1}
召唤物护甲 {2}
召唤物百分比回血 {3}%
召唤物格挡几率 {4}%</v>
      </c>
      <c r="BE112" s="46" t="s">
        <v>2940</v>
      </c>
      <c r="BF112" s="48" t="s">
        <v>2968</v>
      </c>
      <c r="BG112" s="53">
        <v>412</v>
      </c>
      <c r="BH112" s="59">
        <v>10</v>
      </c>
      <c r="BI112" s="111">
        <f t="shared" si="42"/>
        <v>0.15032679738562094</v>
      </c>
      <c r="BJ112" s="59"/>
      <c r="BK112" s="18">
        <v>2</v>
      </c>
    </row>
    <row r="113" spans="3:63" ht="15.75" x14ac:dyDescent="0.3">
      <c r="C113" s="59">
        <v>14799</v>
      </c>
      <c r="D113" s="59" t="s">
        <v>3700</v>
      </c>
      <c r="E113" s="59"/>
      <c r="F113" s="59" t="s">
        <v>2750</v>
      </c>
      <c r="G113" s="59"/>
      <c r="H113" s="72">
        <v>12</v>
      </c>
      <c r="I113" s="64" t="s">
        <v>2940</v>
      </c>
      <c r="J113" s="64">
        <v>-1</v>
      </c>
      <c r="K113" s="64">
        <v>0.2</v>
      </c>
      <c r="L113" s="65" t="s">
        <v>2957</v>
      </c>
      <c r="M113" s="65">
        <v>5</v>
      </c>
      <c r="N113" s="65">
        <v>0.2</v>
      </c>
      <c r="O113" s="66" t="s">
        <v>2963</v>
      </c>
      <c r="P113" s="66">
        <v>3</v>
      </c>
      <c r="Q113" s="66">
        <v>0.2</v>
      </c>
      <c r="R113" s="64" t="s">
        <v>3198</v>
      </c>
      <c r="S113" s="64">
        <v>2</v>
      </c>
      <c r="T113" s="64">
        <v>0.2</v>
      </c>
      <c r="U113" s="65" t="s">
        <v>3180</v>
      </c>
      <c r="V113" s="65">
        <v>3</v>
      </c>
      <c r="W113" s="65">
        <v>0.2</v>
      </c>
      <c r="X113" s="66"/>
      <c r="Y113" s="66"/>
      <c r="Z113" s="66"/>
      <c r="AA113" s="71" t="str">
        <f t="shared" si="22"/>
        <v>1:412,-8,-12,305,400,600,413,24,36,817,1.6,2.4,300,48,72,xxx</v>
      </c>
      <c r="AB113" s="78" t="str">
        <f t="shared" si="40"/>
        <v>1:412,-8,-12,305,400,600,413,24,36,817,1.6,2.4,300,48,72</v>
      </c>
      <c r="AC113" t="str">
        <f t="shared" si="30"/>
        <v>xxx</v>
      </c>
      <c r="AD113" t="str">
        <f t="shared" si="31"/>
        <v>护甲值 {1}</v>
      </c>
      <c r="AE113" t="str">
        <f t="shared" si="32"/>
        <v>荆棘 {2}</v>
      </c>
      <c r="AF113" t="str">
        <f t="shared" si="33"/>
        <v>护甲转化荆棘 {3}</v>
      </c>
      <c r="AG113" t="str">
        <f t="shared" si="34"/>
        <v>最大生命值 {4}</v>
      </c>
      <c r="AH113" t="str">
        <f t="shared" si="35"/>
        <v>xxx</v>
      </c>
      <c r="AI113" t="str">
        <f t="shared" si="23"/>
        <v>xxx</v>
      </c>
      <c r="AJ113" t="str">
        <f t="shared" si="24"/>
        <v>xxx</v>
      </c>
      <c r="AK113" t="str">
        <f t="shared" si="25"/>
        <v>xxx</v>
      </c>
      <c r="AL113" t="str">
        <f t="shared" si="26"/>
        <v>xxx</v>
      </c>
      <c r="AM113" t="str">
        <f t="shared" si="27"/>
        <v>xxx</v>
      </c>
      <c r="AN113" t="str">
        <f t="shared" si="41"/>
        <v>xxx</v>
      </c>
      <c r="AO113" t="str">
        <f t="shared" si="36"/>
        <v>xxxxxxxxxxxxxxxxxx</v>
      </c>
      <c r="AP113" s="6" t="str">
        <f t="shared" si="37"/>
        <v/>
      </c>
      <c r="AQ113" s="80" t="s">
        <v>3408</v>
      </c>
      <c r="AR113" t="str">
        <f t="shared" si="39"/>
        <v>力量+（10~20）
敏捷+（10~20）
移动速度加快 20%
生命值低于50%时移动速度减慢 40%</v>
      </c>
      <c r="AS113" s="81" t="str">
        <f t="shared" si="38"/>
        <v>力量+（10~20）
敏捷+（10~20）
移动速度加快 20%
生命值低于50%时移动速度减慢 40%</v>
      </c>
      <c r="BE113" s="46" t="s">
        <v>2963</v>
      </c>
      <c r="BF113" s="47" t="s">
        <v>2965</v>
      </c>
      <c r="BG113" s="53">
        <v>413</v>
      </c>
      <c r="BH113" s="59">
        <v>10</v>
      </c>
      <c r="BI113" s="111">
        <f t="shared" si="42"/>
        <v>3.2679738562091505E-2</v>
      </c>
      <c r="BJ113" s="59"/>
      <c r="BK113" s="18">
        <v>1</v>
      </c>
    </row>
    <row r="114" spans="3:63" ht="15.75" x14ac:dyDescent="0.3">
      <c r="C114" s="59">
        <v>14800</v>
      </c>
      <c r="D114" s="59" t="s">
        <v>276</v>
      </c>
      <c r="E114" s="59">
        <v>5</v>
      </c>
      <c r="F114" s="59" t="s">
        <v>2750</v>
      </c>
      <c r="G114" s="59"/>
      <c r="H114" s="72">
        <v>12</v>
      </c>
      <c r="I114" s="64" t="s">
        <v>2940</v>
      </c>
      <c r="J114" s="64">
        <v>2</v>
      </c>
      <c r="K114" s="64">
        <v>0.2</v>
      </c>
      <c r="L114" s="65" t="s">
        <v>2972</v>
      </c>
      <c r="M114" s="65">
        <v>5</v>
      </c>
      <c r="N114" s="65">
        <v>0.2</v>
      </c>
      <c r="O114" s="66" t="s">
        <v>3173</v>
      </c>
      <c r="P114" s="66">
        <v>3</v>
      </c>
      <c r="Q114" s="66">
        <v>0.2</v>
      </c>
      <c r="R114" s="64" t="s">
        <v>2944</v>
      </c>
      <c r="S114" s="64">
        <v>2</v>
      </c>
      <c r="T114" s="64">
        <v>0.2</v>
      </c>
      <c r="U114" s="65"/>
      <c r="V114" s="65"/>
      <c r="W114" s="65"/>
      <c r="X114" s="66"/>
      <c r="Y114" s="66"/>
      <c r="Z114" s="66"/>
      <c r="AA114" s="71" t="str">
        <f t="shared" si="22"/>
        <v>1:412,16,24,207,40,60,230,24,36,317,16,24,xxxxxx</v>
      </c>
      <c r="AB114" s="78" t="str">
        <f t="shared" si="40"/>
        <v>1:412,16,24,207,40,60,230,24,36,317,16,24</v>
      </c>
      <c r="AC114" t="str">
        <f t="shared" si="30"/>
        <v>移动速度% {0}</v>
      </c>
      <c r="AD114" t="str">
        <f t="shared" si="31"/>
        <v>火焰伤害 {1}</v>
      </c>
      <c r="AE114" t="str">
        <f t="shared" si="32"/>
        <v>附加火焰伤害 {2}</v>
      </c>
      <c r="AF114" t="str">
        <f t="shared" si="33"/>
        <v>火焰抗性% {3}</v>
      </c>
      <c r="AG114" t="str">
        <f t="shared" si="34"/>
        <v>xxx</v>
      </c>
      <c r="AH114" t="str">
        <f t="shared" si="35"/>
        <v>xxx</v>
      </c>
      <c r="AI114" t="str">
        <f t="shared" si="23"/>
        <v xml:space="preserve">移动速度 {0}%
</v>
      </c>
      <c r="AJ114" t="str">
        <f t="shared" si="24"/>
        <v xml:space="preserve">火焰伤害 {1}
</v>
      </c>
      <c r="AK114" t="str">
        <f t="shared" si="25"/>
        <v xml:space="preserve">附加火焰伤害 {2}%
</v>
      </c>
      <c r="AL114" t="str">
        <f t="shared" si="26"/>
        <v xml:space="preserve">火焰抗性 {3}%
</v>
      </c>
      <c r="AM114" t="str">
        <f t="shared" si="27"/>
        <v>xxx</v>
      </c>
      <c r="AN114" t="str">
        <f t="shared" si="41"/>
        <v>xxx</v>
      </c>
      <c r="AO114" t="str">
        <f t="shared" si="36"/>
        <v>移动速度 {0}%
火焰伤害 {1}
附加火焰伤害 {2}%
火焰抗性 {3}%
xxxxxx</v>
      </c>
      <c r="AP114" s="6" t="str">
        <f t="shared" si="37"/>
        <v xml:space="preserve">移动速度 {0}%
火焰伤害 {1}
附加火焰伤害 {2}%
火焰抗性 {3}%
</v>
      </c>
      <c r="AQ114" s="80" t="s">
        <v>3409</v>
      </c>
      <c r="AR114" t="str">
        <f t="shared" si="39"/>
        <v xml:space="preserve">移动速度 {0}%
火焰伤害 {1}
附加火焰伤害 {2}%
火焰抗性 {3}%
</v>
      </c>
      <c r="AS114" s="81" t="str">
        <f t="shared" si="38"/>
        <v>移动速度 {0}%
火焰伤害 {1}
附加火焰伤害 {2}%
火焰抗性 {3}%</v>
      </c>
      <c r="BE114" s="46" t="s">
        <v>3032</v>
      </c>
      <c r="BF114" s="48" t="s">
        <v>2968</v>
      </c>
      <c r="BG114" s="53">
        <v>414</v>
      </c>
      <c r="BH114" s="59">
        <v>5</v>
      </c>
      <c r="BI114" s="111">
        <f t="shared" si="42"/>
        <v>1.6339869281045753E-2</v>
      </c>
      <c r="BJ114" s="59"/>
      <c r="BK114" s="18">
        <v>2</v>
      </c>
    </row>
    <row r="115" spans="3:63" ht="15.75" x14ac:dyDescent="0.3">
      <c r="C115" s="59">
        <v>14801</v>
      </c>
      <c r="D115" s="59" t="s">
        <v>3701</v>
      </c>
      <c r="E115" s="59"/>
      <c r="F115" s="59" t="s">
        <v>2750</v>
      </c>
      <c r="G115" s="59"/>
      <c r="H115" s="72">
        <v>13</v>
      </c>
      <c r="I115" s="64" t="s">
        <v>2940</v>
      </c>
      <c r="J115" s="64">
        <v>-1</v>
      </c>
      <c r="K115" s="64">
        <v>0.2</v>
      </c>
      <c r="L115" s="65" t="s">
        <v>3146</v>
      </c>
      <c r="M115" s="65">
        <v>4</v>
      </c>
      <c r="N115" s="65">
        <v>0.2</v>
      </c>
      <c r="O115" s="66" t="s">
        <v>2926</v>
      </c>
      <c r="P115" s="66">
        <v>3</v>
      </c>
      <c r="Q115" s="66">
        <v>0.2</v>
      </c>
      <c r="R115" s="64" t="s">
        <v>2928</v>
      </c>
      <c r="S115" s="64">
        <v>2</v>
      </c>
      <c r="T115" s="64">
        <v>0.2</v>
      </c>
      <c r="U115" s="65" t="s">
        <v>2957</v>
      </c>
      <c r="V115" s="65">
        <v>3</v>
      </c>
      <c r="W115" s="65">
        <v>0.2</v>
      </c>
      <c r="X115" s="66" t="s">
        <v>2946</v>
      </c>
      <c r="Y115" s="66">
        <v>2</v>
      </c>
      <c r="Z115" s="66">
        <v>0.2</v>
      </c>
      <c r="AA115" s="71" t="str">
        <f t="shared" si="22"/>
        <v>1:412,-8,-12,241,32,48,214,24,36,223,8,12,305,240,360,306,16,24,</v>
      </c>
      <c r="AB115" s="78" t="str">
        <f t="shared" si="40"/>
        <v>1:412,-8,-12,241,32,48,214,24,36,223,8,12,305,240,360,306,16,24</v>
      </c>
      <c r="AC115" t="str">
        <f t="shared" si="30"/>
        <v>xxx</v>
      </c>
      <c r="AD115" t="str">
        <f t="shared" si="31"/>
        <v>灼烧系数 {1}</v>
      </c>
      <c r="AE115" t="str">
        <f t="shared" si="32"/>
        <v>火焰伤害% {2}</v>
      </c>
      <c r="AF115" t="str">
        <f t="shared" si="33"/>
        <v>火焰减抗% {3}</v>
      </c>
      <c r="AG115" t="str">
        <f t="shared" si="34"/>
        <v>护甲值 {4}</v>
      </c>
      <c r="AH115" t="str">
        <f t="shared" si="35"/>
        <v>护甲值% {5}</v>
      </c>
      <c r="AI115" t="str">
        <f t="shared" si="23"/>
        <v>xxx</v>
      </c>
      <c r="AJ115" t="str">
        <f t="shared" si="24"/>
        <v>xxx</v>
      </c>
      <c r="AK115" t="str">
        <f t="shared" si="25"/>
        <v>xxx</v>
      </c>
      <c r="AL115" t="str">
        <f t="shared" si="26"/>
        <v>xxx</v>
      </c>
      <c r="AM115" t="str">
        <f t="shared" si="27"/>
        <v>xxx</v>
      </c>
      <c r="AN115" t="str">
        <f t="shared" si="41"/>
        <v>xxx</v>
      </c>
      <c r="AO115" t="str">
        <f t="shared" si="36"/>
        <v>xxxxxxxxxxxxxxxxxx</v>
      </c>
      <c r="AP115" s="6" t="str">
        <f t="shared" si="37"/>
        <v/>
      </c>
      <c r="AQ115" s="80" t="s">
        <v>3410</v>
      </c>
      <c r="AR115" t="str">
        <f t="shared" si="39"/>
        <v>火焰抗性+(50~60)% 
移动速度加快 25%
武器攻击有 (10~15)% 的几率点燃
对灼烧的敌人造成伤害提高 (25~40)%</v>
      </c>
      <c r="AS115" s="81" t="str">
        <f t="shared" si="38"/>
        <v>火焰抗性+(50~60)% 
移动速度加快 25%
武器攻击有 (10~15)% 的几率点燃
对灼烧的敌人造成伤害提高 (25~40)%</v>
      </c>
      <c r="BE115" s="46" t="s">
        <v>3033</v>
      </c>
      <c r="BF115" s="48" t="s">
        <v>2968</v>
      </c>
      <c r="BG115" s="53">
        <v>415</v>
      </c>
      <c r="BH115" s="59">
        <v>5</v>
      </c>
      <c r="BI115" s="111">
        <f t="shared" si="42"/>
        <v>9.8039215686274508E-3</v>
      </c>
      <c r="BJ115" s="59"/>
      <c r="BK115" s="18">
        <v>2</v>
      </c>
    </row>
    <row r="116" spans="3:63" ht="15.75" x14ac:dyDescent="0.3">
      <c r="C116" s="59">
        <v>14802</v>
      </c>
      <c r="D116" s="59" t="s">
        <v>3702</v>
      </c>
      <c r="E116" s="59"/>
      <c r="F116" s="59" t="s">
        <v>2750</v>
      </c>
      <c r="G116" s="59"/>
      <c r="H116" s="72">
        <v>11</v>
      </c>
      <c r="I116" s="64" t="s">
        <v>2940</v>
      </c>
      <c r="J116" s="64">
        <v>2</v>
      </c>
      <c r="K116" s="64">
        <v>0.2</v>
      </c>
      <c r="L116" s="65" t="s">
        <v>2973</v>
      </c>
      <c r="M116" s="65">
        <v>3</v>
      </c>
      <c r="N116" s="65">
        <v>0.2</v>
      </c>
      <c r="O116" s="66" t="s">
        <v>3176</v>
      </c>
      <c r="P116" s="66">
        <v>2</v>
      </c>
      <c r="Q116" s="66">
        <v>0.2</v>
      </c>
      <c r="R116" s="64" t="s">
        <v>3177</v>
      </c>
      <c r="S116" s="64">
        <v>2</v>
      </c>
      <c r="T116" s="64">
        <v>0.2</v>
      </c>
      <c r="U116" s="65" t="s">
        <v>3009</v>
      </c>
      <c r="V116" s="65">
        <v>2</v>
      </c>
      <c r="W116" s="65">
        <v>0.2</v>
      </c>
      <c r="X116" s="66"/>
      <c r="Y116" s="66"/>
      <c r="Z116" s="66"/>
      <c r="AA116" s="71" t="str">
        <f t="shared" si="22"/>
        <v>1:412,16,24,208,24,36,248,16,24,231,16,24,318,16,24,xxx</v>
      </c>
      <c r="AB116" s="78" t="str">
        <f t="shared" si="40"/>
        <v>1:412,16,24,208,24,36,248,16,24,231,16,24,318,16,24</v>
      </c>
      <c r="AC116" t="str">
        <f t="shared" si="30"/>
        <v>移动速度% {0}</v>
      </c>
      <c r="AD116" t="str">
        <f t="shared" si="31"/>
        <v>闪电伤害 {1}</v>
      </c>
      <c r="AE116" t="str">
        <f t="shared" si="32"/>
        <v>施加感电时间提升 {2}</v>
      </c>
      <c r="AF116" t="str">
        <f t="shared" si="33"/>
        <v>附加闪电伤害 {3}</v>
      </c>
      <c r="AG116" t="str">
        <f t="shared" si="34"/>
        <v>闪电抗性% {4}</v>
      </c>
      <c r="AH116" t="str">
        <f t="shared" si="35"/>
        <v>xxx</v>
      </c>
      <c r="AI116" t="str">
        <f t="shared" si="23"/>
        <v xml:space="preserve">移动速度 {0}%
</v>
      </c>
      <c r="AJ116" t="str">
        <f t="shared" si="24"/>
        <v xml:space="preserve">闪电伤害 {1}
</v>
      </c>
      <c r="AK116" t="str">
        <f t="shared" si="25"/>
        <v xml:space="preserve">施加感电时间提升 {2}%
</v>
      </c>
      <c r="AL116" t="str">
        <f t="shared" si="26"/>
        <v xml:space="preserve">附加闪电伤害 {3}%
</v>
      </c>
      <c r="AM116" t="str">
        <f t="shared" si="27"/>
        <v xml:space="preserve">闪电抗性 {4}%
</v>
      </c>
      <c r="AN116" t="str">
        <f t="shared" si="41"/>
        <v>xxx</v>
      </c>
      <c r="AO116" t="str">
        <f t="shared" si="36"/>
        <v>移动速度 {0}%
闪电伤害 {1}
施加感电时间提升 {2}%
附加闪电伤害 {3}%
闪电抗性 {4}%
xxx</v>
      </c>
      <c r="AP116" s="6" t="str">
        <f t="shared" si="37"/>
        <v xml:space="preserve">移动速度 {0}%
闪电伤害 {1}
施加感电时间提升 {2}%
附加闪电伤害 {3}%
闪电抗性 {4}%
</v>
      </c>
      <c r="AQ116" s="80" t="s">
        <v>3411</v>
      </c>
      <c r="AR116" t="str">
        <f t="shared" si="39"/>
        <v xml:space="preserve">移动速度 {0}%
闪电伤害 {1}
施加感电时间提升 {2}%
附加闪电伤害 {3}%
闪电抗性 {4}%
</v>
      </c>
      <c r="AS116" s="81" t="str">
        <f t="shared" si="38"/>
        <v>移动速度 {0}%
闪电伤害 {1}
施加感电时间提升 {2}%
附加闪电伤害 {3}%
闪电抗性 {4}%</v>
      </c>
      <c r="BE116" s="46" t="s">
        <v>3206</v>
      </c>
      <c r="BF116" s="48" t="s">
        <v>2968</v>
      </c>
      <c r="BG116" s="53">
        <v>416</v>
      </c>
      <c r="BH116" s="59">
        <v>5</v>
      </c>
      <c r="BI116" s="111">
        <f t="shared" si="42"/>
        <v>1.3071895424836602E-2</v>
      </c>
      <c r="BJ116" s="59"/>
      <c r="BK116" s="18">
        <v>2</v>
      </c>
    </row>
    <row r="117" spans="3:63" ht="15.75" x14ac:dyDescent="0.3">
      <c r="C117" s="59">
        <v>14803</v>
      </c>
      <c r="D117" s="59" t="s">
        <v>280</v>
      </c>
      <c r="E117" s="59"/>
      <c r="F117" s="59" t="s">
        <v>2749</v>
      </c>
      <c r="G117" s="59"/>
      <c r="H117" s="72">
        <v>12.5</v>
      </c>
      <c r="I117" s="64" t="s">
        <v>2941</v>
      </c>
      <c r="J117" s="64">
        <v>4</v>
      </c>
      <c r="K117" s="64">
        <v>0.2</v>
      </c>
      <c r="L117" s="65" t="s">
        <v>3178</v>
      </c>
      <c r="M117" s="65">
        <v>3</v>
      </c>
      <c r="N117" s="65">
        <v>0.2</v>
      </c>
      <c r="O117" s="66" t="s">
        <v>2967</v>
      </c>
      <c r="P117" s="66">
        <v>2</v>
      </c>
      <c r="Q117" s="66">
        <v>0.2</v>
      </c>
      <c r="R117" s="64" t="s">
        <v>2957</v>
      </c>
      <c r="S117" s="64">
        <v>2</v>
      </c>
      <c r="T117" s="64">
        <v>0.2</v>
      </c>
      <c r="U117" s="65" t="s">
        <v>3248</v>
      </c>
      <c r="V117" s="65">
        <v>1.5</v>
      </c>
      <c r="W117" s="65">
        <v>0.2</v>
      </c>
      <c r="X117" s="66"/>
      <c r="Y117" s="66"/>
      <c r="Z117" s="66"/>
      <c r="AA117" s="71" t="str">
        <f t="shared" si="22"/>
        <v>1:101,32,48,807,1.2,1.8,201,8,12,305,160,240,320,6,9,xxx</v>
      </c>
      <c r="AB117" s="78" t="str">
        <f t="shared" si="40"/>
        <v>1:101,32,48,807,1.2,1.8,201,8,12,305,160,240,320,6,9</v>
      </c>
      <c r="AC117" t="str">
        <f t="shared" si="30"/>
        <v>力量 {0}</v>
      </c>
      <c r="AD117" t="str">
        <f t="shared" si="31"/>
        <v>每点力量提升物理伤害 {1}</v>
      </c>
      <c r="AE117" t="str">
        <f t="shared" si="32"/>
        <v>攻击力 {2}</v>
      </c>
      <c r="AF117" t="str">
        <f t="shared" si="33"/>
        <v>护甲值 {3}</v>
      </c>
      <c r="AG117" t="str">
        <f t="shared" si="34"/>
        <v>物理抗性% {4}</v>
      </c>
      <c r="AH117" t="str">
        <f t="shared" si="35"/>
        <v>xxx</v>
      </c>
      <c r="AI117" t="str">
        <f t="shared" si="23"/>
        <v xml:space="preserve">力量 {0}
</v>
      </c>
      <c r="AJ117" t="str">
        <f t="shared" si="24"/>
        <v xml:space="preserve">每点力量提升物理伤害 {1}%
</v>
      </c>
      <c r="AK117" t="str">
        <f t="shared" si="25"/>
        <v xml:space="preserve">攻击力 {2}
</v>
      </c>
      <c r="AL117" t="str">
        <f t="shared" si="26"/>
        <v xml:space="preserve">护甲值 {3}
</v>
      </c>
      <c r="AM117" t="str">
        <f t="shared" si="27"/>
        <v xml:space="preserve">物理抗性 {4}%
</v>
      </c>
      <c r="AN117" t="str">
        <f t="shared" si="41"/>
        <v>xxx</v>
      </c>
      <c r="AO117" t="str">
        <f t="shared" si="36"/>
        <v>力量 {0}
每点力量提升物理伤害 {1}%
攻击力 {2}
护甲值 {3}
物理抗性 {4}%
xxx</v>
      </c>
      <c r="AP117" s="6" t="str">
        <f t="shared" si="37"/>
        <v xml:space="preserve">力量 {0}
每点力量提升物理伤害 {1}%
攻击力 {2}
护甲值 {3}
物理抗性 {4}%
</v>
      </c>
      <c r="AQ117" s="80" t="s">
        <v>3412</v>
      </c>
      <c r="AR117" t="str">
        <f t="shared" si="39"/>
        <v xml:space="preserve">力量 {0}
每点力量提升物理伤害 {1}%
攻击力 {2}
护甲值 {3}
物理抗性 {4}%
</v>
      </c>
      <c r="AS117" s="81" t="str">
        <f t="shared" si="38"/>
        <v>力量 {0}
每点力量提升物理伤害 {1}%
攻击力 {2}
护甲值 {3}
物理抗性 {4}%</v>
      </c>
      <c r="BE117" s="46" t="s">
        <v>3034</v>
      </c>
      <c r="BF117" s="47" t="s">
        <v>2965</v>
      </c>
      <c r="BG117" s="53">
        <v>417</v>
      </c>
      <c r="BH117" s="59"/>
      <c r="BI117" s="111">
        <f t="shared" si="42"/>
        <v>0</v>
      </c>
      <c r="BJ117" s="59"/>
      <c r="BK117" s="18">
        <v>1</v>
      </c>
    </row>
    <row r="118" spans="3:63" ht="15.75" x14ac:dyDescent="0.3">
      <c r="C118" s="59">
        <v>14804</v>
      </c>
      <c r="D118" s="59" t="s">
        <v>281</v>
      </c>
      <c r="E118" s="59"/>
      <c r="F118" s="59" t="s">
        <v>2749</v>
      </c>
      <c r="G118" s="59"/>
      <c r="H118" s="72">
        <v>13</v>
      </c>
      <c r="I118" s="64" t="s">
        <v>2941</v>
      </c>
      <c r="J118" s="64">
        <v>3</v>
      </c>
      <c r="K118" s="64">
        <v>0.2</v>
      </c>
      <c r="L118" s="65" t="s">
        <v>2955</v>
      </c>
      <c r="M118" s="65">
        <v>3.5</v>
      </c>
      <c r="N118" s="65">
        <v>0.2</v>
      </c>
      <c r="O118" s="66" t="s">
        <v>3179</v>
      </c>
      <c r="P118" s="66">
        <v>2</v>
      </c>
      <c r="Q118" s="66">
        <v>0.2</v>
      </c>
      <c r="R118" s="64" t="s">
        <v>3180</v>
      </c>
      <c r="S118" s="64">
        <v>3</v>
      </c>
      <c r="T118" s="64">
        <v>0.2</v>
      </c>
      <c r="U118" s="65" t="s">
        <v>2957</v>
      </c>
      <c r="V118" s="65">
        <v>1.5</v>
      </c>
      <c r="W118" s="65">
        <v>0.2</v>
      </c>
      <c r="X118" s="66"/>
      <c r="Y118" s="66"/>
      <c r="Z118" s="66"/>
      <c r="AA118" s="71" t="str">
        <f t="shared" si="22"/>
        <v>1:101,24,36,204,28,42,801,16,24,300,48,72,305,120,180,xxx</v>
      </c>
      <c r="AB118" s="78" t="str">
        <f t="shared" si="40"/>
        <v>1:101,24,36,204,28,42,801,16,24,300,48,72,305,120,180</v>
      </c>
      <c r="AC118" t="str">
        <f t="shared" si="30"/>
        <v>力量 {0}</v>
      </c>
      <c r="AD118" t="str">
        <f t="shared" si="31"/>
        <v>物理伤害 {1}</v>
      </c>
      <c r="AE118" t="str">
        <f t="shared" si="32"/>
        <v>每点力量额外获得护甲 {2}</v>
      </c>
      <c r="AF118" t="str">
        <f t="shared" si="33"/>
        <v>最大生命值 {3}</v>
      </c>
      <c r="AG118" t="str">
        <f t="shared" si="34"/>
        <v>护甲值 {4}</v>
      </c>
      <c r="AH118" t="str">
        <f t="shared" si="35"/>
        <v>xxx</v>
      </c>
      <c r="AI118" t="str">
        <f t="shared" si="23"/>
        <v xml:space="preserve">力量 {0}
</v>
      </c>
      <c r="AJ118" t="str">
        <f t="shared" si="24"/>
        <v xml:space="preserve">物理伤害 {1}
</v>
      </c>
      <c r="AK118" t="str">
        <f t="shared" si="25"/>
        <v xml:space="preserve">每点力量额外获得护甲 {2}
</v>
      </c>
      <c r="AL118" t="str">
        <f t="shared" si="26"/>
        <v xml:space="preserve">最大生命值 {3}
</v>
      </c>
      <c r="AM118" t="str">
        <f t="shared" si="27"/>
        <v xml:space="preserve">护甲值 {4}
</v>
      </c>
      <c r="AN118" t="str">
        <f t="shared" si="41"/>
        <v>xxx</v>
      </c>
      <c r="AO118" t="str">
        <f t="shared" si="36"/>
        <v>力量 {0}
物理伤害 {1}
每点力量额外获得护甲 {2}
最大生命值 {3}
护甲值 {4}
xxx</v>
      </c>
      <c r="AP118" s="6" t="str">
        <f t="shared" si="37"/>
        <v xml:space="preserve">力量 {0}
物理伤害 {1}
每点力量额外获得护甲 {2}
最大生命值 {3}
护甲值 {4}
</v>
      </c>
      <c r="AQ118" s="80" t="s">
        <v>3413</v>
      </c>
      <c r="AR118" t="str">
        <f t="shared" si="39"/>
        <v xml:space="preserve">力量 {0}
物理伤害 {1}
每点力量额外获得护甲 {2}
最大生命值 {3}
护甲值 {4}
</v>
      </c>
      <c r="AS118" s="81" t="str">
        <f t="shared" si="38"/>
        <v>力量 {0}
物理伤害 {1}
每点力量额外获得护甲 {2}
最大生命值 {3}
护甲值 {4}</v>
      </c>
      <c r="BE118" s="46" t="s">
        <v>3035</v>
      </c>
      <c r="BF118" s="48" t="s">
        <v>2968</v>
      </c>
      <c r="BG118" s="53">
        <v>418</v>
      </c>
      <c r="BH118" s="59"/>
      <c r="BI118" s="111">
        <f t="shared" si="42"/>
        <v>0</v>
      </c>
      <c r="BJ118" s="59"/>
      <c r="BK118" s="18">
        <v>2</v>
      </c>
    </row>
    <row r="119" spans="3:63" ht="15.75" x14ac:dyDescent="0.3">
      <c r="C119" s="59">
        <v>14805</v>
      </c>
      <c r="D119" s="59" t="s">
        <v>282</v>
      </c>
      <c r="E119" s="59"/>
      <c r="F119" s="59" t="s">
        <v>2749</v>
      </c>
      <c r="G119" s="59"/>
      <c r="H119" s="72">
        <v>11</v>
      </c>
      <c r="I119" s="64" t="s">
        <v>2942</v>
      </c>
      <c r="J119" s="64">
        <v>4</v>
      </c>
      <c r="K119" s="64">
        <v>0.2</v>
      </c>
      <c r="L119" s="65" t="s">
        <v>3249</v>
      </c>
      <c r="M119" s="65">
        <v>2</v>
      </c>
      <c r="N119" s="65">
        <v>0.2</v>
      </c>
      <c r="O119" s="66" t="s">
        <v>2933</v>
      </c>
      <c r="P119" s="66">
        <v>1.5</v>
      </c>
      <c r="Q119" s="66">
        <v>0.2</v>
      </c>
      <c r="R119" s="64" t="s">
        <v>2940</v>
      </c>
      <c r="S119" s="64">
        <v>1.5</v>
      </c>
      <c r="T119" s="64">
        <v>0.2</v>
      </c>
      <c r="U119" s="65" t="s">
        <v>2949</v>
      </c>
      <c r="V119" s="65">
        <v>2</v>
      </c>
      <c r="W119" s="65">
        <v>0.2</v>
      </c>
      <c r="X119" s="66"/>
      <c r="Y119" s="66"/>
      <c r="Z119" s="66"/>
      <c r="AA119" s="71" t="str">
        <f t="shared" si="22"/>
        <v>1:102,32,48,808,0.4,0.6,217,12,18,412,12,18,311,8,12,xxx</v>
      </c>
      <c r="AB119" s="78" t="str">
        <f t="shared" si="40"/>
        <v>1:102,32,48,808,0.4,0.6,217,12,18,412,12,18,311,8,12</v>
      </c>
      <c r="AC119" t="str">
        <f t="shared" si="30"/>
        <v>敏捷 {0}</v>
      </c>
      <c r="AD119" t="str">
        <f t="shared" si="31"/>
        <v>每点敏捷提升攻击速度 {1}</v>
      </c>
      <c r="AE119" t="str">
        <f t="shared" si="32"/>
        <v>攻击速度% {2}</v>
      </c>
      <c r="AF119" t="str">
        <f t="shared" si="33"/>
        <v>移动速度% {3}</v>
      </c>
      <c r="AG119" t="str">
        <f t="shared" si="34"/>
        <v>闪避几率% {4}</v>
      </c>
      <c r="AH119" t="str">
        <f t="shared" si="35"/>
        <v>xxx</v>
      </c>
      <c r="AI119" t="str">
        <f t="shared" si="23"/>
        <v xml:space="preserve">敏捷 {0}
</v>
      </c>
      <c r="AJ119" t="str">
        <f t="shared" si="24"/>
        <v xml:space="preserve">每点敏捷提升攻击速度 {1}%
</v>
      </c>
      <c r="AK119" t="str">
        <f t="shared" si="25"/>
        <v xml:space="preserve">攻击速度 {2}%
</v>
      </c>
      <c r="AL119" t="str">
        <f t="shared" si="26"/>
        <v xml:space="preserve">移动速度 {3}%
</v>
      </c>
      <c r="AM119" t="str">
        <f t="shared" si="27"/>
        <v xml:space="preserve">闪避几率 {4}%
</v>
      </c>
      <c r="AN119" t="str">
        <f t="shared" si="41"/>
        <v>xxx</v>
      </c>
      <c r="AO119" t="str">
        <f t="shared" si="36"/>
        <v>敏捷 {0}
每点敏捷提升攻击速度 {1}%
攻击速度 {2}%
移动速度 {3}%
闪避几率 {4}%
xxx</v>
      </c>
      <c r="AP119" s="6" t="str">
        <f t="shared" si="37"/>
        <v xml:space="preserve">敏捷 {0}
每点敏捷提升攻击速度 {1}%
攻击速度 {2}%
移动速度 {3}%
闪避几率 {4}%
</v>
      </c>
      <c r="AQ119" s="80" t="s">
        <v>3414</v>
      </c>
      <c r="AR119" t="str">
        <f t="shared" si="39"/>
        <v xml:space="preserve">敏捷 {0}
每点敏捷提升攻击速度 {1}%
攻击速度 {2}%
移动速度 {3}%
闪避几率 {4}%
</v>
      </c>
      <c r="AS119" s="81" t="str">
        <f t="shared" si="38"/>
        <v>敏捷 {0}
每点敏捷提升攻击速度 {1}%
攻击速度 {2}%
移动速度 {3}%
闪避几率 {4}%</v>
      </c>
      <c r="BE119" s="46" t="s">
        <v>3036</v>
      </c>
      <c r="BF119" s="47" t="s">
        <v>2965</v>
      </c>
      <c r="BG119" s="53">
        <v>419</v>
      </c>
      <c r="BH119" s="59">
        <v>50</v>
      </c>
      <c r="BI119" s="111">
        <f t="shared" si="42"/>
        <v>1.3071895424836602E-2</v>
      </c>
      <c r="BJ119" s="59"/>
      <c r="BK119" s="18">
        <v>1</v>
      </c>
    </row>
    <row r="120" spans="3:63" ht="15.75" x14ac:dyDescent="0.3">
      <c r="C120" s="59">
        <v>14806</v>
      </c>
      <c r="D120" s="59" t="s">
        <v>284</v>
      </c>
      <c r="E120" s="59"/>
      <c r="F120" s="59" t="s">
        <v>2749</v>
      </c>
      <c r="G120" s="59"/>
      <c r="H120" s="72">
        <v>11.5</v>
      </c>
      <c r="I120" s="64" t="s">
        <v>3224</v>
      </c>
      <c r="J120" s="64">
        <v>3</v>
      </c>
      <c r="K120" s="64">
        <v>0.2</v>
      </c>
      <c r="L120" s="65" t="s">
        <v>2932</v>
      </c>
      <c r="M120" s="65">
        <v>3</v>
      </c>
      <c r="N120" s="65">
        <v>0.2</v>
      </c>
      <c r="O120" s="66" t="s">
        <v>3224</v>
      </c>
      <c r="P120" s="66">
        <v>2</v>
      </c>
      <c r="Q120" s="66">
        <v>0.2</v>
      </c>
      <c r="R120" s="64" t="s">
        <v>3182</v>
      </c>
      <c r="S120" s="64">
        <v>2</v>
      </c>
      <c r="T120" s="64">
        <v>0.2</v>
      </c>
      <c r="U120" s="65" t="s">
        <v>2943</v>
      </c>
      <c r="V120" s="65">
        <v>1.5</v>
      </c>
      <c r="W120" s="65">
        <v>0.2</v>
      </c>
      <c r="X120" s="66"/>
      <c r="Y120" s="66"/>
      <c r="Z120" s="66"/>
      <c r="AA120" s="71" t="str">
        <f t="shared" si="22"/>
        <v>1:257,24,36,220,48,72,257,16,24,813,0.8,1.2,226,12,18,xxx</v>
      </c>
      <c r="AB120" s="78" t="str">
        <f t="shared" si="40"/>
        <v>1:257,24,36,220,48,72,257,16,24,813,0.8,1.2,226,12,18</v>
      </c>
      <c r="AC120" t="str">
        <f t="shared" si="30"/>
        <v>暴击率增幅 {0}</v>
      </c>
      <c r="AD120" t="str">
        <f t="shared" si="31"/>
        <v>暴击伤害% {1}</v>
      </c>
      <c r="AE120" t="str">
        <f t="shared" si="32"/>
        <v>暴击率增幅 {2}</v>
      </c>
      <c r="AF120" t="str">
        <f t="shared" si="33"/>
        <v>每点暴击提升流血系数 {3}</v>
      </c>
      <c r="AG120" t="str">
        <f t="shared" si="34"/>
        <v>命中率% {4}</v>
      </c>
      <c r="AH120" t="str">
        <f t="shared" si="35"/>
        <v>xxx</v>
      </c>
      <c r="AI120" t="str">
        <f t="shared" si="23"/>
        <v xml:space="preserve">暴击率增幅 {0}%
</v>
      </c>
      <c r="AJ120" t="str">
        <f t="shared" si="24"/>
        <v xml:space="preserve">暴击伤害 {1}%
</v>
      </c>
      <c r="AK120" t="str">
        <f t="shared" si="25"/>
        <v xml:space="preserve">暴击率增幅 {2}%
</v>
      </c>
      <c r="AL120" t="str">
        <f t="shared" si="26"/>
        <v xml:space="preserve">每点暴击提升流血系数 {3}%
</v>
      </c>
      <c r="AM120" t="str">
        <f t="shared" si="27"/>
        <v xml:space="preserve">命中率 {4}%
</v>
      </c>
      <c r="AN120" t="str">
        <f t="shared" si="41"/>
        <v>xxx</v>
      </c>
      <c r="AO120" t="str">
        <f t="shared" si="36"/>
        <v>暴击率增幅 {0}%
暴击伤害 {1}%
暴击率增幅 {2}%
每点暴击提升流血系数 {3}%
命中率 {4}%
xxx</v>
      </c>
      <c r="AP120" s="6" t="str">
        <f t="shared" si="37"/>
        <v xml:space="preserve">暴击率增幅 {0}%
暴击伤害 {1}%
暴击率增幅 {2}%
每点暴击提升流血系数 {3}%
命中率 {4}%
</v>
      </c>
      <c r="AQ120" s="80" t="s">
        <v>3415</v>
      </c>
      <c r="AR120" t="str">
        <f t="shared" si="39"/>
        <v xml:space="preserve">暴击率增幅 {0}%
暴击伤害 {1}%
暴击率增幅 {2}%
每点暴击提升流血系数 {3}%
命中率 {4}%
</v>
      </c>
      <c r="AS120" s="81" t="str">
        <f t="shared" si="38"/>
        <v>暴击率增幅 {0}%
暴击伤害 {1}%
暴击率增幅 {2}%
每点暴击提升流血系数 {3}%
命中率 {4}%</v>
      </c>
      <c r="BE120" s="46" t="s">
        <v>3037</v>
      </c>
      <c r="BF120" s="47" t="s">
        <v>2965</v>
      </c>
      <c r="BG120" s="53">
        <v>420</v>
      </c>
      <c r="BH120" s="59">
        <v>1</v>
      </c>
      <c r="BI120" s="111">
        <f t="shared" si="42"/>
        <v>3.2679738562091504E-3</v>
      </c>
      <c r="BJ120" s="59"/>
      <c r="BK120" s="18">
        <v>2</v>
      </c>
    </row>
    <row r="121" spans="3:63" ht="15.75" x14ac:dyDescent="0.3">
      <c r="C121" s="59">
        <v>14807</v>
      </c>
      <c r="D121" s="59" t="s">
        <v>285</v>
      </c>
      <c r="E121" s="59">
        <v>-1</v>
      </c>
      <c r="F121" s="59" t="s">
        <v>2749</v>
      </c>
      <c r="G121" s="59"/>
      <c r="H121" s="72">
        <v>13</v>
      </c>
      <c r="I121" s="64" t="s">
        <v>3023</v>
      </c>
      <c r="J121" s="64">
        <v>3</v>
      </c>
      <c r="K121" s="64">
        <v>0.2</v>
      </c>
      <c r="L121" s="65" t="s">
        <v>3024</v>
      </c>
      <c r="M121" s="65">
        <v>2</v>
      </c>
      <c r="N121" s="65">
        <v>0.2</v>
      </c>
      <c r="O121" s="66" t="s">
        <v>3207</v>
      </c>
      <c r="P121" s="66">
        <v>3</v>
      </c>
      <c r="Q121" s="66">
        <v>0.2</v>
      </c>
      <c r="R121" s="64" t="s">
        <v>3028</v>
      </c>
      <c r="S121" s="64">
        <v>2</v>
      </c>
      <c r="T121" s="64">
        <v>0.2</v>
      </c>
      <c r="U121" s="65" t="s">
        <v>3022</v>
      </c>
      <c r="V121" s="65">
        <v>3</v>
      </c>
      <c r="W121" s="65">
        <v>0.2</v>
      </c>
      <c r="X121" s="66"/>
      <c r="Y121" s="66"/>
      <c r="Z121" s="66"/>
      <c r="AA121" s="71" t="str">
        <f t="shared" si="22"/>
        <v>1:402,24,36,403,16,24,421,48,72,407,32,48,401,24,36,xxx</v>
      </c>
      <c r="AB121" s="78" t="str">
        <f t="shared" si="40"/>
        <v>1:402,24,36,403,16,24,421,48,72,407,32,48,401,24,36</v>
      </c>
      <c r="AC121" t="str">
        <f t="shared" si="30"/>
        <v>物品掉落数量% {0}</v>
      </c>
      <c r="AD121" t="str">
        <f t="shared" si="31"/>
        <v>珍稀物品掉率% {1}</v>
      </c>
      <c r="AE121" t="str">
        <f t="shared" si="32"/>
        <v>金币获取% {2}</v>
      </c>
      <c r="AF121" t="str">
        <f t="shared" si="33"/>
        <v>拾取范围% {3}</v>
      </c>
      <c r="AG121" t="str">
        <f t="shared" si="34"/>
        <v>经验获取% {4}</v>
      </c>
      <c r="AH121" t="str">
        <f t="shared" si="35"/>
        <v>xxx</v>
      </c>
      <c r="AI121" t="str">
        <f t="shared" si="23"/>
        <v xml:space="preserve">物品掉落数量 {0}%
</v>
      </c>
      <c r="AJ121" t="str">
        <f t="shared" si="24"/>
        <v xml:space="preserve">珍稀物品掉率 {1}%
</v>
      </c>
      <c r="AK121" t="str">
        <f t="shared" si="25"/>
        <v xml:space="preserve">金币获取 {2}%
</v>
      </c>
      <c r="AL121" t="str">
        <f t="shared" si="26"/>
        <v xml:space="preserve">拾取范围 {3}%
</v>
      </c>
      <c r="AM121" t="str">
        <f t="shared" si="27"/>
        <v xml:space="preserve">经验获取 {4}%
</v>
      </c>
      <c r="AN121" t="str">
        <f t="shared" si="41"/>
        <v>xxx</v>
      </c>
      <c r="AO121" t="str">
        <f t="shared" si="36"/>
        <v>物品掉落数量 {0}%
珍稀物品掉率 {1}%
金币获取 {2}%
拾取范围 {3}%
经验获取 {4}%
xxx</v>
      </c>
      <c r="AP121" s="6" t="str">
        <f t="shared" si="37"/>
        <v xml:space="preserve">物品掉落数量 {0}%
珍稀物品掉率 {1}%
金币获取 {2}%
拾取范围 {3}%
经验获取 {4}%
</v>
      </c>
      <c r="AQ121" s="80" t="s">
        <v>3416</v>
      </c>
      <c r="AR121" t="str">
        <f t="shared" si="39"/>
        <v xml:space="preserve">物品掉落数量 {0}%
珍稀物品掉率 {1}%
金币获取 {2}%
拾取范围 {3}%
经验获取 {4}%
</v>
      </c>
      <c r="AS121" s="81" t="str">
        <f t="shared" si="38"/>
        <v>物品掉落数量 {0}%
珍稀物品掉率 {1}%
金币获取 {2}%
拾取范围 {3}%
经验获取 {4}%</v>
      </c>
      <c r="BE121" s="46" t="s">
        <v>3038</v>
      </c>
      <c r="BF121" s="47" t="s">
        <v>2988</v>
      </c>
      <c r="BG121" s="52">
        <v>421</v>
      </c>
      <c r="BH121" s="59">
        <v>20</v>
      </c>
      <c r="BI121" s="111">
        <f t="shared" si="42"/>
        <v>2.61437908496732E-2</v>
      </c>
      <c r="BJ121" s="59"/>
      <c r="BK121" s="18">
        <v>2</v>
      </c>
    </row>
    <row r="122" spans="3:63" ht="15.75" x14ac:dyDescent="0.3">
      <c r="C122" s="77">
        <v>14808</v>
      </c>
      <c r="D122" s="77" t="s">
        <v>287</v>
      </c>
      <c r="E122" s="77">
        <v>-99</v>
      </c>
      <c r="F122" s="77" t="s">
        <v>2749</v>
      </c>
      <c r="G122" s="77"/>
      <c r="H122" s="100">
        <v>0</v>
      </c>
      <c r="I122" s="64"/>
      <c r="J122" s="64"/>
      <c r="K122" s="64"/>
      <c r="L122" s="65"/>
      <c r="M122" s="65"/>
      <c r="N122" s="65"/>
      <c r="O122" s="66"/>
      <c r="P122" s="66"/>
      <c r="Q122" s="66"/>
      <c r="R122" s="64"/>
      <c r="S122" s="64"/>
      <c r="T122" s="64"/>
      <c r="U122" s="65"/>
      <c r="V122" s="65"/>
      <c r="W122" s="65"/>
      <c r="X122" s="66"/>
      <c r="Y122" s="66"/>
      <c r="Z122" s="66"/>
      <c r="AA122" s="71" t="str">
        <f t="shared" si="22"/>
        <v>1:xxxxxxxxxxxxxxxxxx</v>
      </c>
      <c r="AB122" s="78" t="str">
        <f t="shared" si="40"/>
        <v/>
      </c>
      <c r="AC122" t="str">
        <f t="shared" si="30"/>
        <v>xxx</v>
      </c>
      <c r="AD122" t="str">
        <f t="shared" si="31"/>
        <v>xxx</v>
      </c>
      <c r="AE122" t="str">
        <f t="shared" si="32"/>
        <v>xxx</v>
      </c>
      <c r="AF122" t="str">
        <f t="shared" si="33"/>
        <v>xxx</v>
      </c>
      <c r="AG122" t="str">
        <f t="shared" si="34"/>
        <v>xxx</v>
      </c>
      <c r="AH122" t="str">
        <f t="shared" si="35"/>
        <v>xxx</v>
      </c>
      <c r="AI122" t="str">
        <f t="shared" si="23"/>
        <v>xxx</v>
      </c>
      <c r="AJ122" t="str">
        <f t="shared" si="24"/>
        <v>xxx</v>
      </c>
      <c r="AK122" t="str">
        <f t="shared" si="25"/>
        <v>xxx</v>
      </c>
      <c r="AL122" t="str">
        <f t="shared" si="26"/>
        <v>xxx</v>
      </c>
      <c r="AM122" t="str">
        <f t="shared" si="27"/>
        <v>xxx</v>
      </c>
      <c r="AN122" t="str">
        <f t="shared" si="41"/>
        <v>xxx</v>
      </c>
      <c r="AO122" t="str">
        <f t="shared" si="36"/>
        <v>xxxxxxxxxxxxxxxxxx</v>
      </c>
      <c r="AP122" s="6" t="str">
        <f t="shared" si="37"/>
        <v/>
      </c>
      <c r="AQ122" s="80" t="s">
        <v>3417</v>
      </c>
      <c r="AR122" t="str">
        <f t="shared" si="39"/>
        <v>暴击率减少（10%~20%）
暴击伤害+（100%~150%）</v>
      </c>
      <c r="AS122" s="81" t="str">
        <f t="shared" si="38"/>
        <v>暴击率减少（10%~20%）
暴击伤害+（100%~150%）</v>
      </c>
      <c r="BE122" s="46" t="s">
        <v>3039</v>
      </c>
      <c r="BF122" s="47" t="s">
        <v>2988</v>
      </c>
      <c r="BG122" s="52">
        <v>422</v>
      </c>
      <c r="BH122" s="59">
        <v>10</v>
      </c>
      <c r="BI122" s="111">
        <f t="shared" si="42"/>
        <v>3.2679738562091504E-3</v>
      </c>
      <c r="BJ122" s="59"/>
      <c r="BK122" s="18">
        <v>2</v>
      </c>
    </row>
    <row r="123" spans="3:63" ht="15.75" x14ac:dyDescent="0.3">
      <c r="C123" s="59">
        <v>14809</v>
      </c>
      <c r="D123" s="59" t="s">
        <v>288</v>
      </c>
      <c r="E123" s="59"/>
      <c r="F123" s="59" t="s">
        <v>2749</v>
      </c>
      <c r="G123" s="59"/>
      <c r="H123" s="72">
        <v>13</v>
      </c>
      <c r="I123" s="64" t="s">
        <v>2934</v>
      </c>
      <c r="J123" s="64">
        <v>3</v>
      </c>
      <c r="K123" s="64">
        <v>0.2</v>
      </c>
      <c r="L123" s="65" t="s">
        <v>3187</v>
      </c>
      <c r="M123" s="65">
        <v>3</v>
      </c>
      <c r="N123" s="65">
        <v>0.2</v>
      </c>
      <c r="O123" s="66" t="s">
        <v>3188</v>
      </c>
      <c r="P123" s="66">
        <v>2</v>
      </c>
      <c r="Q123" s="66">
        <v>0.2</v>
      </c>
      <c r="R123" s="64" t="s">
        <v>3189</v>
      </c>
      <c r="S123" s="64">
        <v>2</v>
      </c>
      <c r="T123" s="64">
        <v>0.2</v>
      </c>
      <c r="U123" s="65" t="s">
        <v>3190</v>
      </c>
      <c r="V123" s="65">
        <v>1.5</v>
      </c>
      <c r="W123" s="65">
        <v>0.2</v>
      </c>
      <c r="X123" s="66" t="s">
        <v>3086</v>
      </c>
      <c r="Y123" s="66">
        <v>1.5</v>
      </c>
      <c r="Z123" s="66">
        <v>0.2</v>
      </c>
      <c r="AA123" s="71" t="str">
        <f t="shared" si="22"/>
        <v>1:701,120,180,820,2.4,3.6,719,1.6,2.4,809,0.4,0.6,709,24,36,713,12,18,</v>
      </c>
      <c r="AB123" s="78" t="str">
        <f t="shared" si="40"/>
        <v>1:701,120,180,820,2.4,3.6,719,1.6,2.4,809,0.4,0.6,709,24,36,713,12,18</v>
      </c>
      <c r="AC123" t="str">
        <f t="shared" si="30"/>
        <v>召唤物生命值 {0}</v>
      </c>
      <c r="AD123" t="str">
        <f t="shared" si="31"/>
        <v>敏捷转化召唤物伤害 {1}</v>
      </c>
      <c r="AE123" t="str">
        <f t="shared" si="32"/>
        <v>召唤物百分比回血 {2}</v>
      </c>
      <c r="AF123" t="str">
        <f t="shared" si="33"/>
        <v>每点智力提升元素伤害 {3}</v>
      </c>
      <c r="AG123" t="str">
        <f t="shared" si="34"/>
        <v>召唤物混沌伤害% {4}</v>
      </c>
      <c r="AH123" t="str">
        <f t="shared" si="35"/>
        <v>召唤物混沌抗性% {5}</v>
      </c>
      <c r="AI123" t="str">
        <f t="shared" si="23"/>
        <v xml:space="preserve">召唤物生命值 {0}
</v>
      </c>
      <c r="AJ123" t="str">
        <f t="shared" si="24"/>
        <v xml:space="preserve">敏捷转化召唤物伤害 {1}%
</v>
      </c>
      <c r="AK123" t="str">
        <f t="shared" si="25"/>
        <v xml:space="preserve">召唤物百分比回血 {2}%
</v>
      </c>
      <c r="AL123" t="str">
        <f t="shared" si="26"/>
        <v xml:space="preserve">每点智力提升元素伤害 {3}%
</v>
      </c>
      <c r="AM123" t="str">
        <f t="shared" si="27"/>
        <v xml:space="preserve">召唤物混沌伤害 {4}%
</v>
      </c>
      <c r="AN123" t="str">
        <f t="shared" si="41"/>
        <v xml:space="preserve">召唤物混沌抗性 {5}%
</v>
      </c>
      <c r="AO123" t="str">
        <f t="shared" si="36"/>
        <v xml:space="preserve">召唤物生命值 {0}
敏捷转化召唤物伤害 {1}%
召唤物百分比回血 {2}%
每点智力提升元素伤害 {3}%
召唤物混沌伤害 {4}%
召唤物混沌抗性 {5}%
</v>
      </c>
      <c r="AP123" s="6" t="str">
        <f t="shared" si="37"/>
        <v xml:space="preserve">召唤物生命值 {0}
敏捷转化召唤物伤害 {1}%
召唤物百分比回血 {2}%
每点智力提升元素伤害 {3}%
召唤物混沌伤害 {4}%
召唤物混沌抗性 {5}%
</v>
      </c>
      <c r="AQ123" s="80" t="s">
        <v>3418</v>
      </c>
      <c r="AR123" t="str">
        <f t="shared" si="39"/>
        <v xml:space="preserve">召唤物生命值 {0}
敏捷转化召唤物伤害 {1}%
召唤物百分比回血 {2}%
每点智力提升元素伤害 {3}%
召唤物混沌伤害 {4}%
召唤物混沌抗性 {5}%
</v>
      </c>
      <c r="AS123" s="81" t="str">
        <f t="shared" si="38"/>
        <v>召唤物生命值 {0}
敏捷转化召唤物伤害 {1}%
召唤物百分比回血 {2}%
每点智力提升元素伤害 {3}%
召唤物混沌伤害 {4}%
召唤物混沌抗性 {5}%</v>
      </c>
      <c r="BE123" s="46" t="s">
        <v>3040</v>
      </c>
      <c r="BF123" s="47" t="s">
        <v>2988</v>
      </c>
      <c r="BG123" s="52">
        <v>423</v>
      </c>
      <c r="BH123" s="59">
        <v>10</v>
      </c>
      <c r="BI123" s="111">
        <f t="shared" si="42"/>
        <v>3.2679738562091504E-3</v>
      </c>
      <c r="BJ123" s="59"/>
      <c r="BK123" s="18">
        <v>2</v>
      </c>
    </row>
    <row r="124" spans="3:63" ht="15.75" x14ac:dyDescent="0.3">
      <c r="C124" s="59">
        <v>14810</v>
      </c>
      <c r="D124" s="59" t="s">
        <v>3703</v>
      </c>
      <c r="E124" s="59"/>
      <c r="F124" s="59" t="s">
        <v>2749</v>
      </c>
      <c r="G124" s="59"/>
      <c r="H124" s="72">
        <v>12</v>
      </c>
      <c r="I124" s="64" t="s">
        <v>2956</v>
      </c>
      <c r="J124" s="64">
        <v>3</v>
      </c>
      <c r="K124" s="64">
        <v>0.2</v>
      </c>
      <c r="L124" s="65" t="s">
        <v>3166</v>
      </c>
      <c r="M124" s="65">
        <v>5</v>
      </c>
      <c r="N124" s="65">
        <v>0.2</v>
      </c>
      <c r="O124" s="66" t="s">
        <v>3165</v>
      </c>
      <c r="P124" s="66">
        <v>2</v>
      </c>
      <c r="Q124" s="66">
        <v>0.2</v>
      </c>
      <c r="R124" s="64" t="s">
        <v>3010</v>
      </c>
      <c r="S124" s="64">
        <v>2</v>
      </c>
      <c r="T124" s="64">
        <v>0.2</v>
      </c>
      <c r="U124" s="65"/>
      <c r="V124" s="65"/>
      <c r="W124" s="65"/>
      <c r="X124" s="66"/>
      <c r="Y124" s="66"/>
      <c r="Z124" s="66"/>
      <c r="AA124" s="71" t="str">
        <f t="shared" si="22"/>
        <v>1:209,24,36,242,40,60,250,16,24,319,16,24,xxxxxx</v>
      </c>
      <c r="AB124" s="78" t="str">
        <f t="shared" si="40"/>
        <v>1:209,24,36,242,40,60,250,16,24,319,16,24</v>
      </c>
      <c r="AC124" t="str">
        <f t="shared" si="30"/>
        <v>混沌伤害 {0}</v>
      </c>
      <c r="AD124" t="str">
        <f t="shared" si="31"/>
        <v>中毒系数 {1}</v>
      </c>
      <c r="AE124" t="str">
        <f t="shared" si="32"/>
        <v>施加中毒时间提升 {2}</v>
      </c>
      <c r="AF124" t="str">
        <f t="shared" si="33"/>
        <v>混沌抗性% {3}</v>
      </c>
      <c r="AG124" t="str">
        <f t="shared" si="34"/>
        <v>xxx</v>
      </c>
      <c r="AH124" t="str">
        <f t="shared" si="35"/>
        <v>xxx</v>
      </c>
      <c r="AI124" t="str">
        <f t="shared" si="23"/>
        <v xml:space="preserve">混沌伤害 {0}
</v>
      </c>
      <c r="AJ124" t="str">
        <f t="shared" si="24"/>
        <v xml:space="preserve">中毒系数 {1}%
</v>
      </c>
      <c r="AK124" t="str">
        <f t="shared" si="25"/>
        <v xml:space="preserve">施加中毒时间提升 {2}%
</v>
      </c>
      <c r="AL124" t="str">
        <f t="shared" si="26"/>
        <v xml:space="preserve">混沌抗性 {3}%
</v>
      </c>
      <c r="AM124" t="str">
        <f t="shared" si="27"/>
        <v>xxx</v>
      </c>
      <c r="AN124" t="str">
        <f t="shared" si="41"/>
        <v>xxx</v>
      </c>
      <c r="AO124" t="str">
        <f t="shared" si="36"/>
        <v>混沌伤害 {0}
中毒系数 {1}%
施加中毒时间提升 {2}%
混沌抗性 {3}%
xxxxxx</v>
      </c>
      <c r="AP124" s="6" t="str">
        <f t="shared" si="37"/>
        <v xml:space="preserve">混沌伤害 {0}
中毒系数 {1}%
施加中毒时间提升 {2}%
混沌抗性 {3}%
</v>
      </c>
      <c r="AQ124" s="80" t="s">
        <v>3419</v>
      </c>
      <c r="AR124" t="str">
        <f t="shared" si="39"/>
        <v xml:space="preserve">混沌伤害 {0}
中毒系数 {1}%
施加中毒时间提升 {2}%
混沌抗性 {3}%
</v>
      </c>
      <c r="AS124" s="81" t="str">
        <f t="shared" si="38"/>
        <v>混沌伤害 {0}
中毒系数 {1}%
施加中毒时间提升 {2}%
混沌抗性 {3}%</v>
      </c>
      <c r="BE124" s="46" t="s">
        <v>3041</v>
      </c>
      <c r="BF124" s="47" t="s">
        <v>3042</v>
      </c>
      <c r="BG124" s="52" t="s">
        <v>3043</v>
      </c>
      <c r="BH124" s="59">
        <v>0.2</v>
      </c>
      <c r="BI124" s="111">
        <f t="shared" si="42"/>
        <v>1.3071895424836602E-2</v>
      </c>
      <c r="BJ124" s="59"/>
      <c r="BK124" s="18">
        <v>1</v>
      </c>
    </row>
    <row r="125" spans="3:63" ht="15.75" x14ac:dyDescent="0.3">
      <c r="C125" s="59">
        <v>14811</v>
      </c>
      <c r="D125" s="59" t="s">
        <v>291</v>
      </c>
      <c r="E125" s="59"/>
      <c r="F125" s="59" t="s">
        <v>2749</v>
      </c>
      <c r="G125" s="59"/>
      <c r="H125" s="72">
        <v>13.5</v>
      </c>
      <c r="I125" s="64" t="s">
        <v>2929</v>
      </c>
      <c r="J125" s="64">
        <v>4</v>
      </c>
      <c r="K125" s="64">
        <v>0.2</v>
      </c>
      <c r="L125" s="65" t="s">
        <v>2970</v>
      </c>
      <c r="M125" s="65">
        <v>3</v>
      </c>
      <c r="N125" s="65">
        <v>0.2</v>
      </c>
      <c r="O125" s="66" t="s">
        <v>2975</v>
      </c>
      <c r="P125" s="66">
        <v>2</v>
      </c>
      <c r="Q125" s="66">
        <v>0.2</v>
      </c>
      <c r="R125" s="64" t="s">
        <v>3189</v>
      </c>
      <c r="S125" s="64">
        <v>2.5</v>
      </c>
      <c r="T125" s="64">
        <v>0.2</v>
      </c>
      <c r="U125" s="65" t="s">
        <v>3191</v>
      </c>
      <c r="V125" s="65">
        <v>2</v>
      </c>
      <c r="W125" s="65">
        <v>0.2</v>
      </c>
      <c r="X125" s="66"/>
      <c r="Y125" s="66"/>
      <c r="Z125" s="66"/>
      <c r="AA125" s="71" t="str">
        <f t="shared" si="22"/>
        <v>1:103,32,48,205,12,18,221,3.2,4.8,809,0.5,0.75,256,1.6,2.4,xxx</v>
      </c>
      <c r="AB125" s="78" t="str">
        <f t="shared" si="40"/>
        <v>1:103,32,48,205,12,18,221,3.2,4.8,809,0.5,0.75,256,1.6,2.4</v>
      </c>
      <c r="AC125" t="str">
        <f t="shared" si="30"/>
        <v>智力 {0}</v>
      </c>
      <c r="AD125" t="str">
        <f t="shared" si="31"/>
        <v>元素伤害 {1}</v>
      </c>
      <c r="AE125" t="str">
        <f t="shared" si="32"/>
        <v>元素减抗% {2}</v>
      </c>
      <c r="AF125" t="str">
        <f t="shared" si="33"/>
        <v>每点智力提升元素伤害 {3}</v>
      </c>
      <c r="AG125" t="str">
        <f t="shared" si="34"/>
        <v>每件传奇装备增加1智力 {4}</v>
      </c>
      <c r="AH125" t="str">
        <f t="shared" si="35"/>
        <v>xxx</v>
      </c>
      <c r="AI125" t="str">
        <f t="shared" si="23"/>
        <v xml:space="preserve">智力 {0}
</v>
      </c>
      <c r="AJ125" t="str">
        <f t="shared" si="24"/>
        <v xml:space="preserve">元素伤害 {1}
</v>
      </c>
      <c r="AK125" t="str">
        <f t="shared" si="25"/>
        <v xml:space="preserve">元素减抗 {2}%
</v>
      </c>
      <c r="AL125" t="str">
        <f t="shared" si="26"/>
        <v xml:space="preserve">每点智力提升元素伤害 {3}%
</v>
      </c>
      <c r="AM125" t="str">
        <f t="shared" si="27"/>
        <v xml:space="preserve">每件传奇装备增加1智力 {4}
</v>
      </c>
      <c r="AN125" t="str">
        <f t="shared" si="41"/>
        <v>xxx</v>
      </c>
      <c r="AO125" t="str">
        <f t="shared" si="36"/>
        <v>智力 {0}
元素伤害 {1}
元素减抗 {2}%
每点智力提升元素伤害 {3}%
每件传奇装备增加1智力 {4}
xxx</v>
      </c>
      <c r="AP125" s="6" t="str">
        <f t="shared" si="37"/>
        <v xml:space="preserve">智力 {0}
元素伤害 {1}
元素减抗 {2}%
每点智力提升元素伤害 {3}%
每件传奇装备增加1智力 {4}
</v>
      </c>
      <c r="AQ125" s="80" t="s">
        <v>3420</v>
      </c>
      <c r="AR125" t="str">
        <f t="shared" si="39"/>
        <v xml:space="preserve">智力 {0}
元素伤害 {1}
元素减抗 {2}%
每点智力提升元素伤害 {3}%
每件传奇装备增加1智力 {4}
</v>
      </c>
      <c r="AS125" s="81" t="str">
        <f t="shared" si="38"/>
        <v>智力 {0}
元素伤害 {1}
元素减抗 {2}%
每点智力提升元素伤害 {3}%
每件传奇装备增加1智力 {4}</v>
      </c>
      <c r="BE125" s="46" t="s">
        <v>3044</v>
      </c>
      <c r="BF125" s="47" t="s">
        <v>3045</v>
      </c>
      <c r="BG125" s="52" t="s">
        <v>3046</v>
      </c>
      <c r="BH125" s="59">
        <v>20</v>
      </c>
      <c r="BI125" s="111">
        <f t="shared" si="42"/>
        <v>9.8039215686274508E-3</v>
      </c>
      <c r="BJ125" s="59"/>
      <c r="BK125" s="18">
        <v>2</v>
      </c>
    </row>
    <row r="126" spans="3:63" ht="15.75" x14ac:dyDescent="0.3">
      <c r="C126" s="59">
        <v>14812</v>
      </c>
      <c r="D126" s="59" t="s">
        <v>292</v>
      </c>
      <c r="E126" s="59">
        <v>4</v>
      </c>
      <c r="F126" s="59" t="s">
        <v>2749</v>
      </c>
      <c r="G126" s="59"/>
      <c r="H126" s="72">
        <v>12.5</v>
      </c>
      <c r="I126" s="64" t="s">
        <v>2931</v>
      </c>
      <c r="J126" s="64">
        <v>4</v>
      </c>
      <c r="K126" s="64">
        <v>0.2</v>
      </c>
      <c r="L126" s="65" t="s">
        <v>2933</v>
      </c>
      <c r="M126" s="65">
        <v>1.5</v>
      </c>
      <c r="N126" s="65">
        <v>0.2</v>
      </c>
      <c r="O126" s="66" t="s">
        <v>2957</v>
      </c>
      <c r="P126" s="66">
        <v>3</v>
      </c>
      <c r="Q126" s="66">
        <v>0.2</v>
      </c>
      <c r="R126" s="64" t="s">
        <v>2966</v>
      </c>
      <c r="S126" s="64">
        <v>2</v>
      </c>
      <c r="T126" s="64">
        <v>0.2</v>
      </c>
      <c r="U126" s="65" t="s">
        <v>3023</v>
      </c>
      <c r="V126" s="65">
        <v>2</v>
      </c>
      <c r="W126" s="65">
        <v>0.2</v>
      </c>
      <c r="X126" s="66"/>
      <c r="Y126" s="66"/>
      <c r="Z126" s="66"/>
      <c r="AA126" s="71" t="str">
        <f t="shared" si="22"/>
        <v>1:211,32,48,217,12,18,305,240,360,104,16,24,402,16,24,xxx</v>
      </c>
      <c r="AB126" s="78" t="str">
        <f t="shared" si="40"/>
        <v>1:211,32,48,217,12,18,305,240,360,104,16,24,402,16,24</v>
      </c>
      <c r="AC126" t="str">
        <f t="shared" si="30"/>
        <v>物理伤害% {0}</v>
      </c>
      <c r="AD126" t="str">
        <f t="shared" si="31"/>
        <v>攻击速度% {1}</v>
      </c>
      <c r="AE126" t="str">
        <f t="shared" si="32"/>
        <v>护甲值 {2}</v>
      </c>
      <c r="AF126" t="str">
        <f t="shared" si="33"/>
        <v>幸运 {3}</v>
      </c>
      <c r="AG126" t="str">
        <f t="shared" si="34"/>
        <v>物品掉落数量% {4}</v>
      </c>
      <c r="AH126" t="str">
        <f t="shared" si="35"/>
        <v>xxx</v>
      </c>
      <c r="AI126" t="str">
        <f t="shared" si="23"/>
        <v xml:space="preserve">物理伤害 {0}%
</v>
      </c>
      <c r="AJ126" t="str">
        <f t="shared" si="24"/>
        <v xml:space="preserve">攻击速度 {1}%
</v>
      </c>
      <c r="AK126" t="str">
        <f t="shared" si="25"/>
        <v xml:space="preserve">护甲值 {2}
</v>
      </c>
      <c r="AL126" t="str">
        <f t="shared" si="26"/>
        <v xml:space="preserve">幸运 {3}
</v>
      </c>
      <c r="AM126" t="str">
        <f t="shared" si="27"/>
        <v xml:space="preserve">物品掉落数量 {4}%
</v>
      </c>
      <c r="AN126" t="str">
        <f t="shared" si="41"/>
        <v>xxx</v>
      </c>
      <c r="AO126" t="str">
        <f t="shared" si="36"/>
        <v>物理伤害 {0}%
攻击速度 {1}%
护甲值 {2}
幸运 {3}
物品掉落数量 {4}%
xxx</v>
      </c>
      <c r="AP126" s="6" t="str">
        <f t="shared" si="37"/>
        <v xml:space="preserve">物理伤害 {0}%
攻击速度 {1}%
护甲值 {2}
幸运 {3}
物品掉落数量 {4}%
</v>
      </c>
      <c r="AQ126" s="80" t="s">
        <v>3421</v>
      </c>
      <c r="AR126" t="str">
        <f t="shared" si="39"/>
        <v xml:space="preserve">物理伤害 {0}%
攻击速度 {1}%
护甲值 {2}
幸运 {3}
物品掉落数量 {4}%
</v>
      </c>
      <c r="AS126" s="81" t="str">
        <f t="shared" si="38"/>
        <v>物理伤害 {0}%
攻击速度 {1}%
护甲值 {2}
幸运 {3}
物品掉落数量 {4}%</v>
      </c>
      <c r="BE126" s="46" t="s">
        <v>3047</v>
      </c>
      <c r="BF126" s="48" t="s">
        <v>2968</v>
      </c>
      <c r="BG126" s="52">
        <v>430</v>
      </c>
      <c r="BH126" s="59">
        <v>10</v>
      </c>
      <c r="BI126" s="111">
        <f t="shared" si="42"/>
        <v>9.8039215686274508E-3</v>
      </c>
      <c r="BJ126" s="59"/>
      <c r="BK126" s="18">
        <v>2</v>
      </c>
    </row>
    <row r="127" spans="3:63" ht="15.75" x14ac:dyDescent="0.3">
      <c r="C127" s="77">
        <v>14813</v>
      </c>
      <c r="D127" s="77" t="s">
        <v>293</v>
      </c>
      <c r="E127" s="77">
        <v>-99</v>
      </c>
      <c r="F127" s="77" t="s">
        <v>2749</v>
      </c>
      <c r="G127" s="77"/>
      <c r="H127" s="100">
        <v>0</v>
      </c>
      <c r="I127" s="64"/>
      <c r="J127" s="64"/>
      <c r="K127" s="64"/>
      <c r="L127" s="65"/>
      <c r="M127" s="65"/>
      <c r="N127" s="65"/>
      <c r="O127" s="66"/>
      <c r="P127" s="66"/>
      <c r="Q127" s="66"/>
      <c r="R127" s="64"/>
      <c r="S127" s="64"/>
      <c r="T127" s="64"/>
      <c r="U127" s="65"/>
      <c r="V127" s="65"/>
      <c r="W127" s="65"/>
      <c r="X127" s="66"/>
      <c r="Y127" s="66"/>
      <c r="Z127" s="66"/>
      <c r="AA127" s="71" t="str">
        <f t="shared" si="22"/>
        <v>1:xxxxxxxxxxxxxxxxxx</v>
      </c>
      <c r="AB127" s="78" t="str">
        <f t="shared" si="40"/>
        <v/>
      </c>
      <c r="AC127" t="str">
        <f t="shared" si="30"/>
        <v>xxx</v>
      </c>
      <c r="AD127" t="str">
        <f t="shared" si="31"/>
        <v>xxx</v>
      </c>
      <c r="AE127" t="str">
        <f t="shared" si="32"/>
        <v>xxx</v>
      </c>
      <c r="AF127" t="str">
        <f t="shared" si="33"/>
        <v>xxx</v>
      </c>
      <c r="AG127" t="str">
        <f t="shared" si="34"/>
        <v>xxx</v>
      </c>
      <c r="AH127" t="str">
        <f t="shared" si="35"/>
        <v>xxx</v>
      </c>
      <c r="AI127" t="str">
        <f t="shared" si="23"/>
        <v>xxx</v>
      </c>
      <c r="AJ127" t="str">
        <f t="shared" si="24"/>
        <v>xxx</v>
      </c>
      <c r="AK127" t="str">
        <f t="shared" si="25"/>
        <v>xxx</v>
      </c>
      <c r="AL127" t="str">
        <f t="shared" si="26"/>
        <v>xxx</v>
      </c>
      <c r="AM127" t="str">
        <f t="shared" si="27"/>
        <v>xxx</v>
      </c>
      <c r="AN127" t="str">
        <f t="shared" si="41"/>
        <v>xxx</v>
      </c>
      <c r="AO127" t="str">
        <f t="shared" si="36"/>
        <v>xxxxxxxxxxxxxxxxxx</v>
      </c>
      <c r="AP127" s="6" t="str">
        <f t="shared" si="37"/>
        <v/>
      </c>
      <c r="AQ127" s="80" t="s">
        <v>3422</v>
      </c>
      <c r="AR127" t="str">
        <f t="shared" si="39"/>
        <v>敏捷+（15~20）
有（10%~20%）几率投掷2个额外陷阱
有（3%~6%）几率投掷4个额外陷阱</v>
      </c>
      <c r="AS127" s="81" t="str">
        <f t="shared" si="38"/>
        <v>敏捷+（15~20）
有（10%~20%）几率投掷2个额外陷阱
有（3%~6%）几率投掷4个额外陷阱</v>
      </c>
      <c r="BE127" s="46" t="s">
        <v>3048</v>
      </c>
      <c r="BF127" s="48" t="s">
        <v>2968</v>
      </c>
      <c r="BG127" s="52">
        <v>432</v>
      </c>
      <c r="BH127" s="59">
        <v>10</v>
      </c>
      <c r="BI127" s="111">
        <f t="shared" si="42"/>
        <v>1.3071895424836602E-2</v>
      </c>
      <c r="BJ127" s="59"/>
      <c r="BK127" s="18">
        <v>2</v>
      </c>
    </row>
    <row r="128" spans="3:63" ht="15.75" x14ac:dyDescent="0.3">
      <c r="C128" s="59">
        <v>14814</v>
      </c>
      <c r="D128" s="59" t="s">
        <v>294</v>
      </c>
      <c r="E128" s="59"/>
      <c r="F128" s="59" t="s">
        <v>2749</v>
      </c>
      <c r="G128" s="59"/>
      <c r="H128" s="72">
        <v>11</v>
      </c>
      <c r="I128" s="64" t="s">
        <v>3207</v>
      </c>
      <c r="J128" s="64">
        <v>5</v>
      </c>
      <c r="K128" s="64">
        <v>0.2</v>
      </c>
      <c r="L128" s="65" t="s">
        <v>3023</v>
      </c>
      <c r="M128" s="65">
        <v>2</v>
      </c>
      <c r="N128" s="65">
        <v>0.2</v>
      </c>
      <c r="O128" s="66" t="s">
        <v>2940</v>
      </c>
      <c r="P128" s="66">
        <v>1</v>
      </c>
      <c r="Q128" s="66">
        <v>0.2</v>
      </c>
      <c r="R128" s="64" t="s">
        <v>3224</v>
      </c>
      <c r="S128" s="64">
        <v>1.5</v>
      </c>
      <c r="T128" s="64">
        <v>0.2</v>
      </c>
      <c r="U128" s="65" t="s">
        <v>2932</v>
      </c>
      <c r="V128" s="65">
        <v>1.5</v>
      </c>
      <c r="W128" s="65">
        <v>0.2</v>
      </c>
      <c r="X128" s="66"/>
      <c r="Y128" s="66"/>
      <c r="Z128" s="66"/>
      <c r="AA128" s="71" t="str">
        <f t="shared" si="22"/>
        <v>1:421,80,120,402,16,24,412,8,12,257,12,18,220,24,36,xxx</v>
      </c>
      <c r="AB128" s="78" t="str">
        <f t="shared" si="40"/>
        <v>1:421,80,120,402,16,24,412,8,12,257,12,18,220,24,36</v>
      </c>
      <c r="AC128" t="str">
        <f t="shared" si="30"/>
        <v>金币获取% {0}</v>
      </c>
      <c r="AD128" t="str">
        <f t="shared" si="31"/>
        <v>物品掉落数量% {1}</v>
      </c>
      <c r="AE128" t="str">
        <f t="shared" si="32"/>
        <v>移动速度% {2}</v>
      </c>
      <c r="AF128" t="str">
        <f t="shared" si="33"/>
        <v>暴击率增幅 {3}</v>
      </c>
      <c r="AG128" t="str">
        <f t="shared" si="34"/>
        <v>暴击伤害% {4}</v>
      </c>
      <c r="AH128" t="str">
        <f t="shared" si="35"/>
        <v>xxx</v>
      </c>
      <c r="AI128" t="str">
        <f t="shared" si="23"/>
        <v xml:space="preserve">金币获取 {0}%
</v>
      </c>
      <c r="AJ128" t="str">
        <f t="shared" si="24"/>
        <v xml:space="preserve">物品掉落数量 {1}%
</v>
      </c>
      <c r="AK128" t="str">
        <f t="shared" si="25"/>
        <v xml:space="preserve">移动速度 {2}%
</v>
      </c>
      <c r="AL128" t="str">
        <f t="shared" si="26"/>
        <v xml:space="preserve">暴击率增幅 {3}%
</v>
      </c>
      <c r="AM128" t="str">
        <f t="shared" si="27"/>
        <v xml:space="preserve">暴击伤害 {4}%
</v>
      </c>
      <c r="AN128" t="str">
        <f t="shared" si="41"/>
        <v>xxx</v>
      </c>
      <c r="AO128" t="str">
        <f t="shared" si="36"/>
        <v>金币获取 {0}%
物品掉落数量 {1}%
移动速度 {2}%
暴击率增幅 {3}%
暴击伤害 {4}%
xxx</v>
      </c>
      <c r="AP128" s="6" t="str">
        <f t="shared" si="37"/>
        <v xml:space="preserve">金币获取 {0}%
物品掉落数量 {1}%
移动速度 {2}%
暴击率增幅 {3}%
暴击伤害 {4}%
</v>
      </c>
      <c r="AQ128" s="80" t="s">
        <v>3423</v>
      </c>
      <c r="AR128" t="str">
        <f t="shared" si="39"/>
        <v xml:space="preserve">金币获取 {0}%
物品掉落数量 {1}%
移动速度 {2}%
暴击率增幅 {3}%
暴击伤害 {4}%
</v>
      </c>
      <c r="AS128" s="81" t="str">
        <f t="shared" si="38"/>
        <v>金币获取 {0}%
物品掉落数量 {1}%
移动速度 {2}%
暴击率增幅 {3}%
暴击伤害 {4}%</v>
      </c>
      <c r="BE128" s="46" t="s">
        <v>3049</v>
      </c>
      <c r="BF128" s="48" t="s">
        <v>2968</v>
      </c>
      <c r="BG128" s="52" t="s">
        <v>4341</v>
      </c>
      <c r="BH128" s="59">
        <v>10</v>
      </c>
      <c r="BI128" s="111">
        <f t="shared" si="42"/>
        <v>1.9607843137254902E-2</v>
      </c>
      <c r="BJ128" s="59"/>
      <c r="BK128" s="18">
        <v>2</v>
      </c>
    </row>
    <row r="129" spans="3:63" ht="15.75" x14ac:dyDescent="0.3">
      <c r="C129" s="59">
        <v>14815</v>
      </c>
      <c r="D129" s="59" t="s">
        <v>295</v>
      </c>
      <c r="E129" s="59"/>
      <c r="F129" s="59" t="s">
        <v>2749</v>
      </c>
      <c r="G129" s="59"/>
      <c r="H129" s="72">
        <v>12</v>
      </c>
      <c r="I129" s="64" t="s">
        <v>2938</v>
      </c>
      <c r="J129" s="64">
        <v>3</v>
      </c>
      <c r="K129" s="64">
        <v>0.2</v>
      </c>
      <c r="L129" s="65" t="s">
        <v>3193</v>
      </c>
      <c r="M129" s="65">
        <v>2</v>
      </c>
      <c r="N129" s="65">
        <v>0.2</v>
      </c>
      <c r="O129" s="66" t="s">
        <v>3176</v>
      </c>
      <c r="P129" s="66">
        <v>3</v>
      </c>
      <c r="Q129" s="66">
        <v>0.2</v>
      </c>
      <c r="R129" s="64" t="s">
        <v>3009</v>
      </c>
      <c r="S129" s="64">
        <v>2.5</v>
      </c>
      <c r="T129" s="64">
        <v>0.2</v>
      </c>
      <c r="U129" s="65" t="s">
        <v>3224</v>
      </c>
      <c r="V129" s="65">
        <v>1.5</v>
      </c>
      <c r="W129" s="65">
        <v>0.2</v>
      </c>
      <c r="X129" s="66"/>
      <c r="Y129" s="66"/>
      <c r="Z129" s="66"/>
      <c r="AA129" s="71" t="str">
        <f t="shared" si="22"/>
        <v>1:215,24,36,243,16,24,248,24,36,318,20,30,257,12,18,xxx</v>
      </c>
      <c r="AB129" s="78" t="str">
        <f t="shared" si="40"/>
        <v>1:215,24,36,243,16,24,248,24,36,318,20,30,257,12,18</v>
      </c>
      <c r="AC129" t="str">
        <f t="shared" si="30"/>
        <v>闪电伤害% {0}</v>
      </c>
      <c r="AD129" t="str">
        <f t="shared" si="31"/>
        <v>感电系数 {1}</v>
      </c>
      <c r="AE129" t="str">
        <f t="shared" si="32"/>
        <v>施加感电时间提升 {2}</v>
      </c>
      <c r="AF129" t="str">
        <f t="shared" si="33"/>
        <v>闪电抗性% {3}</v>
      </c>
      <c r="AG129" t="str">
        <f t="shared" si="34"/>
        <v>暴击率增幅 {4}</v>
      </c>
      <c r="AH129" t="str">
        <f t="shared" si="35"/>
        <v>xxx</v>
      </c>
      <c r="AI129" t="str">
        <f t="shared" si="23"/>
        <v xml:space="preserve">闪电伤害 {0}%
</v>
      </c>
      <c r="AJ129" t="str">
        <f t="shared" si="24"/>
        <v xml:space="preserve">感电系数 {1}%
</v>
      </c>
      <c r="AK129" t="str">
        <f t="shared" si="25"/>
        <v xml:space="preserve">施加感电时间提升 {2}%
</v>
      </c>
      <c r="AL129" t="str">
        <f t="shared" si="26"/>
        <v xml:space="preserve">闪电抗性 {3}%
</v>
      </c>
      <c r="AM129" t="str">
        <f t="shared" si="27"/>
        <v xml:space="preserve">暴击率增幅 {4}%
</v>
      </c>
      <c r="AN129" t="str">
        <f t="shared" si="41"/>
        <v>xxx</v>
      </c>
      <c r="AO129" t="str">
        <f t="shared" si="36"/>
        <v>闪电伤害 {0}%
感电系数 {1}%
施加感电时间提升 {2}%
闪电抗性 {3}%
暴击率增幅 {4}%
xxx</v>
      </c>
      <c r="AP129" s="6" t="str">
        <f t="shared" si="37"/>
        <v xml:space="preserve">闪电伤害 {0}%
感电系数 {1}%
施加感电时间提升 {2}%
闪电抗性 {3}%
暴击率增幅 {4}%
</v>
      </c>
      <c r="AQ129" s="80" t="s">
        <v>3424</v>
      </c>
      <c r="AR129" t="str">
        <f t="shared" si="39"/>
        <v xml:space="preserve">闪电伤害 {0}%
感电系数 {1}%
施加感电时间提升 {2}%
闪电抗性 {3}%
暴击率增幅 {4}%
</v>
      </c>
      <c r="AS129" s="81" t="str">
        <f t="shared" si="38"/>
        <v>闪电伤害 {0}%
感电系数 {1}%
施加感电时间提升 {2}%
闪电抗性 {3}%
暴击率增幅 {4}%</v>
      </c>
      <c r="BE129" s="46" t="s">
        <v>3050</v>
      </c>
      <c r="BF129" s="48" t="s">
        <v>3042</v>
      </c>
      <c r="BG129" s="52" t="s">
        <v>3051</v>
      </c>
      <c r="BH129" s="59">
        <v>-0.5</v>
      </c>
      <c r="BI129" s="111">
        <f t="shared" si="42"/>
        <v>0</v>
      </c>
      <c r="BJ129" s="59"/>
      <c r="BK129" s="18">
        <v>1</v>
      </c>
    </row>
    <row r="130" spans="3:63" ht="15.75" x14ac:dyDescent="0.3">
      <c r="C130" s="59">
        <v>14816</v>
      </c>
      <c r="D130" s="59" t="s">
        <v>296</v>
      </c>
      <c r="E130" s="59"/>
      <c r="F130" s="59" t="s">
        <v>2749</v>
      </c>
      <c r="G130" s="59"/>
      <c r="H130" s="72">
        <v>11.5</v>
      </c>
      <c r="I130" s="64" t="s">
        <v>3077</v>
      </c>
      <c r="J130" s="64">
        <v>3</v>
      </c>
      <c r="K130" s="64">
        <v>0.2</v>
      </c>
      <c r="L130" s="65" t="s">
        <v>2936</v>
      </c>
      <c r="M130" s="65">
        <v>1</v>
      </c>
      <c r="N130" s="65">
        <v>0.2</v>
      </c>
      <c r="O130" s="66" t="s">
        <v>3194</v>
      </c>
      <c r="P130" s="66">
        <v>3</v>
      </c>
      <c r="Q130" s="66">
        <v>0.2</v>
      </c>
      <c r="R130" s="64" t="s">
        <v>3093</v>
      </c>
      <c r="S130" s="64">
        <v>3</v>
      </c>
      <c r="T130" s="64">
        <v>0.2</v>
      </c>
      <c r="U130" s="65" t="s">
        <v>3195</v>
      </c>
      <c r="V130" s="65">
        <v>1.5</v>
      </c>
      <c r="W130" s="65">
        <v>0.2</v>
      </c>
      <c r="X130" s="66"/>
      <c r="Y130" s="66"/>
      <c r="Z130" s="66"/>
      <c r="AA130" s="71" t="str">
        <f t="shared" si="22"/>
        <v>1:702,24,36,715,8,12,720,2.4,3.6,721,24,36,722,6,9,xxx</v>
      </c>
      <c r="AB130" s="78" t="str">
        <f t="shared" si="40"/>
        <v>1:702,24,36,715,8,12,720,2.4,3.6,721,24,36,722,6,9</v>
      </c>
      <c r="AC130" t="str">
        <f t="shared" si="30"/>
        <v>召唤物生命值% {0}</v>
      </c>
      <c r="AD130" t="str">
        <f t="shared" si="31"/>
        <v>召唤物移动速度% {1}</v>
      </c>
      <c r="AE130" t="str">
        <f t="shared" si="32"/>
        <v>召唤物获得百分比最大生命值的护盾 {2}</v>
      </c>
      <c r="AF130" t="str">
        <f t="shared" si="33"/>
        <v>召唤物最终伤害 {3}</v>
      </c>
      <c r="AG130" t="str">
        <f t="shared" si="34"/>
        <v>召唤物格挡几率 {4}</v>
      </c>
      <c r="AH130" t="str">
        <f t="shared" si="35"/>
        <v>xxx</v>
      </c>
      <c r="AI130" t="str">
        <f t="shared" si="23"/>
        <v xml:space="preserve">召唤物生命值 {0}%
</v>
      </c>
      <c r="AJ130" t="str">
        <f t="shared" si="24"/>
        <v xml:space="preserve">召唤物移动速度 {1}%
</v>
      </c>
      <c r="AK130" t="str">
        <f t="shared" si="25"/>
        <v xml:space="preserve">召唤物获得百分比最大生命值的护盾 {2}%
</v>
      </c>
      <c r="AL130" t="str">
        <f t="shared" si="26"/>
        <v xml:space="preserve">召唤物最终伤害 {3}%
</v>
      </c>
      <c r="AM130" t="str">
        <f t="shared" si="27"/>
        <v xml:space="preserve">召唤物格挡几率 {4}%
</v>
      </c>
      <c r="AN130" t="str">
        <f t="shared" si="41"/>
        <v>xxx</v>
      </c>
      <c r="AO130" t="str">
        <f t="shared" si="36"/>
        <v>召唤物生命值 {0}%
召唤物移动速度 {1}%
召唤物获得百分比最大生命值的护盾 {2}%
召唤物最终伤害 {3}%
召唤物格挡几率 {4}%
xxx</v>
      </c>
      <c r="AP130" s="6" t="str">
        <f t="shared" si="37"/>
        <v xml:space="preserve">召唤物生命值 {0}%
召唤物移动速度 {1}%
召唤物获得百分比最大生命值的护盾 {2}%
召唤物最终伤害 {3}%
召唤物格挡几率 {4}%
</v>
      </c>
      <c r="AQ130" s="80" t="s">
        <v>3425</v>
      </c>
      <c r="AR130" t="str">
        <f t="shared" si="39"/>
        <v xml:space="preserve">召唤物生命值 {0}%
召唤物移动速度 {1}%
召唤物获得百分比最大生命值的护盾 {2}%
召唤物最终伤害 {3}%
召唤物格挡几率 {4}%
</v>
      </c>
      <c r="AS130" s="81" t="str">
        <f t="shared" si="38"/>
        <v>召唤物生命值 {0}%
召唤物移动速度 {1}%
召唤物获得百分比最大生命值的护盾 {2}%
召唤物最终伤害 {3}%
召唤物格挡几率 {4}%</v>
      </c>
      <c r="BE130" s="46" t="s">
        <v>3582</v>
      </c>
      <c r="BF130" s="47" t="s">
        <v>2965</v>
      </c>
      <c r="BG130" s="52">
        <v>501</v>
      </c>
      <c r="BH130" s="59">
        <v>2</v>
      </c>
      <c r="BI130" s="111">
        <f t="shared" si="42"/>
        <v>5.8823529411764712E-2</v>
      </c>
      <c r="BJ130" s="59"/>
      <c r="BK130" s="18">
        <v>1</v>
      </c>
    </row>
    <row r="131" spans="3:63" ht="15.75" x14ac:dyDescent="0.3">
      <c r="C131" s="59">
        <v>14817</v>
      </c>
      <c r="D131" s="59" t="s">
        <v>297</v>
      </c>
      <c r="E131" s="59">
        <v>4</v>
      </c>
      <c r="F131" s="59" t="s">
        <v>2751</v>
      </c>
      <c r="G131" s="59"/>
      <c r="H131" s="72">
        <v>12.5</v>
      </c>
      <c r="I131" s="64" t="s">
        <v>2929</v>
      </c>
      <c r="J131" s="64">
        <v>3</v>
      </c>
      <c r="K131" s="64">
        <v>0.2</v>
      </c>
      <c r="L131" s="65" t="s">
        <v>2927</v>
      </c>
      <c r="M131" s="65">
        <v>3</v>
      </c>
      <c r="N131" s="65">
        <v>0.2</v>
      </c>
      <c r="O131" s="66" t="s">
        <v>3189</v>
      </c>
      <c r="P131" s="66">
        <v>2</v>
      </c>
      <c r="Q131" s="66">
        <v>0.2</v>
      </c>
      <c r="R131" s="64" t="s">
        <v>3180</v>
      </c>
      <c r="S131" s="64">
        <v>1.5</v>
      </c>
      <c r="T131" s="64">
        <v>0.2</v>
      </c>
      <c r="U131" s="65" t="s">
        <v>2952</v>
      </c>
      <c r="V131" s="65">
        <v>1.5</v>
      </c>
      <c r="W131" s="65">
        <v>0.2</v>
      </c>
      <c r="X131" s="66" t="s">
        <v>2975</v>
      </c>
      <c r="Y131" s="66">
        <v>1.5</v>
      </c>
      <c r="Z131" s="66">
        <v>0.2</v>
      </c>
      <c r="AA131" s="71" t="str">
        <f t="shared" si="22"/>
        <v>1:103,24,36,212,12,18,809,0.4,0.6,300,24,36,310,120,180,221,2.4,3.6,</v>
      </c>
      <c r="AB131" s="78" t="str">
        <f t="shared" si="40"/>
        <v>1:103,24,36,212,12,18,809,0.4,0.6,300,24,36,310,120,180,221,2.4,3.6</v>
      </c>
      <c r="AC131" t="str">
        <f t="shared" si="30"/>
        <v>智力 {0}</v>
      </c>
      <c r="AD131" t="str">
        <f t="shared" si="31"/>
        <v>元素伤害% {1}</v>
      </c>
      <c r="AE131" t="str">
        <f t="shared" si="32"/>
        <v>每点智力提升元素伤害 {2}</v>
      </c>
      <c r="AF131" t="str">
        <f t="shared" si="33"/>
        <v>最大生命值 {3}</v>
      </c>
      <c r="AG131" t="str">
        <f t="shared" si="34"/>
        <v>护盾回复% {4}</v>
      </c>
      <c r="AH131" t="str">
        <f t="shared" si="35"/>
        <v>元素减抗% {5}</v>
      </c>
      <c r="AI131" t="str">
        <f t="shared" si="23"/>
        <v xml:space="preserve">智力 {0}
</v>
      </c>
      <c r="AJ131" t="str">
        <f t="shared" si="24"/>
        <v xml:space="preserve">元素伤害 {1}%
</v>
      </c>
      <c r="AK131" t="str">
        <f t="shared" si="25"/>
        <v xml:space="preserve">每点智力提升元素伤害 {2}%
</v>
      </c>
      <c r="AL131" t="str">
        <f t="shared" si="26"/>
        <v xml:space="preserve">最大生命值 {3}
</v>
      </c>
      <c r="AM131" t="str">
        <f t="shared" si="27"/>
        <v xml:space="preserve">护盾回复 {4}%
</v>
      </c>
      <c r="AN131" t="str">
        <f t="shared" si="41"/>
        <v xml:space="preserve">元素减抗 {5}%
</v>
      </c>
      <c r="AO131" t="str">
        <f t="shared" si="36"/>
        <v xml:space="preserve">智力 {0}
元素伤害 {1}%
每点智力提升元素伤害 {2}%
最大生命值 {3}
护盾回复 {4}%
元素减抗 {5}%
</v>
      </c>
      <c r="AP131" s="6" t="str">
        <f t="shared" si="37"/>
        <v xml:space="preserve">智力 {0}
元素伤害 {1}%
每点智力提升元素伤害 {2}%
最大生命值 {3}
护盾回复 {4}%
元素减抗 {5}%
</v>
      </c>
      <c r="AQ131" s="80" t="s">
        <v>3426</v>
      </c>
      <c r="AR131" t="str">
        <f t="shared" si="39"/>
        <v xml:space="preserve">智力 {0}
元素伤害 {1}%
每点智力提升元素伤害 {2}%
最大生命值 {3}
护盾回复 {4}%
元素减抗 {5}%
</v>
      </c>
      <c r="AS131" s="81" t="str">
        <f t="shared" si="38"/>
        <v>智力 {0}
元素伤害 {1}%
每点智力提升元素伤害 {2}%
最大生命值 {3}
护盾回复 {4}%
元素减抗 {5}%</v>
      </c>
      <c r="BE131" s="49" t="s">
        <v>3584</v>
      </c>
      <c r="BF131" s="50" t="s">
        <v>2965</v>
      </c>
      <c r="BG131" s="52">
        <v>502</v>
      </c>
      <c r="BH131" s="59">
        <v>2</v>
      </c>
      <c r="BI131" s="111">
        <f t="shared" si="42"/>
        <v>3.2679738562091505E-2</v>
      </c>
      <c r="BJ131" s="59"/>
      <c r="BK131" s="18">
        <v>1</v>
      </c>
    </row>
    <row r="132" spans="3:63" ht="15.75" x14ac:dyDescent="0.3">
      <c r="C132" s="59">
        <v>14818</v>
      </c>
      <c r="D132" s="59" t="s">
        <v>298</v>
      </c>
      <c r="E132" s="59"/>
      <c r="F132" s="59" t="s">
        <v>2751</v>
      </c>
      <c r="G132" s="59"/>
      <c r="H132" s="72">
        <v>13.5</v>
      </c>
      <c r="I132" s="64" t="s">
        <v>2963</v>
      </c>
      <c r="J132" s="64">
        <v>5</v>
      </c>
      <c r="K132" s="64">
        <v>0.2</v>
      </c>
      <c r="L132" s="65" t="s">
        <v>2958</v>
      </c>
      <c r="M132" s="65">
        <v>3</v>
      </c>
      <c r="N132" s="65">
        <v>0.2</v>
      </c>
      <c r="O132" s="66" t="s">
        <v>3198</v>
      </c>
      <c r="P132" s="66">
        <v>2</v>
      </c>
      <c r="Q132" s="66">
        <v>0.2</v>
      </c>
      <c r="R132" s="64" t="s">
        <v>3250</v>
      </c>
      <c r="S132" s="64">
        <v>2</v>
      </c>
      <c r="T132" s="64">
        <v>0.2</v>
      </c>
      <c r="U132" s="65" t="s">
        <v>3248</v>
      </c>
      <c r="V132" s="65">
        <v>1.5</v>
      </c>
      <c r="W132" s="65">
        <v>0.2</v>
      </c>
      <c r="X132" s="66"/>
      <c r="Y132" s="66"/>
      <c r="Z132" s="66"/>
      <c r="AA132" s="71" t="str">
        <f t="shared" si="22"/>
        <v>1:413,40,60,321,12,18,817,1.6,2.4,303,0.8,1.2,320,6,9,xxx</v>
      </c>
      <c r="AB132" s="78" t="str">
        <f t="shared" si="40"/>
        <v>1:413,40,60,321,12,18,817,1.6,2.4,303,0.8,1.2,320,6,9</v>
      </c>
      <c r="AC132" t="str">
        <f t="shared" si="30"/>
        <v>荆棘 {0}</v>
      </c>
      <c r="AD132" t="str">
        <f t="shared" si="31"/>
        <v>所有伤害减免% {1}</v>
      </c>
      <c r="AE132" t="str">
        <f t="shared" si="32"/>
        <v>护甲转化荆棘 {2}</v>
      </c>
      <c r="AF132" t="str">
        <f t="shared" si="33"/>
        <v>生命回复 {3}</v>
      </c>
      <c r="AG132" t="str">
        <f t="shared" si="34"/>
        <v>物理抗性% {4}</v>
      </c>
      <c r="AH132" t="str">
        <f t="shared" si="35"/>
        <v>xxx</v>
      </c>
      <c r="AI132" t="str">
        <f t="shared" si="23"/>
        <v xml:space="preserve">荆棘 {0}
</v>
      </c>
      <c r="AJ132" t="str">
        <f t="shared" si="24"/>
        <v xml:space="preserve">所有伤害减免 {1}%
</v>
      </c>
      <c r="AK132" t="str">
        <f t="shared" si="25"/>
        <v xml:space="preserve">护甲转化荆棘 {2}
</v>
      </c>
      <c r="AL132" t="str">
        <f t="shared" si="26"/>
        <v xml:space="preserve">生命回复 {3}
</v>
      </c>
      <c r="AM132" t="str">
        <f t="shared" si="27"/>
        <v xml:space="preserve">物理抗性 {4}%
</v>
      </c>
      <c r="AN132" t="str">
        <f t="shared" si="41"/>
        <v>xxx</v>
      </c>
      <c r="AO132" t="str">
        <f t="shared" si="36"/>
        <v>荆棘 {0}
所有伤害减免 {1}%
护甲转化荆棘 {2}
生命回复 {3}
物理抗性 {4}%
xxx</v>
      </c>
      <c r="AP132" s="6" t="str">
        <f t="shared" si="37"/>
        <v xml:space="preserve">荆棘 {0}
所有伤害减免 {1}%
护甲转化荆棘 {2}
生命回复 {3}
物理抗性 {4}%
</v>
      </c>
      <c r="AQ132" s="80" t="s">
        <v>3427</v>
      </c>
      <c r="AR132" t="str">
        <f t="shared" si="39"/>
        <v xml:space="preserve">荆棘 {0}
所有伤害减免 {1}%
护甲转化荆棘 {2}
生命回复 {3}
物理抗性 {4}%
</v>
      </c>
      <c r="AS132" s="81" t="str">
        <f t="shared" si="38"/>
        <v>荆棘 {0}
所有伤害减免 {1}%
护甲转化荆棘 {2}
生命回复 {3}
物理抗性 {4}%</v>
      </c>
      <c r="BE132" s="46" t="s">
        <v>3052</v>
      </c>
      <c r="BF132" s="47" t="s">
        <v>2965</v>
      </c>
      <c r="BG132" s="52">
        <v>503</v>
      </c>
      <c r="BH132" s="59"/>
      <c r="BI132" s="111">
        <f t="shared" si="42"/>
        <v>0</v>
      </c>
      <c r="BJ132" s="59"/>
      <c r="BK132" s="18">
        <v>1</v>
      </c>
    </row>
    <row r="133" spans="3:63" ht="15.75" x14ac:dyDescent="0.3">
      <c r="C133" s="59">
        <v>14819</v>
      </c>
      <c r="D133" s="74" t="s">
        <v>3704</v>
      </c>
      <c r="E133" s="74"/>
      <c r="F133" s="74" t="s">
        <v>2751</v>
      </c>
      <c r="G133" s="74"/>
      <c r="H133" s="72">
        <v>0</v>
      </c>
      <c r="I133" s="64"/>
      <c r="J133" s="64"/>
      <c r="K133" s="64"/>
      <c r="L133" s="65"/>
      <c r="M133" s="65"/>
      <c r="N133" s="65"/>
      <c r="O133" s="66"/>
      <c r="P133" s="66"/>
      <c r="Q133" s="66"/>
      <c r="R133" s="64"/>
      <c r="S133" s="64"/>
      <c r="T133" s="64"/>
      <c r="U133" s="65"/>
      <c r="V133" s="65"/>
      <c r="W133" s="65"/>
      <c r="X133" s="66"/>
      <c r="Y133" s="66"/>
      <c r="Z133" s="66"/>
      <c r="AA133" s="71" t="str">
        <f t="shared" si="22"/>
        <v>1:xxxxxxxxxxxxxxxxxx</v>
      </c>
      <c r="AB133" s="78" t="str">
        <f t="shared" si="40"/>
        <v/>
      </c>
      <c r="AC133" t="str">
        <f t="shared" si="30"/>
        <v>xxx</v>
      </c>
      <c r="AD133" t="str">
        <f t="shared" si="31"/>
        <v>xxx</v>
      </c>
      <c r="AE133" t="str">
        <f t="shared" si="32"/>
        <v>xxx</v>
      </c>
      <c r="AF133" t="str">
        <f t="shared" si="33"/>
        <v>xxx</v>
      </c>
      <c r="AG133" t="str">
        <f t="shared" si="34"/>
        <v>xxx</v>
      </c>
      <c r="AH133" t="str">
        <f t="shared" si="35"/>
        <v>xxx</v>
      </c>
      <c r="AI133" t="str">
        <f t="shared" si="23"/>
        <v>xxx</v>
      </c>
      <c r="AJ133" t="str">
        <f t="shared" si="24"/>
        <v>xxx</v>
      </c>
      <c r="AK133" t="str">
        <f t="shared" si="25"/>
        <v>xxx</v>
      </c>
      <c r="AL133" t="str">
        <f t="shared" si="26"/>
        <v>xxx</v>
      </c>
      <c r="AM133" t="str">
        <f t="shared" si="27"/>
        <v>xxx</v>
      </c>
      <c r="AN133" t="str">
        <f t="shared" si="41"/>
        <v>xxx</v>
      </c>
      <c r="AO133" t="str">
        <f t="shared" si="36"/>
        <v>xxxxxxxxxxxxxxxxxx</v>
      </c>
      <c r="AP133" s="6" t="str">
        <f t="shared" si="37"/>
        <v/>
      </c>
      <c r="AQ133" s="80" t="s">
        <v>3428</v>
      </c>
      <c r="AR133" t="str">
        <f t="shared" si="39"/>
        <v>力量+{0}
敏捷+{1}
生命值+{2}
对精英和首领怪物的武器攻击伤害+25%</v>
      </c>
      <c r="AS133" s="81" t="str">
        <f t="shared" si="38"/>
        <v>力量+{0}
敏捷+{1}
生命值+{2}
对精英和首领怪物的武器攻击伤害+25%</v>
      </c>
      <c r="BE133" s="46" t="s">
        <v>3053</v>
      </c>
      <c r="BF133" s="47" t="s">
        <v>3054</v>
      </c>
      <c r="BG133" s="52">
        <v>504</v>
      </c>
      <c r="BH133" s="59">
        <v>5</v>
      </c>
      <c r="BI133" s="111">
        <f t="shared" si="42"/>
        <v>9.8039215686274508E-3</v>
      </c>
      <c r="BJ133" s="59"/>
      <c r="BK133" s="18">
        <v>2</v>
      </c>
    </row>
    <row r="134" spans="3:63" ht="15.75" x14ac:dyDescent="0.3">
      <c r="C134" s="59">
        <v>14820</v>
      </c>
      <c r="D134" s="59" t="s">
        <v>299</v>
      </c>
      <c r="E134" s="59"/>
      <c r="F134" s="59" t="s">
        <v>2751</v>
      </c>
      <c r="G134" s="59"/>
      <c r="H134" s="72">
        <v>13.5</v>
      </c>
      <c r="I134" s="64" t="s">
        <v>2972</v>
      </c>
      <c r="J134" s="64">
        <v>3</v>
      </c>
      <c r="K134" s="64">
        <v>0.2</v>
      </c>
      <c r="L134" s="65" t="s">
        <v>3146</v>
      </c>
      <c r="M134" s="65">
        <v>4</v>
      </c>
      <c r="N134" s="65">
        <v>0.2</v>
      </c>
      <c r="O134" s="66" t="s">
        <v>2929</v>
      </c>
      <c r="P134" s="66">
        <v>2</v>
      </c>
      <c r="Q134" s="66">
        <v>0.2</v>
      </c>
      <c r="R134" s="64" t="s">
        <v>2944</v>
      </c>
      <c r="S134" s="64">
        <v>1.5</v>
      </c>
      <c r="T134" s="64">
        <v>0.2</v>
      </c>
      <c r="U134" s="65" t="s">
        <v>2928</v>
      </c>
      <c r="V134" s="65">
        <v>1.5</v>
      </c>
      <c r="W134" s="65">
        <v>0.2</v>
      </c>
      <c r="X134" s="66" t="s">
        <v>3180</v>
      </c>
      <c r="Y134" s="66">
        <v>1.5</v>
      </c>
      <c r="Z134" s="66">
        <v>0.2</v>
      </c>
      <c r="AA134" s="71" t="str">
        <f t="shared" si="22"/>
        <v>1:207,24,36,241,32,48,103,16,24,317,12,18,223,6,9,300,24,36,</v>
      </c>
      <c r="AB134" s="78" t="str">
        <f t="shared" si="40"/>
        <v>1:207,24,36,241,32,48,103,16,24,317,12,18,223,6,9,300,24,36</v>
      </c>
      <c r="AC134" t="str">
        <f t="shared" si="30"/>
        <v>火焰伤害 {0}</v>
      </c>
      <c r="AD134" t="str">
        <f t="shared" si="31"/>
        <v>灼烧系数 {1}</v>
      </c>
      <c r="AE134" t="str">
        <f t="shared" si="32"/>
        <v>智力 {2}</v>
      </c>
      <c r="AF134" t="str">
        <f t="shared" si="33"/>
        <v>火焰抗性% {3}</v>
      </c>
      <c r="AG134" t="str">
        <f t="shared" si="34"/>
        <v>火焰减抗% {4}</v>
      </c>
      <c r="AH134" t="str">
        <f t="shared" si="35"/>
        <v>最大生命值 {5}</v>
      </c>
      <c r="AI134" t="str">
        <f t="shared" si="23"/>
        <v xml:space="preserve">火焰伤害 {0}
</v>
      </c>
      <c r="AJ134" t="str">
        <f t="shared" si="24"/>
        <v xml:space="preserve">灼烧系数 {1}%
</v>
      </c>
      <c r="AK134" t="str">
        <f t="shared" si="25"/>
        <v xml:space="preserve">智力 {2}
</v>
      </c>
      <c r="AL134" t="str">
        <f t="shared" si="26"/>
        <v xml:space="preserve">火焰抗性 {3}%
</v>
      </c>
      <c r="AM134" t="str">
        <f t="shared" si="27"/>
        <v xml:space="preserve">火焰减抗 {4}%
</v>
      </c>
      <c r="AN134" t="str">
        <f t="shared" si="41"/>
        <v xml:space="preserve">最大生命值 {5}
</v>
      </c>
      <c r="AO134" t="str">
        <f t="shared" si="36"/>
        <v xml:space="preserve">火焰伤害 {0}
灼烧系数 {1}%
智力 {2}
火焰抗性 {3}%
火焰减抗 {4}%
最大生命值 {5}
</v>
      </c>
      <c r="AP134" s="6" t="str">
        <f t="shared" si="37"/>
        <v xml:space="preserve">火焰伤害 {0}
灼烧系数 {1}%
智力 {2}
火焰抗性 {3}%
火焰减抗 {4}%
最大生命值 {5}
</v>
      </c>
      <c r="AQ134" s="80" t="s">
        <v>3429</v>
      </c>
      <c r="AR134" t="str">
        <f t="shared" si="39"/>
        <v xml:space="preserve">火焰伤害 {0}
灼烧系数 {1}%
智力 {2}
火焰抗性 {3}%
火焰减抗 {4}%
最大生命值 {5}
</v>
      </c>
      <c r="AS134" s="81" t="str">
        <f t="shared" si="38"/>
        <v>火焰伤害 {0}
灼烧系数 {1}%
智力 {2}
火焰抗性 {3}%
火焰减抗 {4}%
最大生命值 {5}</v>
      </c>
      <c r="BE134" s="46" t="s">
        <v>3055</v>
      </c>
      <c r="BF134" s="47" t="s">
        <v>2988</v>
      </c>
      <c r="BG134" s="52">
        <v>505</v>
      </c>
      <c r="BH134" s="59">
        <v>5</v>
      </c>
      <c r="BI134" s="111">
        <f t="shared" si="42"/>
        <v>3.2679738562091504E-3</v>
      </c>
      <c r="BJ134" s="59"/>
      <c r="BK134" s="18">
        <v>2</v>
      </c>
    </row>
    <row r="135" spans="3:63" ht="15.75" x14ac:dyDescent="0.3">
      <c r="C135" s="59">
        <v>14821</v>
      </c>
      <c r="D135" s="59" t="s">
        <v>300</v>
      </c>
      <c r="E135" s="59"/>
      <c r="F135" s="59" t="s">
        <v>2751</v>
      </c>
      <c r="G135" s="59"/>
      <c r="H135" s="72">
        <v>11.5</v>
      </c>
      <c r="I135" s="64" t="s">
        <v>2966</v>
      </c>
      <c r="J135" s="64">
        <v>4</v>
      </c>
      <c r="K135" s="64">
        <v>0.2</v>
      </c>
      <c r="L135" s="65" t="s">
        <v>2930</v>
      </c>
      <c r="M135" s="65">
        <v>3</v>
      </c>
      <c r="N135" s="65">
        <v>0.2</v>
      </c>
      <c r="O135" s="66" t="s">
        <v>3022</v>
      </c>
      <c r="P135" s="66">
        <v>2</v>
      </c>
      <c r="Q135" s="66">
        <v>0.2</v>
      </c>
      <c r="R135" s="64" t="s">
        <v>3024</v>
      </c>
      <c r="S135" s="64">
        <v>2.5</v>
      </c>
      <c r="T135" s="64">
        <v>0.2</v>
      </c>
      <c r="U135" s="65"/>
      <c r="V135" s="65"/>
      <c r="W135" s="65"/>
      <c r="X135" s="66"/>
      <c r="Y135" s="66"/>
      <c r="Z135" s="66"/>
      <c r="AA135" s="71" t="str">
        <f t="shared" si="22"/>
        <v>1:104,32,48,202,24,36,401,16,24,403,20,30,xxxxxx</v>
      </c>
      <c r="AB135" s="78" t="str">
        <f t="shared" si="40"/>
        <v>1:104,32,48,202,24,36,401,16,24,403,20,30</v>
      </c>
      <c r="AC135" t="str">
        <f t="shared" si="30"/>
        <v>幸运 {0}</v>
      </c>
      <c r="AD135" t="str">
        <f t="shared" si="31"/>
        <v>所有伤害增加% {1}</v>
      </c>
      <c r="AE135" t="str">
        <f t="shared" si="32"/>
        <v>经验获取% {2}</v>
      </c>
      <c r="AF135" t="str">
        <f t="shared" si="33"/>
        <v>珍稀物品掉率% {3}</v>
      </c>
      <c r="AG135" t="str">
        <f t="shared" si="34"/>
        <v>xxx</v>
      </c>
      <c r="AH135" t="str">
        <f t="shared" si="35"/>
        <v>xxx</v>
      </c>
      <c r="AI135" t="str">
        <f t="shared" si="23"/>
        <v xml:space="preserve">幸运 {0}
</v>
      </c>
      <c r="AJ135" t="str">
        <f t="shared" si="24"/>
        <v xml:space="preserve">所有伤害增加 {1}%
</v>
      </c>
      <c r="AK135" t="str">
        <f t="shared" si="25"/>
        <v xml:space="preserve">经验获取 {2}%
</v>
      </c>
      <c r="AL135" t="str">
        <f t="shared" si="26"/>
        <v xml:space="preserve">珍稀物品掉率 {3}%
</v>
      </c>
      <c r="AM135" t="str">
        <f t="shared" si="27"/>
        <v>xxx</v>
      </c>
      <c r="AN135" t="str">
        <f t="shared" si="41"/>
        <v>xxx</v>
      </c>
      <c r="AO135" t="str">
        <f t="shared" si="36"/>
        <v>幸运 {0}
所有伤害增加 {1}%
经验获取 {2}%
珍稀物品掉率 {3}%
xxxxxx</v>
      </c>
      <c r="AP135" s="6" t="str">
        <f t="shared" si="37"/>
        <v xml:space="preserve">幸运 {0}
所有伤害增加 {1}%
经验获取 {2}%
珍稀物品掉率 {3}%
</v>
      </c>
      <c r="AQ135" s="80" t="s">
        <v>3430</v>
      </c>
      <c r="AR135" t="str">
        <f t="shared" si="39"/>
        <v xml:space="preserve">幸运 {0}
所有伤害增加 {1}%
经验获取 {2}%
珍稀物品掉率 {3}%
</v>
      </c>
      <c r="AS135" s="81" t="str">
        <f t="shared" si="38"/>
        <v>幸运 {0}
所有伤害增加 {1}%
经验获取 {2}%
珍稀物品掉率 {3}%</v>
      </c>
      <c r="BE135" s="46" t="s">
        <v>3056</v>
      </c>
      <c r="BF135" s="47" t="s">
        <v>3042</v>
      </c>
      <c r="BG135" s="52">
        <v>506</v>
      </c>
      <c r="BH135" s="59">
        <v>0.25</v>
      </c>
      <c r="BI135" s="111">
        <f t="shared" si="42"/>
        <v>1.3071895424836602E-2</v>
      </c>
      <c r="BJ135" s="59"/>
      <c r="BK135" s="18">
        <v>1</v>
      </c>
    </row>
    <row r="136" spans="3:63" ht="15.75" x14ac:dyDescent="0.3">
      <c r="C136" s="59">
        <v>14822</v>
      </c>
      <c r="D136" s="75" t="s">
        <v>301</v>
      </c>
      <c r="E136" s="75"/>
      <c r="F136" s="75" t="s">
        <v>2753</v>
      </c>
      <c r="G136" s="75"/>
      <c r="H136" s="72">
        <v>0</v>
      </c>
      <c r="I136" s="64"/>
      <c r="J136" s="64"/>
      <c r="K136" s="64"/>
      <c r="L136" s="65"/>
      <c r="M136" s="65"/>
      <c r="N136" s="65"/>
      <c r="O136" s="66"/>
      <c r="P136" s="66"/>
      <c r="Q136" s="66"/>
      <c r="R136" s="64"/>
      <c r="S136" s="64"/>
      <c r="T136" s="64"/>
      <c r="U136" s="65"/>
      <c r="V136" s="65"/>
      <c r="W136" s="65"/>
      <c r="X136" s="66"/>
      <c r="Y136" s="66"/>
      <c r="Z136" s="66"/>
      <c r="AA136" s="71" t="str">
        <f t="shared" ref="AA136:AA199" si="43">"1:"&amp;IF(I136&lt;&gt;"",VLOOKUP(I136,$BE$8:$BH$260,3,FALSE)&amp;","&amp;VLOOKUP(I136,$BE$8:$BH$260,4,FALSE)*(1-K136)*J136&amp;","&amp;VLOOKUP(I136,$BE$8:$BH$260,4,FALSE)*(1+K136)*J136&amp;",","xxx")&amp;IF(L136&lt;&gt;"",VLOOKUP(L136,$BE$8:$BH$260,3,FALSE)&amp;","&amp;VLOOKUP(L136,$BE$8:$BH$260,4,FALSE)*(1-N136)*M136&amp;","&amp;VLOOKUP(L136,$BE$8:$BH$260,4,FALSE)*(1+N136)*M136&amp;",","xxx")&amp;IF(O136&lt;&gt;"",VLOOKUP(O136,$BE$8:$BH$260,3,FALSE)&amp;","&amp;VLOOKUP(O136,$BE$8:$BH$260,4,FALSE)*(1-Q136)*P136&amp;","&amp;VLOOKUP(O136,$BE$8:$BH$260,4,FALSE)*(1+Q136)*P136&amp;",","xxx")&amp;IF(R136&lt;&gt;"",VLOOKUP(R136,$BE$8:$BH$260,3,FALSE)&amp;","&amp;VLOOKUP(R136,$BE$8:$BH$260,4,FALSE)*(1-T136)*S136&amp;","&amp;VLOOKUP(R136,$BE$8:$BH$260,4,FALSE)*(1+T136)*S136&amp;",","xxx")&amp;IF(U136&lt;&gt;"",VLOOKUP(U136,$BE$8:$BH$260,3,FALSE)&amp;","&amp;VLOOKUP(U136,$BE$8:$BH$260,4,FALSE)*(1-W136)*V136&amp;","&amp;VLOOKUP(U136,$BE$8:$BH$260,4,FALSE)*(1+W136)*V136&amp;",","xxx")&amp;IF(X136&lt;&gt;"",VLOOKUP(X136,$BE$8:$BH$260,3,FALSE)&amp;","&amp;VLOOKUP(X136,$BE$8:$BH$260,4,FALSE)*(1-Z136)*Y136&amp;","&amp;VLOOKUP(X136,$BE$8:$BH$260,4,FALSE)*(1+Z136)*Y136&amp;",","xxx")</f>
        <v>1:xxxxxxxxxxxxxxxxxx</v>
      </c>
      <c r="AB136" s="78" t="str">
        <f t="shared" si="40"/>
        <v/>
      </c>
      <c r="AC136" t="str">
        <f t="shared" si="30"/>
        <v>xxx</v>
      </c>
      <c r="AD136" t="str">
        <f t="shared" si="31"/>
        <v>xxx</v>
      </c>
      <c r="AE136" t="str">
        <f t="shared" si="32"/>
        <v>xxx</v>
      </c>
      <c r="AF136" t="str">
        <f t="shared" si="33"/>
        <v>xxx</v>
      </c>
      <c r="AG136" t="str">
        <f t="shared" si="34"/>
        <v>xxx</v>
      </c>
      <c r="AH136" t="str">
        <f t="shared" si="35"/>
        <v>xxx</v>
      </c>
      <c r="AI136" t="str">
        <f t="shared" ref="AI136:AI199" si="44">_xlfn.IFNA(IF(AC136="xxx","xxx",IF(VLOOKUP(I136,$BE$8:$BK$260,7,FALSE)=1,AC136&amp;CHAR(10),SUBSTITUTE(AC136,"%","")&amp;"%"&amp;CHAR(10))),"xxx")</f>
        <v>xxx</v>
      </c>
      <c r="AJ136" t="str">
        <f t="shared" ref="AJ136:AJ199" si="45">_xlfn.IFNA(IF(AC136="xxx","xxx",IF(VLOOKUP(L136,$BE$8:$BK$260,7,FALSE)=1,AD136&amp;CHAR(10),SUBSTITUTE(AD136,"%","")&amp;"%"&amp;CHAR(10))),"xxx")</f>
        <v>xxx</v>
      </c>
      <c r="AK136" t="str">
        <f t="shared" ref="AK136:AK199" si="46">_xlfn.IFNA(IF(AC136="xxx","xxx",IF(VLOOKUP(O136,$BE$8:$BK$260,7,FALSE)=1,AE136&amp;CHAR(10),SUBSTITUTE(AE136,"%","")&amp;"%"&amp;CHAR(10))),"xxx")</f>
        <v>xxx</v>
      </c>
      <c r="AL136" t="str">
        <f t="shared" ref="AL136:AL199" si="47">_xlfn.IFNA(IF(AC136="xxx","xxx",IF(VLOOKUP(R136,$BE$8:$BK$260,7,FALSE)=1,AF136&amp;CHAR(10),SUBSTITUTE(AF136,"%","")&amp;"%"&amp;CHAR(10))),"xxx")</f>
        <v>xxx</v>
      </c>
      <c r="AM136" t="str">
        <f t="shared" ref="AM136:AM199" si="48">_xlfn.IFNA(IF(AC136="xxx","xxx",IF(VLOOKUP(U136,$BE$8:$BK$260,7,FALSE)=1,AG136&amp;CHAR(10),SUBSTITUTE(AG136,"%","")&amp;"%"&amp;CHAR(10))),"xxx")</f>
        <v>xxx</v>
      </c>
      <c r="AN136" t="str">
        <f t="shared" ref="AN136:AN167" si="49">_xlfn.IFNA(IF(AC136="xxx","xxx",IF(VLOOKUP(X136,$BE$8:$BK$260,7,FALSE)=1,AH136&amp;CHAR(10),SUBSTITUTE(AH136,"%","")&amp;"%"&amp;CHAR(10))),"xxx")</f>
        <v>xxx</v>
      </c>
      <c r="AO136" t="str">
        <f t="shared" si="36"/>
        <v>xxxxxxxxxxxxxxxxxx</v>
      </c>
      <c r="AP136" s="6" t="str">
        <f t="shared" si="37"/>
        <v/>
      </c>
      <c r="AQ136" s="80" t="s">
        <v>3431</v>
      </c>
      <c r="AR136" t="str">
        <f t="shared" si="39"/>
        <v>力量+{0}
敏捷+{1}
智力+{2}
所有伤害+{3}%
所有元素抗性+{4}%</v>
      </c>
      <c r="AS136" s="81" t="str">
        <f t="shared" si="38"/>
        <v>力量+{0}
敏捷+{1}
智力+{2}
所有伤害+{3}%
所有元素抗性+{4}%</v>
      </c>
      <c r="BE136" s="51" t="s">
        <v>3057</v>
      </c>
      <c r="BF136" s="47" t="s">
        <v>2988</v>
      </c>
      <c r="BG136" s="52" t="s">
        <v>3058</v>
      </c>
      <c r="BH136" s="59">
        <v>10</v>
      </c>
      <c r="BI136" s="111">
        <f t="shared" ref="BI136:BI167" si="50">COUNTIF($I$8:$I$1040,BE136)/COUNT($C$8:$C$1040)+COUNTIF($L$8:$L$1040,BE136)/COUNT($C$8:$C$1040)+COUNTIF($O$8:$O$1040,BE136)/COUNT($C$8:$C$1040)+COUNTIF($R$8:$R$1040,BE136)/COUNT($C$8:$C$1040)+COUNTIF($U$8:$U$1040,BE136)/COUNT($C$8:$C$1040)+COUNTIF($X$8:$X$1040,BE136)/COUNT($C$8:$C$1040)</f>
        <v>0</v>
      </c>
      <c r="BJ136" s="59"/>
      <c r="BK136" s="18">
        <v>2</v>
      </c>
    </row>
    <row r="137" spans="3:63" ht="15.75" x14ac:dyDescent="0.3">
      <c r="C137" s="59">
        <v>14823</v>
      </c>
      <c r="D137" s="59" t="s">
        <v>4150</v>
      </c>
      <c r="E137" s="59">
        <v>4</v>
      </c>
      <c r="F137" s="59" t="s">
        <v>2753</v>
      </c>
      <c r="G137" s="59"/>
      <c r="H137" s="72">
        <v>10.5</v>
      </c>
      <c r="I137" s="64" t="s">
        <v>2929</v>
      </c>
      <c r="J137" s="64">
        <v>3</v>
      </c>
      <c r="K137" s="64">
        <v>0.2</v>
      </c>
      <c r="L137" s="65" t="s">
        <v>2970</v>
      </c>
      <c r="M137" s="65">
        <v>2</v>
      </c>
      <c r="N137" s="65">
        <v>0.2</v>
      </c>
      <c r="O137" s="66" t="s">
        <v>2948</v>
      </c>
      <c r="P137" s="66">
        <v>2</v>
      </c>
      <c r="Q137" s="66">
        <v>0.2</v>
      </c>
      <c r="R137" s="64" t="s">
        <v>2947</v>
      </c>
      <c r="S137" s="64">
        <v>2</v>
      </c>
      <c r="T137" s="64">
        <v>0.2</v>
      </c>
      <c r="U137" s="65" t="s">
        <v>2952</v>
      </c>
      <c r="V137" s="65">
        <v>1.5</v>
      </c>
      <c r="W137" s="65">
        <v>0.2</v>
      </c>
      <c r="X137" s="66"/>
      <c r="Y137" s="66"/>
      <c r="Z137" s="66"/>
      <c r="AA137" s="71" t="str">
        <f t="shared" si="43"/>
        <v>1:103,24,36,205,8,12,409,8,12,315,8,12,310,120,180,xxx</v>
      </c>
      <c r="AB137" s="78" t="str">
        <f t="shared" si="40"/>
        <v>1:103,24,36,205,8,12,409,8,12,315,8,12,310,120,180</v>
      </c>
      <c r="AC137" t="str">
        <f t="shared" ref="AC137:AC179" si="51">IF(J137&gt;0,I137&amp;" "&amp;"{"&amp;J$6&amp;"}","xxx")</f>
        <v>智力 {0}</v>
      </c>
      <c r="AD137" t="str">
        <f t="shared" ref="AD137:AD179" si="52">IF(M137&gt;0,L137&amp;" "&amp;"{"&amp;M$6&amp;"}","xxx")</f>
        <v>元素伤害 {1}</v>
      </c>
      <c r="AE137" t="str">
        <f t="shared" ref="AE137:AE179" si="53">IF(P137&gt;0,O137&amp;" "&amp;"{"&amp;P$6&amp;"}","xxx")</f>
        <v>冷却缩减% {2}</v>
      </c>
      <c r="AF137" t="str">
        <f t="shared" ref="AF137:AF179" si="54">IF(S137&gt;0,R137&amp;" "&amp;"{"&amp;S$6&amp;"}","xxx")</f>
        <v>元素抗性% {3}</v>
      </c>
      <c r="AG137" t="str">
        <f t="shared" ref="AG137:AG179" si="55">IF(V137&gt;0,U137&amp;" "&amp;"{"&amp;V$6&amp;"}","xxx")</f>
        <v>护盾回复% {4}</v>
      </c>
      <c r="AH137" t="str">
        <f t="shared" ref="AH137:AH179" si="56">IF(Y137&gt;0,X137&amp;" "&amp;"{"&amp;Y$6&amp;"}","xxx")</f>
        <v>xxx</v>
      </c>
      <c r="AI137" t="str">
        <f t="shared" si="44"/>
        <v xml:space="preserve">智力 {0}
</v>
      </c>
      <c r="AJ137" t="str">
        <f t="shared" si="45"/>
        <v xml:space="preserve">元素伤害 {1}
</v>
      </c>
      <c r="AK137" t="str">
        <f t="shared" si="46"/>
        <v xml:space="preserve">冷却缩减 {2}%
</v>
      </c>
      <c r="AL137" t="str">
        <f t="shared" si="47"/>
        <v xml:space="preserve">元素抗性 {3}%
</v>
      </c>
      <c r="AM137" t="str">
        <f t="shared" si="48"/>
        <v xml:space="preserve">护盾回复 {4}%
</v>
      </c>
      <c r="AN137" t="str">
        <f t="shared" si="49"/>
        <v>xxx</v>
      </c>
      <c r="AO137" t="str">
        <f t="shared" ref="AO137:AO178" si="57">_xlfn.CONCAT(AI137:AN137)</f>
        <v>智力 {0}
元素伤害 {1}
冷却缩减 {2}%
元素抗性 {3}%
护盾回复 {4}%
xxx</v>
      </c>
      <c r="AP137" s="6" t="str">
        <f t="shared" ref="AP137:AP178" si="58">SUBSTITUTE(AO137,"xxx","")</f>
        <v xml:space="preserve">智力 {0}
元素伤害 {1}
冷却缩减 {2}%
元素抗性 {3}%
护盾回复 {4}%
</v>
      </c>
      <c r="AQ137" s="80" t="s">
        <v>3432</v>
      </c>
      <c r="AR137" t="str">
        <f t="shared" si="39"/>
        <v xml:space="preserve">智力 {0}
元素伤害 {1}
冷却缩减 {2}%
元素抗性 {3}%
护盾回复 {4}%
</v>
      </c>
      <c r="AS137" s="81" t="str">
        <f t="shared" ref="AS137:AS255" si="59">IF(AR137&lt;&gt;AQ137,IF(ISNUMBER(SEARCH(CHAR(10),AR137)),SUBSTITUTE(AR137,CHAR(10),"",LEN(AR137)-LEN(SUBSTITUTE(AR137,CHAR(10),""))),AR137),AR137)</f>
        <v>智力 {0}
元素伤害 {1}
冷却缩减 {2}%
元素抗性 {3}%
护盾回复 {4}%</v>
      </c>
      <c r="BE137" s="46" t="s">
        <v>3059</v>
      </c>
      <c r="BF137" s="47" t="s">
        <v>2988</v>
      </c>
      <c r="BG137" s="52">
        <v>508</v>
      </c>
      <c r="BH137" s="59"/>
      <c r="BI137" s="111">
        <f t="shared" si="50"/>
        <v>0</v>
      </c>
      <c r="BJ137" s="59"/>
      <c r="BK137" s="18">
        <v>2</v>
      </c>
    </row>
    <row r="138" spans="3:63" ht="15.75" x14ac:dyDescent="0.3">
      <c r="C138" s="59">
        <v>14824</v>
      </c>
      <c r="D138" s="59" t="s">
        <v>303</v>
      </c>
      <c r="E138" s="59"/>
      <c r="F138" s="59" t="s">
        <v>2753</v>
      </c>
      <c r="G138" s="59"/>
      <c r="H138" s="72">
        <v>12</v>
      </c>
      <c r="I138" s="64" t="s">
        <v>3166</v>
      </c>
      <c r="J138" s="64">
        <v>6</v>
      </c>
      <c r="K138" s="64">
        <v>0.2</v>
      </c>
      <c r="L138" s="65" t="s">
        <v>3165</v>
      </c>
      <c r="M138" s="65">
        <v>2</v>
      </c>
      <c r="N138" s="65">
        <v>0.2</v>
      </c>
      <c r="O138" s="66" t="s">
        <v>2956</v>
      </c>
      <c r="P138" s="66">
        <v>2</v>
      </c>
      <c r="Q138" s="66">
        <v>0.2</v>
      </c>
      <c r="R138" s="64" t="s">
        <v>3245</v>
      </c>
      <c r="S138" s="64">
        <v>2</v>
      </c>
      <c r="T138" s="64">
        <v>0.2</v>
      </c>
      <c r="U138" s="65"/>
      <c r="V138" s="65"/>
      <c r="W138" s="65"/>
      <c r="X138" s="66"/>
      <c r="Y138" s="66"/>
      <c r="Z138" s="66"/>
      <c r="AA138" s="71" t="str">
        <f t="shared" si="43"/>
        <v>1:242,48,72,250,16,24,209,16,24,225,8,12,xxxxxx</v>
      </c>
      <c r="AB138" s="78" t="str">
        <f t="shared" ref="AB138:AB270" si="60">IF(LEFT(SUBSTITUTE(AA138,"x",""),LEN(SUBSTITUTE(AA138,"x",""))-1)="1","",LEFT(SUBSTITUTE(AA138,"x",""),LEN(SUBSTITUTE(AA138,"x",""))-1))</f>
        <v>1:242,48,72,250,16,24,209,16,24,225,8,12</v>
      </c>
      <c r="AC138" t="str">
        <f t="shared" si="51"/>
        <v>中毒系数 {0}</v>
      </c>
      <c r="AD138" t="str">
        <f t="shared" si="52"/>
        <v>施加中毒时间提升 {1}</v>
      </c>
      <c r="AE138" t="str">
        <f t="shared" si="53"/>
        <v>混沌伤害 {2}</v>
      </c>
      <c r="AF138" t="str">
        <f t="shared" si="54"/>
        <v>混沌减抗% {3}</v>
      </c>
      <c r="AG138" t="str">
        <f t="shared" si="55"/>
        <v>xxx</v>
      </c>
      <c r="AH138" t="str">
        <f t="shared" si="56"/>
        <v>xxx</v>
      </c>
      <c r="AI138" t="str">
        <f t="shared" si="44"/>
        <v xml:space="preserve">中毒系数 {0}%
</v>
      </c>
      <c r="AJ138" t="str">
        <f t="shared" si="45"/>
        <v xml:space="preserve">施加中毒时间提升 {1}%
</v>
      </c>
      <c r="AK138" t="str">
        <f t="shared" si="46"/>
        <v xml:space="preserve">混沌伤害 {2}
</v>
      </c>
      <c r="AL138" t="str">
        <f t="shared" si="47"/>
        <v xml:space="preserve">混沌减抗 {3}%
</v>
      </c>
      <c r="AM138" t="str">
        <f t="shared" si="48"/>
        <v>xxx</v>
      </c>
      <c r="AN138" t="str">
        <f t="shared" si="49"/>
        <v>xxx</v>
      </c>
      <c r="AO138" t="str">
        <f t="shared" si="57"/>
        <v>中毒系数 {0}%
施加中毒时间提升 {1}%
混沌伤害 {2}
混沌减抗 {3}%
xxxxxx</v>
      </c>
      <c r="AP138" s="6" t="str">
        <f t="shared" si="58"/>
        <v xml:space="preserve">中毒系数 {0}%
施加中毒时间提升 {1}%
混沌伤害 {2}
混沌减抗 {3}%
</v>
      </c>
      <c r="AQ138" s="80" t="s">
        <v>3433</v>
      </c>
      <c r="AR138" t="str">
        <f t="shared" ref="AR138:AR178" si="61">IFERROR(IF(AP138="",AQ138,AP138),AP138)</f>
        <v xml:space="preserve">中毒系数 {0}%
施加中毒时间提升 {1}%
混沌伤害 {2}
混沌减抗 {3}%
</v>
      </c>
      <c r="AS138" s="81" t="str">
        <f t="shared" si="59"/>
        <v>中毒系数 {0}%
施加中毒时间提升 {1}%
混沌伤害 {2}
混沌减抗 {3}%</v>
      </c>
      <c r="BE138" s="46" t="s">
        <v>3060</v>
      </c>
      <c r="BF138" s="47" t="s">
        <v>3042</v>
      </c>
      <c r="BG138" s="52">
        <v>509</v>
      </c>
      <c r="BH138" s="59"/>
      <c r="BI138" s="111">
        <f t="shared" si="50"/>
        <v>0</v>
      </c>
      <c r="BJ138" s="59"/>
      <c r="BK138" s="18">
        <v>2</v>
      </c>
    </row>
    <row r="139" spans="3:63" ht="15.75" x14ac:dyDescent="0.3">
      <c r="C139" s="59">
        <v>14825</v>
      </c>
      <c r="D139" s="74" t="s">
        <v>305</v>
      </c>
      <c r="E139" s="74"/>
      <c r="F139" s="74" t="s">
        <v>2753</v>
      </c>
      <c r="G139" s="74"/>
      <c r="H139" s="72">
        <v>0</v>
      </c>
      <c r="I139" s="64"/>
      <c r="J139" s="64"/>
      <c r="K139" s="64"/>
      <c r="L139" s="65"/>
      <c r="M139" s="65"/>
      <c r="N139" s="65"/>
      <c r="O139" s="66"/>
      <c r="P139" s="66"/>
      <c r="Q139" s="66"/>
      <c r="R139" s="64"/>
      <c r="S139" s="64"/>
      <c r="T139" s="64"/>
      <c r="U139" s="65"/>
      <c r="V139" s="65"/>
      <c r="W139" s="65"/>
      <c r="X139" s="66"/>
      <c r="Y139" s="66"/>
      <c r="Z139" s="66"/>
      <c r="AA139" s="71" t="str">
        <f t="shared" si="43"/>
        <v>1:xxxxxxxxxxxxxxxxxx</v>
      </c>
      <c r="AB139" s="78" t="str">
        <f t="shared" si="60"/>
        <v/>
      </c>
      <c r="AC139" t="str">
        <f t="shared" si="51"/>
        <v>xxx</v>
      </c>
      <c r="AD139" t="str">
        <f t="shared" si="52"/>
        <v>xxx</v>
      </c>
      <c r="AE139" t="str">
        <f t="shared" si="53"/>
        <v>xxx</v>
      </c>
      <c r="AF139" t="str">
        <f t="shared" si="54"/>
        <v>xxx</v>
      </c>
      <c r="AG139" t="str">
        <f t="shared" si="55"/>
        <v>xxx</v>
      </c>
      <c r="AH139" t="str">
        <f t="shared" si="56"/>
        <v>xxx</v>
      </c>
      <c r="AI139" t="str">
        <f t="shared" si="44"/>
        <v>xxx</v>
      </c>
      <c r="AJ139" t="str">
        <f t="shared" si="45"/>
        <v>xxx</v>
      </c>
      <c r="AK139" t="str">
        <f t="shared" si="46"/>
        <v>xxx</v>
      </c>
      <c r="AL139" t="str">
        <f t="shared" si="47"/>
        <v>xxx</v>
      </c>
      <c r="AM139" t="str">
        <f t="shared" si="48"/>
        <v>xxx</v>
      </c>
      <c r="AN139" t="str">
        <f t="shared" si="49"/>
        <v>xxx</v>
      </c>
      <c r="AO139" t="str">
        <f t="shared" si="57"/>
        <v>xxxxxxxxxxxxxxxxxx</v>
      </c>
      <c r="AP139" s="6" t="str">
        <f t="shared" si="58"/>
        <v/>
      </c>
      <c r="AQ139" s="80" t="s">
        <v>3434</v>
      </c>
      <c r="AR139" t="str">
        <f t="shared" si="61"/>
        <v>武器攻击有 25% 的几率使目标流血
流血伤害提高 40%
你对敌人造成流血时，也会对其造成冰缓</v>
      </c>
      <c r="AS139" s="81" t="str">
        <f t="shared" si="59"/>
        <v>武器攻击有 25% 的几率使目标流血
流血伤害提高 40%
你对敌人造成流血时，也会对其造成冰缓</v>
      </c>
      <c r="BE139" s="51" t="s">
        <v>3061</v>
      </c>
      <c r="BF139" s="47" t="s">
        <v>2988</v>
      </c>
      <c r="BG139" s="52">
        <v>510</v>
      </c>
      <c r="BH139" s="59">
        <v>10</v>
      </c>
      <c r="BI139" s="111">
        <f t="shared" si="50"/>
        <v>3.2679738562091504E-3</v>
      </c>
      <c r="BJ139" s="59"/>
      <c r="BK139" s="18">
        <v>2</v>
      </c>
    </row>
    <row r="140" spans="3:63" ht="15.75" x14ac:dyDescent="0.3">
      <c r="C140" s="59">
        <v>14826</v>
      </c>
      <c r="D140" s="59" t="s">
        <v>306</v>
      </c>
      <c r="E140" s="59">
        <v>4</v>
      </c>
      <c r="F140" s="59" t="s">
        <v>2753</v>
      </c>
      <c r="G140" s="59"/>
      <c r="H140" s="72">
        <v>11</v>
      </c>
      <c r="I140" s="64" t="s">
        <v>2929</v>
      </c>
      <c r="J140" s="64">
        <v>3</v>
      </c>
      <c r="K140" s="64">
        <v>0.2</v>
      </c>
      <c r="L140" s="65" t="s">
        <v>2930</v>
      </c>
      <c r="M140" s="65">
        <v>2</v>
      </c>
      <c r="N140" s="65">
        <v>0.2</v>
      </c>
      <c r="O140" s="66" t="s">
        <v>3189</v>
      </c>
      <c r="P140" s="66">
        <v>2</v>
      </c>
      <c r="Q140" s="66">
        <v>0.2</v>
      </c>
      <c r="R140" s="64" t="s">
        <v>2951</v>
      </c>
      <c r="S140" s="64">
        <v>2</v>
      </c>
      <c r="T140" s="64">
        <v>0.2</v>
      </c>
      <c r="U140" s="65" t="s">
        <v>2948</v>
      </c>
      <c r="V140" s="65">
        <v>2</v>
      </c>
      <c r="W140" s="65">
        <v>0.2</v>
      </c>
      <c r="X140" s="66"/>
      <c r="Y140" s="66"/>
      <c r="Z140" s="66"/>
      <c r="AA140" s="71" t="str">
        <f t="shared" si="43"/>
        <v>1:103,24,36,202,16,24,809,0.4,0.6,308,16,24,409,8,12,xxx</v>
      </c>
      <c r="AB140" s="78" t="str">
        <f t="shared" si="60"/>
        <v>1:103,24,36,202,16,24,809,0.4,0.6,308,16,24,409,8,12</v>
      </c>
      <c r="AC140" t="str">
        <f t="shared" si="51"/>
        <v>智力 {0}</v>
      </c>
      <c r="AD140" t="str">
        <f t="shared" si="52"/>
        <v>所有伤害增加% {1}</v>
      </c>
      <c r="AE140" t="str">
        <f t="shared" si="53"/>
        <v>每点智力提升元素伤害 {2}</v>
      </c>
      <c r="AF140" t="str">
        <f t="shared" si="54"/>
        <v>护盾值% {3}</v>
      </c>
      <c r="AG140" t="str">
        <f t="shared" si="55"/>
        <v>冷却缩减% {4}</v>
      </c>
      <c r="AH140" t="str">
        <f t="shared" si="56"/>
        <v>xxx</v>
      </c>
      <c r="AI140" t="str">
        <f t="shared" si="44"/>
        <v xml:space="preserve">智力 {0}
</v>
      </c>
      <c r="AJ140" t="str">
        <f t="shared" si="45"/>
        <v xml:space="preserve">所有伤害增加 {1}%
</v>
      </c>
      <c r="AK140" t="str">
        <f t="shared" si="46"/>
        <v xml:space="preserve">每点智力提升元素伤害 {2}%
</v>
      </c>
      <c r="AL140" t="str">
        <f t="shared" si="47"/>
        <v xml:space="preserve">护盾值 {3}%
</v>
      </c>
      <c r="AM140" t="str">
        <f t="shared" si="48"/>
        <v xml:space="preserve">冷却缩减 {4}%
</v>
      </c>
      <c r="AN140" t="str">
        <f t="shared" si="49"/>
        <v>xxx</v>
      </c>
      <c r="AO140" t="str">
        <f t="shared" si="57"/>
        <v>智力 {0}
所有伤害增加 {1}%
每点智力提升元素伤害 {2}%
护盾值 {3}%
冷却缩减 {4}%
xxx</v>
      </c>
      <c r="AP140" s="6" t="str">
        <f t="shared" si="58"/>
        <v xml:space="preserve">智力 {0}
所有伤害增加 {1}%
每点智力提升元素伤害 {2}%
护盾值 {3}%
冷却缩减 {4}%
</v>
      </c>
      <c r="AQ140" s="80" t="s">
        <v>3435</v>
      </c>
      <c r="AR140" t="str">
        <f t="shared" si="61"/>
        <v xml:space="preserve">智力 {0}
所有伤害增加 {1}%
每点智力提升元素伤害 {2}%
护盾值 {3}%
冷却缩减 {4}%
</v>
      </c>
      <c r="AS140" s="81" t="str">
        <f t="shared" si="59"/>
        <v>智力 {0}
所有伤害增加 {1}%
每点智力提升元素伤害 {2}%
护盾值 {3}%
冷却缩减 {4}%</v>
      </c>
      <c r="BE140" s="46" t="s">
        <v>3062</v>
      </c>
      <c r="BF140" s="47" t="s">
        <v>3042</v>
      </c>
      <c r="BG140" s="52">
        <v>511</v>
      </c>
      <c r="BH140" s="59"/>
      <c r="BI140" s="111">
        <f t="shared" si="50"/>
        <v>0</v>
      </c>
      <c r="BJ140" s="59"/>
      <c r="BK140" s="18">
        <v>1</v>
      </c>
    </row>
    <row r="141" spans="3:63" ht="15.75" x14ac:dyDescent="0.3">
      <c r="C141" s="59">
        <v>14827</v>
      </c>
      <c r="D141" s="59" t="s">
        <v>308</v>
      </c>
      <c r="E141" s="59">
        <v>6</v>
      </c>
      <c r="F141" s="59" t="s">
        <v>2753</v>
      </c>
      <c r="G141" s="59"/>
      <c r="H141" s="72">
        <v>12</v>
      </c>
      <c r="I141" s="64" t="s">
        <v>3207</v>
      </c>
      <c r="J141" s="64">
        <v>6</v>
      </c>
      <c r="K141" s="64">
        <v>0.2</v>
      </c>
      <c r="L141" s="65" t="s">
        <v>2966</v>
      </c>
      <c r="M141" s="65">
        <v>2</v>
      </c>
      <c r="N141" s="65">
        <v>0.2</v>
      </c>
      <c r="O141" s="66" t="s">
        <v>2940</v>
      </c>
      <c r="P141" s="66">
        <v>1</v>
      </c>
      <c r="Q141" s="66">
        <v>0.2</v>
      </c>
      <c r="R141" s="64" t="s">
        <v>3023</v>
      </c>
      <c r="S141" s="64">
        <v>1.5</v>
      </c>
      <c r="T141" s="64">
        <v>0.2</v>
      </c>
      <c r="U141" s="65" t="s">
        <v>3024</v>
      </c>
      <c r="V141" s="65">
        <v>1.5</v>
      </c>
      <c r="W141" s="65">
        <v>0.2</v>
      </c>
      <c r="X141" s="66"/>
      <c r="Y141" s="66"/>
      <c r="Z141" s="66"/>
      <c r="AA141" s="71" t="str">
        <f t="shared" si="43"/>
        <v>1:421,96,144,104,16,24,412,8,12,402,12,18,403,12,18,xxx</v>
      </c>
      <c r="AB141" s="78" t="str">
        <f t="shared" si="60"/>
        <v>1:421,96,144,104,16,24,412,8,12,402,12,18,403,12,18</v>
      </c>
      <c r="AC141" t="str">
        <f t="shared" si="51"/>
        <v>金币获取% {0}</v>
      </c>
      <c r="AD141" t="str">
        <f t="shared" si="52"/>
        <v>幸运 {1}</v>
      </c>
      <c r="AE141" t="str">
        <f t="shared" si="53"/>
        <v>移动速度% {2}</v>
      </c>
      <c r="AF141" t="str">
        <f t="shared" si="54"/>
        <v>物品掉落数量% {3}</v>
      </c>
      <c r="AG141" t="str">
        <f t="shared" si="55"/>
        <v>珍稀物品掉率% {4}</v>
      </c>
      <c r="AH141" t="str">
        <f t="shared" si="56"/>
        <v>xxx</v>
      </c>
      <c r="AI141" t="str">
        <f t="shared" si="44"/>
        <v xml:space="preserve">金币获取 {0}%
</v>
      </c>
      <c r="AJ141" t="str">
        <f t="shared" si="45"/>
        <v xml:space="preserve">幸运 {1}
</v>
      </c>
      <c r="AK141" t="str">
        <f t="shared" si="46"/>
        <v xml:space="preserve">移动速度 {2}%
</v>
      </c>
      <c r="AL141" t="str">
        <f t="shared" si="47"/>
        <v xml:space="preserve">物品掉落数量 {3}%
</v>
      </c>
      <c r="AM141" t="str">
        <f t="shared" si="48"/>
        <v xml:space="preserve">珍稀物品掉率 {4}%
</v>
      </c>
      <c r="AN141" t="str">
        <f t="shared" si="49"/>
        <v>xxx</v>
      </c>
      <c r="AO141" t="str">
        <f t="shared" si="57"/>
        <v>金币获取 {0}%
幸运 {1}
移动速度 {2}%
物品掉落数量 {3}%
珍稀物品掉率 {4}%
xxx</v>
      </c>
      <c r="AP141" s="6" t="str">
        <f t="shared" si="58"/>
        <v xml:space="preserve">金币获取 {0}%
幸运 {1}
移动速度 {2}%
物品掉落数量 {3}%
珍稀物品掉率 {4}%
</v>
      </c>
      <c r="AQ141" s="80" t="s">
        <v>3436</v>
      </c>
      <c r="AR141" t="str">
        <f t="shared" si="61"/>
        <v xml:space="preserve">金币获取 {0}%
幸运 {1}
移动速度 {2}%
物品掉落数量 {3}%
珍稀物品掉率 {4}%
</v>
      </c>
      <c r="AS141" s="81" t="str">
        <f t="shared" si="59"/>
        <v>金币获取 {0}%
幸运 {1}
移动速度 {2}%
物品掉落数量 {3}%
珍稀物品掉率 {4}%</v>
      </c>
      <c r="BE141" s="46" t="s">
        <v>3063</v>
      </c>
      <c r="BF141" s="47" t="s">
        <v>3042</v>
      </c>
      <c r="BG141" s="52">
        <v>512</v>
      </c>
      <c r="BH141" s="59"/>
      <c r="BI141" s="111">
        <f t="shared" si="50"/>
        <v>0</v>
      </c>
      <c r="BJ141" s="59"/>
      <c r="BK141" s="18">
        <v>1</v>
      </c>
    </row>
    <row r="142" spans="3:63" ht="15.75" x14ac:dyDescent="0.3">
      <c r="C142" s="59">
        <v>14828</v>
      </c>
      <c r="D142" s="75" t="s">
        <v>309</v>
      </c>
      <c r="E142" s="75"/>
      <c r="F142" s="75" t="s">
        <v>2753</v>
      </c>
      <c r="G142" s="75"/>
      <c r="H142" s="72">
        <v>0</v>
      </c>
      <c r="I142" s="64"/>
      <c r="J142" s="64"/>
      <c r="K142" s="64"/>
      <c r="L142" s="65"/>
      <c r="M142" s="65"/>
      <c r="N142" s="65"/>
      <c r="O142" s="66"/>
      <c r="P142" s="66"/>
      <c r="Q142" s="66"/>
      <c r="R142" s="64"/>
      <c r="S142" s="64"/>
      <c r="T142" s="64"/>
      <c r="U142" s="65"/>
      <c r="V142" s="65"/>
      <c r="W142" s="65"/>
      <c r="X142" s="66"/>
      <c r="Y142" s="66"/>
      <c r="Z142" s="66"/>
      <c r="AA142" s="71" t="str">
        <f t="shared" si="43"/>
        <v>1:xxxxxxxxxxxxxxxxxx</v>
      </c>
      <c r="AB142" s="78" t="str">
        <f t="shared" si="60"/>
        <v/>
      </c>
      <c r="AC142" t="str">
        <f t="shared" si="51"/>
        <v>xxx</v>
      </c>
      <c r="AD142" t="str">
        <f t="shared" si="52"/>
        <v>xxx</v>
      </c>
      <c r="AE142" t="str">
        <f t="shared" si="53"/>
        <v>xxx</v>
      </c>
      <c r="AF142" t="str">
        <f t="shared" si="54"/>
        <v>xxx</v>
      </c>
      <c r="AG142" t="str">
        <f t="shared" si="55"/>
        <v>xxx</v>
      </c>
      <c r="AH142" t="str">
        <f t="shared" si="56"/>
        <v>xxx</v>
      </c>
      <c r="AI142" t="str">
        <f t="shared" si="44"/>
        <v>xxx</v>
      </c>
      <c r="AJ142" t="str">
        <f t="shared" si="45"/>
        <v>xxx</v>
      </c>
      <c r="AK142" t="str">
        <f t="shared" si="46"/>
        <v>xxx</v>
      </c>
      <c r="AL142" t="str">
        <f t="shared" si="47"/>
        <v>xxx</v>
      </c>
      <c r="AM142" t="str">
        <f t="shared" si="48"/>
        <v>xxx</v>
      </c>
      <c r="AN142" t="str">
        <f t="shared" si="49"/>
        <v>xxx</v>
      </c>
      <c r="AO142" t="str">
        <f t="shared" si="57"/>
        <v>xxxxxxxxxxxxxxxxxx</v>
      </c>
      <c r="AP142" s="6" t="str">
        <f t="shared" si="58"/>
        <v/>
      </c>
      <c r="AQ142" s="80" t="s">
        <v>3437</v>
      </c>
      <c r="AR142" t="str">
        <f t="shared" si="61"/>
        <v>生命值+{0}
物品稀有度+{1}%
火焰抗性+{2}%
冰霜抗性+{3}%
闪电抗性+{4}%</v>
      </c>
      <c r="AS142" s="81" t="str">
        <f t="shared" si="59"/>
        <v>生命值+{0}
物品稀有度+{1}%
火焰抗性+{2}%
冰霜抗性+{3}%
闪电抗性+{4}%</v>
      </c>
      <c r="BE142" s="46" t="s">
        <v>3064</v>
      </c>
      <c r="BF142" s="47" t="s">
        <v>3042</v>
      </c>
      <c r="BG142" s="52" t="s">
        <v>3065</v>
      </c>
      <c r="BH142" s="59"/>
      <c r="BI142" s="111">
        <f t="shared" si="50"/>
        <v>0</v>
      </c>
      <c r="BJ142" s="59"/>
      <c r="BK142" s="18">
        <v>1</v>
      </c>
    </row>
    <row r="143" spans="3:63" ht="15.75" x14ac:dyDescent="0.3">
      <c r="C143" s="59">
        <v>14829</v>
      </c>
      <c r="D143" s="75" t="s">
        <v>310</v>
      </c>
      <c r="E143" s="75"/>
      <c r="F143" s="75" t="s">
        <v>2753</v>
      </c>
      <c r="G143" s="75"/>
      <c r="H143" s="72">
        <v>0</v>
      </c>
      <c r="I143" s="64"/>
      <c r="J143" s="64"/>
      <c r="K143" s="64"/>
      <c r="L143" s="65"/>
      <c r="M143" s="65"/>
      <c r="N143" s="65"/>
      <c r="O143" s="66"/>
      <c r="P143" s="66"/>
      <c r="Q143" s="66"/>
      <c r="R143" s="64"/>
      <c r="S143" s="64"/>
      <c r="T143" s="64"/>
      <c r="U143" s="65"/>
      <c r="V143" s="65"/>
      <c r="W143" s="65"/>
      <c r="X143" s="66"/>
      <c r="Y143" s="66"/>
      <c r="Z143" s="66"/>
      <c r="AA143" s="71" t="str">
        <f t="shared" si="43"/>
        <v>1:xxxxxxxxxxxxxxxxxx</v>
      </c>
      <c r="AB143" s="78" t="str">
        <f t="shared" si="60"/>
        <v/>
      </c>
      <c r="AC143" t="str">
        <f t="shared" si="51"/>
        <v>xxx</v>
      </c>
      <c r="AD143" t="str">
        <f t="shared" si="52"/>
        <v>xxx</v>
      </c>
      <c r="AE143" t="str">
        <f t="shared" si="53"/>
        <v>xxx</v>
      </c>
      <c r="AF143" t="str">
        <f t="shared" si="54"/>
        <v>xxx</v>
      </c>
      <c r="AG143" t="str">
        <f t="shared" si="55"/>
        <v>xxx</v>
      </c>
      <c r="AH143" t="str">
        <f t="shared" si="56"/>
        <v>xxx</v>
      </c>
      <c r="AI143" t="str">
        <f t="shared" si="44"/>
        <v>xxx</v>
      </c>
      <c r="AJ143" t="str">
        <f t="shared" si="45"/>
        <v>xxx</v>
      </c>
      <c r="AK143" t="str">
        <f t="shared" si="46"/>
        <v>xxx</v>
      </c>
      <c r="AL143" t="str">
        <f t="shared" si="47"/>
        <v>xxx</v>
      </c>
      <c r="AM143" t="str">
        <f t="shared" si="48"/>
        <v>xxx</v>
      </c>
      <c r="AN143" t="str">
        <f t="shared" si="49"/>
        <v>xxx</v>
      </c>
      <c r="AO143" t="str">
        <f t="shared" si="57"/>
        <v>xxxxxxxxxxxxxxxxxx</v>
      </c>
      <c r="AP143" s="6" t="str">
        <f t="shared" si="58"/>
        <v/>
      </c>
      <c r="AQ143" s="80" t="s">
        <v>3438</v>
      </c>
      <c r="AR143" t="str">
        <f t="shared" si="61"/>
        <v>力量+{0}
敏捷+{1}
智力+{2}
暴击伤害+{3}%
护甲+{4}
闪避率+{5}%
生命+{6}
能量护盾+{7}%
所有元素抗性+{8}%
攻击速度+{9}%</v>
      </c>
      <c r="AS143" s="81" t="str">
        <f t="shared" si="59"/>
        <v>力量+{0}
敏捷+{1}
智力+{2}
暴击伤害+{3}%
护甲+{4}
闪避率+{5}%
生命+{6}
能量护盾+{7}%
所有元素抗性+{8}%
攻击速度+{9}%</v>
      </c>
      <c r="BE143" s="46" t="s">
        <v>3066</v>
      </c>
      <c r="BF143" s="47" t="s">
        <v>3042</v>
      </c>
      <c r="BG143" s="52">
        <v>514</v>
      </c>
      <c r="BH143" s="59">
        <v>5</v>
      </c>
      <c r="BI143" s="111">
        <f t="shared" si="50"/>
        <v>1.6339869281045753E-2</v>
      </c>
      <c r="BJ143" s="59"/>
      <c r="BK143" s="18">
        <v>1</v>
      </c>
    </row>
    <row r="144" spans="3:63" ht="15.75" x14ac:dyDescent="0.3">
      <c r="C144" s="59">
        <v>14830</v>
      </c>
      <c r="D144" s="59" t="s">
        <v>311</v>
      </c>
      <c r="E144" s="59"/>
      <c r="F144" s="59" t="s">
        <v>2753</v>
      </c>
      <c r="G144" s="59"/>
      <c r="H144" s="72">
        <v>11</v>
      </c>
      <c r="I144" s="64" t="s">
        <v>2973</v>
      </c>
      <c r="J144" s="64">
        <v>3</v>
      </c>
      <c r="K144" s="64">
        <v>0.2</v>
      </c>
      <c r="L144" s="65" t="s">
        <v>3224</v>
      </c>
      <c r="M144" s="65">
        <v>2</v>
      </c>
      <c r="N144" s="65">
        <v>0.2</v>
      </c>
      <c r="O144" s="66" t="s">
        <v>2939</v>
      </c>
      <c r="P144" s="66">
        <v>2</v>
      </c>
      <c r="Q144" s="66">
        <v>0.2</v>
      </c>
      <c r="R144" s="64" t="s">
        <v>3176</v>
      </c>
      <c r="S144" s="64">
        <v>4</v>
      </c>
      <c r="T144" s="64">
        <v>0.2</v>
      </c>
      <c r="U144" s="65"/>
      <c r="V144" s="65"/>
      <c r="W144" s="65"/>
      <c r="X144" s="66"/>
      <c r="Y144" s="66"/>
      <c r="Z144" s="66"/>
      <c r="AA144" s="71" t="str">
        <f t="shared" si="43"/>
        <v>1:208,24,36,257,16,24,224,8,12,248,32,48,xxxxxx</v>
      </c>
      <c r="AB144" s="78" t="str">
        <f t="shared" si="60"/>
        <v>1:208,24,36,257,16,24,224,8,12,248,32,48</v>
      </c>
      <c r="AC144" t="str">
        <f t="shared" si="51"/>
        <v>闪电伤害 {0}</v>
      </c>
      <c r="AD144" t="str">
        <f t="shared" si="52"/>
        <v>暴击率增幅 {1}</v>
      </c>
      <c r="AE144" t="str">
        <f t="shared" si="53"/>
        <v>闪电减抗% {2}</v>
      </c>
      <c r="AF144" t="str">
        <f t="shared" si="54"/>
        <v>施加感电时间提升 {3}</v>
      </c>
      <c r="AG144" t="str">
        <f t="shared" si="55"/>
        <v>xxx</v>
      </c>
      <c r="AH144" t="str">
        <f t="shared" si="56"/>
        <v>xxx</v>
      </c>
      <c r="AI144" t="str">
        <f t="shared" si="44"/>
        <v xml:space="preserve">闪电伤害 {0}
</v>
      </c>
      <c r="AJ144" t="str">
        <f t="shared" si="45"/>
        <v xml:space="preserve">暴击率增幅 {1}%
</v>
      </c>
      <c r="AK144" t="str">
        <f t="shared" si="46"/>
        <v xml:space="preserve">闪电减抗 {2}%
</v>
      </c>
      <c r="AL144" t="str">
        <f t="shared" si="47"/>
        <v xml:space="preserve">施加感电时间提升 {3}%
</v>
      </c>
      <c r="AM144" t="str">
        <f t="shared" si="48"/>
        <v>xxx</v>
      </c>
      <c r="AN144" t="str">
        <f t="shared" si="49"/>
        <v>xxx</v>
      </c>
      <c r="AO144" t="str">
        <f t="shared" si="57"/>
        <v>闪电伤害 {0}
暴击率增幅 {1}%
闪电减抗 {2}%
施加感电时间提升 {3}%
xxxxxx</v>
      </c>
      <c r="AP144" s="6" t="str">
        <f t="shared" si="58"/>
        <v xml:space="preserve">闪电伤害 {0}
暴击率增幅 {1}%
闪电减抗 {2}%
施加感电时间提升 {3}%
</v>
      </c>
      <c r="AQ144" s="80" t="s">
        <v>3439</v>
      </c>
      <c r="AR144" t="str">
        <f t="shared" si="61"/>
        <v xml:space="preserve">闪电伤害 {0}
暴击率增幅 {1}%
闪电减抗 {2}%
施加感电时间提升 {3}%
</v>
      </c>
      <c r="AS144" s="81" t="str">
        <f t="shared" si="59"/>
        <v>闪电伤害 {0}
暴击率增幅 {1}%
闪电减抗 {2}%
施加感电时间提升 {3}%</v>
      </c>
      <c r="BE144" s="46" t="s">
        <v>3067</v>
      </c>
      <c r="BF144" s="47" t="s">
        <v>3042</v>
      </c>
      <c r="BG144" s="52">
        <v>515</v>
      </c>
      <c r="BH144" s="59"/>
      <c r="BI144" s="111">
        <f t="shared" si="50"/>
        <v>0</v>
      </c>
      <c r="BJ144" s="59"/>
      <c r="BK144" s="18">
        <v>1</v>
      </c>
    </row>
    <row r="145" spans="3:63" ht="15.75" x14ac:dyDescent="0.3">
      <c r="C145" s="59">
        <v>14831</v>
      </c>
      <c r="D145" s="59" t="s">
        <v>313</v>
      </c>
      <c r="E145" s="59">
        <v>-1</v>
      </c>
      <c r="F145" s="59" t="s">
        <v>2753</v>
      </c>
      <c r="G145" s="59"/>
      <c r="H145" s="72">
        <v>12</v>
      </c>
      <c r="I145" s="64" t="s">
        <v>2949</v>
      </c>
      <c r="J145" s="64">
        <v>5</v>
      </c>
      <c r="K145" s="64">
        <v>0.2</v>
      </c>
      <c r="L145" s="65" t="s">
        <v>3007</v>
      </c>
      <c r="M145" s="65">
        <v>1.5</v>
      </c>
      <c r="N145" s="65">
        <v>0.2</v>
      </c>
      <c r="O145" s="66" t="s">
        <v>2940</v>
      </c>
      <c r="P145" s="66">
        <v>1</v>
      </c>
      <c r="Q145" s="66">
        <v>0</v>
      </c>
      <c r="R145" s="64" t="s">
        <v>3251</v>
      </c>
      <c r="S145" s="64">
        <v>3</v>
      </c>
      <c r="T145" s="64">
        <v>0.2</v>
      </c>
      <c r="U145" s="65" t="s">
        <v>3204</v>
      </c>
      <c r="V145" s="65">
        <v>1.5</v>
      </c>
      <c r="W145" s="65">
        <v>0.2</v>
      </c>
      <c r="X145" s="66"/>
      <c r="Y145" s="66"/>
      <c r="Z145" s="66"/>
      <c r="AA145" s="71" t="str">
        <f t="shared" si="43"/>
        <v>1:311,20,30,312,6,9,412,10,10,253,24,36,330,12,18,xxx</v>
      </c>
      <c r="AB145" s="78" t="str">
        <f>IF(LEFT(SUBSTITUTE(AA145,"x",""),LEN(SUBSTITUTE(AA145,"x",""))-1)="1","",LEFT(SUBSTITUTE(AA145,"x",""),LEN(SUBSTITUTE(AA145,"x",""))-1))</f>
        <v>1:311,20,30,312,6,9,412,10,10,253,24,36,330,12,18</v>
      </c>
      <c r="AC145" t="str">
        <f t="shared" si="51"/>
        <v>闪避几率% {0}</v>
      </c>
      <c r="AD145" t="str">
        <f t="shared" si="52"/>
        <v>闪避几率上限% {1}</v>
      </c>
      <c r="AE145" t="str">
        <f t="shared" si="53"/>
        <v>移动速度% {2}</v>
      </c>
      <c r="AF145" t="str">
        <f t="shared" si="54"/>
        <v>施加诅咒时间提升 {3}</v>
      </c>
      <c r="AG145" t="str">
        <f t="shared" si="55"/>
        <v>受到异常时间提升 {4}</v>
      </c>
      <c r="AH145" t="str">
        <f t="shared" si="56"/>
        <v>xxx</v>
      </c>
      <c r="AI145" t="str">
        <f t="shared" si="44"/>
        <v xml:space="preserve">闪避几率 {0}%
</v>
      </c>
      <c r="AJ145" t="str">
        <f t="shared" si="45"/>
        <v xml:space="preserve">闪避几率上限 {1}%
</v>
      </c>
      <c r="AK145" t="str">
        <f t="shared" si="46"/>
        <v xml:space="preserve">移动速度 {2}%
</v>
      </c>
      <c r="AL145" t="str">
        <f t="shared" si="47"/>
        <v xml:space="preserve">施加诅咒时间提升 {3}%
</v>
      </c>
      <c r="AM145" t="str">
        <f t="shared" si="48"/>
        <v xml:space="preserve">受到异常时间提升 {4}%
</v>
      </c>
      <c r="AN145" t="str">
        <f t="shared" si="49"/>
        <v>xxx</v>
      </c>
      <c r="AO145" t="str">
        <f t="shared" si="57"/>
        <v>闪避几率 {0}%
闪避几率上限 {1}%
移动速度 {2}%
施加诅咒时间提升 {3}%
受到异常时间提升 {4}%
xxx</v>
      </c>
      <c r="AP145" s="6" t="str">
        <f t="shared" si="58"/>
        <v xml:space="preserve">闪避几率 {0}%
闪避几率上限 {1}%
移动速度 {2}%
施加诅咒时间提升 {3}%
受到异常时间提升 {4}%
</v>
      </c>
      <c r="AQ145" s="80" t="s">
        <v>3440</v>
      </c>
      <c r="AR145" t="str">
        <f t="shared" si="61"/>
        <v xml:space="preserve">闪避几率 {0}%
闪避几率上限 {1}%
移动速度 {2}%
施加诅咒时间提升 {3}%
受到异常时间提升 {4}%
</v>
      </c>
      <c r="AS145" s="81" t="str">
        <f t="shared" si="59"/>
        <v>闪避几率 {0}%
闪避几率上限 {1}%
移动速度 {2}%
施加诅咒时间提升 {3}%
受到异常时间提升 {4}%</v>
      </c>
      <c r="BE145" s="46" t="s">
        <v>3580</v>
      </c>
      <c r="BF145" s="47" t="s">
        <v>3042</v>
      </c>
      <c r="BG145" s="52">
        <v>516</v>
      </c>
      <c r="BH145" s="59">
        <v>10</v>
      </c>
      <c r="BI145" s="111">
        <f t="shared" si="50"/>
        <v>9.8039215686274508E-3</v>
      </c>
      <c r="BJ145" s="59"/>
      <c r="BK145" s="18">
        <v>2</v>
      </c>
    </row>
    <row r="146" spans="3:63" ht="15.75" x14ac:dyDescent="0.3">
      <c r="C146" s="59">
        <v>14832</v>
      </c>
      <c r="D146" s="59" t="s">
        <v>4053</v>
      </c>
      <c r="E146" s="59"/>
      <c r="F146" s="59" t="s">
        <v>2753</v>
      </c>
      <c r="G146" s="59"/>
      <c r="H146" s="72">
        <v>8.5</v>
      </c>
      <c r="I146" s="64" t="s">
        <v>2971</v>
      </c>
      <c r="J146" s="64">
        <v>2</v>
      </c>
      <c r="K146" s="64">
        <v>0.2</v>
      </c>
      <c r="L146" s="65" t="s">
        <v>2953</v>
      </c>
      <c r="M146" s="65">
        <v>2</v>
      </c>
      <c r="N146" s="65">
        <v>0.2</v>
      </c>
      <c r="O146" s="66" t="s">
        <v>2954</v>
      </c>
      <c r="P146" s="66">
        <v>1.5</v>
      </c>
      <c r="Q146" s="66">
        <v>0.2</v>
      </c>
      <c r="R146" s="64" t="s">
        <v>3252</v>
      </c>
      <c r="S146" s="64">
        <v>1.5</v>
      </c>
      <c r="T146" s="64">
        <v>0.2</v>
      </c>
      <c r="U146" s="65" t="s">
        <v>3224</v>
      </c>
      <c r="V146" s="65">
        <v>1.5</v>
      </c>
      <c r="W146" s="65">
        <v>0.2</v>
      </c>
      <c r="X146" s="66"/>
      <c r="Y146" s="66"/>
      <c r="Z146" s="66"/>
      <c r="AA146" s="71" t="str">
        <f t="shared" si="43"/>
        <v>1:206,16,24,213,16,24,222,6,9,229,12,18,257,12,18,xxx</v>
      </c>
      <c r="AB146" s="78" t="str">
        <f t="shared" si="60"/>
        <v>1:206,16,24,213,16,24,222,6,9,229,12,18,257,12,18</v>
      </c>
      <c r="AC146" t="str">
        <f t="shared" si="51"/>
        <v>冰霜伤害 {0}</v>
      </c>
      <c r="AD146" t="str">
        <f t="shared" si="52"/>
        <v>冰霜伤害% {1}</v>
      </c>
      <c r="AE146" t="str">
        <f t="shared" si="53"/>
        <v>冰霜减抗% {2}</v>
      </c>
      <c r="AF146" t="str">
        <f t="shared" si="54"/>
        <v>附加冰霜伤害 {3}</v>
      </c>
      <c r="AG146" t="str">
        <f t="shared" si="55"/>
        <v>暴击率增幅 {4}</v>
      </c>
      <c r="AH146" t="str">
        <f t="shared" si="56"/>
        <v>xxx</v>
      </c>
      <c r="AI146" t="str">
        <f t="shared" si="44"/>
        <v xml:space="preserve">冰霜伤害 {0}
</v>
      </c>
      <c r="AJ146" t="str">
        <f t="shared" si="45"/>
        <v xml:space="preserve">冰霜伤害 {1}%
</v>
      </c>
      <c r="AK146" t="str">
        <f t="shared" si="46"/>
        <v xml:space="preserve">冰霜减抗 {2}%
</v>
      </c>
      <c r="AL146" t="str">
        <f t="shared" si="47"/>
        <v xml:space="preserve">附加冰霜伤害 {3}%
</v>
      </c>
      <c r="AM146" t="str">
        <f t="shared" si="48"/>
        <v xml:space="preserve">暴击率增幅 {4}%
</v>
      </c>
      <c r="AN146" t="str">
        <f t="shared" si="49"/>
        <v>xxx</v>
      </c>
      <c r="AO146" t="str">
        <f t="shared" si="57"/>
        <v>冰霜伤害 {0}
冰霜伤害 {1}%
冰霜减抗 {2}%
附加冰霜伤害 {3}%
暴击率增幅 {4}%
xxx</v>
      </c>
      <c r="AP146" s="6" t="str">
        <f t="shared" si="58"/>
        <v xml:space="preserve">冰霜伤害 {0}
冰霜伤害 {1}%
冰霜减抗 {2}%
附加冰霜伤害 {3}%
暴击率增幅 {4}%
</v>
      </c>
      <c r="AQ146" s="80" t="s">
        <v>3441</v>
      </c>
      <c r="AR146" t="str">
        <f t="shared" si="61"/>
        <v xml:space="preserve">冰霜伤害 {0}
冰霜伤害 {1}%
冰霜减抗 {2}%
附加冰霜伤害 {3}%
暴击率增幅 {4}%
</v>
      </c>
      <c r="AS146" s="81" t="str">
        <f t="shared" si="59"/>
        <v>冰霜伤害 {0}
冰霜伤害 {1}%
冰霜减抗 {2}%
附加冰霜伤害 {3}%
暴击率增幅 {4}%</v>
      </c>
      <c r="BE146" s="46" t="s">
        <v>3586</v>
      </c>
      <c r="BF146" s="47" t="s">
        <v>3042</v>
      </c>
      <c r="BG146" s="52">
        <v>517</v>
      </c>
      <c r="BH146" s="59">
        <v>2</v>
      </c>
      <c r="BI146" s="111">
        <f t="shared" si="50"/>
        <v>2.2875816993464054E-2</v>
      </c>
      <c r="BJ146" s="59"/>
      <c r="BK146" s="18">
        <v>1</v>
      </c>
    </row>
    <row r="147" spans="3:63" ht="15.75" x14ac:dyDescent="0.3">
      <c r="C147" s="59">
        <v>14833</v>
      </c>
      <c r="D147" s="59" t="s">
        <v>315</v>
      </c>
      <c r="E147" s="59"/>
      <c r="F147" s="59" t="s">
        <v>2753</v>
      </c>
      <c r="G147" s="59"/>
      <c r="H147" s="72">
        <v>10.5</v>
      </c>
      <c r="I147" s="64" t="s">
        <v>2971</v>
      </c>
      <c r="J147" s="64">
        <v>3</v>
      </c>
      <c r="K147" s="64">
        <v>0.2</v>
      </c>
      <c r="L147" s="65" t="s">
        <v>2972</v>
      </c>
      <c r="M147" s="65">
        <v>3</v>
      </c>
      <c r="N147" s="65">
        <v>0.2</v>
      </c>
      <c r="O147" s="66" t="s">
        <v>3232</v>
      </c>
      <c r="P147" s="66">
        <v>1</v>
      </c>
      <c r="Q147" s="66">
        <v>0.2</v>
      </c>
      <c r="R147" s="64" t="s">
        <v>3253</v>
      </c>
      <c r="S147" s="64">
        <v>1.5</v>
      </c>
      <c r="T147" s="64">
        <v>0.2</v>
      </c>
      <c r="U147" s="65" t="s">
        <v>2970</v>
      </c>
      <c r="V147" s="65">
        <v>2</v>
      </c>
      <c r="W147" s="65">
        <v>0.2</v>
      </c>
      <c r="X147" s="66"/>
      <c r="Y147" s="66"/>
      <c r="Z147" s="66"/>
      <c r="AA147" s="71" t="str">
        <f t="shared" si="43"/>
        <v>1:206,24,36,207,24,36,236,8,12,237,12,18,205,8,12,xxx</v>
      </c>
      <c r="AB147" s="78" t="str">
        <f t="shared" si="60"/>
        <v>1:206,24,36,207,24,36,236,8,12,237,12,18,205,8,12</v>
      </c>
      <c r="AC147" t="str">
        <f t="shared" si="51"/>
        <v>冰霜伤害 {0}</v>
      </c>
      <c r="AD147" t="str">
        <f t="shared" si="52"/>
        <v>火焰伤害 {1}</v>
      </c>
      <c r="AE147" t="str">
        <f t="shared" si="53"/>
        <v>附加冰霜伤害% {2}</v>
      </c>
      <c r="AF147" t="str">
        <f t="shared" si="54"/>
        <v>附加火焰伤害% {3}</v>
      </c>
      <c r="AG147" t="str">
        <f t="shared" si="55"/>
        <v>元素伤害 {4}</v>
      </c>
      <c r="AH147" t="str">
        <f t="shared" si="56"/>
        <v>xxx</v>
      </c>
      <c r="AI147" t="str">
        <f t="shared" si="44"/>
        <v xml:space="preserve">冰霜伤害 {0}
</v>
      </c>
      <c r="AJ147" t="str">
        <f t="shared" si="45"/>
        <v xml:space="preserve">火焰伤害 {1}
</v>
      </c>
      <c r="AK147" t="str">
        <f t="shared" si="46"/>
        <v xml:space="preserve">附加冰霜伤害 {2}%
</v>
      </c>
      <c r="AL147" t="str">
        <f t="shared" si="47"/>
        <v xml:space="preserve">附加火焰伤害 {3}%
</v>
      </c>
      <c r="AM147" t="str">
        <f t="shared" si="48"/>
        <v xml:space="preserve">元素伤害 {4}
</v>
      </c>
      <c r="AN147" t="str">
        <f t="shared" si="49"/>
        <v>xxx</v>
      </c>
      <c r="AO147" t="str">
        <f t="shared" si="57"/>
        <v>冰霜伤害 {0}
火焰伤害 {1}
附加冰霜伤害 {2}%
附加火焰伤害 {3}%
元素伤害 {4}
xxx</v>
      </c>
      <c r="AP147" s="6" t="str">
        <f t="shared" si="58"/>
        <v xml:space="preserve">冰霜伤害 {0}
火焰伤害 {1}
附加冰霜伤害 {2}%
附加火焰伤害 {3}%
元素伤害 {4}
</v>
      </c>
      <c r="AQ147" s="80" t="s">
        <v>3442</v>
      </c>
      <c r="AR147" t="str">
        <f t="shared" si="61"/>
        <v xml:space="preserve">冰霜伤害 {0}
火焰伤害 {1}
附加冰霜伤害 {2}%
附加火焰伤害 {3}%
元素伤害 {4}
</v>
      </c>
      <c r="AS147" s="81" t="str">
        <f t="shared" si="59"/>
        <v>冰霜伤害 {0}
火焰伤害 {1}
附加冰霜伤害 {2}%
附加火焰伤害 {3}%
元素伤害 {4}</v>
      </c>
      <c r="BE147" s="46" t="s">
        <v>3068</v>
      </c>
      <c r="BF147" s="47" t="s">
        <v>3069</v>
      </c>
      <c r="BG147" s="52">
        <v>519</v>
      </c>
      <c r="BH147" s="59"/>
      <c r="BI147" s="111">
        <f t="shared" si="50"/>
        <v>0</v>
      </c>
      <c r="BJ147" s="59"/>
      <c r="BK147" s="18">
        <v>1</v>
      </c>
    </row>
    <row r="148" spans="3:63" x14ac:dyDescent="0.2">
      <c r="C148" s="59">
        <v>14834</v>
      </c>
      <c r="D148" s="59" t="s">
        <v>4054</v>
      </c>
      <c r="E148" s="59">
        <v>4</v>
      </c>
      <c r="F148" s="59" t="s">
        <v>2753</v>
      </c>
      <c r="G148" s="59"/>
      <c r="H148" s="72">
        <v>10.5</v>
      </c>
      <c r="I148" s="64" t="s">
        <v>2971</v>
      </c>
      <c r="J148" s="64">
        <v>3</v>
      </c>
      <c r="K148" s="64">
        <v>0.2</v>
      </c>
      <c r="L148" s="65" t="s">
        <v>2954</v>
      </c>
      <c r="M148" s="65">
        <v>2</v>
      </c>
      <c r="N148" s="65">
        <v>0.2</v>
      </c>
      <c r="O148" s="66" t="s">
        <v>3180</v>
      </c>
      <c r="P148" s="66">
        <v>2</v>
      </c>
      <c r="Q148" s="66">
        <v>0.2</v>
      </c>
      <c r="R148" s="64" t="s">
        <v>3254</v>
      </c>
      <c r="S148" s="64">
        <v>1.5</v>
      </c>
      <c r="T148" s="64">
        <v>0.2</v>
      </c>
      <c r="U148" s="65" t="s">
        <v>2946</v>
      </c>
      <c r="V148" s="65">
        <v>2</v>
      </c>
      <c r="W148" s="65">
        <v>0.2</v>
      </c>
      <c r="X148" s="66"/>
      <c r="Y148" s="66"/>
      <c r="Z148" s="66"/>
      <c r="AA148" s="71" t="str">
        <f t="shared" si="43"/>
        <v>1:206,24,36,222,8,12,300,32,48,414,6,9,306,16,24,xxx</v>
      </c>
      <c r="AB148" s="78" t="str">
        <f t="shared" si="60"/>
        <v>1:206,24,36,222,8,12,300,32,48,414,6,9,306,16,24</v>
      </c>
      <c r="AC148" t="str">
        <f t="shared" si="51"/>
        <v>冰霜伤害 {0}</v>
      </c>
      <c r="AD148" t="str">
        <f t="shared" si="52"/>
        <v>冰霜减抗% {1}</v>
      </c>
      <c r="AE148" t="str">
        <f t="shared" si="53"/>
        <v>最大生命值 {2}</v>
      </c>
      <c r="AF148" t="str">
        <f t="shared" si="54"/>
        <v>技能范围% {3}</v>
      </c>
      <c r="AG148" t="str">
        <f t="shared" si="55"/>
        <v>护甲值% {4}</v>
      </c>
      <c r="AH148" t="str">
        <f t="shared" si="56"/>
        <v>xxx</v>
      </c>
      <c r="AI148" t="str">
        <f t="shared" si="44"/>
        <v xml:space="preserve">冰霜伤害 {0}
</v>
      </c>
      <c r="AJ148" t="str">
        <f t="shared" si="45"/>
        <v xml:space="preserve">冰霜减抗 {1}%
</v>
      </c>
      <c r="AK148" t="str">
        <f t="shared" si="46"/>
        <v xml:space="preserve">最大生命值 {2}
</v>
      </c>
      <c r="AL148" t="str">
        <f t="shared" si="47"/>
        <v xml:space="preserve">技能范围 {3}%
</v>
      </c>
      <c r="AM148" t="str">
        <f t="shared" si="48"/>
        <v xml:space="preserve">护甲值 {4}%
</v>
      </c>
      <c r="AN148" t="str">
        <f t="shared" si="49"/>
        <v>xxx</v>
      </c>
      <c r="AO148" t="str">
        <f t="shared" si="57"/>
        <v>冰霜伤害 {0}
冰霜减抗 {1}%
最大生命值 {2}
技能范围 {3}%
护甲值 {4}%
xxx</v>
      </c>
      <c r="AP148" s="6" t="str">
        <f t="shared" si="58"/>
        <v xml:space="preserve">冰霜伤害 {0}
冰霜减抗 {1}%
最大生命值 {2}
技能范围 {3}%
护甲值 {4}%
</v>
      </c>
      <c r="AQ148" s="80" t="s">
        <v>3443</v>
      </c>
      <c r="AR148" t="str">
        <f t="shared" si="61"/>
        <v xml:space="preserve">冰霜伤害 {0}
冰霜减抗 {1}%
最大生命值 {2}
技能范围 {3}%
护甲值 {4}%
</v>
      </c>
      <c r="AS148" s="81" t="str">
        <f t="shared" si="59"/>
        <v>冰霜伤害 {0}
冰霜减抗 {1}%
最大生命值 {2}
技能范围 {3}%
护甲值 {4}%</v>
      </c>
      <c r="BE148" s="52" t="s">
        <v>3070</v>
      </c>
      <c r="BF148" s="52" t="s">
        <v>3045</v>
      </c>
      <c r="BG148" s="52">
        <v>601</v>
      </c>
      <c r="BH148" s="59">
        <v>1</v>
      </c>
      <c r="BI148" s="111">
        <f t="shared" si="50"/>
        <v>1.9607843137254902E-2</v>
      </c>
      <c r="BJ148" s="59"/>
      <c r="BK148" s="18">
        <v>2</v>
      </c>
    </row>
    <row r="149" spans="3:63" x14ac:dyDescent="0.2">
      <c r="C149" s="59">
        <v>14835</v>
      </c>
      <c r="D149" s="59" t="s">
        <v>318</v>
      </c>
      <c r="E149" s="59">
        <v>1</v>
      </c>
      <c r="F149" s="59" t="s">
        <v>2753</v>
      </c>
      <c r="G149" s="59"/>
      <c r="H149" s="72">
        <v>11</v>
      </c>
      <c r="I149" s="64" t="s">
        <v>3250</v>
      </c>
      <c r="J149" s="64">
        <v>4</v>
      </c>
      <c r="K149" s="64">
        <v>0.2</v>
      </c>
      <c r="L149" s="65" t="s">
        <v>2951</v>
      </c>
      <c r="M149" s="65">
        <v>3</v>
      </c>
      <c r="N149" s="65">
        <v>0.2</v>
      </c>
      <c r="O149" s="66" t="s">
        <v>2958</v>
      </c>
      <c r="P149" s="66">
        <v>2</v>
      </c>
      <c r="Q149" s="66">
        <v>0.2</v>
      </c>
      <c r="R149" s="64" t="s">
        <v>2952</v>
      </c>
      <c r="S149" s="64">
        <v>2</v>
      </c>
      <c r="T149" s="64">
        <v>0.2</v>
      </c>
      <c r="U149" s="65"/>
      <c r="V149" s="65"/>
      <c r="W149" s="65"/>
      <c r="X149" s="66"/>
      <c r="Y149" s="66"/>
      <c r="Z149" s="66"/>
      <c r="AA149" s="71" t="str">
        <f t="shared" si="43"/>
        <v>1:303,1.6,2.4,308,24,36,321,8,12,310,160,240,xxxxxx</v>
      </c>
      <c r="AB149" s="78" t="str">
        <f t="shared" si="60"/>
        <v>1:303,1.6,2.4,308,24,36,321,8,12,310,160,240</v>
      </c>
      <c r="AC149" t="str">
        <f t="shared" si="51"/>
        <v>生命回复 {0}</v>
      </c>
      <c r="AD149" t="str">
        <f t="shared" si="52"/>
        <v>护盾值% {1}</v>
      </c>
      <c r="AE149" t="str">
        <f t="shared" si="53"/>
        <v>所有伤害减免% {2}</v>
      </c>
      <c r="AF149" t="str">
        <f t="shared" si="54"/>
        <v>护盾回复% {3}</v>
      </c>
      <c r="AG149" t="str">
        <f t="shared" si="55"/>
        <v>xxx</v>
      </c>
      <c r="AH149" t="str">
        <f t="shared" si="56"/>
        <v>xxx</v>
      </c>
      <c r="AI149" t="str">
        <f t="shared" si="44"/>
        <v xml:space="preserve">生命回复 {0}
</v>
      </c>
      <c r="AJ149" t="str">
        <f t="shared" si="45"/>
        <v xml:space="preserve">护盾值 {1}%
</v>
      </c>
      <c r="AK149" t="str">
        <f t="shared" si="46"/>
        <v xml:space="preserve">所有伤害减免 {2}%
</v>
      </c>
      <c r="AL149" t="str">
        <f t="shared" si="47"/>
        <v xml:space="preserve">护盾回复 {3}%
</v>
      </c>
      <c r="AM149" t="str">
        <f t="shared" si="48"/>
        <v>xxx</v>
      </c>
      <c r="AN149" t="str">
        <f t="shared" si="49"/>
        <v>xxx</v>
      </c>
      <c r="AO149" t="str">
        <f t="shared" si="57"/>
        <v>生命回复 {0}
护盾值 {1}%
所有伤害减免 {2}%
护盾回复 {3}%
xxxxxx</v>
      </c>
      <c r="AP149" s="6" t="str">
        <f t="shared" si="58"/>
        <v xml:space="preserve">生命回复 {0}
护盾值 {1}%
所有伤害减免 {2}%
护盾回复 {3}%
</v>
      </c>
      <c r="AQ149" s="80" t="s">
        <v>3444</v>
      </c>
      <c r="AR149" t="str">
        <f t="shared" si="61"/>
        <v xml:space="preserve">生命回复 {0}
护盾值 {1}%
所有伤害减免 {2}%
护盾回复 {3}%
</v>
      </c>
      <c r="AS149" s="81" t="str">
        <f t="shared" si="59"/>
        <v>生命回复 {0}
护盾值 {1}%
所有伤害减免 {2}%
护盾回复 {3}%</v>
      </c>
      <c r="BE149" s="52" t="s">
        <v>3071</v>
      </c>
      <c r="BF149" s="52" t="s">
        <v>3045</v>
      </c>
      <c r="BG149" s="52">
        <v>602</v>
      </c>
      <c r="BH149" s="59">
        <v>1</v>
      </c>
      <c r="BI149" s="111">
        <f t="shared" si="50"/>
        <v>3.2679738562091504E-3</v>
      </c>
      <c r="BJ149" s="59"/>
      <c r="BK149" s="18">
        <v>2</v>
      </c>
    </row>
    <row r="150" spans="3:63" x14ac:dyDescent="0.2">
      <c r="C150" s="77">
        <v>14836</v>
      </c>
      <c r="D150" s="77" t="s">
        <v>319</v>
      </c>
      <c r="E150" s="77">
        <v>-99</v>
      </c>
      <c r="F150" s="77" t="s">
        <v>2753</v>
      </c>
      <c r="G150" s="77"/>
      <c r="H150" s="100">
        <v>0</v>
      </c>
      <c r="I150" s="64"/>
      <c r="J150" s="64"/>
      <c r="K150" s="64"/>
      <c r="L150" s="65"/>
      <c r="M150" s="65"/>
      <c r="N150" s="65"/>
      <c r="O150" s="66"/>
      <c r="P150" s="66"/>
      <c r="Q150" s="66"/>
      <c r="R150" s="64"/>
      <c r="S150" s="64"/>
      <c r="T150" s="64"/>
      <c r="U150" s="65"/>
      <c r="V150" s="65"/>
      <c r="W150" s="65"/>
      <c r="X150" s="66"/>
      <c r="Y150" s="66"/>
      <c r="Z150" s="66"/>
      <c r="AA150" s="71" t="str">
        <f t="shared" si="43"/>
        <v>1:xxxxxxxxxxxxxxxxxx</v>
      </c>
      <c r="AB150" s="78" t="str">
        <f t="shared" si="60"/>
        <v/>
      </c>
      <c r="AC150" t="str">
        <f t="shared" si="51"/>
        <v>xxx</v>
      </c>
      <c r="AD150" t="str">
        <f t="shared" si="52"/>
        <v>xxx</v>
      </c>
      <c r="AE150" t="str">
        <f t="shared" si="53"/>
        <v>xxx</v>
      </c>
      <c r="AF150" t="str">
        <f t="shared" si="54"/>
        <v>xxx</v>
      </c>
      <c r="AG150" t="str">
        <f t="shared" si="55"/>
        <v>xxx</v>
      </c>
      <c r="AH150" t="str">
        <f t="shared" si="56"/>
        <v>xxx</v>
      </c>
      <c r="AI150" t="str">
        <f t="shared" si="44"/>
        <v>xxx</v>
      </c>
      <c r="AJ150" t="str">
        <f t="shared" si="45"/>
        <v>xxx</v>
      </c>
      <c r="AK150" t="str">
        <f t="shared" si="46"/>
        <v>xxx</v>
      </c>
      <c r="AL150" t="str">
        <f t="shared" si="47"/>
        <v>xxx</v>
      </c>
      <c r="AM150" t="str">
        <f t="shared" si="48"/>
        <v>xxx</v>
      </c>
      <c r="AN150" t="str">
        <f t="shared" si="49"/>
        <v>xxx</v>
      </c>
      <c r="AO150" t="str">
        <f t="shared" si="57"/>
        <v>xxxxxxxxxxxxxxxxxx</v>
      </c>
      <c r="AP150" s="6" t="str">
        <f t="shared" si="58"/>
        <v/>
      </c>
      <c r="AQ150" s="80" t="s">
        <v>3445</v>
      </c>
      <c r="AR150" t="str">
        <f t="shared" si="61"/>
        <v>冰霜抗性+（20%~30%）
造成任意伤害都会使得敌人冰缓
受到任意伤害都会使你冰缓
冰缓敌人对你造成的伤害减少（15%~30%）</v>
      </c>
      <c r="AS150" s="81" t="str">
        <f t="shared" si="59"/>
        <v>冰霜抗性+（20%~30%）
造成任意伤害都会使得敌人冰缓
受到任意伤害都会使你冰缓
冰缓敌人对你造成的伤害减少（15%~30%）</v>
      </c>
      <c r="BE150" s="52" t="s">
        <v>3072</v>
      </c>
      <c r="BF150" s="52" t="s">
        <v>2988</v>
      </c>
      <c r="BG150" s="52">
        <v>603</v>
      </c>
      <c r="BH150" s="59">
        <v>0.05</v>
      </c>
      <c r="BI150" s="111">
        <f t="shared" si="50"/>
        <v>3.2679738562091504E-3</v>
      </c>
      <c r="BJ150" s="59"/>
      <c r="BK150" s="18">
        <v>1</v>
      </c>
    </row>
    <row r="151" spans="3:63" x14ac:dyDescent="0.2">
      <c r="C151" s="59">
        <v>14837</v>
      </c>
      <c r="D151" s="59" t="s">
        <v>320</v>
      </c>
      <c r="E151" s="59">
        <v>5</v>
      </c>
      <c r="F151" s="59" t="s">
        <v>2753</v>
      </c>
      <c r="G151" s="59"/>
      <c r="H151" s="72">
        <v>9</v>
      </c>
      <c r="I151" s="64" t="s">
        <v>2972</v>
      </c>
      <c r="J151" s="64">
        <v>2</v>
      </c>
      <c r="K151" s="64">
        <v>0.2</v>
      </c>
      <c r="L151" s="65" t="s">
        <v>3146</v>
      </c>
      <c r="M151" s="65">
        <v>3</v>
      </c>
      <c r="N151" s="65">
        <v>0.2</v>
      </c>
      <c r="O151" s="66" t="s">
        <v>3173</v>
      </c>
      <c r="P151" s="66">
        <v>2</v>
      </c>
      <c r="Q151" s="66">
        <v>0.2</v>
      </c>
      <c r="R151" s="64" t="s">
        <v>2928</v>
      </c>
      <c r="S151" s="64">
        <v>2</v>
      </c>
      <c r="T151" s="64">
        <v>0.2</v>
      </c>
      <c r="U151" s="65"/>
      <c r="V151" s="65"/>
      <c r="W151" s="65"/>
      <c r="X151" s="66"/>
      <c r="Y151" s="66"/>
      <c r="Z151" s="66"/>
      <c r="AA151" s="71" t="str">
        <f t="shared" si="43"/>
        <v>1:207,16,24,241,24,36,230,16,24,223,8,12,xxxxxx</v>
      </c>
      <c r="AB151" s="78" t="str">
        <f t="shared" si="60"/>
        <v>1:207,16,24,241,24,36,230,16,24,223,8,12</v>
      </c>
      <c r="AC151" t="str">
        <f t="shared" si="51"/>
        <v>火焰伤害 {0}</v>
      </c>
      <c r="AD151" t="str">
        <f t="shared" si="52"/>
        <v>灼烧系数 {1}</v>
      </c>
      <c r="AE151" t="str">
        <f t="shared" si="53"/>
        <v>附加火焰伤害 {2}</v>
      </c>
      <c r="AF151" t="str">
        <f t="shared" si="54"/>
        <v>火焰减抗% {3}</v>
      </c>
      <c r="AG151" t="str">
        <f t="shared" si="55"/>
        <v>xxx</v>
      </c>
      <c r="AH151" t="str">
        <f t="shared" si="56"/>
        <v>xxx</v>
      </c>
      <c r="AI151" t="str">
        <f t="shared" si="44"/>
        <v xml:space="preserve">火焰伤害 {0}
</v>
      </c>
      <c r="AJ151" t="str">
        <f t="shared" si="45"/>
        <v xml:space="preserve">灼烧系数 {1}%
</v>
      </c>
      <c r="AK151" t="str">
        <f t="shared" si="46"/>
        <v xml:space="preserve">附加火焰伤害 {2}%
</v>
      </c>
      <c r="AL151" t="str">
        <f t="shared" si="47"/>
        <v xml:space="preserve">火焰减抗 {3}%
</v>
      </c>
      <c r="AM151" t="str">
        <f t="shared" si="48"/>
        <v>xxx</v>
      </c>
      <c r="AN151" t="str">
        <f t="shared" si="49"/>
        <v>xxx</v>
      </c>
      <c r="AO151" t="str">
        <f t="shared" si="57"/>
        <v>火焰伤害 {0}
灼烧系数 {1}%
附加火焰伤害 {2}%
火焰减抗 {3}%
xxxxxx</v>
      </c>
      <c r="AP151" s="6" t="str">
        <f t="shared" si="58"/>
        <v xml:space="preserve">火焰伤害 {0}
灼烧系数 {1}%
附加火焰伤害 {2}%
火焰减抗 {3}%
</v>
      </c>
      <c r="AQ151" s="80" t="s">
        <v>3446</v>
      </c>
      <c r="AR151" t="str">
        <f t="shared" si="61"/>
        <v xml:space="preserve">火焰伤害 {0}
灼烧系数 {1}%
附加火焰伤害 {2}%
火焰减抗 {3}%
</v>
      </c>
      <c r="AS151" s="81" t="str">
        <f t="shared" si="59"/>
        <v>火焰伤害 {0}
灼烧系数 {1}%
附加火焰伤害 {2}%
火焰减抗 {3}%</v>
      </c>
      <c r="BE151" s="52" t="s">
        <v>3073</v>
      </c>
      <c r="BF151" s="52" t="s">
        <v>3045</v>
      </c>
      <c r="BG151" s="52">
        <v>604</v>
      </c>
      <c r="BH151" s="59">
        <v>0.1</v>
      </c>
      <c r="BI151" s="111">
        <f t="shared" si="50"/>
        <v>3.2679738562091504E-3</v>
      </c>
      <c r="BJ151" s="59"/>
      <c r="BK151" s="18">
        <v>2</v>
      </c>
    </row>
    <row r="152" spans="3:63" x14ac:dyDescent="0.2">
      <c r="C152" s="59">
        <v>14838</v>
      </c>
      <c r="D152" s="59" t="s">
        <v>321</v>
      </c>
      <c r="E152" s="59">
        <v>5</v>
      </c>
      <c r="F152" s="59" t="s">
        <v>2753</v>
      </c>
      <c r="G152" s="59"/>
      <c r="H152" s="72">
        <v>13.5</v>
      </c>
      <c r="I152" s="64" t="s">
        <v>2972</v>
      </c>
      <c r="J152" s="64">
        <v>3</v>
      </c>
      <c r="K152" s="64">
        <v>0.2</v>
      </c>
      <c r="L152" s="65" t="s">
        <v>3173</v>
      </c>
      <c r="M152" s="65">
        <v>3</v>
      </c>
      <c r="N152" s="65">
        <v>0.2</v>
      </c>
      <c r="O152" s="66" t="s">
        <v>2944</v>
      </c>
      <c r="P152" s="66">
        <v>2.5</v>
      </c>
      <c r="Q152" s="66">
        <v>0.2</v>
      </c>
      <c r="R152" s="64" t="s">
        <v>3250</v>
      </c>
      <c r="S152" s="64">
        <v>3</v>
      </c>
      <c r="T152" s="64">
        <v>0.2</v>
      </c>
      <c r="U152" s="65" t="s">
        <v>3224</v>
      </c>
      <c r="V152" s="65">
        <v>2</v>
      </c>
      <c r="W152" s="65">
        <v>0.2</v>
      </c>
      <c r="X152" s="66"/>
      <c r="Y152" s="66"/>
      <c r="Z152" s="66"/>
      <c r="AA152" s="71" t="str">
        <f t="shared" si="43"/>
        <v>1:207,24,36,230,24,36,317,20,30,303,1.2,1.8,257,16,24,xxx</v>
      </c>
      <c r="AB152" s="78" t="str">
        <f t="shared" si="60"/>
        <v>1:207,24,36,230,24,36,317,20,30,303,1.2,1.8,257,16,24</v>
      </c>
      <c r="AC152" t="str">
        <f t="shared" si="51"/>
        <v>火焰伤害 {0}</v>
      </c>
      <c r="AD152" t="str">
        <f t="shared" si="52"/>
        <v>附加火焰伤害 {1}</v>
      </c>
      <c r="AE152" t="str">
        <f t="shared" si="53"/>
        <v>火焰抗性% {2}</v>
      </c>
      <c r="AF152" t="str">
        <f t="shared" si="54"/>
        <v>生命回复 {3}</v>
      </c>
      <c r="AG152" t="str">
        <f t="shared" si="55"/>
        <v>暴击率增幅 {4}</v>
      </c>
      <c r="AH152" t="str">
        <f t="shared" si="56"/>
        <v>xxx</v>
      </c>
      <c r="AI152" t="str">
        <f t="shared" si="44"/>
        <v xml:space="preserve">火焰伤害 {0}
</v>
      </c>
      <c r="AJ152" t="str">
        <f t="shared" si="45"/>
        <v xml:space="preserve">附加火焰伤害 {1}%
</v>
      </c>
      <c r="AK152" t="str">
        <f t="shared" si="46"/>
        <v xml:space="preserve">火焰抗性 {2}%
</v>
      </c>
      <c r="AL152" t="str">
        <f t="shared" si="47"/>
        <v xml:space="preserve">生命回复 {3}
</v>
      </c>
      <c r="AM152" t="str">
        <f t="shared" si="48"/>
        <v xml:space="preserve">暴击率增幅 {4}%
</v>
      </c>
      <c r="AN152" t="str">
        <f t="shared" si="49"/>
        <v>xxx</v>
      </c>
      <c r="AO152" t="str">
        <f t="shared" si="57"/>
        <v>火焰伤害 {0}
附加火焰伤害 {1}%
火焰抗性 {2}%
生命回复 {3}
暴击率增幅 {4}%
xxx</v>
      </c>
      <c r="AP152" s="6" t="str">
        <f t="shared" si="58"/>
        <v xml:space="preserve">火焰伤害 {0}
附加火焰伤害 {1}%
火焰抗性 {2}%
生命回复 {3}
暴击率增幅 {4}%
</v>
      </c>
      <c r="AQ152" s="80" t="s">
        <v>3447</v>
      </c>
      <c r="AR152" t="str">
        <f t="shared" si="61"/>
        <v xml:space="preserve">火焰伤害 {0}
附加火焰伤害 {1}%
火焰抗性 {2}%
生命回复 {3}
暴击率增幅 {4}%
</v>
      </c>
      <c r="AS152" s="81" t="str">
        <f t="shared" si="59"/>
        <v>火焰伤害 {0}
附加火焰伤害 {1}%
火焰抗性 {2}%
生命回复 {3}
暴击率增幅 {4}%</v>
      </c>
      <c r="BE152" s="52" t="s">
        <v>3074</v>
      </c>
      <c r="BF152" s="52" t="s">
        <v>3042</v>
      </c>
      <c r="BG152" s="52">
        <v>605</v>
      </c>
      <c r="BH152" s="59"/>
      <c r="BI152" s="111">
        <f t="shared" si="50"/>
        <v>0</v>
      </c>
      <c r="BJ152" s="59"/>
      <c r="BK152" s="18">
        <v>1</v>
      </c>
    </row>
    <row r="153" spans="3:63" ht="15.75" x14ac:dyDescent="0.3">
      <c r="C153" s="59">
        <v>14839</v>
      </c>
      <c r="D153" s="59" t="s">
        <v>322</v>
      </c>
      <c r="E153" s="59"/>
      <c r="F153" s="59" t="s">
        <v>2753</v>
      </c>
      <c r="G153" s="59"/>
      <c r="H153" s="72">
        <v>15.5</v>
      </c>
      <c r="I153" s="64" t="s">
        <v>3180</v>
      </c>
      <c r="J153" s="64">
        <v>1</v>
      </c>
      <c r="K153" s="64">
        <v>0.2</v>
      </c>
      <c r="L153" s="65" t="s">
        <v>2934</v>
      </c>
      <c r="M153" s="65">
        <v>3</v>
      </c>
      <c r="N153" s="65">
        <v>0.2</v>
      </c>
      <c r="O153" s="66" t="s">
        <v>2935</v>
      </c>
      <c r="P153" s="66">
        <v>4</v>
      </c>
      <c r="Q153" s="66">
        <v>0.2</v>
      </c>
      <c r="R153" s="64" t="s">
        <v>3088</v>
      </c>
      <c r="S153" s="64">
        <v>3</v>
      </c>
      <c r="T153" s="64">
        <v>0.2</v>
      </c>
      <c r="U153" s="65" t="s">
        <v>3089</v>
      </c>
      <c r="V153" s="65">
        <v>3</v>
      </c>
      <c r="W153" s="65">
        <v>0.2</v>
      </c>
      <c r="X153" s="66" t="s">
        <v>3247</v>
      </c>
      <c r="Y153" s="66">
        <v>1.5</v>
      </c>
      <c r="Z153" s="66">
        <v>0.2</v>
      </c>
      <c r="AA153" s="71" t="str">
        <f t="shared" si="43"/>
        <v>1:300,16,24,701,120,180,705,64,96,716,12,18,717,24,36,718,60,90,</v>
      </c>
      <c r="AB153" s="78" t="str">
        <f t="shared" si="60"/>
        <v>1:300,16,24,701,120,180,705,64,96,716,12,18,717,24,36,718,60,90</v>
      </c>
      <c r="AC153" t="str">
        <f t="shared" si="51"/>
        <v>最大生命值 {0}</v>
      </c>
      <c r="AD153" t="str">
        <f t="shared" si="52"/>
        <v>召唤物生命值 {1}</v>
      </c>
      <c r="AE153" t="str">
        <f t="shared" si="53"/>
        <v>召唤物物理伤害% {2}</v>
      </c>
      <c r="AF153" t="str">
        <f t="shared" si="54"/>
        <v>召唤物暴击几率% {3}</v>
      </c>
      <c r="AG153" t="str">
        <f t="shared" si="55"/>
        <v>召唤物暴击伤害% {4}</v>
      </c>
      <c r="AH153" t="str">
        <f t="shared" si="56"/>
        <v>召唤物护甲 {5}</v>
      </c>
      <c r="AI153" t="str">
        <f t="shared" si="44"/>
        <v xml:space="preserve">最大生命值 {0}
</v>
      </c>
      <c r="AJ153" t="str">
        <f t="shared" si="45"/>
        <v xml:space="preserve">召唤物生命值 {1}
</v>
      </c>
      <c r="AK153" t="str">
        <f t="shared" si="46"/>
        <v xml:space="preserve">召唤物物理伤害 {2}%
</v>
      </c>
      <c r="AL153" t="str">
        <f t="shared" si="47"/>
        <v xml:space="preserve">召唤物暴击几率 {3}%
</v>
      </c>
      <c r="AM153" t="str">
        <f t="shared" si="48"/>
        <v xml:space="preserve">召唤物暴击伤害 {4}%
</v>
      </c>
      <c r="AN153" t="str">
        <f t="shared" si="49"/>
        <v xml:space="preserve">召唤物护甲 {5}
</v>
      </c>
      <c r="AO153" t="str">
        <f t="shared" si="57"/>
        <v xml:space="preserve">最大生命值 {0}
召唤物生命值 {1}
召唤物物理伤害 {2}%
召唤物暴击几率 {3}%
召唤物暴击伤害 {4}%
召唤物护甲 {5}
</v>
      </c>
      <c r="AP153" s="6" t="str">
        <f t="shared" si="58"/>
        <v xml:space="preserve">最大生命值 {0}
召唤物生命值 {1}
召唤物物理伤害 {2}%
召唤物暴击几率 {3}%
召唤物暴击伤害 {4}%
召唤物护甲 {5}
</v>
      </c>
      <c r="AQ153" s="80" t="s">
        <v>3448</v>
      </c>
      <c r="AR153" t="str">
        <f t="shared" si="61"/>
        <v xml:space="preserve">最大生命值 {0}
召唤物生命值 {1}
召唤物物理伤害 {2}%
召唤物暴击几率 {3}%
召唤物暴击伤害 {4}%
召唤物护甲 {5}
</v>
      </c>
      <c r="AS153" s="81" t="str">
        <f t="shared" si="59"/>
        <v>最大生命值 {0}
召唤物生命值 {1}
召唤物物理伤害 {2}%
召唤物暴击几率 {3}%
召唤物暴击伤害 {4}%
召唤物护甲 {5}</v>
      </c>
      <c r="BE153" s="46" t="s">
        <v>3075</v>
      </c>
      <c r="BF153" s="46" t="s">
        <v>3042</v>
      </c>
      <c r="BG153" s="52">
        <v>606</v>
      </c>
      <c r="BH153" s="59"/>
      <c r="BI153" s="111">
        <f t="shared" si="50"/>
        <v>0</v>
      </c>
      <c r="BJ153" s="59"/>
      <c r="BK153" s="18">
        <v>1</v>
      </c>
    </row>
    <row r="154" spans="3:63" ht="15.75" x14ac:dyDescent="0.3">
      <c r="C154" s="59">
        <v>14840</v>
      </c>
      <c r="D154" s="59" t="s">
        <v>323</v>
      </c>
      <c r="E154" s="59">
        <v>3</v>
      </c>
      <c r="F154" s="59" t="s">
        <v>2753</v>
      </c>
      <c r="G154" s="59"/>
      <c r="H154" s="72">
        <v>12.5</v>
      </c>
      <c r="I154" s="64" t="s">
        <v>2956</v>
      </c>
      <c r="J154" s="64">
        <v>4</v>
      </c>
      <c r="K154" s="64">
        <v>0.2</v>
      </c>
      <c r="L154" s="65" t="s">
        <v>3245</v>
      </c>
      <c r="M154" s="65">
        <v>3</v>
      </c>
      <c r="N154" s="65">
        <v>0.2</v>
      </c>
      <c r="O154" s="66" t="s">
        <v>2947</v>
      </c>
      <c r="P154" s="66">
        <v>2</v>
      </c>
      <c r="Q154" s="66">
        <v>0.2</v>
      </c>
      <c r="R154" s="64" t="s">
        <v>3164</v>
      </c>
      <c r="S154" s="64">
        <v>1.5</v>
      </c>
      <c r="T154" s="64">
        <v>0.2</v>
      </c>
      <c r="U154" s="65" t="s">
        <v>2929</v>
      </c>
      <c r="V154" s="65">
        <v>2</v>
      </c>
      <c r="W154" s="65">
        <v>0.2</v>
      </c>
      <c r="X154" s="66"/>
      <c r="Y154" s="66"/>
      <c r="Z154" s="66"/>
      <c r="AA154" s="71" t="str">
        <f t="shared" si="43"/>
        <v>1:209,32,48,225,12,18,315,8,12,232,12,18,103,16,24,xxx</v>
      </c>
      <c r="AB154" s="78" t="str">
        <f t="shared" si="60"/>
        <v>1:209,32,48,225,12,18,315,8,12,232,12,18,103,16,24</v>
      </c>
      <c r="AC154" t="str">
        <f t="shared" si="51"/>
        <v>混沌伤害 {0}</v>
      </c>
      <c r="AD154" t="str">
        <f t="shared" si="52"/>
        <v>混沌减抗% {1}</v>
      </c>
      <c r="AE154" t="str">
        <f t="shared" si="53"/>
        <v>元素抗性% {2}</v>
      </c>
      <c r="AF154" t="str">
        <f t="shared" si="54"/>
        <v>附加混沌伤害 {3}</v>
      </c>
      <c r="AG154" t="str">
        <f t="shared" si="55"/>
        <v>智力 {4}</v>
      </c>
      <c r="AH154" t="str">
        <f t="shared" si="56"/>
        <v>xxx</v>
      </c>
      <c r="AI154" t="str">
        <f t="shared" si="44"/>
        <v xml:space="preserve">混沌伤害 {0}
</v>
      </c>
      <c r="AJ154" t="str">
        <f t="shared" si="45"/>
        <v xml:space="preserve">混沌减抗 {1}%
</v>
      </c>
      <c r="AK154" t="str">
        <f t="shared" si="46"/>
        <v xml:space="preserve">元素抗性 {2}%
</v>
      </c>
      <c r="AL154" t="str">
        <f t="shared" si="47"/>
        <v xml:space="preserve">附加混沌伤害 {3}%
</v>
      </c>
      <c r="AM154" t="str">
        <f t="shared" si="48"/>
        <v xml:space="preserve">智力 {4}
</v>
      </c>
      <c r="AN154" t="str">
        <f t="shared" si="49"/>
        <v>xxx</v>
      </c>
      <c r="AO154" t="str">
        <f t="shared" si="57"/>
        <v>混沌伤害 {0}
混沌减抗 {1}%
元素抗性 {2}%
附加混沌伤害 {3}%
智力 {4}
xxx</v>
      </c>
      <c r="AP154" s="6" t="str">
        <f t="shared" si="58"/>
        <v xml:space="preserve">混沌伤害 {0}
混沌减抗 {1}%
元素抗性 {2}%
附加混沌伤害 {3}%
智力 {4}
</v>
      </c>
      <c r="AQ154" s="80" t="s">
        <v>3449</v>
      </c>
      <c r="AR154" t="str">
        <f t="shared" si="61"/>
        <v xml:space="preserve">混沌伤害 {0}
混沌减抗 {1}%
元素抗性 {2}%
附加混沌伤害 {3}%
智力 {4}
</v>
      </c>
      <c r="AS154" s="81" t="str">
        <f t="shared" si="59"/>
        <v>混沌伤害 {0}
混沌减抗 {1}%
元素抗性 {2}%
附加混沌伤害 {3}%
智力 {4}</v>
      </c>
      <c r="BE154" s="46" t="s">
        <v>3076</v>
      </c>
      <c r="BF154" s="46" t="s">
        <v>3042</v>
      </c>
      <c r="BG154" s="52">
        <v>607</v>
      </c>
      <c r="BH154" s="59">
        <v>1</v>
      </c>
      <c r="BI154" s="111">
        <f t="shared" si="50"/>
        <v>6.5359477124183009E-3</v>
      </c>
      <c r="BJ154" s="59"/>
      <c r="BK154" s="18">
        <v>1</v>
      </c>
    </row>
    <row r="155" spans="3:63" ht="15.75" x14ac:dyDescent="0.3">
      <c r="C155" s="59">
        <v>14841</v>
      </c>
      <c r="D155" s="59" t="s">
        <v>4057</v>
      </c>
      <c r="E155" s="59"/>
      <c r="F155" s="59" t="s">
        <v>2753</v>
      </c>
      <c r="G155" s="59"/>
      <c r="H155" s="72">
        <v>11.5</v>
      </c>
      <c r="I155" s="64" t="s">
        <v>2941</v>
      </c>
      <c r="J155" s="64">
        <v>3</v>
      </c>
      <c r="K155" s="64">
        <v>0.2</v>
      </c>
      <c r="L155" s="65" t="s">
        <v>3255</v>
      </c>
      <c r="M155" s="65">
        <v>2</v>
      </c>
      <c r="N155" s="65">
        <v>0.2</v>
      </c>
      <c r="O155" s="66" t="s">
        <v>2929</v>
      </c>
      <c r="P155" s="66">
        <v>1.5</v>
      </c>
      <c r="Q155" s="66">
        <v>0.2</v>
      </c>
      <c r="R155" s="64" t="s">
        <v>3262</v>
      </c>
      <c r="S155" s="64">
        <v>2</v>
      </c>
      <c r="T155" s="64">
        <v>0.2</v>
      </c>
      <c r="U155" s="65" t="s">
        <v>3180</v>
      </c>
      <c r="V155" s="65">
        <v>3</v>
      </c>
      <c r="W155" s="65">
        <v>0.2</v>
      </c>
      <c r="X155" s="66"/>
      <c r="Y155" s="66"/>
      <c r="Z155" s="66"/>
      <c r="AA155" s="71" t="str">
        <f t="shared" si="43"/>
        <v>1:101,24,36,811,0.32,0.48,103,12,18,812,0.32,0.48,300,48,72,xxx</v>
      </c>
      <c r="AB155" s="78" t="str">
        <f t="shared" si="60"/>
        <v>1:101,24,36,811,0.32,0.48,103,12,18,812,0.32,0.48,300,48,72</v>
      </c>
      <c r="AC155" t="str">
        <f t="shared" si="51"/>
        <v>力量 {0}</v>
      </c>
      <c r="AD155" t="str">
        <f t="shared" si="52"/>
        <v>每点力量提升元素伤害 {1}</v>
      </c>
      <c r="AE155" t="str">
        <f t="shared" si="53"/>
        <v>智力 {2}</v>
      </c>
      <c r="AF155" t="str">
        <f t="shared" si="54"/>
        <v>每点力量提升元素抗性 {3}</v>
      </c>
      <c r="AG155" t="str">
        <f t="shared" si="55"/>
        <v>最大生命值 {4}</v>
      </c>
      <c r="AH155" t="str">
        <f t="shared" si="56"/>
        <v>xxx</v>
      </c>
      <c r="AI155" t="str">
        <f t="shared" si="44"/>
        <v xml:space="preserve">力量 {0}
</v>
      </c>
      <c r="AJ155" t="str">
        <f t="shared" si="45"/>
        <v xml:space="preserve">每点力量提升元素伤害 {1}%
</v>
      </c>
      <c r="AK155" t="str">
        <f t="shared" si="46"/>
        <v xml:space="preserve">智力 {2}
</v>
      </c>
      <c r="AL155" t="str">
        <f t="shared" si="47"/>
        <v xml:space="preserve">每点力量提升元素抗性 {3}%
</v>
      </c>
      <c r="AM155" t="str">
        <f t="shared" si="48"/>
        <v xml:space="preserve">最大生命值 {4}
</v>
      </c>
      <c r="AN155" t="str">
        <f t="shared" si="49"/>
        <v>xxx</v>
      </c>
      <c r="AO155" t="str">
        <f t="shared" si="57"/>
        <v>力量 {0}
每点力量提升元素伤害 {1}%
智力 {2}
每点力量提升元素抗性 {3}%
最大生命值 {4}
xxx</v>
      </c>
      <c r="AP155" s="6" t="str">
        <f t="shared" si="58"/>
        <v xml:space="preserve">力量 {0}
每点力量提升元素伤害 {1}%
智力 {2}
每点力量提升元素抗性 {3}%
最大生命值 {4}
</v>
      </c>
      <c r="AQ155" s="80" t="s">
        <v>3450</v>
      </c>
      <c r="AR155" t="str">
        <f t="shared" si="61"/>
        <v xml:space="preserve">力量 {0}
每点力量提升元素伤害 {1}%
智力 {2}
每点力量提升元素抗性 {3}%
最大生命值 {4}
</v>
      </c>
      <c r="AS155" s="81" t="str">
        <f t="shared" si="59"/>
        <v>力量 {0}
每点力量提升元素伤害 {1}%
智力 {2}
每点力量提升元素抗性 {3}%
最大生命值 {4}</v>
      </c>
      <c r="BE155" s="46" t="s">
        <v>2934</v>
      </c>
      <c r="BF155" s="46" t="s">
        <v>3042</v>
      </c>
      <c r="BG155" s="52">
        <v>701</v>
      </c>
      <c r="BH155" s="59">
        <v>50</v>
      </c>
      <c r="BI155" s="111">
        <f t="shared" si="50"/>
        <v>1.9607843137254902E-2</v>
      </c>
      <c r="BJ155" s="59"/>
      <c r="BK155" s="18">
        <v>1</v>
      </c>
    </row>
    <row r="156" spans="3:63" ht="15.75" x14ac:dyDescent="0.3">
      <c r="C156" s="59">
        <v>14842</v>
      </c>
      <c r="D156" s="59" t="s">
        <v>325</v>
      </c>
      <c r="E156" s="59">
        <v>3</v>
      </c>
      <c r="F156" s="59" t="s">
        <v>2753</v>
      </c>
      <c r="G156" s="59"/>
      <c r="H156" s="72">
        <v>11.5</v>
      </c>
      <c r="I156" s="64" t="s">
        <v>2956</v>
      </c>
      <c r="J156" s="64">
        <v>3</v>
      </c>
      <c r="K156" s="64">
        <v>0.2</v>
      </c>
      <c r="L156" s="65" t="s">
        <v>3010</v>
      </c>
      <c r="M156" s="65">
        <v>3.5</v>
      </c>
      <c r="N156" s="65">
        <v>0.2</v>
      </c>
      <c r="O156" s="66" t="s">
        <v>3250</v>
      </c>
      <c r="P156" s="66">
        <v>3</v>
      </c>
      <c r="Q156" s="66">
        <v>0.2</v>
      </c>
      <c r="R156" s="64" t="s">
        <v>2940</v>
      </c>
      <c r="S156" s="64">
        <v>2</v>
      </c>
      <c r="T156" s="64">
        <v>0.2</v>
      </c>
      <c r="U156" s="65"/>
      <c r="V156" s="65"/>
      <c r="W156" s="65"/>
      <c r="X156" s="66"/>
      <c r="Y156" s="66"/>
      <c r="Z156" s="66"/>
      <c r="AA156" s="71" t="str">
        <f t="shared" si="43"/>
        <v>1:209,24,36,319,28,42,303,1.2,1.8,412,16,24,xxxxxx</v>
      </c>
      <c r="AB156" s="78" t="str">
        <f t="shared" si="60"/>
        <v>1:209,24,36,319,28,42,303,1.2,1.8,412,16,24</v>
      </c>
      <c r="AC156" t="str">
        <f t="shared" si="51"/>
        <v>混沌伤害 {0}</v>
      </c>
      <c r="AD156" t="str">
        <f t="shared" si="52"/>
        <v>混沌抗性% {1}</v>
      </c>
      <c r="AE156" t="str">
        <f t="shared" si="53"/>
        <v>生命回复 {2}</v>
      </c>
      <c r="AF156" t="str">
        <f t="shared" si="54"/>
        <v>移动速度% {3}</v>
      </c>
      <c r="AG156" t="str">
        <f t="shared" si="55"/>
        <v>xxx</v>
      </c>
      <c r="AH156" t="str">
        <f t="shared" si="56"/>
        <v>xxx</v>
      </c>
      <c r="AI156" t="str">
        <f t="shared" si="44"/>
        <v xml:space="preserve">混沌伤害 {0}
</v>
      </c>
      <c r="AJ156" t="str">
        <f t="shared" si="45"/>
        <v xml:space="preserve">混沌抗性 {1}%
</v>
      </c>
      <c r="AK156" t="str">
        <f t="shared" si="46"/>
        <v xml:space="preserve">生命回复 {2}
</v>
      </c>
      <c r="AL156" t="str">
        <f t="shared" si="47"/>
        <v xml:space="preserve">移动速度 {3}%
</v>
      </c>
      <c r="AM156" t="str">
        <f t="shared" si="48"/>
        <v>xxx</v>
      </c>
      <c r="AN156" t="str">
        <f t="shared" si="49"/>
        <v>xxx</v>
      </c>
      <c r="AO156" t="str">
        <f t="shared" si="57"/>
        <v>混沌伤害 {0}
混沌抗性 {1}%
生命回复 {2}
移动速度 {3}%
xxxxxx</v>
      </c>
      <c r="AP156" s="6" t="str">
        <f t="shared" si="58"/>
        <v xml:space="preserve">混沌伤害 {0}
混沌抗性 {1}%
生命回复 {2}
移动速度 {3}%
</v>
      </c>
      <c r="AQ156" s="80" t="s">
        <v>3451</v>
      </c>
      <c r="AR156" t="str">
        <f t="shared" si="61"/>
        <v xml:space="preserve">混沌伤害 {0}
混沌抗性 {1}%
生命回复 {2}
移动速度 {3}%
</v>
      </c>
      <c r="AS156" s="81" t="str">
        <f t="shared" si="59"/>
        <v>混沌伤害 {0}
混沌抗性 {1}%
生命回复 {2}
移动速度 {3}%</v>
      </c>
      <c r="BE156" s="46" t="s">
        <v>3077</v>
      </c>
      <c r="BF156" s="46" t="s">
        <v>2988</v>
      </c>
      <c r="BG156" s="52">
        <v>702</v>
      </c>
      <c r="BH156" s="59">
        <v>10</v>
      </c>
      <c r="BI156" s="111">
        <f t="shared" si="50"/>
        <v>2.6143790849673203E-2</v>
      </c>
      <c r="BJ156" s="59"/>
      <c r="BK156" s="18">
        <v>2</v>
      </c>
    </row>
    <row r="157" spans="3:63" ht="15.75" x14ac:dyDescent="0.3">
      <c r="C157" s="59">
        <v>14843</v>
      </c>
      <c r="D157" s="59" t="s">
        <v>326</v>
      </c>
      <c r="E157" s="59"/>
      <c r="F157" s="59" t="s">
        <v>2753</v>
      </c>
      <c r="G157" s="59"/>
      <c r="H157" s="72">
        <v>12.5</v>
      </c>
      <c r="I157" s="64" t="s">
        <v>2935</v>
      </c>
      <c r="J157" s="64">
        <v>3</v>
      </c>
      <c r="K157" s="64">
        <v>0.2</v>
      </c>
      <c r="L157" s="65" t="s">
        <v>2934</v>
      </c>
      <c r="M157" s="65">
        <v>3.5</v>
      </c>
      <c r="N157" s="65">
        <v>0.2</v>
      </c>
      <c r="O157" s="66" t="s">
        <v>2936</v>
      </c>
      <c r="P157" s="66">
        <v>2</v>
      </c>
      <c r="Q157" s="66">
        <v>0.2</v>
      </c>
      <c r="R157" s="64" t="s">
        <v>3085</v>
      </c>
      <c r="S157" s="64">
        <v>2</v>
      </c>
      <c r="T157" s="64">
        <v>0.2</v>
      </c>
      <c r="U157" s="65" t="s">
        <v>3256</v>
      </c>
      <c r="V157" s="65">
        <v>2</v>
      </c>
      <c r="W157" s="65">
        <v>0.2</v>
      </c>
      <c r="X157" s="66"/>
      <c r="Y157" s="66"/>
      <c r="Z157" s="66"/>
      <c r="AA157" s="71" t="str">
        <f t="shared" si="43"/>
        <v>1:705,48,72,701,140,210,715,16,24,712,16,24,710,16,24,xxx</v>
      </c>
      <c r="AB157" s="78" t="str">
        <f t="shared" si="60"/>
        <v>1:705,48,72,701,140,210,715,16,24,712,16,24,710,16,24</v>
      </c>
      <c r="AC157" t="str">
        <f t="shared" si="51"/>
        <v>召唤物物理伤害% {0}</v>
      </c>
      <c r="AD157" t="str">
        <f t="shared" si="52"/>
        <v>召唤物生命值 {1}</v>
      </c>
      <c r="AE157" t="str">
        <f t="shared" si="53"/>
        <v>召唤物移动速度% {2}</v>
      </c>
      <c r="AF157" t="str">
        <f t="shared" si="54"/>
        <v>召唤物闪电抗性% {3}</v>
      </c>
      <c r="AG157" t="str">
        <f t="shared" si="55"/>
        <v>召唤物冰霜抗性% {4}</v>
      </c>
      <c r="AH157" t="str">
        <f t="shared" si="56"/>
        <v>xxx</v>
      </c>
      <c r="AI157" t="str">
        <f t="shared" si="44"/>
        <v xml:space="preserve">召唤物物理伤害 {0}%
</v>
      </c>
      <c r="AJ157" t="str">
        <f t="shared" si="45"/>
        <v xml:space="preserve">召唤物生命值 {1}
</v>
      </c>
      <c r="AK157" t="str">
        <f t="shared" si="46"/>
        <v xml:space="preserve">召唤物移动速度 {2}%
</v>
      </c>
      <c r="AL157" t="str">
        <f t="shared" si="47"/>
        <v xml:space="preserve">召唤物闪电抗性 {3}%
</v>
      </c>
      <c r="AM157" t="str">
        <f t="shared" si="48"/>
        <v xml:space="preserve">召唤物冰霜抗性 {4}%
</v>
      </c>
      <c r="AN157" t="str">
        <f t="shared" si="49"/>
        <v>xxx</v>
      </c>
      <c r="AO157" t="str">
        <f t="shared" si="57"/>
        <v>召唤物物理伤害 {0}%
召唤物生命值 {1}
召唤物移动速度 {2}%
召唤物闪电抗性 {3}%
召唤物冰霜抗性 {4}%
xxx</v>
      </c>
      <c r="AP157" s="6" t="str">
        <f t="shared" si="58"/>
        <v xml:space="preserve">召唤物物理伤害 {0}%
召唤物生命值 {1}
召唤物移动速度 {2}%
召唤物闪电抗性 {3}%
召唤物冰霜抗性 {4}%
</v>
      </c>
      <c r="AQ157" s="80" t="s">
        <v>3452</v>
      </c>
      <c r="AR157" t="str">
        <f t="shared" si="61"/>
        <v xml:space="preserve">召唤物物理伤害 {0}%
召唤物生命值 {1}
召唤物移动速度 {2}%
召唤物闪电抗性 {3}%
召唤物冰霜抗性 {4}%
</v>
      </c>
      <c r="AS157" s="81" t="str">
        <f t="shared" si="59"/>
        <v>召唤物物理伤害 {0}%
召唤物生命值 {1}
召唤物移动速度 {2}%
召唤物闪电抗性 {3}%
召唤物冰霜抗性 {4}%</v>
      </c>
      <c r="BE157" s="46" t="s">
        <v>3078</v>
      </c>
      <c r="BF157" s="46" t="s">
        <v>3042</v>
      </c>
      <c r="BG157" s="52">
        <v>703</v>
      </c>
      <c r="BH157" s="59"/>
      <c r="BI157" s="111">
        <f t="shared" si="50"/>
        <v>0</v>
      </c>
      <c r="BJ157" s="59"/>
      <c r="BK157" s="18">
        <v>1</v>
      </c>
    </row>
    <row r="158" spans="3:63" ht="15.75" x14ac:dyDescent="0.3">
      <c r="C158" s="59">
        <v>14844</v>
      </c>
      <c r="D158" s="73" t="s">
        <v>327</v>
      </c>
      <c r="E158" s="73"/>
      <c r="F158" s="73" t="s">
        <v>2753</v>
      </c>
      <c r="G158" s="73"/>
      <c r="H158" s="72">
        <v>0</v>
      </c>
      <c r="I158" s="64"/>
      <c r="J158" s="64"/>
      <c r="K158" s="64"/>
      <c r="L158" s="65"/>
      <c r="M158" s="65"/>
      <c r="N158" s="65"/>
      <c r="O158" s="66"/>
      <c r="P158" s="66"/>
      <c r="Q158" s="66"/>
      <c r="R158" s="64"/>
      <c r="S158" s="64"/>
      <c r="T158" s="64"/>
      <c r="U158" s="65"/>
      <c r="V158" s="65"/>
      <c r="W158" s="65"/>
      <c r="X158" s="66"/>
      <c r="Y158" s="66"/>
      <c r="Z158" s="66"/>
      <c r="AA158" s="71" t="str">
        <f t="shared" si="43"/>
        <v>1:xxxxxxxxxxxxxxxxxx</v>
      </c>
      <c r="AB158" s="78" t="str">
        <f t="shared" si="60"/>
        <v/>
      </c>
      <c r="AC158" t="str">
        <f t="shared" si="51"/>
        <v>xxx</v>
      </c>
      <c r="AD158" t="str">
        <f t="shared" si="52"/>
        <v>xxx</v>
      </c>
      <c r="AE158" t="str">
        <f t="shared" si="53"/>
        <v>xxx</v>
      </c>
      <c r="AF158" t="str">
        <f t="shared" si="54"/>
        <v>xxx</v>
      </c>
      <c r="AG158" t="str">
        <f t="shared" si="55"/>
        <v>xxx</v>
      </c>
      <c r="AH158" t="str">
        <f t="shared" si="56"/>
        <v>xxx</v>
      </c>
      <c r="AI158" t="str">
        <f t="shared" si="44"/>
        <v>xxx</v>
      </c>
      <c r="AJ158" t="str">
        <f t="shared" si="45"/>
        <v>xxx</v>
      </c>
      <c r="AK158" t="str">
        <f t="shared" si="46"/>
        <v>xxx</v>
      </c>
      <c r="AL158" t="str">
        <f t="shared" si="47"/>
        <v>xxx</v>
      </c>
      <c r="AM158" t="str">
        <f t="shared" si="48"/>
        <v>xxx</v>
      </c>
      <c r="AN158" t="str">
        <f t="shared" si="49"/>
        <v>xxx</v>
      </c>
      <c r="AO158" t="str">
        <f t="shared" si="57"/>
        <v>xxxxxxxxxxxxxxxxxx</v>
      </c>
      <c r="AP158" s="6" t="str">
        <f t="shared" si="58"/>
        <v/>
      </c>
      <c r="AQ158" s="80" t="s">
        <v>3453</v>
      </c>
      <c r="AR158" t="str">
        <f t="shared" si="61"/>
        <v>智力+{0}
闪电伤害+{1}%
闪电法术有100%概率对冻结敌人造成感电</v>
      </c>
      <c r="AS158" s="81" t="str">
        <f t="shared" si="59"/>
        <v>智力+{0}
闪电伤害+{1}%
闪电法术有100%概率对冻结敌人造成感电</v>
      </c>
      <c r="BE158" s="46" t="s">
        <v>3079</v>
      </c>
      <c r="BF158" s="46" t="s">
        <v>3042</v>
      </c>
      <c r="BG158" s="52">
        <v>704</v>
      </c>
      <c r="BH158" s="59"/>
      <c r="BI158" s="111">
        <f t="shared" si="50"/>
        <v>0</v>
      </c>
      <c r="BJ158" s="59"/>
      <c r="BK158" s="18">
        <v>1</v>
      </c>
    </row>
    <row r="159" spans="3:63" ht="15.75" x14ac:dyDescent="0.3">
      <c r="C159" s="59">
        <v>14845</v>
      </c>
      <c r="D159" s="73" t="s">
        <v>328</v>
      </c>
      <c r="E159" s="73"/>
      <c r="F159" s="73" t="s">
        <v>2753</v>
      </c>
      <c r="G159" s="73"/>
      <c r="H159" s="72">
        <v>0</v>
      </c>
      <c r="I159" s="64"/>
      <c r="J159" s="64"/>
      <c r="K159" s="64"/>
      <c r="L159" s="65"/>
      <c r="M159" s="65"/>
      <c r="N159" s="65"/>
      <c r="O159" s="66"/>
      <c r="P159" s="66"/>
      <c r="Q159" s="66"/>
      <c r="R159" s="64"/>
      <c r="S159" s="64"/>
      <c r="T159" s="64"/>
      <c r="U159" s="65"/>
      <c r="V159" s="65"/>
      <c r="W159" s="65"/>
      <c r="X159" s="66"/>
      <c r="Y159" s="66"/>
      <c r="Z159" s="66"/>
      <c r="AA159" s="71" t="str">
        <f t="shared" si="43"/>
        <v>1:xxxxxxxxxxxxxxxxxx</v>
      </c>
      <c r="AB159" s="78" t="str">
        <f t="shared" si="60"/>
        <v/>
      </c>
      <c r="AC159" t="str">
        <f t="shared" si="51"/>
        <v>xxx</v>
      </c>
      <c r="AD159" t="str">
        <f t="shared" si="52"/>
        <v>xxx</v>
      </c>
      <c r="AE159" t="str">
        <f t="shared" si="53"/>
        <v>xxx</v>
      </c>
      <c r="AF159" t="str">
        <f t="shared" si="54"/>
        <v>xxx</v>
      </c>
      <c r="AG159" t="str">
        <f t="shared" si="55"/>
        <v>xxx</v>
      </c>
      <c r="AH159" t="str">
        <f t="shared" si="56"/>
        <v>xxx</v>
      </c>
      <c r="AI159" t="str">
        <f t="shared" si="44"/>
        <v>xxx</v>
      </c>
      <c r="AJ159" t="str">
        <f t="shared" si="45"/>
        <v>xxx</v>
      </c>
      <c r="AK159" t="str">
        <f t="shared" si="46"/>
        <v>xxx</v>
      </c>
      <c r="AL159" t="str">
        <f t="shared" si="47"/>
        <v>xxx</v>
      </c>
      <c r="AM159" t="str">
        <f t="shared" si="48"/>
        <v>xxx</v>
      </c>
      <c r="AN159" t="str">
        <f t="shared" si="49"/>
        <v>xxx</v>
      </c>
      <c r="AO159" t="str">
        <f t="shared" si="57"/>
        <v>xxxxxxxxxxxxxxxxxx</v>
      </c>
      <c r="AP159" s="6" t="str">
        <f t="shared" si="58"/>
        <v/>
      </c>
      <c r="AQ159" s="80" t="s">
        <v>3454</v>
      </c>
      <c r="AR159" t="str">
        <f t="shared" si="61"/>
        <v>火焰伤害+{0}%
冰霜伤害+{1}%
被灼烧时所有伤害+30%
被冻结时护甲+500</v>
      </c>
      <c r="AS159" s="81" t="str">
        <f t="shared" si="59"/>
        <v>火焰伤害+{0}%
冰霜伤害+{1}%
被灼烧时所有伤害+30%
被冻结时护甲+500</v>
      </c>
      <c r="BE159" s="46" t="s">
        <v>3080</v>
      </c>
      <c r="BF159" s="46" t="s">
        <v>3054</v>
      </c>
      <c r="BG159" s="52">
        <v>705</v>
      </c>
      <c r="BH159" s="59">
        <v>20</v>
      </c>
      <c r="BI159" s="111">
        <f t="shared" si="50"/>
        <v>1.6339869281045753E-2</v>
      </c>
      <c r="BJ159" s="59"/>
      <c r="BK159" s="18">
        <v>2</v>
      </c>
    </row>
    <row r="160" spans="3:63" ht="15.75" x14ac:dyDescent="0.3">
      <c r="C160" s="59">
        <v>14846</v>
      </c>
      <c r="D160" s="59" t="s">
        <v>329</v>
      </c>
      <c r="E160" s="59"/>
      <c r="F160" s="59" t="s">
        <v>2753</v>
      </c>
      <c r="G160" s="59"/>
      <c r="H160" s="72">
        <v>11</v>
      </c>
      <c r="I160" s="64" t="s">
        <v>2934</v>
      </c>
      <c r="J160" s="64">
        <v>3</v>
      </c>
      <c r="K160" s="64">
        <v>0.2</v>
      </c>
      <c r="L160" s="65" t="s">
        <v>3077</v>
      </c>
      <c r="M160" s="65">
        <v>2</v>
      </c>
      <c r="N160" s="65">
        <v>0.2</v>
      </c>
      <c r="O160" s="66" t="s">
        <v>2935</v>
      </c>
      <c r="P160" s="66">
        <v>2</v>
      </c>
      <c r="Q160" s="66">
        <v>0.2</v>
      </c>
      <c r="R160" s="64" t="s">
        <v>3247</v>
      </c>
      <c r="S160" s="64">
        <v>2</v>
      </c>
      <c r="T160" s="64">
        <v>0.2</v>
      </c>
      <c r="U160" s="65" t="s">
        <v>3194</v>
      </c>
      <c r="V160" s="65">
        <v>2</v>
      </c>
      <c r="W160" s="65">
        <v>0.2</v>
      </c>
      <c r="X160" s="66"/>
      <c r="Y160" s="66"/>
      <c r="Z160" s="66"/>
      <c r="AA160" s="71" t="str">
        <f t="shared" si="43"/>
        <v>1:701,120,180,702,16,24,705,32,48,718,80,120,720,1.6,2.4,xxx</v>
      </c>
      <c r="AB160" s="78" t="str">
        <f t="shared" si="60"/>
        <v>1:701,120,180,702,16,24,705,32,48,718,80,120,720,1.6,2.4</v>
      </c>
      <c r="AC160" t="str">
        <f t="shared" si="51"/>
        <v>召唤物生命值 {0}</v>
      </c>
      <c r="AD160" t="str">
        <f t="shared" si="52"/>
        <v>召唤物生命值% {1}</v>
      </c>
      <c r="AE160" t="str">
        <f t="shared" si="53"/>
        <v>召唤物物理伤害% {2}</v>
      </c>
      <c r="AF160" t="str">
        <f t="shared" si="54"/>
        <v>召唤物护甲 {3}</v>
      </c>
      <c r="AG160" t="str">
        <f t="shared" si="55"/>
        <v>召唤物获得百分比最大生命值的护盾 {4}</v>
      </c>
      <c r="AH160" t="str">
        <f t="shared" si="56"/>
        <v>xxx</v>
      </c>
      <c r="AI160" t="str">
        <f t="shared" si="44"/>
        <v xml:space="preserve">召唤物生命值 {0}
</v>
      </c>
      <c r="AJ160" t="str">
        <f t="shared" si="45"/>
        <v xml:space="preserve">召唤物生命值 {1}%
</v>
      </c>
      <c r="AK160" t="str">
        <f t="shared" si="46"/>
        <v xml:space="preserve">召唤物物理伤害 {2}%
</v>
      </c>
      <c r="AL160" t="str">
        <f t="shared" si="47"/>
        <v xml:space="preserve">召唤物护甲 {3}
</v>
      </c>
      <c r="AM160" t="str">
        <f t="shared" si="48"/>
        <v xml:space="preserve">召唤物获得百分比最大生命值的护盾 {4}%
</v>
      </c>
      <c r="AN160" t="str">
        <f t="shared" si="49"/>
        <v>xxx</v>
      </c>
      <c r="AO160" t="str">
        <f t="shared" si="57"/>
        <v>召唤物生命值 {0}
召唤物生命值 {1}%
召唤物物理伤害 {2}%
召唤物护甲 {3}
召唤物获得百分比最大生命值的护盾 {4}%
xxx</v>
      </c>
      <c r="AP160" s="6" t="str">
        <f t="shared" si="58"/>
        <v xml:space="preserve">召唤物生命值 {0}
召唤物生命值 {1}%
召唤物物理伤害 {2}%
召唤物护甲 {3}
召唤物获得百分比最大生命值的护盾 {4}%
</v>
      </c>
      <c r="AQ160" s="80" t="s">
        <v>3455</v>
      </c>
      <c r="AR160" t="str">
        <f t="shared" si="61"/>
        <v xml:space="preserve">召唤物生命值 {0}
召唤物生命值 {1}%
召唤物物理伤害 {2}%
召唤物护甲 {3}
召唤物获得百分比最大生命值的护盾 {4}%
</v>
      </c>
      <c r="AS160" s="81" t="str">
        <f t="shared" si="59"/>
        <v>召唤物生命值 {0}
召唤物生命值 {1}%
召唤物物理伤害 {2}%
召唤物护甲 {3}
召唤物获得百分比最大生命值的护盾 {4}%</v>
      </c>
      <c r="BE160" s="46" t="s">
        <v>3081</v>
      </c>
      <c r="BF160" s="46" t="s">
        <v>3054</v>
      </c>
      <c r="BG160" s="52">
        <v>706</v>
      </c>
      <c r="BH160" s="59">
        <v>20</v>
      </c>
      <c r="BI160" s="111">
        <f t="shared" si="50"/>
        <v>9.8039215686274508E-3</v>
      </c>
      <c r="BJ160" s="59"/>
      <c r="BK160" s="18">
        <v>2</v>
      </c>
    </row>
    <row r="161" spans="3:63" ht="15.75" x14ac:dyDescent="0.3">
      <c r="C161" s="59">
        <v>14847</v>
      </c>
      <c r="D161" s="59" t="s">
        <v>330</v>
      </c>
      <c r="E161" s="59">
        <v>-1</v>
      </c>
      <c r="F161" s="59" t="s">
        <v>2753</v>
      </c>
      <c r="G161" s="59"/>
      <c r="H161" s="72">
        <v>11</v>
      </c>
      <c r="I161" s="64" t="s">
        <v>2930</v>
      </c>
      <c r="J161" s="64">
        <v>3.5</v>
      </c>
      <c r="K161" s="64">
        <v>0.2</v>
      </c>
      <c r="L161" s="65" t="s">
        <v>2948</v>
      </c>
      <c r="M161" s="65">
        <v>-1.5</v>
      </c>
      <c r="N161" s="65">
        <v>0.2</v>
      </c>
      <c r="O161" s="66" t="s">
        <v>2970</v>
      </c>
      <c r="P161" s="66">
        <v>3</v>
      </c>
      <c r="Q161" s="66">
        <v>0.2</v>
      </c>
      <c r="R161" s="64" t="s">
        <v>2929</v>
      </c>
      <c r="S161" s="64">
        <v>1.5</v>
      </c>
      <c r="T161" s="64">
        <v>0.2</v>
      </c>
      <c r="U161" s="65" t="s">
        <v>2947</v>
      </c>
      <c r="V161" s="65">
        <v>3</v>
      </c>
      <c r="W161" s="65">
        <v>0.2</v>
      </c>
      <c r="X161" s="66" t="s">
        <v>2940</v>
      </c>
      <c r="Y161" s="66">
        <v>1.5</v>
      </c>
      <c r="Z161" s="66">
        <v>0.2</v>
      </c>
      <c r="AA161" s="71" t="str">
        <f t="shared" si="43"/>
        <v>1:202,28,42,409,-6,-9,205,12,18,103,12,18,315,12,18,412,12,18,</v>
      </c>
      <c r="AB161" s="78" t="str">
        <f t="shared" si="60"/>
        <v>1:202,28,42,409,-6,-9,205,12,18,103,12,18,315,12,18,412,12,18</v>
      </c>
      <c r="AC161" t="str">
        <f t="shared" si="51"/>
        <v>所有伤害增加% {0}</v>
      </c>
      <c r="AD161" t="str">
        <f t="shared" si="52"/>
        <v>xxx</v>
      </c>
      <c r="AE161" t="str">
        <f t="shared" si="53"/>
        <v>元素伤害 {2}</v>
      </c>
      <c r="AF161" t="str">
        <f t="shared" si="54"/>
        <v>智力 {3}</v>
      </c>
      <c r="AG161" t="str">
        <f t="shared" si="55"/>
        <v>元素抗性% {4}</v>
      </c>
      <c r="AH161" t="str">
        <f t="shared" si="56"/>
        <v>移动速度% {5}</v>
      </c>
      <c r="AI161" t="str">
        <f t="shared" si="44"/>
        <v xml:space="preserve">所有伤害增加 {0}%
</v>
      </c>
      <c r="AJ161" t="str">
        <f t="shared" si="45"/>
        <v xml:space="preserve">xxx%
</v>
      </c>
      <c r="AK161" t="str">
        <f t="shared" si="46"/>
        <v xml:space="preserve">元素伤害 {2}
</v>
      </c>
      <c r="AL161" t="str">
        <f t="shared" si="47"/>
        <v xml:space="preserve">智力 {3}
</v>
      </c>
      <c r="AM161" t="str">
        <f t="shared" si="48"/>
        <v xml:space="preserve">元素抗性 {4}%
</v>
      </c>
      <c r="AN161" t="str">
        <f t="shared" si="49"/>
        <v xml:space="preserve">移动速度 {5}%
</v>
      </c>
      <c r="AO161" t="str">
        <f t="shared" si="57"/>
        <v xml:space="preserve">所有伤害增加 {0}%
xxx%
元素伤害 {2}
智力 {3}
元素抗性 {4}%
移动速度 {5}%
</v>
      </c>
      <c r="AP161" s="6" t="str">
        <f t="shared" si="58"/>
        <v xml:space="preserve">所有伤害增加 {0}%
%
元素伤害 {2}
智力 {3}
元素抗性 {4}%
移动速度 {5}%
</v>
      </c>
      <c r="AQ161" s="80" t="s">
        <v>3456</v>
      </c>
      <c r="AR161" t="str">
        <f t="shared" si="61"/>
        <v xml:space="preserve">所有伤害增加 {0}%
%
元素伤害 {2}
智力 {3}
元素抗性 {4}%
移动速度 {5}%
</v>
      </c>
      <c r="AS161" s="81" t="str">
        <f t="shared" si="59"/>
        <v>所有伤害增加 {0}%
%
元素伤害 {2}
智力 {3}
元素抗性 {4}%
移动速度 {5}%</v>
      </c>
      <c r="BE161" s="46" t="s">
        <v>3082</v>
      </c>
      <c r="BF161" s="46" t="s">
        <v>3054</v>
      </c>
      <c r="BG161" s="52">
        <v>707</v>
      </c>
      <c r="BH161" s="59">
        <v>20</v>
      </c>
      <c r="BI161" s="111">
        <f t="shared" si="50"/>
        <v>6.5359477124183009E-3</v>
      </c>
      <c r="BJ161" s="59"/>
      <c r="BK161" s="18">
        <v>2</v>
      </c>
    </row>
    <row r="162" spans="3:63" ht="15.75" x14ac:dyDescent="0.3">
      <c r="C162" s="59">
        <v>14848</v>
      </c>
      <c r="D162" s="59" t="s">
        <v>331</v>
      </c>
      <c r="E162" s="59"/>
      <c r="F162" s="59" t="s">
        <v>2753</v>
      </c>
      <c r="G162" s="59"/>
      <c r="H162" s="72">
        <v>11.5</v>
      </c>
      <c r="I162" s="64" t="s">
        <v>4141</v>
      </c>
      <c r="J162" s="64">
        <v>3</v>
      </c>
      <c r="K162" s="64">
        <v>0.2</v>
      </c>
      <c r="L162" s="65" t="s">
        <v>2942</v>
      </c>
      <c r="M162" s="65">
        <v>3</v>
      </c>
      <c r="N162" s="65">
        <v>0.2</v>
      </c>
      <c r="O162" s="66" t="s">
        <v>2940</v>
      </c>
      <c r="P162" s="66">
        <v>1.5</v>
      </c>
      <c r="Q162" s="66">
        <v>0.2</v>
      </c>
      <c r="R162" s="64" t="s">
        <v>2949</v>
      </c>
      <c r="S162" s="64">
        <v>2</v>
      </c>
      <c r="T162" s="64">
        <v>0.2</v>
      </c>
      <c r="U162" s="65" t="s">
        <v>3224</v>
      </c>
      <c r="V162" s="65">
        <v>2</v>
      </c>
      <c r="W162" s="65">
        <v>0.2</v>
      </c>
      <c r="X162" s="66"/>
      <c r="Y162" s="66"/>
      <c r="Z162" s="66"/>
      <c r="AA162" s="71" t="str">
        <f t="shared" si="43"/>
        <v>1:227,12,18,102,24,36,412,12,18,311,8,12,257,16,24,xxx</v>
      </c>
      <c r="AB162" s="78" t="str">
        <f t="shared" si="60"/>
        <v>1:227,12,18,102,24,36,412,12,18,311,8,12,257,16,24</v>
      </c>
      <c r="AC162" t="str">
        <f t="shared" si="51"/>
        <v>物理减抗% {0}</v>
      </c>
      <c r="AD162" t="str">
        <f t="shared" si="52"/>
        <v>敏捷 {1}</v>
      </c>
      <c r="AE162" t="str">
        <f t="shared" si="53"/>
        <v>移动速度% {2}</v>
      </c>
      <c r="AF162" t="str">
        <f t="shared" si="54"/>
        <v>闪避几率% {3}</v>
      </c>
      <c r="AG162" t="str">
        <f t="shared" si="55"/>
        <v>暴击率增幅 {4}</v>
      </c>
      <c r="AH162" t="str">
        <f t="shared" si="56"/>
        <v>xxx</v>
      </c>
      <c r="AI162" t="str">
        <f t="shared" si="44"/>
        <v xml:space="preserve">物理减抗 {0}%
</v>
      </c>
      <c r="AJ162" t="str">
        <f t="shared" si="45"/>
        <v xml:space="preserve">敏捷 {1}
</v>
      </c>
      <c r="AK162" t="str">
        <f t="shared" si="46"/>
        <v xml:space="preserve">移动速度 {2}%
</v>
      </c>
      <c r="AL162" t="str">
        <f t="shared" si="47"/>
        <v xml:space="preserve">闪避几率 {3}%
</v>
      </c>
      <c r="AM162" t="str">
        <f t="shared" si="48"/>
        <v xml:space="preserve">暴击率增幅 {4}%
</v>
      </c>
      <c r="AN162" t="str">
        <f t="shared" si="49"/>
        <v>xxx</v>
      </c>
      <c r="AO162" t="str">
        <f t="shared" si="57"/>
        <v>物理减抗 {0}%
敏捷 {1}
移动速度 {2}%
闪避几率 {3}%
暴击率增幅 {4}%
xxx</v>
      </c>
      <c r="AP162" s="6" t="str">
        <f t="shared" si="58"/>
        <v xml:space="preserve">物理减抗 {0}%
敏捷 {1}
移动速度 {2}%
闪避几率 {3}%
暴击率增幅 {4}%
</v>
      </c>
      <c r="AQ162" s="80" t="s">
        <v>3457</v>
      </c>
      <c r="AR162" t="str">
        <f t="shared" si="61"/>
        <v xml:space="preserve">物理减抗 {0}%
敏捷 {1}
移动速度 {2}%
闪避几率 {3}%
暴击率增幅 {4}%
</v>
      </c>
      <c r="AS162" s="81" t="str">
        <f t="shared" si="59"/>
        <v>物理减抗 {0}%
敏捷 {1}
移动速度 {2}%
闪避几率 {3}%
暴击率增幅 {4}%</v>
      </c>
      <c r="BE162" s="49" t="s">
        <v>3083</v>
      </c>
      <c r="BF162" s="46" t="s">
        <v>3054</v>
      </c>
      <c r="BG162" s="52">
        <v>708</v>
      </c>
      <c r="BH162" s="59">
        <v>20</v>
      </c>
      <c r="BI162" s="111">
        <f t="shared" si="50"/>
        <v>3.2679738562091504E-3</v>
      </c>
      <c r="BJ162" s="59"/>
      <c r="BK162" s="18">
        <v>2</v>
      </c>
    </row>
    <row r="163" spans="3:63" ht="15.75" x14ac:dyDescent="0.3">
      <c r="C163" s="59">
        <v>14849</v>
      </c>
      <c r="D163" s="59" t="s">
        <v>332</v>
      </c>
      <c r="E163" s="59"/>
      <c r="F163" s="59" t="s">
        <v>2753</v>
      </c>
      <c r="G163" s="59"/>
      <c r="H163" s="72">
        <v>13</v>
      </c>
      <c r="I163" s="64" t="s">
        <v>2957</v>
      </c>
      <c r="J163" s="64">
        <v>4</v>
      </c>
      <c r="K163" s="64">
        <v>0.2</v>
      </c>
      <c r="L163" s="65" t="s">
        <v>3180</v>
      </c>
      <c r="M163" s="65">
        <v>2</v>
      </c>
      <c r="N163" s="65">
        <v>0.2</v>
      </c>
      <c r="O163" s="66" t="s">
        <v>2958</v>
      </c>
      <c r="P163" s="66">
        <v>2</v>
      </c>
      <c r="Q163" s="66">
        <v>0.2</v>
      </c>
      <c r="R163" s="64" t="s">
        <v>3248</v>
      </c>
      <c r="S163" s="64">
        <v>2</v>
      </c>
      <c r="T163" s="64">
        <v>0.2</v>
      </c>
      <c r="U163" s="65" t="s">
        <v>2959</v>
      </c>
      <c r="V163" s="65">
        <v>1.5</v>
      </c>
      <c r="W163" s="65">
        <v>0.2</v>
      </c>
      <c r="X163" s="66" t="s">
        <v>3257</v>
      </c>
      <c r="Y163" s="66">
        <v>1.5</v>
      </c>
      <c r="Z163" s="66">
        <v>0.2</v>
      </c>
      <c r="AA163" s="71" t="str">
        <f t="shared" si="43"/>
        <v>1:305,320,480,300,32,48,321,8,12,320,8,12,313,12,18,810,0.6,0.9,</v>
      </c>
      <c r="AB163" s="78" t="str">
        <f t="shared" si="60"/>
        <v>1:305,320,480,300,32,48,321,8,12,320,8,12,313,12,18,810,0.6,0.9</v>
      </c>
      <c r="AC163" t="str">
        <f t="shared" si="51"/>
        <v>护甲值 {0}</v>
      </c>
      <c r="AD163" t="str">
        <f t="shared" si="52"/>
        <v>最大生命值 {1}</v>
      </c>
      <c r="AE163" t="str">
        <f t="shared" si="53"/>
        <v>所有伤害减免% {2}</v>
      </c>
      <c r="AF163" t="str">
        <f t="shared" si="54"/>
        <v>物理抗性% {3}</v>
      </c>
      <c r="AG163" t="str">
        <f t="shared" si="55"/>
        <v>格挡几率% {4}</v>
      </c>
      <c r="AH163" t="str">
        <f t="shared" si="56"/>
        <v>每点力量转化为最大血量 {5}</v>
      </c>
      <c r="AI163" t="str">
        <f t="shared" si="44"/>
        <v xml:space="preserve">护甲值 {0}
</v>
      </c>
      <c r="AJ163" t="str">
        <f t="shared" si="45"/>
        <v xml:space="preserve">最大生命值 {1}
</v>
      </c>
      <c r="AK163" t="str">
        <f t="shared" si="46"/>
        <v xml:space="preserve">所有伤害减免 {2}%
</v>
      </c>
      <c r="AL163" t="str">
        <f t="shared" si="47"/>
        <v xml:space="preserve">物理抗性 {3}%
</v>
      </c>
      <c r="AM163" t="str">
        <f t="shared" si="48"/>
        <v xml:space="preserve">格挡几率 {4}%
</v>
      </c>
      <c r="AN163" t="str">
        <f t="shared" si="49"/>
        <v xml:space="preserve">每点力量转化为最大血量 {5}
</v>
      </c>
      <c r="AO163" t="str">
        <f t="shared" si="57"/>
        <v xml:space="preserve">护甲值 {0}
最大生命值 {1}
所有伤害减免 {2}%
物理抗性 {3}%
格挡几率 {4}%
每点力量转化为最大血量 {5}
</v>
      </c>
      <c r="AP163" s="6" t="str">
        <f t="shared" si="58"/>
        <v xml:space="preserve">护甲值 {0}
最大生命值 {1}
所有伤害减免 {2}%
物理抗性 {3}%
格挡几率 {4}%
每点力量转化为最大血量 {5}
</v>
      </c>
      <c r="AQ163" s="80" t="s">
        <v>3458</v>
      </c>
      <c r="AR163" t="str">
        <f t="shared" si="61"/>
        <v xml:space="preserve">护甲值 {0}
最大生命值 {1}
所有伤害减免 {2}%
物理抗性 {3}%
格挡几率 {4}%
每点力量转化为最大血量 {5}
</v>
      </c>
      <c r="AS163" s="81" t="str">
        <f t="shared" si="59"/>
        <v>护甲值 {0}
最大生命值 {1}
所有伤害减免 {2}%
物理抗性 {3}%
格挡几率 {4}%
每点力量转化为最大血量 {5}</v>
      </c>
      <c r="BE163" s="25" t="s">
        <v>3084</v>
      </c>
      <c r="BF163" s="46" t="s">
        <v>3054</v>
      </c>
      <c r="BG163" s="52">
        <v>709</v>
      </c>
      <c r="BH163" s="59">
        <v>20</v>
      </c>
      <c r="BI163" s="111">
        <f t="shared" si="50"/>
        <v>3.2679738562091504E-3</v>
      </c>
      <c r="BJ163" s="59"/>
      <c r="BK163" s="18">
        <v>2</v>
      </c>
    </row>
    <row r="164" spans="3:63" ht="15.75" x14ac:dyDescent="0.3">
      <c r="C164" s="59">
        <v>14850</v>
      </c>
      <c r="D164" s="59" t="s">
        <v>333</v>
      </c>
      <c r="E164" s="59">
        <v>5</v>
      </c>
      <c r="F164" s="59" t="s">
        <v>2752</v>
      </c>
      <c r="G164" s="59"/>
      <c r="H164" s="72">
        <v>12.5</v>
      </c>
      <c r="I164" s="64" t="s">
        <v>3180</v>
      </c>
      <c r="J164" s="64">
        <v>3</v>
      </c>
      <c r="K164" s="64">
        <v>0.2</v>
      </c>
      <c r="L164" s="65" t="s">
        <v>2951</v>
      </c>
      <c r="M164" s="65">
        <v>3</v>
      </c>
      <c r="N164" s="65">
        <v>0.2</v>
      </c>
      <c r="O164" s="66" t="s">
        <v>3250</v>
      </c>
      <c r="P164" s="66">
        <v>2.5</v>
      </c>
      <c r="Q164" s="66">
        <v>0.2</v>
      </c>
      <c r="R164" s="64" t="s">
        <v>2947</v>
      </c>
      <c r="S164" s="64">
        <v>2</v>
      </c>
      <c r="T164" s="64">
        <v>0.2</v>
      </c>
      <c r="U164" s="65" t="s">
        <v>2958</v>
      </c>
      <c r="V164" s="65">
        <v>2</v>
      </c>
      <c r="W164" s="65">
        <v>0.2</v>
      </c>
      <c r="X164" s="66"/>
      <c r="Y164" s="66"/>
      <c r="Z164" s="66"/>
      <c r="AA164" s="71" t="str">
        <f t="shared" si="43"/>
        <v>1:300,48,72,308,24,36,303,1,1.5,315,8,12,321,8,12,xxx</v>
      </c>
      <c r="AB164" s="78" t="str">
        <f t="shared" si="60"/>
        <v>1:300,48,72,308,24,36,303,1,1.5,315,8,12,321,8,12</v>
      </c>
      <c r="AC164" t="str">
        <f t="shared" si="51"/>
        <v>最大生命值 {0}</v>
      </c>
      <c r="AD164" t="str">
        <f t="shared" si="52"/>
        <v>护盾值% {1}</v>
      </c>
      <c r="AE164" t="str">
        <f t="shared" si="53"/>
        <v>生命回复 {2}</v>
      </c>
      <c r="AF164" t="str">
        <f t="shared" si="54"/>
        <v>元素抗性% {3}</v>
      </c>
      <c r="AG164" t="str">
        <f t="shared" si="55"/>
        <v>所有伤害减免% {4}</v>
      </c>
      <c r="AH164" t="str">
        <f t="shared" si="56"/>
        <v>xxx</v>
      </c>
      <c r="AI164" t="str">
        <f t="shared" si="44"/>
        <v xml:space="preserve">最大生命值 {0}
</v>
      </c>
      <c r="AJ164" t="str">
        <f t="shared" si="45"/>
        <v xml:space="preserve">护盾值 {1}%
</v>
      </c>
      <c r="AK164" t="str">
        <f t="shared" si="46"/>
        <v xml:space="preserve">生命回复 {2}
</v>
      </c>
      <c r="AL164" t="str">
        <f t="shared" si="47"/>
        <v xml:space="preserve">元素抗性 {3}%
</v>
      </c>
      <c r="AM164" t="str">
        <f t="shared" si="48"/>
        <v xml:space="preserve">所有伤害减免 {4}%
</v>
      </c>
      <c r="AN164" t="str">
        <f t="shared" si="49"/>
        <v>xxx</v>
      </c>
      <c r="AO164" t="str">
        <f t="shared" si="57"/>
        <v>最大生命值 {0}
护盾值 {1}%
生命回复 {2}
元素抗性 {3}%
所有伤害减免 {4}%
xxx</v>
      </c>
      <c r="AP164" s="6" t="str">
        <f t="shared" si="58"/>
        <v xml:space="preserve">最大生命值 {0}
护盾值 {1}%
生命回复 {2}
元素抗性 {3}%
所有伤害减免 {4}%
</v>
      </c>
      <c r="AQ164" s="80" t="s">
        <v>3459</v>
      </c>
      <c r="AR164" t="str">
        <f t="shared" si="61"/>
        <v xml:space="preserve">最大生命值 {0}
护盾值 {1}%
生命回复 {2}
元素抗性 {3}%
所有伤害减免 {4}%
</v>
      </c>
      <c r="AS164" s="81" t="str">
        <f t="shared" si="59"/>
        <v>最大生命值 {0}
护盾值 {1}%
生命回复 {2}
元素抗性 {3}%
所有伤害减免 {4}%</v>
      </c>
      <c r="BE164" s="54" t="s">
        <v>3234</v>
      </c>
      <c r="BF164" s="54" t="s">
        <v>2988</v>
      </c>
      <c r="BG164" s="52">
        <v>710</v>
      </c>
      <c r="BH164" s="59">
        <v>10</v>
      </c>
      <c r="BI164" s="111">
        <f t="shared" si="50"/>
        <v>6.5359477124183009E-3</v>
      </c>
      <c r="BJ164" s="59"/>
      <c r="BK164" s="18">
        <v>2</v>
      </c>
    </row>
    <row r="165" spans="3:63" ht="15.75" x14ac:dyDescent="0.3">
      <c r="C165" s="59">
        <v>14851</v>
      </c>
      <c r="D165" s="59" t="s">
        <v>4065</v>
      </c>
      <c r="E165" s="59"/>
      <c r="F165" s="59" t="s">
        <v>2752</v>
      </c>
      <c r="G165" s="59"/>
      <c r="H165" s="72">
        <v>10.5</v>
      </c>
      <c r="I165" s="64" t="s">
        <v>2956</v>
      </c>
      <c r="J165" s="64">
        <v>3</v>
      </c>
      <c r="K165" s="64">
        <v>0.2</v>
      </c>
      <c r="L165" s="65" t="s">
        <v>2929</v>
      </c>
      <c r="M165" s="65">
        <v>1.5</v>
      </c>
      <c r="N165" s="65">
        <v>0.2</v>
      </c>
      <c r="O165" s="66" t="s">
        <v>3245</v>
      </c>
      <c r="P165" s="66">
        <v>2.5</v>
      </c>
      <c r="Q165" s="66">
        <v>0.2</v>
      </c>
      <c r="R165" s="64" t="s">
        <v>2933</v>
      </c>
      <c r="S165" s="64">
        <v>2</v>
      </c>
      <c r="T165" s="64">
        <v>0.2</v>
      </c>
      <c r="U165" s="65" t="s">
        <v>3258</v>
      </c>
      <c r="V165" s="65">
        <v>1.5</v>
      </c>
      <c r="W165" s="65">
        <v>0.2</v>
      </c>
      <c r="X165" s="66"/>
      <c r="Y165" s="66"/>
      <c r="Z165" s="66"/>
      <c r="AA165" s="71" t="str">
        <f t="shared" si="43"/>
        <v>1:209,24,36,103,12,18,225,10,15,217,16,24,804,1.2,1.8,xxx</v>
      </c>
      <c r="AB165" s="78" t="str">
        <f t="shared" si="60"/>
        <v>1:209,24,36,103,12,18,225,10,15,217,16,24,804,1.2,1.8</v>
      </c>
      <c r="AC165" t="str">
        <f t="shared" si="51"/>
        <v>混沌伤害 {0}</v>
      </c>
      <c r="AD165" t="str">
        <f t="shared" si="52"/>
        <v>智力 {1}</v>
      </c>
      <c r="AE165" t="str">
        <f t="shared" si="53"/>
        <v>混沌减抗% {2}</v>
      </c>
      <c r="AF165" t="str">
        <f t="shared" si="54"/>
        <v>攻击速度% {3}</v>
      </c>
      <c r="AG165" t="str">
        <f t="shared" si="55"/>
        <v>每点智力额外提升护盾回复 {4}</v>
      </c>
      <c r="AH165" t="str">
        <f t="shared" si="56"/>
        <v>xxx</v>
      </c>
      <c r="AI165" t="str">
        <f t="shared" si="44"/>
        <v xml:space="preserve">混沌伤害 {0}
</v>
      </c>
      <c r="AJ165" t="str">
        <f t="shared" si="45"/>
        <v xml:space="preserve">智力 {1}
</v>
      </c>
      <c r="AK165" t="str">
        <f t="shared" si="46"/>
        <v xml:space="preserve">混沌减抗 {2}%
</v>
      </c>
      <c r="AL165" t="str">
        <f t="shared" si="47"/>
        <v xml:space="preserve">攻击速度 {3}%
</v>
      </c>
      <c r="AM165" t="str">
        <f t="shared" si="48"/>
        <v xml:space="preserve">每点智力额外提升护盾回复 {4}%
</v>
      </c>
      <c r="AN165" t="str">
        <f t="shared" si="49"/>
        <v>xxx</v>
      </c>
      <c r="AO165" t="str">
        <f t="shared" si="57"/>
        <v>混沌伤害 {0}
智力 {1}
混沌减抗 {2}%
攻击速度 {3}%
每点智力额外提升护盾回复 {4}%
xxx</v>
      </c>
      <c r="AP165" s="6" t="str">
        <f t="shared" si="58"/>
        <v xml:space="preserve">混沌伤害 {0}
智力 {1}
混沌减抗 {2}%
攻击速度 {3}%
每点智力额外提升护盾回复 {4}%
</v>
      </c>
      <c r="AQ165" s="80" t="s">
        <v>3460</v>
      </c>
      <c r="AR165" t="str">
        <f t="shared" si="61"/>
        <v xml:space="preserve">混沌伤害 {0}
智力 {1}
混沌减抗 {2}%
攻击速度 {3}%
每点智力额外提升护盾回复 {4}%
</v>
      </c>
      <c r="AS165" s="81" t="str">
        <f t="shared" si="59"/>
        <v>混沌伤害 {0}
智力 {1}
混沌减抗 {2}%
攻击速度 {3}%
每点智力额外提升护盾回复 {4}%</v>
      </c>
      <c r="BE165" s="46" t="s">
        <v>3168</v>
      </c>
      <c r="BF165" s="46" t="s">
        <v>2988</v>
      </c>
      <c r="BG165" s="52">
        <v>711</v>
      </c>
      <c r="BH165" s="59">
        <v>10</v>
      </c>
      <c r="BI165" s="111">
        <f t="shared" si="50"/>
        <v>9.8039215686274508E-3</v>
      </c>
      <c r="BJ165" s="59"/>
      <c r="BK165" s="18">
        <v>2</v>
      </c>
    </row>
    <row r="166" spans="3:63" ht="15.75" x14ac:dyDescent="0.3">
      <c r="C166" s="59">
        <v>14852</v>
      </c>
      <c r="D166" s="59" t="s">
        <v>335</v>
      </c>
      <c r="E166" s="59">
        <v>-1</v>
      </c>
      <c r="F166" s="59" t="s">
        <v>2753</v>
      </c>
      <c r="G166" s="59"/>
      <c r="H166" s="72">
        <v>12.5</v>
      </c>
      <c r="I166" s="64" t="s">
        <v>2970</v>
      </c>
      <c r="J166" s="64">
        <v>3</v>
      </c>
      <c r="K166" s="64">
        <v>0.2</v>
      </c>
      <c r="L166" s="65" t="s">
        <v>2947</v>
      </c>
      <c r="M166" s="65">
        <v>2.5</v>
      </c>
      <c r="N166" s="65">
        <v>0.2</v>
      </c>
      <c r="O166" s="66" t="s">
        <v>3227</v>
      </c>
      <c r="P166" s="66">
        <v>5</v>
      </c>
      <c r="Q166" s="66">
        <v>0</v>
      </c>
      <c r="R166" s="64" t="s">
        <v>3033</v>
      </c>
      <c r="S166" s="64">
        <v>2</v>
      </c>
      <c r="T166" s="64">
        <v>0.2</v>
      </c>
      <c r="U166" s="65"/>
      <c r="V166" s="65"/>
      <c r="W166" s="65"/>
      <c r="X166" s="66"/>
      <c r="Y166" s="66"/>
      <c r="Z166" s="66"/>
      <c r="AA166" s="71" t="str">
        <f t="shared" si="43"/>
        <v>1:205,12,18,315,10,15,426,1,1,415,8,12,xxxxxx</v>
      </c>
      <c r="AB166" s="78" t="str">
        <f t="shared" si="60"/>
        <v>1:205,12,18,315,10,15,426,1,1,415,8,12</v>
      </c>
      <c r="AC166" t="str">
        <f t="shared" si="51"/>
        <v>元素伤害 {0}</v>
      </c>
      <c r="AD166" t="str">
        <f t="shared" si="52"/>
        <v>元素抗性% {1}</v>
      </c>
      <c r="AE166" t="str">
        <f t="shared" si="53"/>
        <v>复活 {2}</v>
      </c>
      <c r="AF166" t="str">
        <f t="shared" si="54"/>
        <v>持续时间% {3}</v>
      </c>
      <c r="AG166" t="str">
        <f t="shared" si="55"/>
        <v>xxx</v>
      </c>
      <c r="AH166" t="str">
        <f t="shared" si="56"/>
        <v>xxx</v>
      </c>
      <c r="AI166" t="str">
        <f t="shared" si="44"/>
        <v xml:space="preserve">元素伤害 {0}
</v>
      </c>
      <c r="AJ166" t="str">
        <f t="shared" si="45"/>
        <v xml:space="preserve">元素抗性 {1}%
</v>
      </c>
      <c r="AK166" t="str">
        <f t="shared" si="46"/>
        <v xml:space="preserve">复活 {2}
</v>
      </c>
      <c r="AL166" t="str">
        <f t="shared" si="47"/>
        <v xml:space="preserve">持续时间 {3}%
</v>
      </c>
      <c r="AM166" t="str">
        <f t="shared" si="48"/>
        <v>xxx</v>
      </c>
      <c r="AN166" t="str">
        <f t="shared" si="49"/>
        <v>xxx</v>
      </c>
      <c r="AO166" t="str">
        <f t="shared" si="57"/>
        <v>元素伤害 {0}
元素抗性 {1}%
复活 {2}
持续时间 {3}%
xxxxxx</v>
      </c>
      <c r="AP166" s="6" t="str">
        <f t="shared" si="58"/>
        <v xml:space="preserve">元素伤害 {0}
元素抗性 {1}%
复活 {2}
持续时间 {3}%
</v>
      </c>
      <c r="AQ166" s="80" t="s">
        <v>3461</v>
      </c>
      <c r="AR166" t="str">
        <f t="shared" si="61"/>
        <v xml:space="preserve">元素伤害 {0}
元素抗性 {1}%
复活 {2}
持续时间 {3}%
</v>
      </c>
      <c r="AS166" s="81" t="str">
        <f t="shared" si="59"/>
        <v>元素伤害 {0}
元素抗性 {1}%
复活 {2}
持续时间 {3}%</v>
      </c>
      <c r="BE166" s="46" t="s">
        <v>3085</v>
      </c>
      <c r="BF166" s="46" t="s">
        <v>2988</v>
      </c>
      <c r="BG166" s="52">
        <v>712</v>
      </c>
      <c r="BH166" s="59">
        <v>10</v>
      </c>
      <c r="BI166" s="111">
        <f t="shared" si="50"/>
        <v>6.5359477124183009E-3</v>
      </c>
      <c r="BJ166" s="59"/>
      <c r="BK166" s="18">
        <v>2</v>
      </c>
    </row>
    <row r="167" spans="3:63" ht="15.75" x14ac:dyDescent="0.3">
      <c r="C167" s="59">
        <v>14853</v>
      </c>
      <c r="D167" s="75" t="s">
        <v>3705</v>
      </c>
      <c r="E167" s="75"/>
      <c r="F167" s="75" t="s">
        <v>2752</v>
      </c>
      <c r="G167" s="75"/>
      <c r="H167" s="72">
        <v>0</v>
      </c>
      <c r="I167" s="64"/>
      <c r="J167" s="64"/>
      <c r="K167" s="64"/>
      <c r="L167" s="65"/>
      <c r="M167" s="65"/>
      <c r="N167" s="65"/>
      <c r="O167" s="66"/>
      <c r="P167" s="66"/>
      <c r="Q167" s="66"/>
      <c r="R167" s="64"/>
      <c r="S167" s="64"/>
      <c r="T167" s="64"/>
      <c r="U167" s="65"/>
      <c r="V167" s="65"/>
      <c r="W167" s="65"/>
      <c r="X167" s="66"/>
      <c r="Y167" s="66"/>
      <c r="Z167" s="66"/>
      <c r="AA167" s="71" t="str">
        <f t="shared" si="43"/>
        <v>1:xxxxxxxxxxxxxxxxxx</v>
      </c>
      <c r="AB167" s="78" t="str">
        <f t="shared" si="60"/>
        <v/>
      </c>
      <c r="AC167" t="str">
        <f t="shared" si="51"/>
        <v>xxx</v>
      </c>
      <c r="AD167" t="str">
        <f t="shared" si="52"/>
        <v>xxx</v>
      </c>
      <c r="AE167" t="str">
        <f t="shared" si="53"/>
        <v>xxx</v>
      </c>
      <c r="AF167" t="str">
        <f t="shared" si="54"/>
        <v>xxx</v>
      </c>
      <c r="AG167" t="str">
        <f t="shared" si="55"/>
        <v>xxx</v>
      </c>
      <c r="AH167" t="str">
        <f t="shared" si="56"/>
        <v>xxx</v>
      </c>
      <c r="AI167" t="str">
        <f t="shared" si="44"/>
        <v>xxx</v>
      </c>
      <c r="AJ167" t="str">
        <f t="shared" si="45"/>
        <v>xxx</v>
      </c>
      <c r="AK167" t="str">
        <f t="shared" si="46"/>
        <v>xxx</v>
      </c>
      <c r="AL167" t="str">
        <f t="shared" si="47"/>
        <v>xxx</v>
      </c>
      <c r="AM167" t="str">
        <f t="shared" si="48"/>
        <v>xxx</v>
      </c>
      <c r="AN167" t="str">
        <f t="shared" si="49"/>
        <v>xxx</v>
      </c>
      <c r="AO167" t="str">
        <f t="shared" si="57"/>
        <v>xxxxxxxxxxxxxxxxxx</v>
      </c>
      <c r="AP167" s="6" t="str">
        <f t="shared" si="58"/>
        <v/>
      </c>
      <c r="AQ167" s="80" t="s">
        <v>3462</v>
      </c>
      <c r="AR167" t="str">
        <f t="shared" si="61"/>
        <v>生命值+{0}
生命回复速度+{1}%</v>
      </c>
      <c r="AS167" s="81" t="str">
        <f t="shared" si="59"/>
        <v>生命值+{0}
生命回复速度+{1}%</v>
      </c>
      <c r="BE167" s="46" t="s">
        <v>3233</v>
      </c>
      <c r="BF167" s="46" t="s">
        <v>2988</v>
      </c>
      <c r="BG167" s="52">
        <v>713</v>
      </c>
      <c r="BH167" s="59">
        <v>10</v>
      </c>
      <c r="BI167" s="111">
        <f t="shared" si="50"/>
        <v>9.8039215686274508E-3</v>
      </c>
      <c r="BJ167" s="59"/>
      <c r="BK167" s="18">
        <v>2</v>
      </c>
    </row>
    <row r="168" spans="3:63" ht="15.75" x14ac:dyDescent="0.3">
      <c r="C168" s="59">
        <v>14854</v>
      </c>
      <c r="D168" s="59" t="s">
        <v>343</v>
      </c>
      <c r="E168" s="59"/>
      <c r="F168" s="59" t="s">
        <v>2752</v>
      </c>
      <c r="G168" s="59"/>
      <c r="H168" s="72">
        <v>11.5</v>
      </c>
      <c r="I168" s="64" t="s">
        <v>3180</v>
      </c>
      <c r="J168" s="64">
        <v>4</v>
      </c>
      <c r="K168" s="64">
        <v>0.2</v>
      </c>
      <c r="L168" s="65" t="s">
        <v>3250</v>
      </c>
      <c r="M168" s="65">
        <v>2.5</v>
      </c>
      <c r="N168" s="65">
        <v>0.2</v>
      </c>
      <c r="O168" s="66" t="s">
        <v>2951</v>
      </c>
      <c r="P168" s="66">
        <v>3</v>
      </c>
      <c r="Q168" s="66">
        <v>0.2</v>
      </c>
      <c r="R168" s="64" t="s">
        <v>2947</v>
      </c>
      <c r="S168" s="64">
        <v>2</v>
      </c>
      <c r="T168" s="64">
        <v>0</v>
      </c>
      <c r="U168" s="65"/>
      <c r="V168" s="65"/>
      <c r="W168" s="65"/>
      <c r="X168" s="66"/>
      <c r="Y168" s="66"/>
      <c r="Z168" s="66"/>
      <c r="AA168" s="71" t="str">
        <f t="shared" si="43"/>
        <v>1:300,64,96,303,1,1.5,308,24,36,315,10,10,xxxxxx</v>
      </c>
      <c r="AB168" s="78" t="str">
        <f t="shared" si="60"/>
        <v>1:300,64,96,303,1,1.5,308,24,36,315,10,10</v>
      </c>
      <c r="AC168" t="str">
        <f t="shared" si="51"/>
        <v>最大生命值 {0}</v>
      </c>
      <c r="AD168" t="str">
        <f t="shared" si="52"/>
        <v>生命回复 {1}</v>
      </c>
      <c r="AE168" t="str">
        <f t="shared" si="53"/>
        <v>护盾值% {2}</v>
      </c>
      <c r="AF168" t="str">
        <f t="shared" si="54"/>
        <v>元素抗性% {3}</v>
      </c>
      <c r="AG168" t="str">
        <f t="shared" si="55"/>
        <v>xxx</v>
      </c>
      <c r="AH168" t="str">
        <f t="shared" si="56"/>
        <v>xxx</v>
      </c>
      <c r="AI168" t="str">
        <f t="shared" si="44"/>
        <v xml:space="preserve">最大生命值 {0}
</v>
      </c>
      <c r="AJ168" t="str">
        <f t="shared" si="45"/>
        <v xml:space="preserve">生命回复 {1}
</v>
      </c>
      <c r="AK168" t="str">
        <f t="shared" si="46"/>
        <v xml:space="preserve">护盾值 {2}%
</v>
      </c>
      <c r="AL168" t="str">
        <f t="shared" si="47"/>
        <v xml:space="preserve">元素抗性 {3}%
</v>
      </c>
      <c r="AM168" t="str">
        <f t="shared" si="48"/>
        <v>xxx</v>
      </c>
      <c r="AN168" t="str">
        <f t="shared" ref="AN168:AN179" si="62">_xlfn.IFNA(IF(AC168="xxx","xxx",IF(VLOOKUP(X168,$BE$8:$BK$260,7,FALSE)=1,AH168&amp;CHAR(10),SUBSTITUTE(AH168,"%","")&amp;"%"&amp;CHAR(10))),"xxx")</f>
        <v>xxx</v>
      </c>
      <c r="AO168" t="str">
        <f t="shared" si="57"/>
        <v>最大生命值 {0}
生命回复 {1}
护盾值 {2}%
元素抗性 {3}%
xxxxxx</v>
      </c>
      <c r="AP168" s="6" t="str">
        <f t="shared" si="58"/>
        <v xml:space="preserve">最大生命值 {0}
生命回复 {1}
护盾值 {2}%
元素抗性 {3}%
</v>
      </c>
      <c r="AQ168" s="80" t="s">
        <v>3463</v>
      </c>
      <c r="AR168" t="str">
        <f t="shared" si="61"/>
        <v xml:space="preserve">最大生命值 {0}
生命回复 {1}
护盾值 {2}%
元素抗性 {3}%
</v>
      </c>
      <c r="AS168" s="81" t="str">
        <f t="shared" si="59"/>
        <v>最大生命值 {0}
生命回复 {1}
护盾值 {2}%
元素抗性 {3}%</v>
      </c>
      <c r="BE168" s="46" t="s">
        <v>3150</v>
      </c>
      <c r="BF168" s="46" t="s">
        <v>2988</v>
      </c>
      <c r="BG168" s="52">
        <v>714</v>
      </c>
      <c r="BH168" s="59">
        <v>10</v>
      </c>
      <c r="BI168" s="111">
        <f t="shared" ref="BI168:BI178" si="63">COUNTIF($I$8:$I$1040,BE168)/COUNT($C$8:$C$1040)+COUNTIF($L$8:$L$1040,BE168)/COUNT($C$8:$C$1040)+COUNTIF($O$8:$O$1040,BE168)/COUNT($C$8:$C$1040)+COUNTIF($R$8:$R$1040,BE168)/COUNT($C$8:$C$1040)+COUNTIF($U$8:$U$1040,BE168)/COUNT($C$8:$C$1040)+COUNTIF($X$8:$X$1040,BE168)/COUNT($C$8:$C$1040)</f>
        <v>6.5359477124183009E-3</v>
      </c>
      <c r="BJ168" s="59"/>
      <c r="BK168" s="18">
        <v>2</v>
      </c>
    </row>
    <row r="169" spans="3:63" ht="15.75" x14ac:dyDescent="0.3">
      <c r="C169" s="59">
        <v>14855</v>
      </c>
      <c r="D169" s="59" t="s">
        <v>336</v>
      </c>
      <c r="E169" s="59"/>
      <c r="F169" s="59" t="s">
        <v>2752</v>
      </c>
      <c r="G169" s="59"/>
      <c r="H169" s="72">
        <v>11.5</v>
      </c>
      <c r="I169" s="64" t="s">
        <v>2940</v>
      </c>
      <c r="J169" s="64">
        <v>3</v>
      </c>
      <c r="K169" s="64">
        <v>0.2</v>
      </c>
      <c r="L169" s="65" t="s">
        <v>2949</v>
      </c>
      <c r="M169" s="65">
        <v>2</v>
      </c>
      <c r="N169" s="65">
        <v>0.2</v>
      </c>
      <c r="O169" s="66" t="s">
        <v>3007</v>
      </c>
      <c r="P169" s="66">
        <v>1.5</v>
      </c>
      <c r="Q169" s="66">
        <v>0.2</v>
      </c>
      <c r="R169" s="64" t="s">
        <v>3259</v>
      </c>
      <c r="S169" s="64">
        <v>3</v>
      </c>
      <c r="T169" s="64">
        <v>0.2</v>
      </c>
      <c r="U169" s="65" t="s">
        <v>3030</v>
      </c>
      <c r="V169" s="65">
        <v>2</v>
      </c>
      <c r="W169" s="65">
        <v>0.2</v>
      </c>
      <c r="X169" s="66"/>
      <c r="Y169" s="66"/>
      <c r="Z169" s="66"/>
      <c r="AA169" s="71" t="str">
        <f t="shared" si="43"/>
        <v>1:412,24,36,311,8,12,312,6,9,420,2.4,3.6,410,8,12,xxx</v>
      </c>
      <c r="AB169" s="78" t="str">
        <f t="shared" si="60"/>
        <v>1:412,24,36,311,8,12,312,6,9,420,2.4,3.6,410,8,12</v>
      </c>
      <c r="AC169" t="str">
        <f t="shared" si="51"/>
        <v>移动速度% {0}</v>
      </c>
      <c r="AD169" t="str">
        <f t="shared" si="52"/>
        <v>闪避几率% {1}</v>
      </c>
      <c r="AE169" t="str">
        <f t="shared" si="53"/>
        <v>闪避几率上限% {2}</v>
      </c>
      <c r="AF169" t="str">
        <f t="shared" si="54"/>
        <v>冲刺时间 {3}</v>
      </c>
      <c r="AG169" t="str">
        <f t="shared" si="55"/>
        <v>冲刺冷却缩减% {4}</v>
      </c>
      <c r="AH169" t="str">
        <f t="shared" si="56"/>
        <v>xxx</v>
      </c>
      <c r="AI169" t="str">
        <f t="shared" si="44"/>
        <v xml:space="preserve">移动速度 {0}%
</v>
      </c>
      <c r="AJ169" t="str">
        <f t="shared" si="45"/>
        <v xml:space="preserve">闪避几率 {1}%
</v>
      </c>
      <c r="AK169" t="str">
        <f t="shared" si="46"/>
        <v xml:space="preserve">闪避几率上限 {2}%
</v>
      </c>
      <c r="AL169" t="str">
        <f t="shared" si="47"/>
        <v xml:space="preserve">冲刺时间 {3}%
</v>
      </c>
      <c r="AM169" t="str">
        <f t="shared" si="48"/>
        <v xml:space="preserve">冲刺冷却缩减 {4}%
</v>
      </c>
      <c r="AN169" t="str">
        <f t="shared" si="62"/>
        <v>xxx</v>
      </c>
      <c r="AO169" t="str">
        <f t="shared" si="57"/>
        <v>移动速度 {0}%
闪避几率 {1}%
闪避几率上限 {2}%
冲刺时间 {3}%
冲刺冷却缩减 {4}%
xxx</v>
      </c>
      <c r="AP169" s="6" t="str">
        <f t="shared" si="58"/>
        <v xml:space="preserve">移动速度 {0}%
闪避几率 {1}%
闪避几率上限 {2}%
冲刺时间 {3}%
冲刺冷却缩减 {4}%
</v>
      </c>
      <c r="AQ169" s="80" t="s">
        <v>3464</v>
      </c>
      <c r="AR169" t="str">
        <f t="shared" si="61"/>
        <v xml:space="preserve">移动速度 {0}%
闪避几率 {1}%
闪避几率上限 {2}%
冲刺时间 {3}%
冲刺冷却缩减 {4}%
</v>
      </c>
      <c r="AS169" s="81" t="str">
        <f t="shared" si="59"/>
        <v>移动速度 {0}%
闪避几率 {1}%
闪避几率上限 {2}%
冲刺时间 {3}%
冲刺冷却缩减 {4}%</v>
      </c>
      <c r="BE169" s="46" t="s">
        <v>3214</v>
      </c>
      <c r="BF169" s="46" t="s">
        <v>2988</v>
      </c>
      <c r="BG169" s="52">
        <v>715</v>
      </c>
      <c r="BH169" s="59">
        <v>10</v>
      </c>
      <c r="BI169" s="111">
        <f t="shared" si="63"/>
        <v>1.9607843137254902E-2</v>
      </c>
      <c r="BJ169" s="59"/>
      <c r="BK169" s="18">
        <v>2</v>
      </c>
    </row>
    <row r="170" spans="3:63" ht="15.75" x14ac:dyDescent="0.3">
      <c r="C170" s="59">
        <v>14856</v>
      </c>
      <c r="D170" s="59" t="s">
        <v>337</v>
      </c>
      <c r="E170" s="59">
        <v>4</v>
      </c>
      <c r="F170" s="59" t="s">
        <v>2752</v>
      </c>
      <c r="G170" s="59"/>
      <c r="H170" s="72">
        <v>11.5</v>
      </c>
      <c r="I170" s="64" t="s">
        <v>2971</v>
      </c>
      <c r="J170" s="64">
        <v>2</v>
      </c>
      <c r="K170" s="64">
        <v>0.2</v>
      </c>
      <c r="L170" s="65" t="s">
        <v>3252</v>
      </c>
      <c r="M170" s="65">
        <v>3</v>
      </c>
      <c r="N170" s="65">
        <v>0.2</v>
      </c>
      <c r="O170" s="66" t="s">
        <v>3232</v>
      </c>
      <c r="P170" s="66">
        <v>2</v>
      </c>
      <c r="Q170" s="66">
        <v>0.2</v>
      </c>
      <c r="R170" s="64" t="s">
        <v>3260</v>
      </c>
      <c r="S170" s="64">
        <v>3</v>
      </c>
      <c r="T170" s="64">
        <v>0.2</v>
      </c>
      <c r="U170" s="65" t="s">
        <v>3254</v>
      </c>
      <c r="V170" s="65">
        <v>1.5</v>
      </c>
      <c r="W170" s="65">
        <v>0.2</v>
      </c>
      <c r="X170" s="66"/>
      <c r="Y170" s="66"/>
      <c r="Z170" s="66"/>
      <c r="AA170" s="71" t="str">
        <f t="shared" si="43"/>
        <v>1:206,16,24,229,24,36,236,16,24,416,12,18,414,6,9,xxx</v>
      </c>
      <c r="AB170" s="78" t="str">
        <f t="shared" si="60"/>
        <v>1:206,16,24,229,24,36,236,16,24,416,12,18,414,6,9</v>
      </c>
      <c r="AC170" t="str">
        <f t="shared" si="51"/>
        <v>冰霜伤害 {0}</v>
      </c>
      <c r="AD170" t="str">
        <f t="shared" si="52"/>
        <v>附加冰霜伤害 {1}</v>
      </c>
      <c r="AE170" t="str">
        <f t="shared" si="53"/>
        <v>附加冰霜伤害% {2}</v>
      </c>
      <c r="AF170" t="str">
        <f t="shared" si="54"/>
        <v>控制时间% {3}</v>
      </c>
      <c r="AG170" t="str">
        <f t="shared" si="55"/>
        <v>技能范围% {4}</v>
      </c>
      <c r="AH170" t="str">
        <f t="shared" si="56"/>
        <v>xxx</v>
      </c>
      <c r="AI170" t="str">
        <f t="shared" si="44"/>
        <v xml:space="preserve">冰霜伤害 {0}
</v>
      </c>
      <c r="AJ170" t="str">
        <f t="shared" si="45"/>
        <v xml:space="preserve">附加冰霜伤害 {1}%
</v>
      </c>
      <c r="AK170" t="str">
        <f t="shared" si="46"/>
        <v xml:space="preserve">附加冰霜伤害 {2}%
</v>
      </c>
      <c r="AL170" t="str">
        <f t="shared" si="47"/>
        <v xml:space="preserve">控制时间 {3}%
</v>
      </c>
      <c r="AM170" t="str">
        <f t="shared" si="48"/>
        <v xml:space="preserve">技能范围 {4}%
</v>
      </c>
      <c r="AN170" t="str">
        <f t="shared" si="62"/>
        <v>xxx</v>
      </c>
      <c r="AO170" t="str">
        <f t="shared" si="57"/>
        <v>冰霜伤害 {0}
附加冰霜伤害 {1}%
附加冰霜伤害 {2}%
控制时间 {3}%
技能范围 {4}%
xxx</v>
      </c>
      <c r="AP170" s="6" t="str">
        <f t="shared" si="58"/>
        <v xml:space="preserve">冰霜伤害 {0}
附加冰霜伤害 {1}%
附加冰霜伤害 {2}%
控制时间 {3}%
技能范围 {4}%
</v>
      </c>
      <c r="AQ170" s="80" t="s">
        <v>3465</v>
      </c>
      <c r="AR170" t="str">
        <f t="shared" si="61"/>
        <v xml:space="preserve">冰霜伤害 {0}
附加冰霜伤害 {1}%
附加冰霜伤害 {2}%
控制时间 {3}%
技能范围 {4}%
</v>
      </c>
      <c r="AS170" s="81" t="str">
        <f t="shared" si="59"/>
        <v>冰霜伤害 {0}
附加冰霜伤害 {1}%
附加冰霜伤害 {2}%
控制时间 {3}%
技能范围 {4}%</v>
      </c>
      <c r="BE170" s="46" t="s">
        <v>3088</v>
      </c>
      <c r="BF170" s="46" t="s">
        <v>3054</v>
      </c>
      <c r="BG170" s="52">
        <v>716</v>
      </c>
      <c r="BH170" s="59">
        <v>5</v>
      </c>
      <c r="BI170" s="111">
        <f t="shared" si="63"/>
        <v>9.8039215686274508E-3</v>
      </c>
      <c r="BJ170" s="59"/>
      <c r="BK170" s="18">
        <v>2</v>
      </c>
    </row>
    <row r="171" spans="3:63" ht="15.75" x14ac:dyDescent="0.3">
      <c r="C171" s="59">
        <v>14857</v>
      </c>
      <c r="D171" s="59" t="s">
        <v>345</v>
      </c>
      <c r="E171" s="59"/>
      <c r="F171" s="59" t="s">
        <v>2752</v>
      </c>
      <c r="G171" s="59"/>
      <c r="H171" s="72">
        <v>11</v>
      </c>
      <c r="I171" s="64" t="s">
        <v>2958</v>
      </c>
      <c r="J171" s="64">
        <v>3.5</v>
      </c>
      <c r="K171" s="64">
        <v>0.2</v>
      </c>
      <c r="L171" s="65" t="s">
        <v>3093</v>
      </c>
      <c r="M171" s="65">
        <v>2</v>
      </c>
      <c r="N171" s="65">
        <v>0.2</v>
      </c>
      <c r="O171" s="66" t="s">
        <v>3195</v>
      </c>
      <c r="P171" s="66">
        <v>2</v>
      </c>
      <c r="Q171" s="66">
        <v>0.2</v>
      </c>
      <c r="R171" s="64" t="s">
        <v>3188</v>
      </c>
      <c r="S171" s="64">
        <v>2</v>
      </c>
      <c r="T171" s="64">
        <v>0.2</v>
      </c>
      <c r="U171" s="65" t="s">
        <v>3089</v>
      </c>
      <c r="V171" s="65">
        <v>1.5</v>
      </c>
      <c r="W171" s="65">
        <v>0.2</v>
      </c>
      <c r="X171" s="66"/>
      <c r="Y171" s="66"/>
      <c r="Z171" s="66"/>
      <c r="AA171" s="71" t="str">
        <f t="shared" si="43"/>
        <v>1:321,14,21,721,16,24,722,8,12,719,1.6,2.4,717,12,18,xxx</v>
      </c>
      <c r="AB171" s="78" t="str">
        <f t="shared" si="60"/>
        <v>1:321,14,21,721,16,24,722,8,12,719,1.6,2.4,717,12,18</v>
      </c>
      <c r="AC171" t="str">
        <f t="shared" si="51"/>
        <v>所有伤害减免% {0}</v>
      </c>
      <c r="AD171" t="str">
        <f t="shared" si="52"/>
        <v>召唤物最终伤害 {1}</v>
      </c>
      <c r="AE171" t="str">
        <f t="shared" si="53"/>
        <v>召唤物格挡几率 {2}</v>
      </c>
      <c r="AF171" t="str">
        <f t="shared" si="54"/>
        <v>召唤物百分比回血 {3}</v>
      </c>
      <c r="AG171" t="str">
        <f t="shared" si="55"/>
        <v>召唤物暴击伤害% {4}</v>
      </c>
      <c r="AH171" t="str">
        <f t="shared" si="56"/>
        <v>xxx</v>
      </c>
      <c r="AI171" t="str">
        <f t="shared" si="44"/>
        <v xml:space="preserve">所有伤害减免 {0}%
</v>
      </c>
      <c r="AJ171" t="str">
        <f t="shared" si="45"/>
        <v xml:space="preserve">召唤物最终伤害 {1}%
</v>
      </c>
      <c r="AK171" t="str">
        <f t="shared" si="46"/>
        <v xml:space="preserve">召唤物格挡几率 {2}%
</v>
      </c>
      <c r="AL171" t="str">
        <f t="shared" si="47"/>
        <v xml:space="preserve">召唤物百分比回血 {3}%
</v>
      </c>
      <c r="AM171" t="str">
        <f t="shared" si="48"/>
        <v xml:space="preserve">召唤物暴击伤害 {4}%
</v>
      </c>
      <c r="AN171" t="str">
        <f t="shared" si="62"/>
        <v>xxx</v>
      </c>
      <c r="AO171" t="str">
        <f t="shared" si="57"/>
        <v>所有伤害减免 {0}%
召唤物最终伤害 {1}%
召唤物格挡几率 {2}%
召唤物百分比回血 {3}%
召唤物暴击伤害 {4}%
xxx</v>
      </c>
      <c r="AP171" s="6" t="str">
        <f t="shared" si="58"/>
        <v xml:space="preserve">所有伤害减免 {0}%
召唤物最终伤害 {1}%
召唤物格挡几率 {2}%
召唤物百分比回血 {3}%
召唤物暴击伤害 {4}%
</v>
      </c>
      <c r="AQ171" s="80" t="s">
        <v>3466</v>
      </c>
      <c r="AR171" t="str">
        <f t="shared" si="61"/>
        <v xml:space="preserve">所有伤害减免 {0}%
召唤物最终伤害 {1}%
召唤物格挡几率 {2}%
召唤物百分比回血 {3}%
召唤物暴击伤害 {4}%
</v>
      </c>
      <c r="AS171" s="81" t="str">
        <f t="shared" si="59"/>
        <v>所有伤害减免 {0}%
召唤物最终伤害 {1}%
召唤物格挡几率 {2}%
召唤物百分比回血 {3}%
召唤物暴击伤害 {4}%</v>
      </c>
      <c r="BE171" s="46" t="s">
        <v>3089</v>
      </c>
      <c r="BF171" s="46" t="s">
        <v>3054</v>
      </c>
      <c r="BG171" s="52">
        <v>717</v>
      </c>
      <c r="BH171" s="59">
        <v>10</v>
      </c>
      <c r="BI171" s="111">
        <f t="shared" si="63"/>
        <v>1.6339869281045753E-2</v>
      </c>
      <c r="BJ171" s="59"/>
      <c r="BK171" s="18">
        <v>2</v>
      </c>
    </row>
    <row r="172" spans="3:63" ht="15.75" x14ac:dyDescent="0.3">
      <c r="C172" s="59">
        <v>14858</v>
      </c>
      <c r="D172" s="59" t="s">
        <v>346</v>
      </c>
      <c r="E172" s="59"/>
      <c r="F172" s="59" t="s">
        <v>2752</v>
      </c>
      <c r="G172" s="59"/>
      <c r="H172" s="72">
        <v>10.5</v>
      </c>
      <c r="I172" s="64" t="s">
        <v>2930</v>
      </c>
      <c r="J172" s="64">
        <v>3</v>
      </c>
      <c r="K172" s="64">
        <v>0.2</v>
      </c>
      <c r="L172" s="65" t="s">
        <v>2929</v>
      </c>
      <c r="M172" s="65">
        <v>2</v>
      </c>
      <c r="N172" s="65">
        <v>0.2</v>
      </c>
      <c r="O172" s="66" t="s">
        <v>2970</v>
      </c>
      <c r="P172" s="66">
        <v>2</v>
      </c>
      <c r="Q172" s="66">
        <v>0.2</v>
      </c>
      <c r="R172" s="64" t="s">
        <v>2975</v>
      </c>
      <c r="S172" s="64">
        <v>2</v>
      </c>
      <c r="T172" s="64">
        <v>0.2</v>
      </c>
      <c r="U172" s="65" t="s">
        <v>2947</v>
      </c>
      <c r="V172" s="65">
        <v>1.5</v>
      </c>
      <c r="W172" s="65">
        <v>0.2</v>
      </c>
      <c r="X172" s="66"/>
      <c r="Y172" s="66"/>
      <c r="Z172" s="66"/>
      <c r="AA172" s="71" t="str">
        <f t="shared" si="43"/>
        <v>1:202,24,36,103,16,24,205,8,12,221,3.2,4.8,315,6,9,xxx</v>
      </c>
      <c r="AB172" s="78" t="str">
        <f t="shared" si="60"/>
        <v>1:202,24,36,103,16,24,205,8,12,221,3.2,4.8,315,6,9</v>
      </c>
      <c r="AC172" t="str">
        <f t="shared" si="51"/>
        <v>所有伤害增加% {0}</v>
      </c>
      <c r="AD172" t="str">
        <f t="shared" si="52"/>
        <v>智力 {1}</v>
      </c>
      <c r="AE172" t="str">
        <f t="shared" si="53"/>
        <v>元素伤害 {2}</v>
      </c>
      <c r="AF172" t="str">
        <f t="shared" si="54"/>
        <v>元素减抗% {3}</v>
      </c>
      <c r="AG172" t="str">
        <f t="shared" si="55"/>
        <v>元素抗性% {4}</v>
      </c>
      <c r="AH172" t="str">
        <f t="shared" si="56"/>
        <v>xxx</v>
      </c>
      <c r="AI172" t="str">
        <f t="shared" si="44"/>
        <v xml:space="preserve">所有伤害增加 {0}%
</v>
      </c>
      <c r="AJ172" t="str">
        <f t="shared" si="45"/>
        <v xml:space="preserve">智力 {1}
</v>
      </c>
      <c r="AK172" t="str">
        <f t="shared" si="46"/>
        <v xml:space="preserve">元素伤害 {2}
</v>
      </c>
      <c r="AL172" t="str">
        <f t="shared" si="47"/>
        <v xml:space="preserve">元素减抗 {3}%
</v>
      </c>
      <c r="AM172" t="str">
        <f t="shared" si="48"/>
        <v xml:space="preserve">元素抗性 {4}%
</v>
      </c>
      <c r="AN172" t="str">
        <f t="shared" si="62"/>
        <v>xxx</v>
      </c>
      <c r="AO172" t="str">
        <f t="shared" si="57"/>
        <v>所有伤害增加 {0}%
智力 {1}
元素伤害 {2}
元素减抗 {3}%
元素抗性 {4}%
xxx</v>
      </c>
      <c r="AP172" s="6" t="str">
        <f t="shared" si="58"/>
        <v xml:space="preserve">所有伤害增加 {0}%
智力 {1}
元素伤害 {2}
元素减抗 {3}%
元素抗性 {4}%
</v>
      </c>
      <c r="AQ172" s="80" t="s">
        <v>3467</v>
      </c>
      <c r="AR172" t="str">
        <f t="shared" si="61"/>
        <v xml:space="preserve">所有伤害增加 {0}%
智力 {1}
元素伤害 {2}
元素减抗 {3}%
元素抗性 {4}%
</v>
      </c>
      <c r="AS172" s="81" t="str">
        <f t="shared" si="59"/>
        <v>所有伤害增加 {0}%
智力 {1}
元素伤害 {2}
元素减抗 {3}%
元素抗性 {4}%</v>
      </c>
      <c r="BE172" s="46" t="s">
        <v>3090</v>
      </c>
      <c r="BF172" s="46" t="s">
        <v>3042</v>
      </c>
      <c r="BG172" s="52">
        <v>718</v>
      </c>
      <c r="BH172" s="59">
        <v>50</v>
      </c>
      <c r="BI172" s="111">
        <f t="shared" si="63"/>
        <v>1.9607843137254902E-2</v>
      </c>
      <c r="BJ172" s="59"/>
      <c r="BK172" s="18">
        <v>1</v>
      </c>
    </row>
    <row r="173" spans="3:63" ht="15.75" x14ac:dyDescent="0.3">
      <c r="C173" s="59">
        <v>14859</v>
      </c>
      <c r="D173" s="74" t="s">
        <v>3706</v>
      </c>
      <c r="E173" s="74"/>
      <c r="F173" s="74" t="s">
        <v>2752</v>
      </c>
      <c r="G173" s="74"/>
      <c r="H173" s="72">
        <v>0</v>
      </c>
      <c r="I173" s="64"/>
      <c r="J173" s="64"/>
      <c r="K173" s="64"/>
      <c r="L173" s="65"/>
      <c r="M173" s="65"/>
      <c r="N173" s="65"/>
      <c r="O173" s="66"/>
      <c r="P173" s="66"/>
      <c r="Q173" s="66"/>
      <c r="R173" s="64"/>
      <c r="S173" s="64"/>
      <c r="T173" s="64"/>
      <c r="U173" s="65"/>
      <c r="V173" s="65"/>
      <c r="W173" s="65"/>
      <c r="X173" s="66"/>
      <c r="Y173" s="66"/>
      <c r="Z173" s="66"/>
      <c r="AA173" s="71" t="str">
        <f t="shared" si="43"/>
        <v>1:xxxxxxxxxxxxxxxxxx</v>
      </c>
      <c r="AB173" s="78" t="str">
        <f t="shared" si="60"/>
        <v/>
      </c>
      <c r="AC173" t="str">
        <f t="shared" si="51"/>
        <v>xxx</v>
      </c>
      <c r="AD173" t="str">
        <f t="shared" si="52"/>
        <v>xxx</v>
      </c>
      <c r="AE173" t="str">
        <f t="shared" si="53"/>
        <v>xxx</v>
      </c>
      <c r="AF173" t="str">
        <f t="shared" si="54"/>
        <v>xxx</v>
      </c>
      <c r="AG173" t="str">
        <f t="shared" si="55"/>
        <v>xxx</v>
      </c>
      <c r="AH173" t="str">
        <f t="shared" si="56"/>
        <v>xxx</v>
      </c>
      <c r="AI173" t="str">
        <f t="shared" si="44"/>
        <v>xxx</v>
      </c>
      <c r="AJ173" t="str">
        <f t="shared" si="45"/>
        <v>xxx</v>
      </c>
      <c r="AK173" t="str">
        <f t="shared" si="46"/>
        <v>xxx</v>
      </c>
      <c r="AL173" t="str">
        <f t="shared" si="47"/>
        <v>xxx</v>
      </c>
      <c r="AM173" t="str">
        <f t="shared" si="48"/>
        <v>xxx</v>
      </c>
      <c r="AN173" t="str">
        <f t="shared" si="62"/>
        <v>xxx</v>
      </c>
      <c r="AO173" t="str">
        <f t="shared" si="57"/>
        <v>xxxxxxxxxxxxxxxxxx</v>
      </c>
      <c r="AP173" s="6" t="str">
        <f t="shared" si="58"/>
        <v/>
      </c>
      <c r="AQ173" s="80" t="s">
        <v>3468</v>
      </c>
      <c r="AR173" t="str">
        <f t="shared" si="61"/>
        <v>火焰伤害+{0}%
火焰抗性+{1}%
周围敌人总被致盲</v>
      </c>
      <c r="AS173" s="81" t="str">
        <f t="shared" si="59"/>
        <v>火焰伤害+{0}%
火焰抗性+{1}%
周围敌人总被致盲</v>
      </c>
      <c r="BE173" s="46" t="s">
        <v>3091</v>
      </c>
      <c r="BF173" s="46" t="s">
        <v>2988</v>
      </c>
      <c r="BG173" s="52">
        <v>719</v>
      </c>
      <c r="BH173" s="59">
        <v>1</v>
      </c>
      <c r="BI173" s="111">
        <f t="shared" si="63"/>
        <v>1.6339869281045753E-2</v>
      </c>
      <c r="BJ173" s="59"/>
      <c r="BK173" s="18">
        <v>2</v>
      </c>
    </row>
    <row r="174" spans="3:63" ht="15.75" x14ac:dyDescent="0.3">
      <c r="C174" s="59">
        <v>14860</v>
      </c>
      <c r="D174" s="59" t="s">
        <v>347</v>
      </c>
      <c r="E174" s="59">
        <v>5</v>
      </c>
      <c r="F174" s="59" t="s">
        <v>2752</v>
      </c>
      <c r="G174" s="59"/>
      <c r="H174" s="72">
        <v>10.5</v>
      </c>
      <c r="I174" s="64" t="s">
        <v>2972</v>
      </c>
      <c r="J174" s="64">
        <v>3</v>
      </c>
      <c r="K174" s="64">
        <v>0.2</v>
      </c>
      <c r="L174" s="65" t="s">
        <v>3173</v>
      </c>
      <c r="M174" s="65">
        <v>2</v>
      </c>
      <c r="N174" s="65">
        <v>0.2</v>
      </c>
      <c r="O174" s="66" t="s">
        <v>3146</v>
      </c>
      <c r="P174" s="66">
        <v>2</v>
      </c>
      <c r="Q174" s="66">
        <v>0.2</v>
      </c>
      <c r="R174" s="64" t="s">
        <v>2928</v>
      </c>
      <c r="S174" s="64">
        <v>1</v>
      </c>
      <c r="T174" s="64">
        <v>0.2</v>
      </c>
      <c r="U174" s="65" t="s">
        <v>3250</v>
      </c>
      <c r="V174" s="65">
        <v>2.5</v>
      </c>
      <c r="W174" s="65">
        <v>0.2</v>
      </c>
      <c r="X174" s="66"/>
      <c r="Y174" s="66"/>
      <c r="Z174" s="66"/>
      <c r="AA174" s="71" t="str">
        <f t="shared" si="43"/>
        <v>1:207,24,36,230,16,24,241,16,24,223,4,6,303,1,1.5,xxx</v>
      </c>
      <c r="AB174" s="78" t="str">
        <f t="shared" si="60"/>
        <v>1:207,24,36,230,16,24,241,16,24,223,4,6,303,1,1.5</v>
      </c>
      <c r="AC174" t="str">
        <f t="shared" si="51"/>
        <v>火焰伤害 {0}</v>
      </c>
      <c r="AD174" t="str">
        <f t="shared" si="52"/>
        <v>附加火焰伤害 {1}</v>
      </c>
      <c r="AE174" t="str">
        <f t="shared" si="53"/>
        <v>灼烧系数 {2}</v>
      </c>
      <c r="AF174" t="str">
        <f t="shared" si="54"/>
        <v>火焰减抗% {3}</v>
      </c>
      <c r="AG174" t="str">
        <f t="shared" si="55"/>
        <v>生命回复 {4}</v>
      </c>
      <c r="AH174" t="str">
        <f t="shared" si="56"/>
        <v>xxx</v>
      </c>
      <c r="AI174" t="str">
        <f t="shared" si="44"/>
        <v xml:space="preserve">火焰伤害 {0}
</v>
      </c>
      <c r="AJ174" t="str">
        <f t="shared" si="45"/>
        <v xml:space="preserve">附加火焰伤害 {1}%
</v>
      </c>
      <c r="AK174" t="str">
        <f t="shared" si="46"/>
        <v xml:space="preserve">灼烧系数 {2}%
</v>
      </c>
      <c r="AL174" t="str">
        <f t="shared" si="47"/>
        <v xml:space="preserve">火焰减抗 {3}%
</v>
      </c>
      <c r="AM174" t="str">
        <f t="shared" si="48"/>
        <v xml:space="preserve">生命回复 {4}
</v>
      </c>
      <c r="AN174" t="str">
        <f t="shared" si="62"/>
        <v>xxx</v>
      </c>
      <c r="AO174" t="str">
        <f t="shared" si="57"/>
        <v>火焰伤害 {0}
附加火焰伤害 {1}%
灼烧系数 {2}%
火焰减抗 {3}%
生命回复 {4}
xxx</v>
      </c>
      <c r="AP174" s="6" t="str">
        <f t="shared" si="58"/>
        <v xml:space="preserve">火焰伤害 {0}
附加火焰伤害 {1}%
灼烧系数 {2}%
火焰减抗 {3}%
生命回复 {4}
</v>
      </c>
      <c r="AQ174" s="80" t="s">
        <v>3469</v>
      </c>
      <c r="AR174" t="str">
        <f t="shared" si="61"/>
        <v xml:space="preserve">火焰伤害 {0}
附加火焰伤害 {1}%
灼烧系数 {2}%
火焰减抗 {3}%
生命回复 {4}
</v>
      </c>
      <c r="AS174" s="81" t="str">
        <f t="shared" si="59"/>
        <v>火焰伤害 {0}
附加火焰伤害 {1}%
灼烧系数 {2}%
火焰减抗 {3}%
生命回复 {4}</v>
      </c>
      <c r="BE174" s="46" t="s">
        <v>3092</v>
      </c>
      <c r="BF174" s="46" t="s">
        <v>2988</v>
      </c>
      <c r="BG174" s="52">
        <v>720</v>
      </c>
      <c r="BH174" s="59">
        <v>1</v>
      </c>
      <c r="BI174" s="111">
        <f t="shared" si="63"/>
        <v>9.8039215686274508E-3</v>
      </c>
      <c r="BJ174" s="59"/>
      <c r="BK174" s="18">
        <v>2</v>
      </c>
    </row>
    <row r="175" spans="3:63" ht="15.75" x14ac:dyDescent="0.3">
      <c r="C175" s="59">
        <v>14861</v>
      </c>
      <c r="D175" s="59" t="s">
        <v>348</v>
      </c>
      <c r="E175" s="59"/>
      <c r="F175" s="59" t="s">
        <v>2752</v>
      </c>
      <c r="G175" s="59"/>
      <c r="H175" s="72">
        <v>12</v>
      </c>
      <c r="I175" s="64" t="s">
        <v>2958</v>
      </c>
      <c r="J175" s="64">
        <v>3</v>
      </c>
      <c r="K175" s="64">
        <v>0.2</v>
      </c>
      <c r="L175" s="65" t="s">
        <v>2948</v>
      </c>
      <c r="M175" s="65">
        <v>-1.5</v>
      </c>
      <c r="N175" s="65">
        <v>0.2</v>
      </c>
      <c r="O175" s="66" t="s">
        <v>2951</v>
      </c>
      <c r="P175" s="66">
        <v>5</v>
      </c>
      <c r="Q175" s="66">
        <v>0.2</v>
      </c>
      <c r="R175" s="64" t="s">
        <v>3219</v>
      </c>
      <c r="S175" s="64">
        <v>3</v>
      </c>
      <c r="T175" s="64">
        <v>0.2</v>
      </c>
      <c r="U175" s="65" t="s">
        <v>2952</v>
      </c>
      <c r="V175" s="65">
        <v>2.5</v>
      </c>
      <c r="W175" s="65">
        <v>0.2</v>
      </c>
      <c r="X175" s="66"/>
      <c r="Y175" s="66"/>
      <c r="Z175" s="66"/>
      <c r="AA175" s="71" t="str">
        <f t="shared" si="43"/>
        <v>1:321,12,18,409,-6,-9,308,40,60,323,24,36,310,200,300,xxx</v>
      </c>
      <c r="AB175" s="78" t="str">
        <f t="shared" si="60"/>
        <v>1:321,12,18,409,-6,-9,308,40,60,323,24,36,310,200,300</v>
      </c>
      <c r="AC175" t="str">
        <f t="shared" si="51"/>
        <v>所有伤害减免% {0}</v>
      </c>
      <c r="AD175" t="str">
        <f t="shared" si="52"/>
        <v>xxx</v>
      </c>
      <c r="AE175" t="str">
        <f t="shared" si="53"/>
        <v>护盾值% {2}</v>
      </c>
      <c r="AF175" t="str">
        <f t="shared" si="54"/>
        <v>护盾最大值 {3}</v>
      </c>
      <c r="AG175" t="str">
        <f t="shared" si="55"/>
        <v>护盾回复% {4}</v>
      </c>
      <c r="AH175" t="str">
        <f t="shared" si="56"/>
        <v>xxx</v>
      </c>
      <c r="AI175" t="str">
        <f t="shared" si="44"/>
        <v xml:space="preserve">所有伤害减免 {0}%
</v>
      </c>
      <c r="AJ175" t="str">
        <f t="shared" si="45"/>
        <v xml:space="preserve">xxx%
</v>
      </c>
      <c r="AK175" t="str">
        <f t="shared" si="46"/>
        <v xml:space="preserve">护盾值 {2}%
</v>
      </c>
      <c r="AL175" t="str">
        <f t="shared" si="47"/>
        <v xml:space="preserve">护盾最大值 {3}
</v>
      </c>
      <c r="AM175" t="str">
        <f t="shared" si="48"/>
        <v xml:space="preserve">护盾回复 {4}%
</v>
      </c>
      <c r="AN175" t="str">
        <f t="shared" si="62"/>
        <v>xxx</v>
      </c>
      <c r="AO175" t="str">
        <f t="shared" si="57"/>
        <v>所有伤害减免 {0}%
xxx%
护盾值 {2}%
护盾最大值 {3}
护盾回复 {4}%
xxx</v>
      </c>
      <c r="AP175" s="6" t="str">
        <f t="shared" si="58"/>
        <v xml:space="preserve">所有伤害减免 {0}%
%
护盾值 {2}%
护盾最大值 {3}
护盾回复 {4}%
</v>
      </c>
      <c r="AQ175" s="80" t="s">
        <v>3470</v>
      </c>
      <c r="AR175" t="str">
        <f t="shared" si="61"/>
        <v xml:space="preserve">所有伤害减免 {0}%
%
护盾值 {2}%
护盾最大值 {3}
护盾回复 {4}%
</v>
      </c>
      <c r="AS175" s="81" t="str">
        <f t="shared" si="59"/>
        <v>所有伤害减免 {0}%
%
护盾值 {2}%
护盾最大值 {3}
护盾回复 {4}%</v>
      </c>
      <c r="BE175" s="46" t="s">
        <v>4430</v>
      </c>
      <c r="BF175" s="46" t="s">
        <v>3054</v>
      </c>
      <c r="BG175" s="52" t="s">
        <v>3094</v>
      </c>
      <c r="BH175" s="59">
        <v>10</v>
      </c>
      <c r="BI175" s="111">
        <f t="shared" si="63"/>
        <v>1.3071895424836602E-2</v>
      </c>
      <c r="BJ175" s="59"/>
      <c r="BK175" s="18">
        <v>2</v>
      </c>
    </row>
    <row r="176" spans="3:63" ht="15.75" x14ac:dyDescent="0.3">
      <c r="C176" s="59">
        <v>14862</v>
      </c>
      <c r="D176" s="59" t="s">
        <v>349</v>
      </c>
      <c r="E176" s="59"/>
      <c r="F176" s="59" t="s">
        <v>2752</v>
      </c>
      <c r="G176" s="59"/>
      <c r="H176" s="72">
        <v>12</v>
      </c>
      <c r="I176" s="64" t="s">
        <v>2973</v>
      </c>
      <c r="J176" s="64">
        <v>4</v>
      </c>
      <c r="K176" s="64">
        <v>0.2</v>
      </c>
      <c r="L176" s="65" t="s">
        <v>3176</v>
      </c>
      <c r="M176" s="65">
        <v>3</v>
      </c>
      <c r="N176" s="65">
        <v>0.2</v>
      </c>
      <c r="O176" s="66" t="s">
        <v>2939</v>
      </c>
      <c r="P176" s="66">
        <v>2</v>
      </c>
      <c r="Q176" s="66">
        <v>0.2</v>
      </c>
      <c r="R176" s="64" t="s">
        <v>2933</v>
      </c>
      <c r="S176" s="64">
        <v>1.5</v>
      </c>
      <c r="T176" s="64">
        <v>0.2</v>
      </c>
      <c r="U176" s="65" t="s">
        <v>3009</v>
      </c>
      <c r="V176" s="65">
        <v>1.5</v>
      </c>
      <c r="W176" s="65">
        <v>0.2</v>
      </c>
      <c r="X176" s="66"/>
      <c r="Y176" s="66"/>
      <c r="Z176" s="66"/>
      <c r="AA176" s="71" t="str">
        <f t="shared" si="43"/>
        <v>1:208,32,48,248,24,36,224,8,12,217,12,18,318,12,18,xxx</v>
      </c>
      <c r="AB176" s="78" t="str">
        <f t="shared" si="60"/>
        <v>1:208,32,48,248,24,36,224,8,12,217,12,18,318,12,18</v>
      </c>
      <c r="AC176" t="str">
        <f t="shared" si="51"/>
        <v>闪电伤害 {0}</v>
      </c>
      <c r="AD176" t="str">
        <f t="shared" si="52"/>
        <v>施加感电时间提升 {1}</v>
      </c>
      <c r="AE176" t="str">
        <f t="shared" si="53"/>
        <v>闪电减抗% {2}</v>
      </c>
      <c r="AF176" t="str">
        <f t="shared" si="54"/>
        <v>攻击速度% {3}</v>
      </c>
      <c r="AG176" t="str">
        <f t="shared" si="55"/>
        <v>闪电抗性% {4}</v>
      </c>
      <c r="AH176" t="str">
        <f t="shared" si="56"/>
        <v>xxx</v>
      </c>
      <c r="AI176" t="str">
        <f t="shared" si="44"/>
        <v xml:space="preserve">闪电伤害 {0}
</v>
      </c>
      <c r="AJ176" t="str">
        <f t="shared" si="45"/>
        <v xml:space="preserve">施加感电时间提升 {1}%
</v>
      </c>
      <c r="AK176" t="str">
        <f t="shared" si="46"/>
        <v xml:space="preserve">闪电减抗 {2}%
</v>
      </c>
      <c r="AL176" t="str">
        <f t="shared" si="47"/>
        <v xml:space="preserve">攻击速度 {3}%
</v>
      </c>
      <c r="AM176" t="str">
        <f t="shared" si="48"/>
        <v xml:space="preserve">闪电抗性 {4}%
</v>
      </c>
      <c r="AN176" t="str">
        <f t="shared" si="62"/>
        <v>xxx</v>
      </c>
      <c r="AO176" t="str">
        <f t="shared" si="57"/>
        <v>闪电伤害 {0}
施加感电时间提升 {1}%
闪电减抗 {2}%
攻击速度 {3}%
闪电抗性 {4}%
xxx</v>
      </c>
      <c r="AP176" s="6" t="str">
        <f t="shared" si="58"/>
        <v xml:space="preserve">闪电伤害 {0}
施加感电时间提升 {1}%
闪电减抗 {2}%
攻击速度 {3}%
闪电抗性 {4}%
</v>
      </c>
      <c r="AQ176" s="80" t="s">
        <v>3471</v>
      </c>
      <c r="AR176" t="str">
        <f t="shared" si="61"/>
        <v xml:space="preserve">闪电伤害 {0}
施加感电时间提升 {1}%
闪电减抗 {2}%
攻击速度 {3}%
闪电抗性 {4}%
</v>
      </c>
      <c r="AS176" s="81" t="str">
        <f t="shared" si="59"/>
        <v>闪电伤害 {0}
施加感电时间提升 {1}%
闪电减抗 {2}%
攻击速度 {3}%
闪电抗性 {4}%</v>
      </c>
      <c r="BE176" s="46" t="s">
        <v>3095</v>
      </c>
      <c r="BF176" s="46" t="s">
        <v>3054</v>
      </c>
      <c r="BG176" s="52" t="s">
        <v>3096</v>
      </c>
      <c r="BH176" s="59">
        <v>5</v>
      </c>
      <c r="BI176" s="111">
        <f t="shared" si="63"/>
        <v>1.3071895424836602E-2</v>
      </c>
      <c r="BJ176" s="59"/>
      <c r="BK176" s="18">
        <v>2</v>
      </c>
    </row>
    <row r="177" spans="1:63" ht="15.75" x14ac:dyDescent="0.3">
      <c r="C177" s="59">
        <v>14863</v>
      </c>
      <c r="D177" s="59" t="s">
        <v>350</v>
      </c>
      <c r="E177" s="59"/>
      <c r="F177" s="59" t="s">
        <v>2752</v>
      </c>
      <c r="G177" s="59"/>
      <c r="H177" s="72">
        <v>12.5</v>
      </c>
      <c r="I177" s="64" t="s">
        <v>2947</v>
      </c>
      <c r="J177" s="64">
        <v>3.5</v>
      </c>
      <c r="K177" s="64">
        <v>0.2</v>
      </c>
      <c r="L177" s="65" t="s">
        <v>2958</v>
      </c>
      <c r="M177" s="65">
        <v>3</v>
      </c>
      <c r="N177" s="65">
        <v>0.2</v>
      </c>
      <c r="O177" s="66" t="s">
        <v>3180</v>
      </c>
      <c r="P177" s="66">
        <v>2</v>
      </c>
      <c r="Q177" s="66">
        <v>0.2</v>
      </c>
      <c r="R177" s="64" t="s">
        <v>2975</v>
      </c>
      <c r="S177" s="64">
        <v>1.5</v>
      </c>
      <c r="T177" s="64">
        <v>0.2</v>
      </c>
      <c r="U177" s="65" t="s">
        <v>2951</v>
      </c>
      <c r="V177" s="65">
        <v>2.5</v>
      </c>
      <c r="W177" s="65">
        <v>0.2</v>
      </c>
      <c r="X177" s="66"/>
      <c r="Y177" s="66"/>
      <c r="Z177" s="66"/>
      <c r="AA177" s="71" t="str">
        <f t="shared" si="43"/>
        <v>1:315,14,21,321,12,18,300,32,48,221,2.4,3.6,308,20,30,xxx</v>
      </c>
      <c r="AB177" s="78" t="str">
        <f t="shared" si="60"/>
        <v>1:315,14,21,321,12,18,300,32,48,221,2.4,3.6,308,20,30</v>
      </c>
      <c r="AC177" t="str">
        <f t="shared" si="51"/>
        <v>元素抗性% {0}</v>
      </c>
      <c r="AD177" t="str">
        <f t="shared" si="52"/>
        <v>所有伤害减免% {1}</v>
      </c>
      <c r="AE177" t="str">
        <f t="shared" si="53"/>
        <v>最大生命值 {2}</v>
      </c>
      <c r="AF177" t="str">
        <f t="shared" si="54"/>
        <v>元素减抗% {3}</v>
      </c>
      <c r="AG177" t="str">
        <f t="shared" si="55"/>
        <v>护盾值% {4}</v>
      </c>
      <c r="AH177" t="str">
        <f t="shared" si="56"/>
        <v>xxx</v>
      </c>
      <c r="AI177" t="str">
        <f t="shared" si="44"/>
        <v xml:space="preserve">元素抗性 {0}%
</v>
      </c>
      <c r="AJ177" t="str">
        <f t="shared" si="45"/>
        <v xml:space="preserve">所有伤害减免 {1}%
</v>
      </c>
      <c r="AK177" t="str">
        <f t="shared" si="46"/>
        <v xml:space="preserve">最大生命值 {2}
</v>
      </c>
      <c r="AL177" t="str">
        <f t="shared" si="47"/>
        <v xml:space="preserve">元素减抗 {3}%
</v>
      </c>
      <c r="AM177" t="str">
        <f t="shared" si="48"/>
        <v xml:space="preserve">护盾值 {4}%
</v>
      </c>
      <c r="AN177" t="str">
        <f t="shared" si="62"/>
        <v>xxx</v>
      </c>
      <c r="AO177" t="str">
        <f t="shared" si="57"/>
        <v>元素抗性 {0}%
所有伤害减免 {1}%
最大生命值 {2}
元素减抗 {3}%
护盾值 {4}%
xxx</v>
      </c>
      <c r="AP177" s="6" t="str">
        <f t="shared" si="58"/>
        <v xml:space="preserve">元素抗性 {0}%
所有伤害减免 {1}%
最大生命值 {2}
元素减抗 {3}%
护盾值 {4}%
</v>
      </c>
      <c r="AQ177" s="80" t="s">
        <v>3472</v>
      </c>
      <c r="AR177" t="str">
        <f t="shared" si="61"/>
        <v xml:space="preserve">元素抗性 {0}%
所有伤害减免 {1}%
最大生命值 {2}
元素减抗 {3}%
护盾值 {4}%
</v>
      </c>
      <c r="AS177" s="81" t="str">
        <f t="shared" si="59"/>
        <v>元素抗性 {0}%
所有伤害减免 {1}%
最大生命值 {2}
元素减抗 {3}%
护盾值 {4}%</v>
      </c>
      <c r="BE177" s="46" t="s">
        <v>3097</v>
      </c>
      <c r="BF177" s="46" t="s">
        <v>3042</v>
      </c>
      <c r="BG177" s="52">
        <v>801</v>
      </c>
      <c r="BH177" s="59">
        <v>10</v>
      </c>
      <c r="BI177" s="111">
        <f t="shared" si="63"/>
        <v>6.5359477124183009E-3</v>
      </c>
      <c r="BJ177" s="59"/>
      <c r="BK177" s="18">
        <v>1</v>
      </c>
    </row>
    <row r="178" spans="1:63" ht="15.75" x14ac:dyDescent="0.3">
      <c r="C178" s="59">
        <v>14864</v>
      </c>
      <c r="D178" s="59" t="s">
        <v>351</v>
      </c>
      <c r="E178" s="59">
        <v>-1</v>
      </c>
      <c r="F178" s="59" t="s">
        <v>2752</v>
      </c>
      <c r="G178" s="59"/>
      <c r="H178" s="72">
        <v>11.5</v>
      </c>
      <c r="I178" s="64" t="s">
        <v>2956</v>
      </c>
      <c r="J178" s="64">
        <v>4</v>
      </c>
      <c r="K178" s="64">
        <v>0.2</v>
      </c>
      <c r="L178" s="65" t="s">
        <v>2929</v>
      </c>
      <c r="M178" s="65">
        <v>2</v>
      </c>
      <c r="N178" s="65">
        <v>0.2</v>
      </c>
      <c r="O178" s="66" t="s">
        <v>3245</v>
      </c>
      <c r="P178" s="66">
        <v>2</v>
      </c>
      <c r="Q178" s="66">
        <v>0.2</v>
      </c>
      <c r="R178" s="64" t="s">
        <v>3581</v>
      </c>
      <c r="S178" s="64">
        <v>2</v>
      </c>
      <c r="T178" s="64">
        <v>0</v>
      </c>
      <c r="U178" s="65" t="s">
        <v>3261</v>
      </c>
      <c r="V178" s="65">
        <v>1.5</v>
      </c>
      <c r="W178" s="65">
        <v>0.2</v>
      </c>
      <c r="X178" s="66"/>
      <c r="Y178" s="66"/>
      <c r="Z178" s="66"/>
      <c r="AA178" s="71" t="str">
        <f t="shared" si="43"/>
        <v>1:209,32,48,103,16,24,225,8,12,501,4,4,819,30,45,xxx</v>
      </c>
      <c r="AB178" s="78" t="str">
        <f t="shared" si="60"/>
        <v>1:209,32,48,103,16,24,225,8,12,501,4,4,819,30,45</v>
      </c>
      <c r="AC178" t="str">
        <f t="shared" si="51"/>
        <v>混沌伤害 {0}</v>
      </c>
      <c r="AD178" t="str">
        <f t="shared" si="52"/>
        <v>智力 {1}</v>
      </c>
      <c r="AE178" t="str">
        <f t="shared" si="53"/>
        <v>混沌减抗% {2}</v>
      </c>
      <c r="AF178" t="str">
        <f t="shared" si="54"/>
        <v>刷新次数 {3}</v>
      </c>
      <c r="AG178" t="str">
        <f t="shared" si="55"/>
        <v>物理伤害转化元素伤害% {4}</v>
      </c>
      <c r="AH178" t="str">
        <f t="shared" si="56"/>
        <v>xxx</v>
      </c>
      <c r="AI178" t="str">
        <f t="shared" si="44"/>
        <v xml:space="preserve">混沌伤害 {0}
</v>
      </c>
      <c r="AJ178" t="str">
        <f t="shared" si="45"/>
        <v xml:space="preserve">智力 {1}
</v>
      </c>
      <c r="AK178" t="str">
        <f t="shared" si="46"/>
        <v xml:space="preserve">混沌减抗 {2}%
</v>
      </c>
      <c r="AL178" t="str">
        <f t="shared" si="47"/>
        <v xml:space="preserve">刷新次数 {3}
</v>
      </c>
      <c r="AM178" t="str">
        <f t="shared" si="48"/>
        <v xml:space="preserve">物理伤害转化元素伤害 {4}%
</v>
      </c>
      <c r="AN178" t="str">
        <f t="shared" si="62"/>
        <v>xxx</v>
      </c>
      <c r="AO178" t="str">
        <f t="shared" si="57"/>
        <v>混沌伤害 {0}
智力 {1}
混沌减抗 {2}%
刷新次数 {3}
物理伤害转化元素伤害 {4}%
xxx</v>
      </c>
      <c r="AP178" s="6" t="str">
        <f t="shared" si="58"/>
        <v xml:space="preserve">混沌伤害 {0}
智力 {1}
混沌减抗 {2}%
刷新次数 {3}
物理伤害转化元素伤害 {4}%
</v>
      </c>
      <c r="AQ178" s="80" t="s">
        <v>3473</v>
      </c>
      <c r="AR178" t="str">
        <f t="shared" si="61"/>
        <v xml:space="preserve">混沌伤害 {0}
智力 {1}
混沌减抗 {2}%
刷新次数 {3}
物理伤害转化元素伤害 {4}%
</v>
      </c>
      <c r="AS178" s="81" t="str">
        <f t="shared" si="59"/>
        <v>混沌伤害 {0}
智力 {1}
混沌减抗 {2}%
刷新次数 {3}
物理伤害转化元素伤害 {4}%</v>
      </c>
      <c r="BE178" s="46" t="s">
        <v>3098</v>
      </c>
      <c r="BF178" s="46" t="s">
        <v>2988</v>
      </c>
      <c r="BG178" s="52">
        <v>802</v>
      </c>
      <c r="BH178" s="59">
        <v>0.25</v>
      </c>
      <c r="BI178" s="111">
        <f t="shared" si="63"/>
        <v>6.5359477124183009E-3</v>
      </c>
      <c r="BJ178" s="59"/>
      <c r="BK178" s="18">
        <v>2</v>
      </c>
    </row>
    <row r="179" spans="1:63" ht="15.75" x14ac:dyDescent="0.3">
      <c r="C179" s="59">
        <v>14865</v>
      </c>
      <c r="D179" s="59" t="s">
        <v>3707</v>
      </c>
      <c r="E179" s="59"/>
      <c r="F179" s="59" t="s">
        <v>2752</v>
      </c>
      <c r="G179" s="59"/>
      <c r="H179" s="72">
        <v>11.5</v>
      </c>
      <c r="I179" s="64" t="s">
        <v>3254</v>
      </c>
      <c r="J179" s="64">
        <v>3</v>
      </c>
      <c r="K179" s="64">
        <v>0.2</v>
      </c>
      <c r="L179" s="65" t="s">
        <v>3260</v>
      </c>
      <c r="M179" s="65">
        <v>3</v>
      </c>
      <c r="N179" s="65">
        <v>0.2</v>
      </c>
      <c r="O179" s="66" t="s">
        <v>3180</v>
      </c>
      <c r="P179" s="66">
        <v>2</v>
      </c>
      <c r="Q179" s="66">
        <v>0.2</v>
      </c>
      <c r="R179" s="64" t="s">
        <v>2957</v>
      </c>
      <c r="S179" s="64">
        <v>2</v>
      </c>
      <c r="T179" s="64">
        <v>0.2</v>
      </c>
      <c r="U179" s="65" t="s">
        <v>3262</v>
      </c>
      <c r="V179" s="65">
        <v>1.5</v>
      </c>
      <c r="W179" s="65">
        <v>0.2</v>
      </c>
      <c r="X179" s="66"/>
      <c r="Y179" s="66"/>
      <c r="Z179" s="66"/>
      <c r="AA179" s="71" t="str">
        <f t="shared" si="43"/>
        <v>1:414,12,18,416,12,18,300,32,48,305,160,240,812,0.24,0.36,xxx</v>
      </c>
      <c r="AB179" s="78" t="str">
        <f t="shared" si="60"/>
        <v>1:414,12,18,416,12,18,300,32,48,305,160,240,812,0.24,0.36</v>
      </c>
      <c r="AC179" t="str">
        <f t="shared" si="51"/>
        <v>技能范围% {0}</v>
      </c>
      <c r="AD179" t="str">
        <f t="shared" si="52"/>
        <v>控制时间% {1}</v>
      </c>
      <c r="AE179" t="str">
        <f t="shared" si="53"/>
        <v>最大生命值 {2}</v>
      </c>
      <c r="AF179" t="str">
        <f t="shared" si="54"/>
        <v>护甲值 {3}</v>
      </c>
      <c r="AG179" t="str">
        <f t="shared" si="55"/>
        <v>每点力量提升元素抗性 {4}</v>
      </c>
      <c r="AH179" t="str">
        <f t="shared" si="56"/>
        <v>xxx</v>
      </c>
      <c r="AI179" t="str">
        <f t="shared" si="44"/>
        <v xml:space="preserve">技能范围 {0}%
</v>
      </c>
      <c r="AJ179" t="str">
        <f t="shared" si="45"/>
        <v xml:space="preserve">控制时间 {1}%
</v>
      </c>
      <c r="AK179" t="str">
        <f t="shared" si="46"/>
        <v xml:space="preserve">最大生命值 {2}
</v>
      </c>
      <c r="AL179" t="str">
        <f t="shared" si="47"/>
        <v xml:space="preserve">护甲值 {3}
</v>
      </c>
      <c r="AM179" t="str">
        <f t="shared" si="48"/>
        <v xml:space="preserve">每点力量提升元素抗性 {4}%
</v>
      </c>
      <c r="AN179" t="str">
        <f t="shared" si="62"/>
        <v>xxx</v>
      </c>
      <c r="AO179" t="str">
        <f t="shared" ref="AO179:AO307" si="64">_xlfn.CONCAT(AI179:AN179)</f>
        <v>技能范围 {0}%
控制时间 {1}%
最大生命值 {2}
护甲值 {3}
每点力量提升元素抗性 {4}%
xxx</v>
      </c>
      <c r="AP179" s="6" t="str">
        <f t="shared" ref="AP179:AP306" si="65">SUBSTITUTE(AO179,"xxx","")</f>
        <v xml:space="preserve">技能范围 {0}%
控制时间 {1}%
最大生命值 {2}
护甲值 {3}
每点力量提升元素抗性 {4}%
</v>
      </c>
      <c r="AQ179" s="80" t="s">
        <v>3765</v>
      </c>
      <c r="AR179" t="str">
        <f t="shared" ref="AR179:AR307" si="66">IFERROR(IF(AP179="",AQ179,AP179),AP179)</f>
        <v xml:space="preserve">技能范围 {0}%
控制时间 {1}%
最大生命值 {2}
护甲值 {3}
每点力量提升元素抗性 {4}%
</v>
      </c>
      <c r="AS179" s="81" t="str">
        <f t="shared" si="59"/>
        <v>技能范围 {0}%
控制时间 {1}%
最大生命值 {2}
护甲值 {3}
每点力量提升元素抗性 {4}%</v>
      </c>
      <c r="BE179" s="46" t="s">
        <v>3171</v>
      </c>
      <c r="BF179" s="46" t="s">
        <v>3135</v>
      </c>
      <c r="BG179" s="52">
        <v>803</v>
      </c>
      <c r="BH179" s="59">
        <v>0.25</v>
      </c>
      <c r="BI179" s="111">
        <f>COUNTIF($I$8:$I$1040,BE1040)/COUNT($C$8:$C$1040)+COUNTIF($L$8:$L$1040,BE1040)/COUNT($C$8:$C$1040)+COUNTIF($O$8:$O$1040,BE1040)/COUNT($C$8:$C$1040)+COUNTIF($R$8:$R$1040,BE1040)/COUNT($C$8:$C$1040)+COUNTIF($U$8:$U$1040,BE1040)/COUNT($C$8:$C$1040)+COUNTIF($X$8:$X$1040,BE1040)/COUNT($C$8:$C$1040)</f>
        <v>0</v>
      </c>
      <c r="BJ179" s="59"/>
      <c r="BK179" s="18">
        <v>2</v>
      </c>
    </row>
    <row r="180" spans="1:63" ht="15.75" x14ac:dyDescent="0.3">
      <c r="C180" s="59">
        <v>14866</v>
      </c>
      <c r="D180" s="59" t="s">
        <v>3942</v>
      </c>
      <c r="E180" s="59"/>
      <c r="F180" s="59" t="s">
        <v>2751</v>
      </c>
      <c r="G180" s="59"/>
      <c r="H180" s="72">
        <v>12</v>
      </c>
      <c r="I180" s="64" t="s">
        <v>2973</v>
      </c>
      <c r="J180" s="64">
        <v>4</v>
      </c>
      <c r="K180" s="64">
        <v>0.2</v>
      </c>
      <c r="L180" s="65" t="s">
        <v>2938</v>
      </c>
      <c r="M180" s="65">
        <v>2</v>
      </c>
      <c r="N180" s="65">
        <v>0.2</v>
      </c>
      <c r="O180" s="66" t="s">
        <v>2939</v>
      </c>
      <c r="P180" s="66">
        <v>2</v>
      </c>
      <c r="Q180" s="66">
        <v>0.2</v>
      </c>
      <c r="R180" s="64" t="s">
        <v>3177</v>
      </c>
      <c r="S180" s="64">
        <v>2</v>
      </c>
      <c r="T180" s="64">
        <v>0.2</v>
      </c>
      <c r="U180" s="65" t="s">
        <v>3193</v>
      </c>
      <c r="V180" s="65">
        <v>2</v>
      </c>
      <c r="W180" s="65">
        <v>0.2</v>
      </c>
      <c r="X180" s="66"/>
      <c r="Y180" s="66"/>
      <c r="Z180" s="66"/>
      <c r="AA180" s="71" t="str">
        <f t="shared" si="43"/>
        <v>1:208,32,48,215,16,24,224,8,12,231,16,24,243,16,24,xxx</v>
      </c>
      <c r="AB180" s="78" t="str">
        <f t="shared" si="60"/>
        <v>1:208,32,48,215,16,24,224,8,12,231,16,24,243,16,24</v>
      </c>
      <c r="AC180" t="str">
        <f t="shared" ref="AC180:AC200" si="67">IF(J180&gt;0,I180&amp;" "&amp;"{"&amp;J$6&amp;"}","xxx")</f>
        <v>闪电伤害 {0}</v>
      </c>
      <c r="AD180" t="str">
        <f t="shared" ref="AD180:AD199" si="68">_xlfn.IFNA(L180&amp;" "&amp;IF(N180=0," + "&amp;M180*VLOOKUP(L180,$BE$8:$BH$260,4,FALSE)," + {"&amp;M$6&amp;"}"),"xxx")</f>
        <v>闪电伤害%  + {1}</v>
      </c>
      <c r="AE180" t="str">
        <f t="shared" ref="AE180:AE199" si="69">_xlfn.IFNA(O180&amp;" "&amp;IF(Q180=0," + "&amp;P180*VLOOKUP(O180,$BE$8:$BH$260,4,FALSE)," + {"&amp;P$6&amp;"}"),"xxx")</f>
        <v>闪电减抗%  + {2}</v>
      </c>
      <c r="AF180" t="str">
        <f t="shared" ref="AF180:AF199" si="70">_xlfn.IFNA(R180&amp;" "&amp;IF(T180=0," + "&amp;S180*VLOOKUP(R180,$BE$8:$BH$260,4,FALSE)," + {"&amp;S$6&amp;"}"),"xxx")</f>
        <v>附加闪电伤害  + {3}</v>
      </c>
      <c r="AG180" t="str">
        <f t="shared" ref="AG180:AG199" si="71">_xlfn.IFNA(U180&amp;" "&amp;IF(W180=0," + "&amp;V180*VLOOKUP(U180,$BE$8:$BH$260,4,FALSE)," + {"&amp;V$6&amp;"}"),"xxx")</f>
        <v>感电系数  + {4}</v>
      </c>
      <c r="AI180" t="str">
        <f t="shared" si="44"/>
        <v xml:space="preserve">闪电伤害 {0}
</v>
      </c>
      <c r="AJ180" t="str">
        <f t="shared" si="45"/>
        <v xml:space="preserve">闪电伤害  + {1}%
</v>
      </c>
      <c r="AK180" t="str">
        <f t="shared" si="46"/>
        <v xml:space="preserve">闪电减抗  + {2}%
</v>
      </c>
      <c r="AL180" t="str">
        <f t="shared" si="47"/>
        <v xml:space="preserve">附加闪电伤害  + {3}%
</v>
      </c>
      <c r="AM180" t="str">
        <f t="shared" si="48"/>
        <v xml:space="preserve">感电系数  + {4}%
</v>
      </c>
      <c r="AO180" t="str">
        <f t="shared" ref="AO180:AO184" si="72">_xlfn.CONCAT(AI180:AN180)</f>
        <v xml:space="preserve">闪电伤害 {0}
闪电伤害  + {1}%
闪电减抗  + {2}%
附加闪电伤害  + {3}%
感电系数  + {4}%
</v>
      </c>
      <c r="AP180" s="6" t="str">
        <f t="shared" ref="AP180:AP184" si="73">SUBSTITUTE(AO180,"xxx","")</f>
        <v xml:space="preserve">闪电伤害 {0}
闪电伤害  + {1}%
闪电减抗  + {2}%
附加闪电伤害  + {3}%
感电系数  + {4}%
</v>
      </c>
      <c r="AQ180" s="80" t="s">
        <v>3766</v>
      </c>
      <c r="AR180" t="str">
        <f t="shared" ref="AR180:AR184" si="74">IFERROR(IF(AP180="",AQ180,AP180),AP180)</f>
        <v xml:space="preserve">闪电伤害 {0}
闪电伤害  + {1}%
闪电减抗  + {2}%
附加闪电伤害  + {3}%
感电系数  + {4}%
</v>
      </c>
      <c r="AS180" s="81" t="str">
        <f t="shared" ref="AS180:AS184" si="75">IF(AR180&lt;&gt;AQ180,IF(ISNUMBER(SEARCH(CHAR(10),AR180)),SUBSTITUTE(AR180,CHAR(10),"",LEN(AR180)-LEN(SUBSTITUTE(AR180,CHAR(10),""))),AR180),AR180)</f>
        <v>闪电伤害 {0}
闪电伤害  + {1}%
闪电减抗  + {2}%
附加闪电伤害  + {3}%
感电系数  + {4}%</v>
      </c>
      <c r="BE180" s="46" t="s">
        <v>3228</v>
      </c>
      <c r="BF180" s="46" t="s">
        <v>3054</v>
      </c>
      <c r="BG180" s="52">
        <v>804</v>
      </c>
      <c r="BH180" s="59">
        <v>1</v>
      </c>
      <c r="BI180" s="111">
        <f>COUNTIF($I$8:$I$1040,BE180)/COUNT($C$8:$C$1040)+COUNTIF($L$8:$L$1040,BE180)/COUNT($C$8:$C$1040)+COUNTIF($O$8:$O$1040,BE180)/COUNT($C$8:$C$1040)+COUNTIF($R$8:$R$1040,BE180)/COUNT($C$8:$C$1040)+COUNTIF($U$8:$U$1040,BE180)/COUNT($C$8:$C$1040)+COUNTIF($X$8:$X$1040,BE180)/COUNT($C$8:$C$1040)</f>
        <v>3.2679738562091504E-3</v>
      </c>
      <c r="BJ180" s="59"/>
      <c r="BK180" s="18">
        <v>2</v>
      </c>
    </row>
    <row r="181" spans="1:63" ht="15.75" x14ac:dyDescent="0.3">
      <c r="C181" s="59">
        <v>14867</v>
      </c>
      <c r="D181" s="59" t="s">
        <v>3941</v>
      </c>
      <c r="E181" s="59"/>
      <c r="F181" s="59" t="s">
        <v>2751</v>
      </c>
      <c r="G181" s="59"/>
      <c r="H181" s="72">
        <v>20</v>
      </c>
      <c r="I181" s="64" t="s">
        <v>2970</v>
      </c>
      <c r="J181" s="64">
        <v>4</v>
      </c>
      <c r="K181" s="64">
        <v>0.2</v>
      </c>
      <c r="L181" s="65" t="s">
        <v>2971</v>
      </c>
      <c r="M181" s="65">
        <v>4</v>
      </c>
      <c r="N181" s="65">
        <v>0.2</v>
      </c>
      <c r="O181" s="66" t="s">
        <v>2972</v>
      </c>
      <c r="P181" s="66">
        <v>4</v>
      </c>
      <c r="Q181" s="66">
        <v>0.2</v>
      </c>
      <c r="R181" s="64" t="s">
        <v>2973</v>
      </c>
      <c r="S181" s="64">
        <v>4</v>
      </c>
      <c r="T181" s="64">
        <v>0.2</v>
      </c>
      <c r="U181" s="65" t="s">
        <v>3204</v>
      </c>
      <c r="V181" s="65">
        <v>4</v>
      </c>
      <c r="W181" s="65">
        <v>0.2</v>
      </c>
      <c r="X181" s="66"/>
      <c r="Y181" s="66"/>
      <c r="Z181" s="66"/>
      <c r="AA181" s="71" t="str">
        <f t="shared" si="43"/>
        <v>1:205,16,24,206,32,48,207,32,48,208,32,48,330,32,48,xxx</v>
      </c>
      <c r="AB181" s="78" t="str">
        <f t="shared" si="60"/>
        <v>1:205,16,24,206,32,48,207,32,48,208,32,48,330,32,48</v>
      </c>
      <c r="AC181" t="str">
        <f t="shared" si="67"/>
        <v>元素伤害 {0}</v>
      </c>
      <c r="AD181" t="str">
        <f t="shared" si="68"/>
        <v>冰霜伤害  + {1}</v>
      </c>
      <c r="AE181" t="str">
        <f t="shared" si="69"/>
        <v>火焰伤害  + {2}</v>
      </c>
      <c r="AF181" t="str">
        <f t="shared" si="70"/>
        <v>闪电伤害  + {3}</v>
      </c>
      <c r="AG181" t="str">
        <f t="shared" si="71"/>
        <v>受到异常时间提升  + {4}</v>
      </c>
      <c r="AI181" t="str">
        <f t="shared" si="44"/>
        <v xml:space="preserve">元素伤害 {0}
</v>
      </c>
      <c r="AJ181" t="str">
        <f t="shared" si="45"/>
        <v xml:space="preserve">冰霜伤害  + {1}
</v>
      </c>
      <c r="AK181" t="str">
        <f t="shared" si="46"/>
        <v xml:space="preserve">火焰伤害  + {2}
</v>
      </c>
      <c r="AL181" t="str">
        <f t="shared" si="47"/>
        <v xml:space="preserve">闪电伤害  + {3}
</v>
      </c>
      <c r="AM181" t="str">
        <f t="shared" si="48"/>
        <v xml:space="preserve">受到异常时间提升  + {4}%
</v>
      </c>
      <c r="AO181" t="str">
        <f t="shared" si="72"/>
        <v xml:space="preserve">元素伤害 {0}
冰霜伤害  + {1}
火焰伤害  + {2}
闪电伤害  + {3}
受到异常时间提升  + {4}%
</v>
      </c>
      <c r="AP181" s="6" t="str">
        <f t="shared" si="73"/>
        <v xml:space="preserve">元素伤害 {0}
冰霜伤害  + {1}
火焰伤害  + {2}
闪电伤害  + {3}
受到异常时间提升  + {4}%
</v>
      </c>
      <c r="AQ181" s="80" t="s">
        <v>3767</v>
      </c>
      <c r="AR181" t="str">
        <f t="shared" si="74"/>
        <v xml:space="preserve">元素伤害 {0}
冰霜伤害  + {1}
火焰伤害  + {2}
闪电伤害  + {3}
受到异常时间提升  + {4}%
</v>
      </c>
      <c r="AS181" s="81" t="str">
        <f t="shared" si="75"/>
        <v>元素伤害 {0}
冰霜伤害  + {1}
火焰伤害  + {2}
闪电伤害  + {3}
受到异常时间提升  + {4}%</v>
      </c>
      <c r="BE181" s="46" t="s">
        <v>3099</v>
      </c>
      <c r="BF181" s="46" t="s">
        <v>3054</v>
      </c>
      <c r="BG181" s="52">
        <v>805</v>
      </c>
      <c r="BH181" s="59">
        <v>0.25</v>
      </c>
      <c r="BI181" s="111">
        <f>COUNTIF($I$8:$I$1040,BE181)/COUNT($C$8:$C$1040)+COUNTIF($L$8:$L$1040,BE181)/COUNT($C$8:$C$1040)+COUNTIF($O$8:$O$1040,BE181)/COUNT($C$8:$C$1040)+COUNTIF($R$8:$R$1040,BE181)/COUNT($C$8:$C$1040)+COUNTIF($U$8:$U$1040,BE181)/COUNT($C$8:$C$1040)+COUNTIF($X$8:$X$1040,BE181)/COUNT($C$8:$C$1040)</f>
        <v>6.5359477124183009E-3</v>
      </c>
      <c r="BJ181" s="59"/>
      <c r="BK181" s="18">
        <v>2</v>
      </c>
    </row>
    <row r="182" spans="1:63" ht="15.75" x14ac:dyDescent="0.3">
      <c r="C182" s="59">
        <v>14868</v>
      </c>
      <c r="D182" s="59" t="s">
        <v>3943</v>
      </c>
      <c r="E182" s="59"/>
      <c r="F182" s="59" t="s">
        <v>2751</v>
      </c>
      <c r="G182" s="59"/>
      <c r="H182" s="72">
        <v>10</v>
      </c>
      <c r="I182" s="64" t="s">
        <v>2971</v>
      </c>
      <c r="J182" s="64">
        <v>2</v>
      </c>
      <c r="K182" s="64">
        <v>0.2</v>
      </c>
      <c r="L182" s="65" t="s">
        <v>2953</v>
      </c>
      <c r="M182" s="65">
        <v>2</v>
      </c>
      <c r="N182" s="65">
        <v>0.2</v>
      </c>
      <c r="O182" s="66" t="s">
        <v>2954</v>
      </c>
      <c r="P182" s="66">
        <v>2</v>
      </c>
      <c r="Q182" s="66">
        <v>0.2</v>
      </c>
      <c r="R182" s="64" t="s">
        <v>3252</v>
      </c>
      <c r="S182" s="64">
        <v>2</v>
      </c>
      <c r="T182" s="64">
        <v>0.2</v>
      </c>
      <c r="U182" s="65" t="s">
        <v>2962</v>
      </c>
      <c r="V182" s="65">
        <v>2</v>
      </c>
      <c r="W182" s="65">
        <v>0.2</v>
      </c>
      <c r="X182" s="66"/>
      <c r="Y182" s="66"/>
      <c r="Z182" s="66"/>
      <c r="AA182" s="71" t="str">
        <f t="shared" si="43"/>
        <v>1:206,16,24,213,16,24,222,8,12,229,16,24,316,16,24,xxx</v>
      </c>
      <c r="AB182" s="78" t="str">
        <f t="shared" ref="AB182:AB186" si="76">IF(LEFT(SUBSTITUTE(AA182,"x",""),LEN(SUBSTITUTE(AA182,"x",""))-1)="1","",LEFT(SUBSTITUTE(AA182,"x",""),LEN(SUBSTITUTE(AA182,"x",""))-1))</f>
        <v>1:206,16,24,213,16,24,222,8,12,229,16,24,316,16,24</v>
      </c>
      <c r="AC182" t="str">
        <f t="shared" si="67"/>
        <v>冰霜伤害 {0}</v>
      </c>
      <c r="AD182" t="str">
        <f t="shared" si="68"/>
        <v>冰霜伤害%  + {1}</v>
      </c>
      <c r="AE182" t="str">
        <f t="shared" si="69"/>
        <v>冰霜减抗%  + {2}</v>
      </c>
      <c r="AF182" t="str">
        <f t="shared" si="70"/>
        <v>附加冰霜伤害  + {3}</v>
      </c>
      <c r="AG182" t="str">
        <f t="shared" si="71"/>
        <v>冰霜抗性%  + {4}</v>
      </c>
      <c r="AI182" t="str">
        <f t="shared" si="44"/>
        <v xml:space="preserve">冰霜伤害 {0}
</v>
      </c>
      <c r="AJ182" t="str">
        <f t="shared" si="45"/>
        <v xml:space="preserve">冰霜伤害  + {1}%
</v>
      </c>
      <c r="AK182" t="str">
        <f t="shared" si="46"/>
        <v xml:space="preserve">冰霜减抗  + {2}%
</v>
      </c>
      <c r="AL182" t="str">
        <f t="shared" si="47"/>
        <v xml:space="preserve">附加冰霜伤害  + {3}%
</v>
      </c>
      <c r="AM182" t="str">
        <f t="shared" si="48"/>
        <v xml:space="preserve">冰霜抗性  + {4}%
</v>
      </c>
      <c r="AO182" t="str">
        <f t="shared" si="72"/>
        <v xml:space="preserve">冰霜伤害 {0}
冰霜伤害  + {1}%
冰霜减抗  + {2}%
附加冰霜伤害  + {3}%
冰霜抗性  + {4}%
</v>
      </c>
      <c r="AP182" s="6" t="str">
        <f t="shared" si="73"/>
        <v xml:space="preserve">冰霜伤害 {0}
冰霜伤害  + {1}%
冰霜减抗  + {2}%
附加冰霜伤害  + {3}%
冰霜抗性  + {4}%
</v>
      </c>
      <c r="AQ182" s="80" t="s">
        <v>3768</v>
      </c>
      <c r="AR182" t="str">
        <f t="shared" si="74"/>
        <v xml:space="preserve">冰霜伤害 {0}
冰霜伤害  + {1}%
冰霜减抗  + {2}%
附加冰霜伤害  + {3}%
冰霜抗性  + {4}%
</v>
      </c>
      <c r="AS182" s="81" t="str">
        <f t="shared" si="75"/>
        <v>冰霜伤害 {0}
冰霜伤害  + {1}%
冰霜减抗  + {2}%
附加冰霜伤害  + {3}%
冰霜抗性  + {4}%</v>
      </c>
      <c r="BE182" s="46" t="s">
        <v>3100</v>
      </c>
      <c r="BF182" s="46" t="s">
        <v>3069</v>
      </c>
      <c r="BG182" s="52">
        <v>806</v>
      </c>
      <c r="BH182" s="59">
        <v>0.2</v>
      </c>
      <c r="BI182" s="111">
        <f>COUNTIF($I$8:$I$1040,BE182)/COUNT($C$8:$C$1040)+COUNTIF($L$8:$L$1040,BE182)/COUNT($C$8:$C$1040)+COUNTIF($O$8:$O$1040,BE182)/COUNT($C$8:$C$1040)+COUNTIF($R$8:$R$1040,BE182)/COUNT($C$8:$C$1040)+COUNTIF($U$8:$U$1040,BE182)/COUNT($C$8:$C$1040)+COUNTIF($X$8:$X$1040,BE182)/COUNT($C$8:$C$1040)</f>
        <v>3.2679738562091504E-3</v>
      </c>
      <c r="BJ182" s="59"/>
      <c r="BK182" s="18">
        <v>1</v>
      </c>
    </row>
    <row r="183" spans="1:63" ht="15.75" x14ac:dyDescent="0.3">
      <c r="C183" s="59">
        <v>14869</v>
      </c>
      <c r="D183" s="59" t="s">
        <v>3945</v>
      </c>
      <c r="E183" s="59"/>
      <c r="F183" s="59" t="s">
        <v>2751</v>
      </c>
      <c r="G183" s="59"/>
      <c r="H183" s="72">
        <v>8</v>
      </c>
      <c r="I183" s="64" t="s">
        <v>3077</v>
      </c>
      <c r="J183" s="64">
        <v>3</v>
      </c>
      <c r="K183" s="64">
        <v>0.2</v>
      </c>
      <c r="L183" s="65" t="s">
        <v>2935</v>
      </c>
      <c r="M183" s="65">
        <v>2</v>
      </c>
      <c r="N183" s="65">
        <v>0.2</v>
      </c>
      <c r="O183" s="66" t="s">
        <v>3194</v>
      </c>
      <c r="P183" s="66">
        <v>1</v>
      </c>
      <c r="Q183" s="66">
        <v>0.2</v>
      </c>
      <c r="R183" s="64" t="s">
        <v>2948</v>
      </c>
      <c r="S183" s="64">
        <v>2</v>
      </c>
      <c r="T183" s="64">
        <v>0.2</v>
      </c>
      <c r="U183" s="65"/>
      <c r="V183" s="65"/>
      <c r="W183" s="65"/>
      <c r="X183" s="66"/>
      <c r="Y183" s="66"/>
      <c r="Z183" s="66"/>
      <c r="AA183" s="71" t="str">
        <f t="shared" si="43"/>
        <v>1:702,24,36,705,32,48,720,0.8,1.2,409,8,12,xxxxxx</v>
      </c>
      <c r="AB183" s="78" t="str">
        <f t="shared" si="76"/>
        <v>1:702,24,36,705,32,48,720,0.8,1.2,409,8,12</v>
      </c>
      <c r="AC183" t="str">
        <f t="shared" si="67"/>
        <v>召唤物生命值% {0}</v>
      </c>
      <c r="AD183" t="str">
        <f t="shared" si="68"/>
        <v>召唤物物理伤害%  + {1}</v>
      </c>
      <c r="AE183" t="str">
        <f t="shared" si="69"/>
        <v>召唤物获得百分比最大生命值的护盾  + {2}</v>
      </c>
      <c r="AF183" t="str">
        <f t="shared" si="70"/>
        <v>冷却缩减%  + {3}</v>
      </c>
      <c r="AG183" t="str">
        <f t="shared" si="71"/>
        <v>xxx</v>
      </c>
      <c r="AI183" t="str">
        <f t="shared" si="44"/>
        <v xml:space="preserve">召唤物生命值 {0}%
</v>
      </c>
      <c r="AJ183" t="str">
        <f t="shared" si="45"/>
        <v xml:space="preserve">召唤物物理伤害  + {1}%
</v>
      </c>
      <c r="AK183" t="str">
        <f t="shared" si="46"/>
        <v xml:space="preserve">召唤物获得百分比最大生命值的护盾  + {2}%
</v>
      </c>
      <c r="AL183" t="str">
        <f t="shared" si="47"/>
        <v xml:space="preserve">冷却缩减  + {3}%
</v>
      </c>
      <c r="AM183" t="str">
        <f t="shared" si="48"/>
        <v>xxx</v>
      </c>
      <c r="AO183" t="str">
        <f t="shared" si="72"/>
        <v>召唤物生命值 {0}%
召唤物物理伤害  + {1}%
召唤物获得百分比最大生命值的护盾  + {2}%
冷却缩减  + {3}%
xxx</v>
      </c>
      <c r="AP183" s="6" t="str">
        <f t="shared" si="73"/>
        <v xml:space="preserve">召唤物生命值 {0}%
召唤物物理伤害  + {1}%
召唤物获得百分比最大生命值的护盾  + {2}%
冷却缩减  + {3}%
</v>
      </c>
      <c r="AQ183" s="80" t="s">
        <v>3769</v>
      </c>
      <c r="AR183" t="str">
        <f t="shared" si="74"/>
        <v xml:space="preserve">召唤物生命值 {0}%
召唤物物理伤害  + {1}%
召唤物获得百分比最大生命值的护盾  + {2}%
冷却缩减  + {3}%
</v>
      </c>
      <c r="AS183" s="81" t="str">
        <f t="shared" si="75"/>
        <v>召唤物生命值 {0}%
召唤物物理伤害  + {1}%
召唤物获得百分比最大生命值的护盾  + {2}%
冷却缩减  + {3}%</v>
      </c>
      <c r="BE183" s="46" t="s">
        <v>3101</v>
      </c>
      <c r="BF183" s="46" t="s">
        <v>3054</v>
      </c>
      <c r="BG183" s="52">
        <v>807</v>
      </c>
      <c r="BH183" s="59">
        <v>0.5</v>
      </c>
      <c r="BI183" s="111">
        <f>COUNTIF($I$8:$I$1040,BE183)/COUNT($C$8:$C$1040)+COUNTIF($L$8:$L$1040,BE183)/COUNT($C$8:$C$1040)+COUNTIF($O$8:$O$1040,BE183)/COUNT($C$8:$C$1040)+COUNTIF($R$8:$R$1040,BE183)/COUNT($C$8:$C$1040)+COUNTIF($U$8:$U$1040,BE183)/COUNT($C$8:$C$1040)+COUNTIF($X$8:$X$1040,BE183)/COUNT($C$8:$C$1040)</f>
        <v>3.2679738562091504E-3</v>
      </c>
      <c r="BJ183" s="59"/>
      <c r="BK183" s="18">
        <v>2</v>
      </c>
    </row>
    <row r="184" spans="1:63" ht="15.75" x14ac:dyDescent="0.3">
      <c r="C184" s="59">
        <v>14870</v>
      </c>
      <c r="D184" s="59" t="s">
        <v>3944</v>
      </c>
      <c r="E184" s="59"/>
      <c r="F184" s="59" t="s">
        <v>2751</v>
      </c>
      <c r="G184" s="59"/>
      <c r="H184" s="72">
        <v>10</v>
      </c>
      <c r="I184" s="64" t="s">
        <v>2927</v>
      </c>
      <c r="J184" s="64">
        <v>2</v>
      </c>
      <c r="K184" s="64">
        <v>0.2</v>
      </c>
      <c r="L184" s="65" t="s">
        <v>2953</v>
      </c>
      <c r="M184" s="65">
        <v>2</v>
      </c>
      <c r="N184" s="65">
        <v>0.2</v>
      </c>
      <c r="O184" s="66" t="s">
        <v>2926</v>
      </c>
      <c r="P184" s="66">
        <v>2</v>
      </c>
      <c r="Q184" s="66">
        <v>0.2</v>
      </c>
      <c r="R184" s="64" t="s">
        <v>2938</v>
      </c>
      <c r="S184" s="64">
        <v>2</v>
      </c>
      <c r="T184" s="64">
        <v>0.2</v>
      </c>
      <c r="U184" s="65" t="s">
        <v>2937</v>
      </c>
      <c r="V184" s="65">
        <v>2</v>
      </c>
      <c r="W184" s="65">
        <v>0.2</v>
      </c>
      <c r="X184" s="66"/>
      <c r="Y184" s="66"/>
      <c r="Z184" s="66"/>
      <c r="AA184" s="71" t="str">
        <f t="shared" si="43"/>
        <v>1:212,8,12,213,16,24,214,16,24,215,16,24,216,16,24,xxx</v>
      </c>
      <c r="AB184" s="78" t="str">
        <f t="shared" si="76"/>
        <v>1:212,8,12,213,16,24,214,16,24,215,16,24,216,16,24</v>
      </c>
      <c r="AC184" t="str">
        <f t="shared" si="67"/>
        <v>元素伤害% {0}</v>
      </c>
      <c r="AD184" t="str">
        <f t="shared" si="68"/>
        <v>冰霜伤害%  + {1}</v>
      </c>
      <c r="AE184" t="str">
        <f t="shared" si="69"/>
        <v>火焰伤害%  + {2}</v>
      </c>
      <c r="AF184" t="str">
        <f t="shared" si="70"/>
        <v>闪电伤害%  + {3}</v>
      </c>
      <c r="AG184" t="str">
        <f t="shared" si="71"/>
        <v>混沌伤害%  + {4}</v>
      </c>
      <c r="AI184" t="str">
        <f t="shared" si="44"/>
        <v xml:space="preserve">元素伤害 {0}%
</v>
      </c>
      <c r="AJ184" t="str">
        <f t="shared" si="45"/>
        <v xml:space="preserve">冰霜伤害  + {1}%
</v>
      </c>
      <c r="AK184" t="str">
        <f t="shared" si="46"/>
        <v xml:space="preserve">火焰伤害  + {2}%
</v>
      </c>
      <c r="AL184" t="str">
        <f t="shared" si="47"/>
        <v xml:space="preserve">闪电伤害  + {3}%
</v>
      </c>
      <c r="AM184" t="str">
        <f t="shared" si="48"/>
        <v xml:space="preserve">混沌伤害  + {4}%
</v>
      </c>
      <c r="AO184" t="str">
        <f t="shared" si="72"/>
        <v xml:space="preserve">元素伤害 {0}%
冰霜伤害  + {1}%
火焰伤害  + {2}%
闪电伤害  + {3}%
混沌伤害  + {4}%
</v>
      </c>
      <c r="AP184" s="6" t="str">
        <f t="shared" si="73"/>
        <v xml:space="preserve">元素伤害 {0}%
冰霜伤害  + {1}%
火焰伤害  + {2}%
闪电伤害  + {3}%
混沌伤害  + {4}%
</v>
      </c>
      <c r="AQ184" s="80" t="s">
        <v>3770</v>
      </c>
      <c r="AR184" t="str">
        <f t="shared" si="74"/>
        <v xml:space="preserve">元素伤害 {0}%
冰霜伤害  + {1}%
火焰伤害  + {2}%
闪电伤害  + {3}%
混沌伤害  + {4}%
</v>
      </c>
      <c r="AS184" s="81" t="str">
        <f t="shared" si="75"/>
        <v>元素伤害 {0}%
冰霜伤害  + {1}%
火焰伤害  + {2}%
闪电伤害  + {3}%
混沌伤害  + {4}%</v>
      </c>
      <c r="BE184" s="46" t="s">
        <v>3102</v>
      </c>
      <c r="BF184" s="46" t="s">
        <v>3135</v>
      </c>
      <c r="BG184" s="52">
        <v>808</v>
      </c>
      <c r="BH184" s="59">
        <v>0.25</v>
      </c>
      <c r="BI184" s="111">
        <f>COUNTIF($I$8:$I$1040,BE184)/COUNT($C$8:$C$1040)+COUNTIF($L$8:$L$1040,BE184)/COUNT($C$8:$C$1040)+COUNTIF($O$8:$O$1040,BE184)/COUNT($C$8:$C$1040)+COUNTIF($R$8:$R$1040,BE184)/COUNT($C$8:$C$1040)+COUNTIF($U$8:$U$1040,BE184)/COUNT($C$8:$C$1040)+COUNTIF($X$8:$X$1040,BE184)/COUNT($C$8:$C$1040)</f>
        <v>6.5359477124183009E-3</v>
      </c>
      <c r="BJ184" s="59"/>
      <c r="BK184" s="18">
        <v>2</v>
      </c>
    </row>
    <row r="185" spans="1:63" ht="15.75" x14ac:dyDescent="0.3">
      <c r="C185" s="59">
        <v>14871</v>
      </c>
      <c r="D185" s="59" t="s">
        <v>4110</v>
      </c>
      <c r="E185" s="59"/>
      <c r="F185" s="59"/>
      <c r="G185" s="59"/>
      <c r="H185" s="72">
        <v>10</v>
      </c>
      <c r="I185" s="64" t="s">
        <v>2971</v>
      </c>
      <c r="J185" s="64">
        <v>2</v>
      </c>
      <c r="K185" s="64">
        <v>0.2</v>
      </c>
      <c r="L185" s="65" t="s">
        <v>2953</v>
      </c>
      <c r="M185" s="65">
        <v>2</v>
      </c>
      <c r="N185" s="65">
        <v>0.2</v>
      </c>
      <c r="O185" s="66" t="s">
        <v>2929</v>
      </c>
      <c r="P185" s="66">
        <v>2</v>
      </c>
      <c r="Q185" s="66">
        <v>0.2</v>
      </c>
      <c r="R185" s="64" t="s">
        <v>3252</v>
      </c>
      <c r="S185" s="64">
        <v>2</v>
      </c>
      <c r="T185" s="64">
        <v>0.2</v>
      </c>
      <c r="U185" s="65" t="s">
        <v>3260</v>
      </c>
      <c r="V185" s="65">
        <v>2</v>
      </c>
      <c r="W185" s="65">
        <v>0.2</v>
      </c>
      <c r="X185" s="66"/>
      <c r="Y185" s="66"/>
      <c r="Z185" s="66"/>
      <c r="AA185" s="71" t="str">
        <f t="shared" si="43"/>
        <v>1:206,16,24,213,16,24,103,16,24,229,16,24,416,8,12,xxx</v>
      </c>
      <c r="AB185" s="78" t="str">
        <f t="shared" si="76"/>
        <v>1:206,16,24,213,16,24,103,16,24,229,16,24,416,8,12</v>
      </c>
      <c r="AC185" t="str">
        <f t="shared" si="67"/>
        <v>冰霜伤害 {0}</v>
      </c>
      <c r="AD185" t="str">
        <f t="shared" si="68"/>
        <v>冰霜伤害%  + {1}</v>
      </c>
      <c r="AE185" t="str">
        <f t="shared" si="69"/>
        <v>智力  + {2}</v>
      </c>
      <c r="AF185" t="str">
        <f t="shared" si="70"/>
        <v>附加冰霜伤害  + {3}</v>
      </c>
      <c r="AG185" t="str">
        <f t="shared" si="71"/>
        <v>控制时间%  + {4}</v>
      </c>
      <c r="AI185" t="str">
        <f t="shared" si="44"/>
        <v xml:space="preserve">冰霜伤害 {0}
</v>
      </c>
      <c r="AJ185" t="str">
        <f t="shared" si="45"/>
        <v xml:space="preserve">冰霜伤害  + {1}%
</v>
      </c>
      <c r="AK185" t="str">
        <f t="shared" si="46"/>
        <v xml:space="preserve">智力  + {2}
</v>
      </c>
      <c r="AL185" t="str">
        <f t="shared" si="47"/>
        <v xml:space="preserve">附加冰霜伤害  + {3}%
</v>
      </c>
      <c r="AM185" t="str">
        <f t="shared" si="48"/>
        <v xml:space="preserve">控制时间  + {4}%
</v>
      </c>
      <c r="AO185" t="str">
        <f t="shared" ref="AO185:AO186" si="77">_xlfn.CONCAT(AI185:AN185)</f>
        <v xml:space="preserve">冰霜伤害 {0}
冰霜伤害  + {1}%
智力  + {2}
附加冰霜伤害  + {3}%
控制时间  + {4}%
</v>
      </c>
      <c r="AP185" s="6" t="str">
        <f t="shared" ref="AP185:AP186" si="78">SUBSTITUTE(AO185,"xxx","")</f>
        <v xml:space="preserve">冰霜伤害 {0}
冰霜伤害  + {1}%
智力  + {2}
附加冰霜伤害  + {3}%
控制时间  + {4}%
</v>
      </c>
      <c r="AQ185" s="80" t="s">
        <v>3771</v>
      </c>
      <c r="AR185" t="str">
        <f t="shared" ref="AR185:AR186" si="79">IFERROR(IF(AP185="",AQ185,AP185),AP185)</f>
        <v xml:space="preserve">冰霜伤害 {0}
冰霜伤害  + {1}%
智力  + {2}
附加冰霜伤害  + {3}%
控制时间  + {4}%
</v>
      </c>
      <c r="AS185" s="81" t="str">
        <f t="shared" ref="AS185:AS186" si="80">IF(AR185&lt;&gt;AQ185,IF(ISNUMBER(SEARCH(CHAR(10),AR185)),SUBSTITUTE(AR185,CHAR(10),"",LEN(AR185)-LEN(SUBSTITUTE(AR185,CHAR(10),""))),AR185),AR185)</f>
        <v>冰霜伤害 {0}
冰霜伤害  + {1}%
智力  + {2}
附加冰霜伤害  + {3}%
控制时间  + {4}%</v>
      </c>
      <c r="BE185" s="46"/>
      <c r="BF185" s="46"/>
      <c r="BG185" s="52"/>
      <c r="BH185" s="59"/>
      <c r="BI185" s="59"/>
      <c r="BJ185" s="59"/>
      <c r="BK185" s="18"/>
    </row>
    <row r="186" spans="1:63" ht="15.75" x14ac:dyDescent="0.3">
      <c r="C186" s="59">
        <v>14872</v>
      </c>
      <c r="D186" s="59" t="s">
        <v>4111</v>
      </c>
      <c r="E186" s="59"/>
      <c r="F186" s="59"/>
      <c r="G186" s="59"/>
      <c r="H186" s="72"/>
      <c r="I186" s="64" t="s">
        <v>2971</v>
      </c>
      <c r="J186" s="64">
        <v>1.5</v>
      </c>
      <c r="K186" s="64">
        <v>0.2</v>
      </c>
      <c r="L186" s="65" t="s">
        <v>2953</v>
      </c>
      <c r="M186" s="65">
        <v>2.5</v>
      </c>
      <c r="N186" s="65">
        <v>0.2</v>
      </c>
      <c r="O186" s="66" t="s">
        <v>2954</v>
      </c>
      <c r="P186" s="66">
        <v>2</v>
      </c>
      <c r="Q186" s="66">
        <v>0.2</v>
      </c>
      <c r="R186" s="64" t="s">
        <v>3025</v>
      </c>
      <c r="S186" s="64">
        <v>2</v>
      </c>
      <c r="T186" s="64">
        <v>0</v>
      </c>
      <c r="U186" s="65" t="s">
        <v>3240</v>
      </c>
      <c r="V186" s="65">
        <v>2</v>
      </c>
      <c r="W186" s="65">
        <v>0</v>
      </c>
      <c r="X186" s="66" t="s">
        <v>4142</v>
      </c>
      <c r="Y186" s="66">
        <v>4</v>
      </c>
      <c r="Z186" s="66">
        <v>0</v>
      </c>
      <c r="AA186" s="71" t="str">
        <f t="shared" si="43"/>
        <v>1:206,12,18,213,20,30,222,8,12,404,1,1,434,20,20,405,1,1,</v>
      </c>
      <c r="AB186" s="78" t="str">
        <f t="shared" si="76"/>
        <v>1:206,12,18,213,20,30,222,8,12,404,1,1,434,20,20,405,1,1</v>
      </c>
      <c r="AC186" t="str">
        <f t="shared" si="67"/>
        <v>冰霜伤害 {0}</v>
      </c>
      <c r="AD186" t="str">
        <f t="shared" si="68"/>
        <v>冰霜伤害%  + {1}</v>
      </c>
      <c r="AE186" t="str">
        <f t="shared" si="69"/>
        <v>冰霜减抗%  + {2}</v>
      </c>
      <c r="AF186" t="str">
        <f t="shared" si="70"/>
        <v>子弹数量  + 1</v>
      </c>
      <c r="AG186" t="str">
        <f t="shared" si="71"/>
        <v>子弹技能范围%  + 20</v>
      </c>
      <c r="AI186" t="str">
        <f t="shared" si="44"/>
        <v xml:space="preserve">冰霜伤害 {0}
</v>
      </c>
      <c r="AJ186" t="str">
        <f t="shared" si="45"/>
        <v xml:space="preserve">冰霜伤害  + {1}%
</v>
      </c>
      <c r="AK186" t="str">
        <f t="shared" si="46"/>
        <v xml:space="preserve">冰霜减抗  + {2}%
</v>
      </c>
      <c r="AL186" t="str">
        <f t="shared" si="47"/>
        <v xml:space="preserve">子弹数量  + 1
</v>
      </c>
      <c r="AM186" t="str">
        <f t="shared" si="48"/>
        <v xml:space="preserve">子弹技能范围  + 20%
</v>
      </c>
      <c r="AO186" t="str">
        <f t="shared" si="77"/>
        <v xml:space="preserve">冰霜伤害 {0}
冰霜伤害  + {1}%
冰霜减抗  + {2}%
子弹数量  + 1
子弹技能范围  + 20%
</v>
      </c>
      <c r="AP186" s="6" t="str">
        <f t="shared" si="78"/>
        <v xml:space="preserve">冰霜伤害 {0}
冰霜伤害  + {1}%
冰霜减抗  + {2}%
子弹数量  + 1
子弹技能范围  + 20%
</v>
      </c>
      <c r="AQ186" s="80" t="s">
        <v>3772</v>
      </c>
      <c r="AR186" t="str">
        <f t="shared" si="79"/>
        <v xml:space="preserve">冰霜伤害 {0}
冰霜伤害  + {1}%
冰霜减抗  + {2}%
子弹数量  + 1
子弹技能范围  + 20%
</v>
      </c>
      <c r="AS186" s="81" t="str">
        <f t="shared" si="80"/>
        <v>冰霜伤害 {0}
冰霜伤害  + {1}%
冰霜减抗  + {2}%
子弹数量  + 1
子弹技能范围  + 20%</v>
      </c>
      <c r="BE186" s="46"/>
      <c r="BF186" s="46"/>
      <c r="BG186" s="52"/>
      <c r="BH186" s="59"/>
      <c r="BI186" s="59"/>
      <c r="BJ186" s="59"/>
      <c r="BK186" s="18"/>
    </row>
    <row r="187" spans="1:63" ht="15.75" x14ac:dyDescent="0.3">
      <c r="A187" t="s">
        <v>4265</v>
      </c>
      <c r="B187" t="s">
        <v>4278</v>
      </c>
      <c r="C187" s="59">
        <v>14873</v>
      </c>
      <c r="D187" s="59" t="s">
        <v>4171</v>
      </c>
      <c r="E187" s="59"/>
      <c r="F187" s="59"/>
      <c r="G187" s="59"/>
      <c r="H187" s="72"/>
      <c r="I187" s="64" t="s">
        <v>2926</v>
      </c>
      <c r="J187" s="64">
        <v>3</v>
      </c>
      <c r="K187" s="64">
        <v>0.4</v>
      </c>
      <c r="L187" s="65" t="s">
        <v>4266</v>
      </c>
      <c r="M187" s="65">
        <v>2</v>
      </c>
      <c r="N187" s="65">
        <v>0.4</v>
      </c>
      <c r="O187" s="66" t="s">
        <v>3581</v>
      </c>
      <c r="P187" s="66">
        <v>2</v>
      </c>
      <c r="Q187" s="66">
        <v>0</v>
      </c>
      <c r="R187" s="64" t="s">
        <v>3033</v>
      </c>
      <c r="S187" s="64">
        <v>2</v>
      </c>
      <c r="T187" s="64">
        <v>0.2</v>
      </c>
      <c r="U187" s="65" t="s">
        <v>3254</v>
      </c>
      <c r="V187" s="65">
        <v>1.5</v>
      </c>
      <c r="W187" s="65">
        <v>0.2</v>
      </c>
      <c r="X187" s="66"/>
      <c r="Y187" s="66"/>
      <c r="Z187" s="66"/>
      <c r="AA187" s="71" t="str">
        <f t="shared" si="43"/>
        <v>1:214,18,42,219,12,28,501,4,4,415,8,12,414,6,9,xxx</v>
      </c>
      <c r="AB187" s="78" t="str">
        <f t="shared" ref="AB187:AB219" si="81">IF(LEFT(SUBSTITUTE(AA187,"x",""),LEN(SUBSTITUTE(AA187,"x",""))-1)="1","",LEFT(SUBSTITUTE(AA187,"x",""),LEN(SUBSTITUTE(AA187,"x",""))-1))</f>
        <v>1:214,18,42,219,12,28,501,4,4,415,8,12,414,6,9</v>
      </c>
      <c r="AC187" t="str">
        <f t="shared" si="67"/>
        <v>火焰伤害% {0}</v>
      </c>
      <c r="AD187" t="str">
        <f t="shared" si="68"/>
        <v>暴击几率%  + {1}</v>
      </c>
      <c r="AE187" t="str">
        <f t="shared" si="69"/>
        <v>刷新次数  + 4</v>
      </c>
      <c r="AF187" t="str">
        <f t="shared" si="70"/>
        <v>持续时间%  + {3}</v>
      </c>
      <c r="AG187" t="str">
        <f t="shared" si="71"/>
        <v>技能范围%  + {4}</v>
      </c>
      <c r="AI187" t="str">
        <f t="shared" si="44"/>
        <v xml:space="preserve">火焰伤害 {0}%
</v>
      </c>
      <c r="AJ187" t="str">
        <f t="shared" si="45"/>
        <v xml:space="preserve">暴击几率  + {1}%
</v>
      </c>
      <c r="AK187" t="str">
        <f t="shared" si="46"/>
        <v xml:space="preserve">刷新次数  + 4
</v>
      </c>
      <c r="AL187" t="str">
        <f t="shared" si="47"/>
        <v xml:space="preserve">持续时间  + {3}%
</v>
      </c>
      <c r="AM187" t="str">
        <f t="shared" si="48"/>
        <v xml:space="preserve">技能范围  + {4}%
</v>
      </c>
      <c r="AO187" t="str">
        <f t="shared" ref="AO187:AO219" si="82">_xlfn.CONCAT(AI187:AN187)</f>
        <v xml:space="preserve">火焰伤害 {0}%
暴击几率  + {1}%
刷新次数  + 4
持续时间  + {3}%
技能范围  + {4}%
</v>
      </c>
      <c r="AP187" s="6" t="str">
        <f t="shared" ref="AP187:AP219" si="83">SUBSTITUTE(AO187,"xxx","")</f>
        <v xml:space="preserve">火焰伤害 {0}%
暴击几率  + {1}%
刷新次数  + 4
持续时间  + {3}%
技能范围  + {4}%
</v>
      </c>
      <c r="AQ187" s="80" t="s">
        <v>3773</v>
      </c>
      <c r="AR187" t="str">
        <f t="shared" ref="AR187:AR219" si="84">IFERROR(IF(AP187="",AQ187,AP187),AP187)</f>
        <v xml:space="preserve">火焰伤害 {0}%
暴击几率  + {1}%
刷新次数  + 4
持续时间  + {3}%
技能范围  + {4}%
</v>
      </c>
      <c r="AS187" s="81" t="str">
        <f t="shared" ref="AS187:AS219" si="85">IF(AR187&lt;&gt;AQ187,IF(ISNUMBER(SEARCH(CHAR(10),AR187)),SUBSTITUTE(AR187,CHAR(10),"",LEN(AR187)-LEN(SUBSTITUTE(AR187,CHAR(10),""))),AR187),AR187)</f>
        <v>火焰伤害 {0}%
暴击几率  + {1}%
刷新次数  + 4
持续时间  + {3}%
技能范围  + {4}%</v>
      </c>
      <c r="BE187" s="46"/>
      <c r="BF187" s="46"/>
      <c r="BG187" s="52"/>
      <c r="BH187" s="59"/>
      <c r="BI187" s="59"/>
      <c r="BJ187" s="59"/>
      <c r="BK187" s="18"/>
    </row>
    <row r="188" spans="1:63" ht="15.75" x14ac:dyDescent="0.3">
      <c r="C188" s="59">
        <v>14874</v>
      </c>
      <c r="D188" s="59" t="s">
        <v>4176</v>
      </c>
      <c r="E188" s="59"/>
      <c r="F188" s="59"/>
      <c r="G188" s="59"/>
      <c r="H188" s="72"/>
      <c r="I188" s="64" t="s">
        <v>3146</v>
      </c>
      <c r="J188" s="64">
        <v>2</v>
      </c>
      <c r="K188" s="64">
        <v>0.2</v>
      </c>
      <c r="L188" s="65" t="s">
        <v>2928</v>
      </c>
      <c r="M188" s="65">
        <v>2</v>
      </c>
      <c r="N188" s="65">
        <v>0.4</v>
      </c>
      <c r="O188" s="66" t="s">
        <v>3173</v>
      </c>
      <c r="P188" s="66">
        <v>3</v>
      </c>
      <c r="Q188" s="66">
        <v>0.4</v>
      </c>
      <c r="R188" s="64" t="s">
        <v>2950</v>
      </c>
      <c r="S188" s="64">
        <v>2</v>
      </c>
      <c r="T188" s="64">
        <v>0.2</v>
      </c>
      <c r="U188" s="65" t="s">
        <v>2944</v>
      </c>
      <c r="V188" s="65">
        <v>4</v>
      </c>
      <c r="W188" s="65">
        <v>0.4</v>
      </c>
      <c r="X188" s="66"/>
      <c r="Y188" s="66"/>
      <c r="Z188" s="66"/>
      <c r="AA188" s="71" t="str">
        <f t="shared" si="43"/>
        <v>1:241,16,24,223,6,14,230,18,42,304,16,24,317,24,56,xxx</v>
      </c>
      <c r="AB188" s="78" t="str">
        <f t="shared" si="81"/>
        <v>1:241,16,24,223,6,14,230,18,42,304,16,24,317,24,56</v>
      </c>
      <c r="AC188" t="str">
        <f t="shared" si="67"/>
        <v>灼烧系数 {0}</v>
      </c>
      <c r="AD188" t="str">
        <f t="shared" si="68"/>
        <v>火焰减抗%  + {1}</v>
      </c>
      <c r="AE188" t="str">
        <f t="shared" si="69"/>
        <v>附加火焰伤害  + {2}</v>
      </c>
      <c r="AF188" t="str">
        <f t="shared" si="70"/>
        <v>生命回复%  + {3}</v>
      </c>
      <c r="AG188" t="str">
        <f t="shared" si="71"/>
        <v>火焰抗性%  + {4}</v>
      </c>
      <c r="AI188" t="str">
        <f t="shared" si="44"/>
        <v xml:space="preserve">灼烧系数 {0}%
</v>
      </c>
      <c r="AJ188" t="str">
        <f t="shared" si="45"/>
        <v xml:space="preserve">火焰减抗  + {1}%
</v>
      </c>
      <c r="AK188" t="str">
        <f t="shared" si="46"/>
        <v xml:space="preserve">附加火焰伤害  + {2}%
</v>
      </c>
      <c r="AL188" t="str">
        <f t="shared" si="47"/>
        <v xml:space="preserve">生命回复  + {3}%
</v>
      </c>
      <c r="AM188" t="str">
        <f t="shared" si="48"/>
        <v xml:space="preserve">火焰抗性  + {4}%
</v>
      </c>
      <c r="AO188" t="str">
        <f t="shared" si="82"/>
        <v xml:space="preserve">灼烧系数 {0}%
火焰减抗  + {1}%
附加火焰伤害  + {2}%
生命回复  + {3}%
火焰抗性  + {4}%
</v>
      </c>
      <c r="AP188" s="6" t="str">
        <f t="shared" si="83"/>
        <v xml:space="preserve">灼烧系数 {0}%
火焰减抗  + {1}%
附加火焰伤害  + {2}%
生命回复  + {3}%
火焰抗性  + {4}%
</v>
      </c>
      <c r="AQ188" s="80" t="s">
        <v>3783</v>
      </c>
      <c r="AR188" t="str">
        <f t="shared" si="84"/>
        <v xml:space="preserve">灼烧系数 {0}%
火焰减抗  + {1}%
附加火焰伤害  + {2}%
生命回复  + {3}%
火焰抗性  + {4}%
</v>
      </c>
      <c r="AS188" s="81" t="str">
        <f t="shared" si="85"/>
        <v>灼烧系数 {0}%
火焰减抗  + {1}%
附加火焰伤害  + {2}%
生命回复  + {3}%
火焰抗性  + {4}%</v>
      </c>
      <c r="BE188" s="46"/>
      <c r="BF188" s="46"/>
      <c r="BG188" s="52"/>
      <c r="BH188" s="59"/>
      <c r="BI188" s="59"/>
      <c r="BJ188" s="59"/>
      <c r="BK188" s="18"/>
    </row>
    <row r="189" spans="1:63" ht="15.75" x14ac:dyDescent="0.3">
      <c r="C189" s="59">
        <v>14875</v>
      </c>
      <c r="D189" s="59" t="s">
        <v>4179</v>
      </c>
      <c r="E189" s="59"/>
      <c r="F189" s="59"/>
      <c r="G189" s="59"/>
      <c r="H189" s="72"/>
      <c r="I189" s="64" t="s">
        <v>2967</v>
      </c>
      <c r="J189" s="64">
        <v>3</v>
      </c>
      <c r="K189" s="64">
        <v>0.4</v>
      </c>
      <c r="L189" s="65" t="s">
        <v>2926</v>
      </c>
      <c r="M189" s="65">
        <v>3</v>
      </c>
      <c r="N189" s="65">
        <v>0.4</v>
      </c>
      <c r="O189" s="66" t="s">
        <v>2974</v>
      </c>
      <c r="P189" s="66">
        <v>2</v>
      </c>
      <c r="Q189" s="66">
        <v>0.2</v>
      </c>
      <c r="R189" s="64" t="s">
        <v>3020</v>
      </c>
      <c r="S189" s="64">
        <v>4</v>
      </c>
      <c r="T189" s="64">
        <v>0.4</v>
      </c>
      <c r="U189" s="65" t="s">
        <v>3180</v>
      </c>
      <c r="V189" s="65">
        <v>2</v>
      </c>
      <c r="W189" s="65">
        <v>0.4</v>
      </c>
      <c r="X189" s="66"/>
      <c r="Y189" s="66"/>
      <c r="Z189" s="66"/>
      <c r="AA189" s="71" t="str">
        <f t="shared" si="43"/>
        <v>1:201,9,21,214,18,42,210,16,24,329,24,56,300,24,56,xxx</v>
      </c>
      <c r="AB189" s="78" t="str">
        <f t="shared" si="81"/>
        <v>1:201,9,21,214,18,42,210,16,24,329,24,56,300,24,56</v>
      </c>
      <c r="AC189" t="str">
        <f t="shared" si="67"/>
        <v>攻击力 {0}</v>
      </c>
      <c r="AD189" t="str">
        <f t="shared" si="68"/>
        <v>火焰伤害%  + {1}</v>
      </c>
      <c r="AE189" t="str">
        <f t="shared" si="69"/>
        <v>持续性伤害  + {2}</v>
      </c>
      <c r="AF189" t="str">
        <f t="shared" si="70"/>
        <v>受到灼烧时间提升  + {3}</v>
      </c>
      <c r="AG189" t="str">
        <f t="shared" si="71"/>
        <v>最大生命值  + {4}</v>
      </c>
      <c r="AI189" t="str">
        <f t="shared" si="44"/>
        <v xml:space="preserve">攻击力 {0}
</v>
      </c>
      <c r="AJ189" t="str">
        <f t="shared" si="45"/>
        <v xml:space="preserve">火焰伤害  + {1}%
</v>
      </c>
      <c r="AK189" t="str">
        <f t="shared" si="46"/>
        <v xml:space="preserve">持续性伤害  + {2}
</v>
      </c>
      <c r="AL189" t="str">
        <f t="shared" si="47"/>
        <v xml:space="preserve">受到灼烧时间提升  + {3}%
</v>
      </c>
      <c r="AM189" t="str">
        <f t="shared" si="48"/>
        <v xml:space="preserve">最大生命值  + {4}
</v>
      </c>
      <c r="AO189" t="str">
        <f t="shared" si="82"/>
        <v xml:space="preserve">攻击力 {0}
火焰伤害  + {1}%
持续性伤害  + {2}
受到灼烧时间提升  + {3}%
最大生命值  + {4}
</v>
      </c>
      <c r="AP189" s="6" t="str">
        <f t="shared" si="83"/>
        <v xml:space="preserve">攻击力 {0}
火焰伤害  + {1}%
持续性伤害  + {2}
受到灼烧时间提升  + {3}%
最大生命值  + {4}
</v>
      </c>
      <c r="AQ189" s="80" t="s">
        <v>3784</v>
      </c>
      <c r="AR189" t="str">
        <f t="shared" si="84"/>
        <v xml:space="preserve">攻击力 {0}
火焰伤害  + {1}%
持续性伤害  + {2}
受到灼烧时间提升  + {3}%
最大生命值  + {4}
</v>
      </c>
      <c r="AS189" s="81" t="str">
        <f t="shared" si="85"/>
        <v>攻击力 {0}
火焰伤害  + {1}%
持续性伤害  + {2}
受到灼烧时间提升  + {3}%
最大生命值  + {4}</v>
      </c>
      <c r="BE189" s="46"/>
      <c r="BF189" s="46"/>
      <c r="BG189" s="52"/>
      <c r="BH189" s="59"/>
      <c r="BI189" s="59"/>
      <c r="BJ189" s="59"/>
      <c r="BK189" s="18"/>
    </row>
    <row r="190" spans="1:63" ht="15.75" x14ac:dyDescent="0.3">
      <c r="C190" s="59">
        <v>14876</v>
      </c>
      <c r="D190" s="59" t="s">
        <v>4183</v>
      </c>
      <c r="E190" s="59"/>
      <c r="F190" s="59"/>
      <c r="G190" s="59"/>
      <c r="H190" s="72"/>
      <c r="I190" s="64" t="s">
        <v>2971</v>
      </c>
      <c r="J190" s="64">
        <v>3</v>
      </c>
      <c r="K190" s="64">
        <v>0.4</v>
      </c>
      <c r="L190" s="65" t="s">
        <v>2962</v>
      </c>
      <c r="M190" s="65">
        <v>1.5</v>
      </c>
      <c r="N190" s="65">
        <v>0.4</v>
      </c>
      <c r="O190" s="66" t="s">
        <v>3252</v>
      </c>
      <c r="P190" s="66">
        <v>2</v>
      </c>
      <c r="Q190" s="66">
        <v>0.4</v>
      </c>
      <c r="R190" s="64" t="s">
        <v>3581</v>
      </c>
      <c r="S190" s="64">
        <v>2</v>
      </c>
      <c r="T190" s="64">
        <v>0</v>
      </c>
      <c r="U190" s="65" t="s">
        <v>3254</v>
      </c>
      <c r="V190" s="65">
        <v>1.5</v>
      </c>
      <c r="W190" s="65">
        <v>0.2</v>
      </c>
      <c r="X190" s="66"/>
      <c r="Y190" s="66"/>
      <c r="Z190" s="66"/>
      <c r="AA190" s="71" t="str">
        <f t="shared" si="43"/>
        <v>1:206,18,42,316,9,21,229,12,28,501,4,4,414,6,9,xxx</v>
      </c>
      <c r="AB190" s="78" t="str">
        <f t="shared" si="81"/>
        <v>1:206,18,42,316,9,21,229,12,28,501,4,4,414,6,9</v>
      </c>
      <c r="AC190" t="str">
        <f t="shared" si="67"/>
        <v>冰霜伤害 {0}</v>
      </c>
      <c r="AD190" t="str">
        <f t="shared" si="68"/>
        <v>冰霜抗性%  + {1}</v>
      </c>
      <c r="AE190" t="str">
        <f t="shared" si="69"/>
        <v>附加冰霜伤害  + {2}</v>
      </c>
      <c r="AF190" t="str">
        <f t="shared" si="70"/>
        <v>刷新次数  + 4</v>
      </c>
      <c r="AG190" t="str">
        <f t="shared" si="71"/>
        <v>技能范围%  + {4}</v>
      </c>
      <c r="AI190" t="str">
        <f t="shared" si="44"/>
        <v xml:space="preserve">冰霜伤害 {0}
</v>
      </c>
      <c r="AJ190" t="str">
        <f t="shared" si="45"/>
        <v xml:space="preserve">冰霜抗性  + {1}%
</v>
      </c>
      <c r="AK190" t="str">
        <f t="shared" si="46"/>
        <v xml:space="preserve">附加冰霜伤害  + {2}%
</v>
      </c>
      <c r="AL190" t="str">
        <f t="shared" si="47"/>
        <v xml:space="preserve">刷新次数  + 4
</v>
      </c>
      <c r="AM190" t="str">
        <f t="shared" si="48"/>
        <v xml:space="preserve">技能范围  + {4}%
</v>
      </c>
      <c r="AO190" t="str">
        <f t="shared" si="82"/>
        <v xml:space="preserve">冰霜伤害 {0}
冰霜抗性  + {1}%
附加冰霜伤害  + {2}%
刷新次数  + 4
技能范围  + {4}%
</v>
      </c>
      <c r="AP190" s="6" t="str">
        <f t="shared" si="83"/>
        <v xml:space="preserve">冰霜伤害 {0}
冰霜抗性  + {1}%
附加冰霜伤害  + {2}%
刷新次数  + 4
技能范围  + {4}%
</v>
      </c>
      <c r="AQ190" s="80" t="s">
        <v>3785</v>
      </c>
      <c r="AR190" t="str">
        <f t="shared" si="84"/>
        <v xml:space="preserve">冰霜伤害 {0}
冰霜抗性  + {1}%
附加冰霜伤害  + {2}%
刷新次数  + 4
技能范围  + {4}%
</v>
      </c>
      <c r="AS190" s="81" t="str">
        <f t="shared" si="85"/>
        <v>冰霜伤害 {0}
冰霜抗性  + {1}%
附加冰霜伤害  + {2}%
刷新次数  + 4
技能范围  + {4}%</v>
      </c>
      <c r="BE190" s="46"/>
      <c r="BF190" s="46"/>
      <c r="BG190" s="52"/>
      <c r="BH190" s="59"/>
      <c r="BI190" s="59"/>
      <c r="BJ190" s="59"/>
      <c r="BK190" s="18"/>
    </row>
    <row r="191" spans="1:63" ht="15.75" x14ac:dyDescent="0.3">
      <c r="C191" s="59">
        <v>14877</v>
      </c>
      <c r="D191" s="59" t="s">
        <v>4187</v>
      </c>
      <c r="E191" s="59"/>
      <c r="F191" s="59"/>
      <c r="G191" s="59"/>
      <c r="H191" s="72"/>
      <c r="I191" s="64" t="s">
        <v>2971</v>
      </c>
      <c r="J191" s="64">
        <v>2</v>
      </c>
      <c r="K191" s="64">
        <v>0.4</v>
      </c>
      <c r="L191" s="65" t="s">
        <v>2953</v>
      </c>
      <c r="M191" s="65">
        <v>1.5</v>
      </c>
      <c r="N191" s="65">
        <v>0.2</v>
      </c>
      <c r="O191" s="66" t="s">
        <v>2962</v>
      </c>
      <c r="P191" s="66">
        <v>3</v>
      </c>
      <c r="Q191" s="66">
        <v>0.4</v>
      </c>
      <c r="R191" s="64" t="s">
        <v>2959</v>
      </c>
      <c r="S191" s="64">
        <v>1</v>
      </c>
      <c r="T191" s="64">
        <v>0.2</v>
      </c>
      <c r="U191" s="65" t="s">
        <v>2952</v>
      </c>
      <c r="V191" s="65">
        <v>2</v>
      </c>
      <c r="W191" s="65">
        <v>0.2</v>
      </c>
      <c r="X191" s="66"/>
      <c r="Y191" s="66"/>
      <c r="Z191" s="66"/>
      <c r="AA191" s="71" t="str">
        <f t="shared" si="43"/>
        <v>1:206,12,28,213,12,18,316,18,42,313,8,12,310,160,240,xxx</v>
      </c>
      <c r="AB191" s="78" t="str">
        <f t="shared" si="81"/>
        <v>1:206,12,28,213,12,18,316,18,42,313,8,12,310,160,240</v>
      </c>
      <c r="AC191" t="str">
        <f t="shared" si="67"/>
        <v>冰霜伤害 {0}</v>
      </c>
      <c r="AD191" t="str">
        <f t="shared" si="68"/>
        <v>冰霜伤害%  + {1}</v>
      </c>
      <c r="AE191" t="str">
        <f t="shared" si="69"/>
        <v>冰霜抗性%  + {2}</v>
      </c>
      <c r="AF191" t="str">
        <f t="shared" si="70"/>
        <v>格挡几率%  + {3}</v>
      </c>
      <c r="AG191" t="str">
        <f t="shared" si="71"/>
        <v>护盾回复%  + {4}</v>
      </c>
      <c r="AI191" t="str">
        <f t="shared" si="44"/>
        <v xml:space="preserve">冰霜伤害 {0}
</v>
      </c>
      <c r="AJ191" t="str">
        <f t="shared" si="45"/>
        <v xml:space="preserve">冰霜伤害  + {1}%
</v>
      </c>
      <c r="AK191" t="str">
        <f t="shared" si="46"/>
        <v xml:space="preserve">冰霜抗性  + {2}%
</v>
      </c>
      <c r="AL191" t="str">
        <f t="shared" si="47"/>
        <v xml:space="preserve">格挡几率  + {3}%
</v>
      </c>
      <c r="AM191" t="str">
        <f t="shared" si="48"/>
        <v xml:space="preserve">护盾回复  + {4}%
</v>
      </c>
      <c r="AO191" t="str">
        <f t="shared" si="82"/>
        <v xml:space="preserve">冰霜伤害 {0}
冰霜伤害  + {1}%
冰霜抗性  + {2}%
格挡几率  + {3}%
护盾回复  + {4}%
</v>
      </c>
      <c r="AP191" s="6" t="str">
        <f t="shared" si="83"/>
        <v xml:space="preserve">冰霜伤害 {0}
冰霜伤害  + {1}%
冰霜抗性  + {2}%
格挡几率  + {3}%
护盾回复  + {4}%
</v>
      </c>
      <c r="AQ191" s="80" t="s">
        <v>3786</v>
      </c>
      <c r="AR191" t="str">
        <f t="shared" si="84"/>
        <v xml:space="preserve">冰霜伤害 {0}
冰霜伤害  + {1}%
冰霜抗性  + {2}%
格挡几率  + {3}%
护盾回复  + {4}%
</v>
      </c>
      <c r="AS191" s="81" t="str">
        <f t="shared" si="85"/>
        <v>冰霜伤害 {0}
冰霜伤害  + {1}%
冰霜抗性  + {2}%
格挡几率  + {3}%
护盾回复  + {4}%</v>
      </c>
      <c r="BE191" s="46"/>
      <c r="BF191" s="46"/>
      <c r="BG191" s="52"/>
      <c r="BH191" s="59"/>
      <c r="BI191" s="59"/>
      <c r="BJ191" s="59"/>
      <c r="BK191" s="18"/>
    </row>
    <row r="192" spans="1:63" ht="15.75" x14ac:dyDescent="0.3">
      <c r="C192" s="59">
        <v>14878</v>
      </c>
      <c r="D192" s="59" t="s">
        <v>4191</v>
      </c>
      <c r="E192" s="59"/>
      <c r="F192" s="59"/>
      <c r="G192" s="59"/>
      <c r="H192" s="72"/>
      <c r="I192" s="64" t="s">
        <v>2973</v>
      </c>
      <c r="J192" s="64">
        <v>3</v>
      </c>
      <c r="K192" s="64">
        <v>0.4</v>
      </c>
      <c r="L192" s="65" t="s">
        <v>3176</v>
      </c>
      <c r="M192" s="65">
        <v>2</v>
      </c>
      <c r="N192" s="65">
        <v>0.2</v>
      </c>
      <c r="O192" s="66" t="s">
        <v>3161</v>
      </c>
      <c r="P192" s="66">
        <v>2</v>
      </c>
      <c r="Q192" s="66">
        <v>0.2</v>
      </c>
      <c r="R192" s="64" t="s">
        <v>3009</v>
      </c>
      <c r="S192" s="64">
        <v>2</v>
      </c>
      <c r="T192" s="64">
        <v>0.4</v>
      </c>
      <c r="U192" s="65" t="s">
        <v>3180</v>
      </c>
      <c r="V192" s="65">
        <v>1.5</v>
      </c>
      <c r="W192" s="65">
        <v>0.4</v>
      </c>
      <c r="X192" s="66"/>
      <c r="Y192" s="66"/>
      <c r="Z192" s="66"/>
      <c r="AA192" s="71" t="str">
        <f t="shared" si="43"/>
        <v>1:208,18,42,248,16,24,238,16,24,318,12,28,300,18,42,xxx</v>
      </c>
      <c r="AB192" s="78" t="str">
        <f t="shared" si="81"/>
        <v>1:208,18,42,248,16,24,238,16,24,318,12,28,300,18,42</v>
      </c>
      <c r="AC192" t="str">
        <f t="shared" si="67"/>
        <v>闪电伤害 {0}</v>
      </c>
      <c r="AD192" t="str">
        <f t="shared" si="68"/>
        <v>施加感电时间提升  + {1}</v>
      </c>
      <c r="AE192" t="str">
        <f t="shared" si="69"/>
        <v>附加闪电伤害%  + {2}</v>
      </c>
      <c r="AF192" t="str">
        <f t="shared" si="70"/>
        <v>闪电抗性%  + {3}</v>
      </c>
      <c r="AG192" t="str">
        <f t="shared" si="71"/>
        <v>最大生命值  + {4}</v>
      </c>
      <c r="AI192" t="str">
        <f t="shared" si="44"/>
        <v xml:space="preserve">闪电伤害 {0}
</v>
      </c>
      <c r="AJ192" t="str">
        <f t="shared" si="45"/>
        <v xml:space="preserve">施加感电时间提升  + {1}%
</v>
      </c>
      <c r="AK192" t="str">
        <f t="shared" si="46"/>
        <v xml:space="preserve">附加闪电伤害  + {2}%
</v>
      </c>
      <c r="AL192" t="str">
        <f t="shared" si="47"/>
        <v xml:space="preserve">闪电抗性  + {3}%
</v>
      </c>
      <c r="AM192" t="str">
        <f t="shared" si="48"/>
        <v xml:space="preserve">最大生命值  + {4}
</v>
      </c>
      <c r="AO192" t="str">
        <f t="shared" si="82"/>
        <v xml:space="preserve">闪电伤害 {0}
施加感电时间提升  + {1}%
附加闪电伤害  + {2}%
闪电抗性  + {3}%
最大生命值  + {4}
</v>
      </c>
      <c r="AP192" s="6" t="str">
        <f t="shared" si="83"/>
        <v xml:space="preserve">闪电伤害 {0}
施加感电时间提升  + {1}%
附加闪电伤害  + {2}%
闪电抗性  + {3}%
最大生命值  + {4}
</v>
      </c>
      <c r="AQ192" s="80" t="s">
        <v>3787</v>
      </c>
      <c r="AR192" t="str">
        <f t="shared" si="84"/>
        <v xml:space="preserve">闪电伤害 {0}
施加感电时间提升  + {1}%
附加闪电伤害  + {2}%
闪电抗性  + {3}%
最大生命值  + {4}
</v>
      </c>
      <c r="AS192" s="81" t="str">
        <f t="shared" si="85"/>
        <v>闪电伤害 {0}
施加感电时间提升  + {1}%
附加闪电伤害  + {2}%
闪电抗性  + {3}%
最大生命值  + {4}</v>
      </c>
      <c r="BE192" s="46"/>
      <c r="BF192" s="46"/>
      <c r="BG192" s="52"/>
      <c r="BH192" s="59"/>
      <c r="BI192" s="59"/>
      <c r="BJ192" s="59"/>
      <c r="BK192" s="18"/>
    </row>
    <row r="193" spans="2:63" ht="15.75" x14ac:dyDescent="0.3">
      <c r="C193" s="59">
        <v>14879</v>
      </c>
      <c r="D193" s="59" t="s">
        <v>4195</v>
      </c>
      <c r="E193" s="59"/>
      <c r="F193" s="59"/>
      <c r="G193" s="59"/>
      <c r="H193" s="72"/>
      <c r="I193" s="64" t="s">
        <v>2941</v>
      </c>
      <c r="J193" s="64">
        <v>2</v>
      </c>
      <c r="K193" s="64">
        <v>0.2</v>
      </c>
      <c r="L193" s="65" t="s">
        <v>2955</v>
      </c>
      <c r="M193" s="65">
        <v>2</v>
      </c>
      <c r="N193" s="65">
        <v>0.2</v>
      </c>
      <c r="O193" s="66" t="s">
        <v>2973</v>
      </c>
      <c r="P193" s="66">
        <v>3</v>
      </c>
      <c r="Q193" s="66">
        <v>0.4</v>
      </c>
      <c r="R193" s="64" t="s">
        <v>2950</v>
      </c>
      <c r="S193" s="64">
        <v>2</v>
      </c>
      <c r="T193" s="64">
        <v>0.2</v>
      </c>
      <c r="U193" s="65" t="s">
        <v>2946</v>
      </c>
      <c r="V193" s="65">
        <v>3</v>
      </c>
      <c r="W193" s="65">
        <v>0.4</v>
      </c>
      <c r="X193" s="66"/>
      <c r="Y193" s="66"/>
      <c r="Z193" s="66"/>
      <c r="AA193" s="71" t="str">
        <f t="shared" si="43"/>
        <v>1:101,16,24,204,16,24,208,18,42,304,16,24,306,18,42,xxx</v>
      </c>
      <c r="AB193" s="78" t="str">
        <f t="shared" si="81"/>
        <v>1:101,16,24,204,16,24,208,18,42,304,16,24,306,18,42</v>
      </c>
      <c r="AC193" t="str">
        <f t="shared" si="67"/>
        <v>力量 {0}</v>
      </c>
      <c r="AD193" t="str">
        <f t="shared" si="68"/>
        <v>物理伤害  + {1}</v>
      </c>
      <c r="AE193" t="str">
        <f t="shared" si="69"/>
        <v>闪电伤害  + {2}</v>
      </c>
      <c r="AF193" t="str">
        <f t="shared" si="70"/>
        <v>生命回复%  + {3}</v>
      </c>
      <c r="AG193" t="str">
        <f t="shared" si="71"/>
        <v>护甲值%  + {4}</v>
      </c>
      <c r="AI193" t="str">
        <f t="shared" si="44"/>
        <v xml:space="preserve">力量 {0}
</v>
      </c>
      <c r="AJ193" t="str">
        <f t="shared" si="45"/>
        <v xml:space="preserve">物理伤害  + {1}
</v>
      </c>
      <c r="AK193" t="str">
        <f t="shared" si="46"/>
        <v xml:space="preserve">闪电伤害  + {2}
</v>
      </c>
      <c r="AL193" t="str">
        <f t="shared" si="47"/>
        <v xml:space="preserve">生命回复  + {3}%
</v>
      </c>
      <c r="AM193" t="str">
        <f t="shared" si="48"/>
        <v xml:space="preserve">护甲值  + {4}%
</v>
      </c>
      <c r="AO193" t="str">
        <f t="shared" si="82"/>
        <v xml:space="preserve">力量 {0}
物理伤害  + {1}
闪电伤害  + {2}
生命回复  + {3}%
护甲值  + {4}%
</v>
      </c>
      <c r="AP193" s="6" t="str">
        <f t="shared" si="83"/>
        <v xml:space="preserve">力量 {0}
物理伤害  + {1}
闪电伤害  + {2}
生命回复  + {3}%
护甲值  + {4}%
</v>
      </c>
      <c r="AQ193" s="80" t="s">
        <v>3788</v>
      </c>
      <c r="AR193" t="str">
        <f t="shared" si="84"/>
        <v xml:space="preserve">力量 {0}
物理伤害  + {1}
闪电伤害  + {2}
生命回复  + {3}%
护甲值  + {4}%
</v>
      </c>
      <c r="AS193" s="81" t="str">
        <f t="shared" si="85"/>
        <v>力量 {0}
物理伤害  + {1}
闪电伤害  + {2}
生命回复  + {3}%
护甲值  + {4}%</v>
      </c>
      <c r="BE193" s="46"/>
      <c r="BF193" s="46"/>
      <c r="BG193" s="52"/>
      <c r="BH193" s="59"/>
      <c r="BI193" s="59"/>
      <c r="BJ193" s="59"/>
      <c r="BK193" s="18"/>
    </row>
    <row r="194" spans="2:63" ht="15.75" x14ac:dyDescent="0.3">
      <c r="C194" s="59">
        <v>14880</v>
      </c>
      <c r="D194" s="59" t="s">
        <v>4199</v>
      </c>
      <c r="E194" s="59"/>
      <c r="F194" s="59"/>
      <c r="G194" s="59"/>
      <c r="H194" s="72"/>
      <c r="I194" s="64" t="s">
        <v>2970</v>
      </c>
      <c r="J194" s="64">
        <v>2</v>
      </c>
      <c r="K194" s="64">
        <v>0.4</v>
      </c>
      <c r="L194" s="65" t="s">
        <v>2927</v>
      </c>
      <c r="M194" s="65">
        <v>2</v>
      </c>
      <c r="N194" s="65">
        <v>0.2</v>
      </c>
      <c r="O194" s="66" t="s">
        <v>4267</v>
      </c>
      <c r="P194" s="66">
        <v>2</v>
      </c>
      <c r="Q194" s="66">
        <v>0.2</v>
      </c>
      <c r="R194" s="64" t="s">
        <v>3180</v>
      </c>
      <c r="S194" s="64">
        <v>2</v>
      </c>
      <c r="T194" s="64">
        <v>0.2</v>
      </c>
      <c r="U194" s="65" t="s">
        <v>3581</v>
      </c>
      <c r="V194" s="65">
        <v>2</v>
      </c>
      <c r="W194" s="65">
        <v>0</v>
      </c>
      <c r="X194" s="66"/>
      <c r="Y194" s="66"/>
      <c r="Z194" s="66"/>
      <c r="AA194" s="71" t="str">
        <f t="shared" si="43"/>
        <v>1:205,6,14,212,8,12,218,16,24,300,32,48,501,4,4,xxx</v>
      </c>
      <c r="AB194" s="78" t="str">
        <f t="shared" si="81"/>
        <v>1:205,6,14,212,8,12,218,16,24,300,32,48,501,4,4</v>
      </c>
      <c r="AC194" t="str">
        <f t="shared" si="67"/>
        <v>元素伤害 {0}</v>
      </c>
      <c r="AD194" t="str">
        <f t="shared" si="68"/>
        <v>元素伤害%  + {1}</v>
      </c>
      <c r="AE194" t="str">
        <f t="shared" si="69"/>
        <v>持续性伤害%  + {2}</v>
      </c>
      <c r="AF194" t="str">
        <f t="shared" si="70"/>
        <v>最大生命值  + {3}</v>
      </c>
      <c r="AG194" t="str">
        <f t="shared" si="71"/>
        <v>刷新次数  + 4</v>
      </c>
      <c r="AI194" t="str">
        <f t="shared" si="44"/>
        <v xml:space="preserve">元素伤害 {0}
</v>
      </c>
      <c r="AJ194" t="str">
        <f t="shared" si="45"/>
        <v xml:space="preserve">元素伤害  + {1}%
</v>
      </c>
      <c r="AK194" t="str">
        <f t="shared" si="46"/>
        <v xml:space="preserve">持续性伤害  + {2}%
</v>
      </c>
      <c r="AL194" t="str">
        <f t="shared" si="47"/>
        <v xml:space="preserve">最大生命值  + {3}
</v>
      </c>
      <c r="AM194" t="str">
        <f t="shared" si="48"/>
        <v xml:space="preserve">刷新次数  + 4
</v>
      </c>
      <c r="AO194" t="str">
        <f t="shared" si="82"/>
        <v xml:space="preserve">元素伤害 {0}
元素伤害  + {1}%
持续性伤害  + {2}%
最大生命值  + {3}
刷新次数  + 4
</v>
      </c>
      <c r="AP194" s="6" t="str">
        <f t="shared" si="83"/>
        <v xml:space="preserve">元素伤害 {0}
元素伤害  + {1}%
持续性伤害  + {2}%
最大生命值  + {3}
刷新次数  + 4
</v>
      </c>
      <c r="AQ194" s="80" t="s">
        <v>3789</v>
      </c>
      <c r="AR194" t="str">
        <f t="shared" si="84"/>
        <v xml:space="preserve">元素伤害 {0}
元素伤害  + {1}%
持续性伤害  + {2}%
最大生命值  + {3}
刷新次数  + 4
</v>
      </c>
      <c r="AS194" s="81" t="str">
        <f t="shared" si="85"/>
        <v>元素伤害 {0}
元素伤害  + {1}%
持续性伤害  + {2}%
最大生命值  + {3}
刷新次数  + 4</v>
      </c>
      <c r="BE194" s="46"/>
      <c r="BF194" s="46"/>
      <c r="BG194" s="52"/>
      <c r="BH194" s="59"/>
      <c r="BI194" s="59"/>
      <c r="BJ194" s="59"/>
      <c r="BK194" s="18"/>
    </row>
    <row r="195" spans="2:63" ht="15.75" x14ac:dyDescent="0.3">
      <c r="C195" s="59">
        <v>14881</v>
      </c>
      <c r="D195" s="59" t="s">
        <v>4203</v>
      </c>
      <c r="E195" s="59"/>
      <c r="F195" s="59"/>
      <c r="G195" s="59"/>
      <c r="H195" s="72"/>
      <c r="I195" s="64" t="s">
        <v>2926</v>
      </c>
      <c r="J195" s="64">
        <v>3</v>
      </c>
      <c r="K195" s="64">
        <v>0.6</v>
      </c>
      <c r="L195" s="65" t="s">
        <v>2953</v>
      </c>
      <c r="M195" s="65">
        <v>3</v>
      </c>
      <c r="N195" s="65">
        <v>0.6</v>
      </c>
      <c r="O195" s="66" t="s">
        <v>2938</v>
      </c>
      <c r="P195" s="66">
        <v>3</v>
      </c>
      <c r="Q195" s="66">
        <v>0.6</v>
      </c>
      <c r="R195" s="64" t="s">
        <v>3581</v>
      </c>
      <c r="S195" s="64">
        <v>2</v>
      </c>
      <c r="T195" s="64">
        <v>0</v>
      </c>
      <c r="U195" s="65" t="s">
        <v>3583</v>
      </c>
      <c r="V195" s="65">
        <v>2</v>
      </c>
      <c r="W195" s="65">
        <v>0</v>
      </c>
      <c r="X195" s="66"/>
      <c r="Y195" s="66"/>
      <c r="Z195" s="66"/>
      <c r="AA195" s="71" t="str">
        <f t="shared" si="43"/>
        <v>1:214,12,48,213,12,48,215,12,48,501,4,4,502,4,4,xxx</v>
      </c>
      <c r="AB195" s="78" t="str">
        <f t="shared" si="81"/>
        <v>1:214,12,48,213,12,48,215,12,48,501,4,4,502,4,4</v>
      </c>
      <c r="AC195" t="str">
        <f t="shared" si="67"/>
        <v>火焰伤害% {0}</v>
      </c>
      <c r="AD195" t="str">
        <f t="shared" si="68"/>
        <v>冰霜伤害%  + {1}</v>
      </c>
      <c r="AE195" t="str">
        <f t="shared" si="69"/>
        <v>闪电伤害%  + {2}</v>
      </c>
      <c r="AF195" t="str">
        <f t="shared" si="70"/>
        <v>刷新次数  + 4</v>
      </c>
      <c r="AG195" t="str">
        <f t="shared" si="71"/>
        <v>剔除次数  + 4</v>
      </c>
      <c r="AI195" t="str">
        <f t="shared" si="44"/>
        <v xml:space="preserve">火焰伤害 {0}%
</v>
      </c>
      <c r="AJ195" t="str">
        <f t="shared" si="45"/>
        <v xml:space="preserve">冰霜伤害  + {1}%
</v>
      </c>
      <c r="AK195" t="str">
        <f t="shared" si="46"/>
        <v xml:space="preserve">闪电伤害  + {2}%
</v>
      </c>
      <c r="AL195" t="str">
        <f t="shared" si="47"/>
        <v xml:space="preserve">刷新次数  + 4
</v>
      </c>
      <c r="AM195" t="str">
        <f t="shared" si="48"/>
        <v xml:space="preserve">剔除次数  + 4
</v>
      </c>
      <c r="AO195" t="str">
        <f t="shared" si="82"/>
        <v xml:space="preserve">火焰伤害 {0}%
冰霜伤害  + {1}%
闪电伤害  + {2}%
刷新次数  + 4
剔除次数  + 4
</v>
      </c>
      <c r="AP195" s="6" t="str">
        <f t="shared" si="83"/>
        <v xml:space="preserve">火焰伤害 {0}%
冰霜伤害  + {1}%
闪电伤害  + {2}%
刷新次数  + 4
剔除次数  + 4
</v>
      </c>
      <c r="AQ195" s="80" t="s">
        <v>3790</v>
      </c>
      <c r="AR195" t="str">
        <f t="shared" si="84"/>
        <v xml:space="preserve">火焰伤害 {0}%
冰霜伤害  + {1}%
闪电伤害  + {2}%
刷新次数  + 4
剔除次数  + 4
</v>
      </c>
      <c r="AS195" s="81" t="str">
        <f t="shared" si="85"/>
        <v>火焰伤害 {0}%
冰霜伤害  + {1}%
闪电伤害  + {2}%
刷新次数  + 4
剔除次数  + 4</v>
      </c>
      <c r="BE195" s="46"/>
      <c r="BF195" s="46"/>
      <c r="BG195" s="52"/>
      <c r="BH195" s="59"/>
      <c r="BI195" s="59"/>
      <c r="BJ195" s="59"/>
      <c r="BK195" s="18"/>
    </row>
    <row r="196" spans="2:63" ht="15.75" x14ac:dyDescent="0.3">
      <c r="C196" s="59">
        <v>14882</v>
      </c>
      <c r="D196" s="59" t="s">
        <v>4207</v>
      </c>
      <c r="E196" s="59"/>
      <c r="F196" s="59"/>
      <c r="G196" s="59"/>
      <c r="H196" s="72"/>
      <c r="I196" s="64" t="s">
        <v>2956</v>
      </c>
      <c r="J196" s="64">
        <v>3</v>
      </c>
      <c r="K196" s="64">
        <v>0.4</v>
      </c>
      <c r="L196" s="65" t="s">
        <v>2937</v>
      </c>
      <c r="M196" s="65">
        <v>3</v>
      </c>
      <c r="N196" s="65">
        <v>0.4</v>
      </c>
      <c r="O196" s="66" t="s">
        <v>4267</v>
      </c>
      <c r="P196" s="66">
        <v>2</v>
      </c>
      <c r="Q196" s="66">
        <v>0.4</v>
      </c>
      <c r="R196" s="64" t="s">
        <v>2927</v>
      </c>
      <c r="S196" s="64">
        <v>-2</v>
      </c>
      <c r="T196" s="64">
        <v>0.4</v>
      </c>
      <c r="U196" s="65" t="s">
        <v>4146</v>
      </c>
      <c r="V196" s="65">
        <v>1</v>
      </c>
      <c r="W196" s="65">
        <v>0</v>
      </c>
      <c r="X196" s="66"/>
      <c r="Y196" s="66"/>
      <c r="Z196" s="66"/>
      <c r="AA196" s="71" t="str">
        <f t="shared" si="43"/>
        <v>1:209,18,42,216,18,42,218,12,28,212,-6,-14,514,5,5,xxx</v>
      </c>
      <c r="AB196" s="78" t="str">
        <f t="shared" si="81"/>
        <v>1:209,18,42,216,18,42,218,12,28,212,-6,-14,514,5,5</v>
      </c>
      <c r="AC196" t="str">
        <f t="shared" si="67"/>
        <v>混沌伤害 {0}</v>
      </c>
      <c r="AD196" t="str">
        <f t="shared" si="68"/>
        <v>混沌伤害%  + {1}</v>
      </c>
      <c r="AE196" t="str">
        <f t="shared" si="69"/>
        <v>持续性伤害%  + {2}</v>
      </c>
      <c r="AF196" t="str">
        <f t="shared" si="70"/>
        <v>元素伤害%  + {3}</v>
      </c>
      <c r="AG196" t="str">
        <f t="shared" si="71"/>
        <v>san值最大值  + 5</v>
      </c>
      <c r="AI196" t="str">
        <f t="shared" si="44"/>
        <v xml:space="preserve">混沌伤害 {0}
</v>
      </c>
      <c r="AJ196" t="str">
        <f t="shared" si="45"/>
        <v xml:space="preserve">混沌伤害  + {1}%
</v>
      </c>
      <c r="AK196" t="str">
        <f t="shared" si="46"/>
        <v xml:space="preserve">持续性伤害  + {2}%
</v>
      </c>
      <c r="AL196" t="str">
        <f t="shared" si="47"/>
        <v xml:space="preserve">元素伤害  + {3}%
</v>
      </c>
      <c r="AM196" t="str">
        <f t="shared" si="48"/>
        <v xml:space="preserve">san值最大值  + 5
</v>
      </c>
      <c r="AO196" t="str">
        <f t="shared" si="82"/>
        <v xml:space="preserve">混沌伤害 {0}
混沌伤害  + {1}%
持续性伤害  + {2}%
元素伤害  + {3}%
san值最大值  + 5
</v>
      </c>
      <c r="AP196" s="6" t="str">
        <f t="shared" si="83"/>
        <v xml:space="preserve">混沌伤害 {0}
混沌伤害  + {1}%
持续性伤害  + {2}%
元素伤害  + {3}%
san值最大值  + 5
</v>
      </c>
      <c r="AQ196" s="80" t="s">
        <v>3791</v>
      </c>
      <c r="AR196" t="str">
        <f t="shared" si="84"/>
        <v xml:space="preserve">混沌伤害 {0}
混沌伤害  + {1}%
持续性伤害  + {2}%
元素伤害  + {3}%
san值最大值  + 5
</v>
      </c>
      <c r="AS196" s="81" t="str">
        <f t="shared" si="85"/>
        <v>混沌伤害 {0}
混沌伤害  + {1}%
持续性伤害  + {2}%
元素伤害  + {3}%
san值最大值  + 5</v>
      </c>
      <c r="BE196" s="46"/>
      <c r="BF196" s="46"/>
      <c r="BG196" s="52"/>
      <c r="BH196" s="59"/>
      <c r="BI196" s="59"/>
      <c r="BJ196" s="59"/>
      <c r="BK196" s="18"/>
    </row>
    <row r="197" spans="2:63" ht="15.75" x14ac:dyDescent="0.3">
      <c r="C197" s="59">
        <v>14883</v>
      </c>
      <c r="D197" s="59" t="s">
        <v>4210</v>
      </c>
      <c r="E197" s="59"/>
      <c r="F197" s="59"/>
      <c r="G197" s="59"/>
      <c r="H197" s="72"/>
      <c r="I197" s="64" t="s">
        <v>2956</v>
      </c>
      <c r="J197" s="64">
        <v>4</v>
      </c>
      <c r="K197" s="64">
        <v>0.4</v>
      </c>
      <c r="L197" s="65" t="s">
        <v>4266</v>
      </c>
      <c r="M197" s="65">
        <v>2</v>
      </c>
      <c r="N197" s="65">
        <v>0.4</v>
      </c>
      <c r="O197" s="66" t="s">
        <v>3251</v>
      </c>
      <c r="P197" s="66">
        <v>2</v>
      </c>
      <c r="Q197" s="66">
        <v>0.2</v>
      </c>
      <c r="R197" s="64" t="s">
        <v>3204</v>
      </c>
      <c r="S197" s="64">
        <v>3</v>
      </c>
      <c r="T197" s="64">
        <v>0.2</v>
      </c>
      <c r="U197" s="65" t="s">
        <v>3226</v>
      </c>
      <c r="V197" s="65">
        <v>2</v>
      </c>
      <c r="W197" s="65">
        <v>0.2</v>
      </c>
      <c r="X197" s="66"/>
      <c r="Y197" s="66"/>
      <c r="Z197" s="66"/>
      <c r="AA197" s="71" t="str">
        <f t="shared" si="43"/>
        <v>1:209,24,56,219,12,28,253,16,24,330,24,36,504,8,12,xxx</v>
      </c>
      <c r="AB197" s="78" t="str">
        <f t="shared" si="81"/>
        <v>1:209,24,56,219,12,28,253,16,24,330,24,36,504,8,12</v>
      </c>
      <c r="AC197" t="str">
        <f t="shared" si="67"/>
        <v>混沌伤害 {0}</v>
      </c>
      <c r="AD197" t="str">
        <f t="shared" si="68"/>
        <v>暴击几率%  + {1}</v>
      </c>
      <c r="AE197" t="str">
        <f t="shared" si="69"/>
        <v>施加诅咒时间提升  + {2}</v>
      </c>
      <c r="AF197" t="str">
        <f t="shared" si="70"/>
        <v>受到异常时间提升  + {3}</v>
      </c>
      <c r="AG197" t="str">
        <f t="shared" si="71"/>
        <v>双重施法范围  + {4}</v>
      </c>
      <c r="AI197" t="str">
        <f t="shared" si="44"/>
        <v xml:space="preserve">混沌伤害 {0}
</v>
      </c>
      <c r="AJ197" t="str">
        <f t="shared" si="45"/>
        <v xml:space="preserve">暴击几率  + {1}%
</v>
      </c>
      <c r="AK197" t="str">
        <f t="shared" si="46"/>
        <v xml:space="preserve">施加诅咒时间提升  + {2}%
</v>
      </c>
      <c r="AL197" t="str">
        <f t="shared" si="47"/>
        <v xml:space="preserve">受到异常时间提升  + {3}%
</v>
      </c>
      <c r="AM197" t="str">
        <f t="shared" si="48"/>
        <v xml:space="preserve">双重施法范围  + {4}%
</v>
      </c>
      <c r="AO197" t="str">
        <f t="shared" si="82"/>
        <v xml:space="preserve">混沌伤害 {0}
暴击几率  + {1}%
施加诅咒时间提升  + {2}%
受到异常时间提升  + {3}%
双重施法范围  + {4}%
</v>
      </c>
      <c r="AP197" s="6" t="str">
        <f t="shared" si="83"/>
        <v xml:space="preserve">混沌伤害 {0}
暴击几率  + {1}%
施加诅咒时间提升  + {2}%
受到异常时间提升  + {3}%
双重施法范围  + {4}%
</v>
      </c>
      <c r="AQ197" s="80" t="s">
        <v>3792</v>
      </c>
      <c r="AR197" t="str">
        <f t="shared" si="84"/>
        <v xml:space="preserve">混沌伤害 {0}
暴击几率  + {1}%
施加诅咒时间提升  + {2}%
受到异常时间提升  + {3}%
双重施法范围  + {4}%
</v>
      </c>
      <c r="AS197" s="81" t="str">
        <f t="shared" si="85"/>
        <v>混沌伤害 {0}
暴击几率  + {1}%
施加诅咒时间提升  + {2}%
受到异常时间提升  + {3}%
双重施法范围  + {4}%</v>
      </c>
      <c r="BE197" s="46"/>
      <c r="BF197" s="46"/>
      <c r="BG197" s="52"/>
      <c r="BH197" s="59"/>
      <c r="BI197" s="59"/>
      <c r="BJ197" s="59"/>
      <c r="BK197" s="18"/>
    </row>
    <row r="198" spans="2:63" ht="15.75" x14ac:dyDescent="0.3">
      <c r="B198" t="s">
        <v>2751</v>
      </c>
      <c r="C198" s="59">
        <v>14884</v>
      </c>
      <c r="D198" s="59" t="s">
        <v>4214</v>
      </c>
      <c r="E198" s="59"/>
      <c r="F198" s="59"/>
      <c r="G198" s="59"/>
      <c r="H198" s="72"/>
      <c r="I198" s="64" t="s">
        <v>2941</v>
      </c>
      <c r="J198" s="64">
        <v>3</v>
      </c>
      <c r="K198" s="64">
        <v>0.2</v>
      </c>
      <c r="L198" s="65" t="s">
        <v>3180</v>
      </c>
      <c r="M198" s="65">
        <v>3</v>
      </c>
      <c r="N198" s="65">
        <v>0.2</v>
      </c>
      <c r="O198" s="66" t="s">
        <v>3252</v>
      </c>
      <c r="P198" s="66">
        <v>3</v>
      </c>
      <c r="Q198" s="66">
        <v>0.4</v>
      </c>
      <c r="R198" s="64" t="s">
        <v>2962</v>
      </c>
      <c r="S198" s="64">
        <v>-2</v>
      </c>
      <c r="T198" s="64">
        <v>0.2</v>
      </c>
      <c r="U198" s="65"/>
      <c r="V198" s="65"/>
      <c r="W198" s="65"/>
      <c r="X198" s="66"/>
      <c r="Y198" s="66"/>
      <c r="Z198" s="66"/>
      <c r="AA198" s="71" t="str">
        <f t="shared" si="43"/>
        <v>1:101,24,36,300,48,72,229,18,42,316,-16,-24,xxxxxx</v>
      </c>
      <c r="AB198" s="78" t="str">
        <f t="shared" si="81"/>
        <v>1:101,24,36,300,48,72,229,18,42,316,-16,-24</v>
      </c>
      <c r="AC198" t="str">
        <f t="shared" si="67"/>
        <v>力量 {0}</v>
      </c>
      <c r="AD198" t="str">
        <f t="shared" si="68"/>
        <v>最大生命值  + {1}</v>
      </c>
      <c r="AE198" t="str">
        <f t="shared" si="69"/>
        <v>附加冰霜伤害  + {2}</v>
      </c>
      <c r="AF198" t="str">
        <f t="shared" si="70"/>
        <v>冰霜抗性%  + {3}</v>
      </c>
      <c r="AG198" t="str">
        <f t="shared" si="71"/>
        <v>xxx</v>
      </c>
      <c r="AI198" t="str">
        <f t="shared" si="44"/>
        <v xml:space="preserve">力量 {0}
</v>
      </c>
      <c r="AJ198" t="str">
        <f t="shared" si="45"/>
        <v xml:space="preserve">最大生命值  + {1}
</v>
      </c>
      <c r="AK198" t="str">
        <f t="shared" si="46"/>
        <v xml:space="preserve">附加冰霜伤害  + {2}%
</v>
      </c>
      <c r="AL198" t="str">
        <f t="shared" si="47"/>
        <v xml:space="preserve">冰霜抗性  + {3}%
</v>
      </c>
      <c r="AM198" t="str">
        <f t="shared" si="48"/>
        <v>xxx</v>
      </c>
      <c r="AO198" t="str">
        <f t="shared" si="82"/>
        <v>力量 {0}
最大生命值  + {1}
附加冰霜伤害  + {2}%
冰霜抗性  + {3}%
xxx</v>
      </c>
      <c r="AP198" s="6" t="str">
        <f t="shared" si="83"/>
        <v xml:space="preserve">力量 {0}
最大生命值  + {1}
附加冰霜伤害  + {2}%
冰霜抗性  + {3}%
</v>
      </c>
      <c r="AQ198" s="80" t="s">
        <v>3793</v>
      </c>
      <c r="AR198" t="str">
        <f t="shared" si="84"/>
        <v xml:space="preserve">力量 {0}
最大生命值  + {1}
附加冰霜伤害  + {2}%
冰霜抗性  + {3}%
</v>
      </c>
      <c r="AS198" s="81" t="str">
        <f t="shared" si="85"/>
        <v>力量 {0}
最大生命值  + {1}
附加冰霜伤害  + {2}%
冰霜抗性  + {3}%</v>
      </c>
      <c r="BE198" s="46"/>
      <c r="BF198" s="46"/>
      <c r="BG198" s="52"/>
      <c r="BH198" s="59"/>
      <c r="BI198" s="59"/>
      <c r="BJ198" s="59"/>
      <c r="BK198" s="18"/>
    </row>
    <row r="199" spans="2:63" ht="15.75" x14ac:dyDescent="0.3">
      <c r="C199" s="59">
        <v>14885</v>
      </c>
      <c r="D199" s="59" t="s">
        <v>4217</v>
      </c>
      <c r="E199" s="59"/>
      <c r="F199" s="59"/>
      <c r="G199" s="59"/>
      <c r="H199" s="72"/>
      <c r="I199" s="64" t="s">
        <v>2930</v>
      </c>
      <c r="J199" s="64">
        <v>3</v>
      </c>
      <c r="K199" s="64">
        <v>0.4</v>
      </c>
      <c r="L199" s="65" t="s">
        <v>4267</v>
      </c>
      <c r="M199" s="65">
        <v>3</v>
      </c>
      <c r="N199" s="65">
        <v>0.2</v>
      </c>
      <c r="O199" s="66" t="s">
        <v>3166</v>
      </c>
      <c r="P199" s="66">
        <v>4</v>
      </c>
      <c r="Q199" s="66">
        <v>0.4</v>
      </c>
      <c r="R199" s="64" t="s">
        <v>3204</v>
      </c>
      <c r="S199" s="64">
        <v>3</v>
      </c>
      <c r="T199" s="64">
        <v>0.2</v>
      </c>
      <c r="U199" s="65" t="s">
        <v>4146</v>
      </c>
      <c r="V199" s="65">
        <v>-1</v>
      </c>
      <c r="W199" s="65">
        <v>0</v>
      </c>
      <c r="X199" s="66"/>
      <c r="Y199" s="66"/>
      <c r="Z199" s="66"/>
      <c r="AA199" s="71" t="str">
        <f t="shared" si="43"/>
        <v>1:202,18,42,218,24,36,242,24,56,330,24,36,514,-5,-5,xxx</v>
      </c>
      <c r="AB199" s="78" t="str">
        <f t="shared" si="81"/>
        <v>1:202,18,42,218,24,36,242,24,56,330,24,36,514,-5,-5</v>
      </c>
      <c r="AC199" t="str">
        <f t="shared" si="67"/>
        <v>所有伤害增加% {0}</v>
      </c>
      <c r="AD199" t="str">
        <f t="shared" si="68"/>
        <v>持续性伤害%  + {1}</v>
      </c>
      <c r="AE199" t="str">
        <f t="shared" si="69"/>
        <v>中毒系数  + {2}</v>
      </c>
      <c r="AF199" t="str">
        <f t="shared" si="70"/>
        <v>受到异常时间提升  + {3}</v>
      </c>
      <c r="AG199" t="str">
        <f t="shared" si="71"/>
        <v>san值最大值  + -5</v>
      </c>
      <c r="AI199" t="str">
        <f t="shared" si="44"/>
        <v xml:space="preserve">所有伤害增加 {0}%
</v>
      </c>
      <c r="AJ199" t="str">
        <f t="shared" si="45"/>
        <v xml:space="preserve">持续性伤害  + {1}%
</v>
      </c>
      <c r="AK199" t="str">
        <f t="shared" si="46"/>
        <v xml:space="preserve">中毒系数  + {2}%
</v>
      </c>
      <c r="AL199" t="str">
        <f t="shared" si="47"/>
        <v xml:space="preserve">受到异常时间提升  + {3}%
</v>
      </c>
      <c r="AM199" t="str">
        <f t="shared" si="48"/>
        <v xml:space="preserve">san值最大值  + -5
</v>
      </c>
      <c r="AO199" t="str">
        <f t="shared" si="82"/>
        <v xml:space="preserve">所有伤害增加 {0}%
持续性伤害  + {1}%
中毒系数  + {2}%
受到异常时间提升  + {3}%
san值最大值  + -5
</v>
      </c>
      <c r="AP199" s="6" t="str">
        <f t="shared" si="83"/>
        <v xml:space="preserve">所有伤害增加 {0}%
持续性伤害  + {1}%
中毒系数  + {2}%
受到异常时间提升  + {3}%
san值最大值  + -5
</v>
      </c>
      <c r="AQ199" s="80" t="s">
        <v>3794</v>
      </c>
      <c r="AR199" t="str">
        <f t="shared" si="84"/>
        <v xml:space="preserve">所有伤害增加 {0}%
持续性伤害  + {1}%
中毒系数  + {2}%
受到异常时间提升  + {3}%
san值最大值  + -5
</v>
      </c>
      <c r="AS199" s="81" t="str">
        <f t="shared" si="85"/>
        <v>所有伤害增加 {0}%
持续性伤害  + {1}%
中毒系数  + {2}%
受到异常时间提升  + {3}%
san值最大值  + -5</v>
      </c>
      <c r="BE199" s="46"/>
      <c r="BF199" s="46"/>
      <c r="BG199" s="52"/>
      <c r="BH199" s="59"/>
      <c r="BI199" s="59"/>
      <c r="BJ199" s="59"/>
      <c r="BK199" s="18"/>
    </row>
    <row r="200" spans="2:63" ht="15.75" x14ac:dyDescent="0.3">
      <c r="C200" s="59">
        <v>14886</v>
      </c>
      <c r="D200" s="59" t="s">
        <v>4220</v>
      </c>
      <c r="E200" s="59"/>
      <c r="F200" s="59"/>
      <c r="G200" s="59"/>
      <c r="H200" s="72"/>
      <c r="I200" s="64" t="s">
        <v>2949</v>
      </c>
      <c r="J200" s="64">
        <v>2</v>
      </c>
      <c r="K200" s="64">
        <v>0.4</v>
      </c>
      <c r="L200" s="65" t="s">
        <v>3007</v>
      </c>
      <c r="M200" s="65">
        <v>2</v>
      </c>
      <c r="N200" s="65">
        <v>0.2</v>
      </c>
      <c r="O200" s="66" t="s">
        <v>2938</v>
      </c>
      <c r="P200" s="66">
        <v>4</v>
      </c>
      <c r="Q200" s="66">
        <v>0.4</v>
      </c>
      <c r="R200" s="64" t="s">
        <v>2933</v>
      </c>
      <c r="S200" s="64">
        <v>2</v>
      </c>
      <c r="T200" s="64">
        <v>0.2</v>
      </c>
      <c r="U200" s="65" t="s">
        <v>3031</v>
      </c>
      <c r="V200" s="65">
        <v>1</v>
      </c>
      <c r="W200" s="65">
        <v>0</v>
      </c>
      <c r="X200" s="66"/>
      <c r="Y200" s="66"/>
      <c r="Z200" s="66"/>
      <c r="AA200" s="71" t="str">
        <f t="shared" ref="AA200:AA219" si="86">"1:"&amp;IF(I200&lt;&gt;"",VLOOKUP(I200,$BE$8:$BH$260,3,FALSE)&amp;","&amp;VLOOKUP(I200,$BE$8:$BH$260,4,FALSE)*(1-K200)*J200&amp;","&amp;VLOOKUP(I200,$BE$8:$BH$260,4,FALSE)*(1+K200)*J200&amp;",","xxx")&amp;IF(L200&lt;&gt;"",VLOOKUP(L200,$BE$8:$BH$260,3,FALSE)&amp;","&amp;VLOOKUP(L200,$BE$8:$BH$260,4,FALSE)*(1-N200)*M200&amp;","&amp;VLOOKUP(L200,$BE$8:$BH$260,4,FALSE)*(1+N200)*M200&amp;",","xxx")&amp;IF(O200&lt;&gt;"",VLOOKUP(O200,$BE$8:$BH$260,3,FALSE)&amp;","&amp;VLOOKUP(O200,$BE$8:$BH$260,4,FALSE)*(1-Q200)*P200&amp;","&amp;VLOOKUP(O200,$BE$8:$BH$260,4,FALSE)*(1+Q200)*P200&amp;",","xxx")&amp;IF(R200&lt;&gt;"",VLOOKUP(R200,$BE$8:$BH$260,3,FALSE)&amp;","&amp;VLOOKUP(R200,$BE$8:$BH$260,4,FALSE)*(1-T200)*S200&amp;","&amp;VLOOKUP(R200,$BE$8:$BH$260,4,FALSE)*(1+T200)*S200&amp;",","xxx")&amp;IF(U200&lt;&gt;"",VLOOKUP(U200,$BE$8:$BH$260,3,FALSE)&amp;","&amp;VLOOKUP(U200,$BE$8:$BH$260,4,FALSE)*(1-W200)*V200&amp;","&amp;VLOOKUP(U200,$BE$8:$BH$260,4,FALSE)*(1+W200)*V200&amp;",","xxx")&amp;IF(X200&lt;&gt;"",VLOOKUP(X200,$BE$8:$BH$260,3,FALSE)&amp;","&amp;VLOOKUP(X200,$BE$8:$BH$260,4,FALSE)*(1-Z200)*Y200&amp;","&amp;VLOOKUP(X200,$BE$8:$BH$260,4,FALSE)*(1+Z200)*Y200&amp;",","xxx")</f>
        <v>1:311,6,14,312,8,12,215,24,56,217,16,24,411,0,0,xxx</v>
      </c>
      <c r="AB200" s="78" t="str">
        <f t="shared" si="81"/>
        <v>1:311,6,14,312,8,12,215,24,56,217,16,24,411,0,0</v>
      </c>
      <c r="AC200" t="str">
        <f t="shared" si="67"/>
        <v>闪避几率% {0}</v>
      </c>
      <c r="AD200" t="str">
        <f t="shared" ref="AD200:AD219" si="87">_xlfn.IFNA(L200&amp;" "&amp;IF(N200=0," + "&amp;M200*VLOOKUP(L200,$BE$8:$BH$260,4,FALSE)," + {"&amp;M$6&amp;"}"),"xxx")</f>
        <v>闪避几率上限%  + {1}</v>
      </c>
      <c r="AE200" t="str">
        <f t="shared" ref="AE200:AE219" si="88">_xlfn.IFNA(O200&amp;" "&amp;IF(Q200=0," + "&amp;P200*VLOOKUP(O200,$BE$8:$BH$260,4,FALSE)," + {"&amp;P$6&amp;"}"),"xxx")</f>
        <v>闪电伤害%  + {2}</v>
      </c>
      <c r="AF200" t="str">
        <f t="shared" ref="AF200:AF219" si="89">_xlfn.IFNA(R200&amp;" "&amp;IF(T200=0," + "&amp;S200*VLOOKUP(R200,$BE$8:$BH$260,4,FALSE)," + {"&amp;S$6&amp;"}"),"xxx")</f>
        <v>攻击速度%  + {3}</v>
      </c>
      <c r="AG200" t="str">
        <f t="shared" ref="AG200:AG219" si="90">_xlfn.IFNA(U200&amp;" "&amp;IF(W200=0," + "&amp;V200*VLOOKUP(U200,$BE$8:$BH$260,4,FALSE)," + {"&amp;V$6&amp;"}"),"xxx")</f>
        <v>移动速度  + 0</v>
      </c>
      <c r="AI200" t="str">
        <f t="shared" ref="AI200:AI219" si="91">_xlfn.IFNA(IF(AC200="xxx","xxx",IF(VLOOKUP(I200,$BE$8:$BK$260,7,FALSE)=1,AC200&amp;CHAR(10),SUBSTITUTE(AC200,"%","")&amp;"%"&amp;CHAR(10))),"xxx")</f>
        <v xml:space="preserve">闪避几率 {0}%
</v>
      </c>
      <c r="AJ200" t="str">
        <f t="shared" ref="AJ200:AJ219" si="92">_xlfn.IFNA(IF(AC200="xxx","xxx",IF(VLOOKUP(L200,$BE$8:$BK$260,7,FALSE)=1,AD200&amp;CHAR(10),SUBSTITUTE(AD200,"%","")&amp;"%"&amp;CHAR(10))),"xxx")</f>
        <v xml:space="preserve">闪避几率上限  + {1}%
</v>
      </c>
      <c r="AK200" t="str">
        <f t="shared" ref="AK200:AK219" si="93">_xlfn.IFNA(IF(AC200="xxx","xxx",IF(VLOOKUP(O200,$BE$8:$BK$260,7,FALSE)=1,AE200&amp;CHAR(10),SUBSTITUTE(AE200,"%","")&amp;"%"&amp;CHAR(10))),"xxx")</f>
        <v xml:space="preserve">闪电伤害  + {2}%
</v>
      </c>
      <c r="AL200" t="str">
        <f t="shared" ref="AL200:AL219" si="94">_xlfn.IFNA(IF(AC200="xxx","xxx",IF(VLOOKUP(R200,$BE$8:$BK$260,7,FALSE)=1,AF200&amp;CHAR(10),SUBSTITUTE(AF200,"%","")&amp;"%"&amp;CHAR(10))),"xxx")</f>
        <v xml:space="preserve">攻击速度  + {3}%
</v>
      </c>
      <c r="AM200" t="str">
        <f t="shared" ref="AM200:AM219" si="95">_xlfn.IFNA(IF(AC200="xxx","xxx",IF(VLOOKUP(U200,$BE$8:$BK$260,7,FALSE)=1,AG200&amp;CHAR(10),SUBSTITUTE(AG200,"%","")&amp;"%"&amp;CHAR(10))),"xxx")</f>
        <v xml:space="preserve">移动速度  + 0
</v>
      </c>
      <c r="AO200" t="str">
        <f t="shared" si="82"/>
        <v xml:space="preserve">闪避几率 {0}%
闪避几率上限  + {1}%
闪电伤害  + {2}%
攻击速度  + {3}%
移动速度  + 0
</v>
      </c>
      <c r="AP200" s="6" t="str">
        <f t="shared" si="83"/>
        <v xml:space="preserve">闪避几率 {0}%
闪避几率上限  + {1}%
闪电伤害  + {2}%
攻击速度  + {3}%
移动速度  + 0
</v>
      </c>
      <c r="AQ200" s="80" t="s">
        <v>3795</v>
      </c>
      <c r="AR200" t="str">
        <f t="shared" si="84"/>
        <v xml:space="preserve">闪避几率 {0}%
闪避几率上限  + {1}%
闪电伤害  + {2}%
攻击速度  + {3}%
移动速度  + 0
</v>
      </c>
      <c r="AS200" s="81" t="str">
        <f t="shared" si="85"/>
        <v>闪避几率 {0}%
闪避几率上限  + {1}%
闪电伤害  + {2}%
攻击速度  + {3}%
移动速度  + 0</v>
      </c>
      <c r="BE200" s="46"/>
      <c r="BF200" s="46"/>
      <c r="BG200" s="52"/>
      <c r="BH200" s="59"/>
      <c r="BI200" s="59"/>
      <c r="BJ200" s="59"/>
      <c r="BK200" s="18"/>
    </row>
    <row r="201" spans="2:63" ht="15.75" x14ac:dyDescent="0.3">
      <c r="C201" s="59">
        <v>14887</v>
      </c>
      <c r="D201" s="59" t="s">
        <v>4223</v>
      </c>
      <c r="E201" s="59"/>
      <c r="F201" s="59"/>
      <c r="G201" s="59"/>
      <c r="H201" s="72"/>
      <c r="I201" s="64" t="s">
        <v>2958</v>
      </c>
      <c r="J201" s="64">
        <v>3</v>
      </c>
      <c r="K201" s="64">
        <v>0.4</v>
      </c>
      <c r="L201" s="65" t="s">
        <v>2966</v>
      </c>
      <c r="M201" s="65">
        <v>3</v>
      </c>
      <c r="N201" s="65">
        <v>0.2</v>
      </c>
      <c r="O201" s="66" t="s">
        <v>3227</v>
      </c>
      <c r="P201" s="66">
        <v>5</v>
      </c>
      <c r="Q201" s="66">
        <v>0</v>
      </c>
      <c r="R201" s="64" t="s">
        <v>3581</v>
      </c>
      <c r="S201" s="64">
        <v>2</v>
      </c>
      <c r="T201" s="64">
        <v>0</v>
      </c>
      <c r="U201" s="65" t="s">
        <v>3583</v>
      </c>
      <c r="V201" s="65">
        <v>2</v>
      </c>
      <c r="W201" s="65">
        <v>0</v>
      </c>
      <c r="X201" s="66"/>
      <c r="Y201" s="66"/>
      <c r="Z201" s="66"/>
      <c r="AA201" s="71" t="str">
        <f t="shared" si="86"/>
        <v>1:321,9,21,104,24,36,426,1,1,501,4,4,502,4,4,xxx</v>
      </c>
      <c r="AB201" s="78" t="str">
        <f t="shared" si="81"/>
        <v>1:321,9,21,104,24,36,426,1,1,501,4,4,502,4,4</v>
      </c>
      <c r="AC201" t="str">
        <f t="shared" ref="AC201:AC264" si="96">IF(J201&gt;0,I201&amp;" "&amp;"{"&amp;J$6&amp;"}","xxx")</f>
        <v>所有伤害减免% {0}</v>
      </c>
      <c r="AD201" t="str">
        <f t="shared" si="87"/>
        <v>幸运  + {1}</v>
      </c>
      <c r="AE201" t="str">
        <f t="shared" si="88"/>
        <v>复活  + 1</v>
      </c>
      <c r="AF201" t="str">
        <f t="shared" si="89"/>
        <v>刷新次数  + 4</v>
      </c>
      <c r="AG201" t="str">
        <f t="shared" si="90"/>
        <v>剔除次数  + 4</v>
      </c>
      <c r="AI201" t="str">
        <f t="shared" si="91"/>
        <v xml:space="preserve">所有伤害减免 {0}%
</v>
      </c>
      <c r="AJ201" t="str">
        <f t="shared" si="92"/>
        <v xml:space="preserve">幸运  + {1}
</v>
      </c>
      <c r="AK201" t="str">
        <f t="shared" si="93"/>
        <v xml:space="preserve">复活  + 1
</v>
      </c>
      <c r="AL201" t="str">
        <f t="shared" si="94"/>
        <v xml:space="preserve">刷新次数  + 4
</v>
      </c>
      <c r="AM201" t="str">
        <f t="shared" si="95"/>
        <v xml:space="preserve">剔除次数  + 4
</v>
      </c>
      <c r="AO201" t="str">
        <f t="shared" si="82"/>
        <v xml:space="preserve">所有伤害减免 {0}%
幸运  + {1}
复活  + 1
刷新次数  + 4
剔除次数  + 4
</v>
      </c>
      <c r="AP201" s="6" t="str">
        <f t="shared" si="83"/>
        <v xml:space="preserve">所有伤害减免 {0}%
幸运  + {1}
复活  + 1
刷新次数  + 4
剔除次数  + 4
</v>
      </c>
      <c r="AQ201" s="80" t="s">
        <v>3796</v>
      </c>
      <c r="AR201" t="str">
        <f t="shared" si="84"/>
        <v xml:space="preserve">所有伤害减免 {0}%
幸运  + {1}
复活  + 1
刷新次数  + 4
剔除次数  + 4
</v>
      </c>
      <c r="AS201" s="81" t="str">
        <f t="shared" si="85"/>
        <v>所有伤害减免 {0}%
幸运  + {1}
复活  + 1
刷新次数  + 4
剔除次数  + 4</v>
      </c>
      <c r="BE201" s="46"/>
      <c r="BF201" s="46"/>
      <c r="BG201" s="52"/>
      <c r="BH201" s="59"/>
      <c r="BI201" s="59"/>
      <c r="BJ201" s="59"/>
      <c r="BK201" s="18"/>
    </row>
    <row r="202" spans="2:63" ht="15.75" x14ac:dyDescent="0.3">
      <c r="C202" s="59">
        <v>14888</v>
      </c>
      <c r="D202" s="59" t="s">
        <v>4227</v>
      </c>
      <c r="E202" s="59"/>
      <c r="F202" s="59"/>
      <c r="G202" s="59"/>
      <c r="H202" s="72"/>
      <c r="I202" s="64" t="s">
        <v>2941</v>
      </c>
      <c r="J202" s="64">
        <v>2</v>
      </c>
      <c r="K202" s="64">
        <v>0.2</v>
      </c>
      <c r="L202" s="65" t="s">
        <v>2955</v>
      </c>
      <c r="M202" s="65">
        <v>2</v>
      </c>
      <c r="N202" s="65">
        <v>0.2</v>
      </c>
      <c r="O202" s="66" t="s">
        <v>3158</v>
      </c>
      <c r="P202" s="66">
        <v>2</v>
      </c>
      <c r="Q202" s="66">
        <v>0.2</v>
      </c>
      <c r="R202" s="64" t="s">
        <v>2950</v>
      </c>
      <c r="S202" s="64">
        <v>2</v>
      </c>
      <c r="T202" s="64">
        <v>0.2</v>
      </c>
      <c r="U202" s="65" t="s">
        <v>2951</v>
      </c>
      <c r="V202" s="65">
        <v>3</v>
      </c>
      <c r="W202" s="65">
        <v>0.4</v>
      </c>
      <c r="X202" s="66"/>
      <c r="Y202" s="66"/>
      <c r="Z202" s="66"/>
      <c r="AA202" s="71" t="str">
        <f t="shared" si="86"/>
        <v>1:101,16,24,204,16,24,240,16,24,304,16,24,308,18,42,xxx</v>
      </c>
      <c r="AB202" s="78" t="str">
        <f t="shared" si="81"/>
        <v>1:101,16,24,204,16,24,240,16,24,304,16,24,308,18,42</v>
      </c>
      <c r="AC202" t="str">
        <f t="shared" si="96"/>
        <v>力量 {0}</v>
      </c>
      <c r="AD202" t="str">
        <f t="shared" si="87"/>
        <v>物理伤害  + {1}</v>
      </c>
      <c r="AE202" t="str">
        <f t="shared" si="88"/>
        <v>流血系数  + {2}</v>
      </c>
      <c r="AF202" t="str">
        <f t="shared" si="89"/>
        <v>生命回复%  + {3}</v>
      </c>
      <c r="AG202" t="str">
        <f t="shared" si="90"/>
        <v>护盾值%  + {4}</v>
      </c>
      <c r="AI202" t="str">
        <f t="shared" si="91"/>
        <v xml:space="preserve">力量 {0}
</v>
      </c>
      <c r="AJ202" t="str">
        <f t="shared" si="92"/>
        <v xml:space="preserve">物理伤害  + {1}
</v>
      </c>
      <c r="AK202" t="str">
        <f t="shared" si="93"/>
        <v xml:space="preserve">流血系数  + {2}%
</v>
      </c>
      <c r="AL202" t="str">
        <f t="shared" si="94"/>
        <v xml:space="preserve">生命回复  + {3}%
</v>
      </c>
      <c r="AM202" t="str">
        <f t="shared" si="95"/>
        <v xml:space="preserve">护盾值  + {4}%
</v>
      </c>
      <c r="AO202" t="str">
        <f t="shared" si="82"/>
        <v xml:space="preserve">力量 {0}
物理伤害  + {1}
流血系数  + {2}%
生命回复  + {3}%
护盾值  + {4}%
</v>
      </c>
      <c r="AP202" s="6" t="str">
        <f t="shared" si="83"/>
        <v xml:space="preserve">力量 {0}
物理伤害  + {1}
流血系数  + {2}%
生命回复  + {3}%
护盾值  + {4}%
</v>
      </c>
      <c r="AQ202" s="80" t="s">
        <v>3797</v>
      </c>
      <c r="AR202" t="str">
        <f t="shared" si="84"/>
        <v xml:space="preserve">力量 {0}
物理伤害  + {1}
流血系数  + {2}%
生命回复  + {3}%
护盾值  + {4}%
</v>
      </c>
      <c r="AS202" s="81" t="str">
        <f t="shared" si="85"/>
        <v>力量 {0}
物理伤害  + {1}
流血系数  + {2}%
生命回复  + {3}%
护盾值  + {4}%</v>
      </c>
      <c r="BE202" s="46"/>
      <c r="BF202" s="46"/>
      <c r="BG202" s="52"/>
      <c r="BH202" s="59"/>
      <c r="BI202" s="59"/>
      <c r="BJ202" s="59"/>
      <c r="BK202" s="18"/>
    </row>
    <row r="203" spans="2:63" ht="15.75" x14ac:dyDescent="0.3">
      <c r="C203" s="59">
        <v>14889</v>
      </c>
      <c r="D203" s="59" t="s">
        <v>4231</v>
      </c>
      <c r="E203" s="59"/>
      <c r="F203" s="59"/>
      <c r="G203" s="59"/>
      <c r="H203" s="72"/>
      <c r="I203" s="64" t="s">
        <v>3031</v>
      </c>
      <c r="J203" s="64">
        <v>2</v>
      </c>
      <c r="K203" s="64">
        <v>0.4</v>
      </c>
      <c r="L203" s="65" t="s">
        <v>2955</v>
      </c>
      <c r="M203" s="65">
        <v>3</v>
      </c>
      <c r="N203" s="65">
        <v>0.4</v>
      </c>
      <c r="O203" s="66" t="s">
        <v>2949</v>
      </c>
      <c r="P203" s="66">
        <v>2</v>
      </c>
      <c r="Q203" s="66">
        <v>0.4</v>
      </c>
      <c r="R203" s="64" t="s">
        <v>3244</v>
      </c>
      <c r="S203" s="64">
        <v>1</v>
      </c>
      <c r="T203" s="64">
        <v>0.2</v>
      </c>
      <c r="U203" s="65"/>
      <c r="V203" s="65"/>
      <c r="W203" s="65"/>
      <c r="X203" s="66"/>
      <c r="Y203" s="66"/>
      <c r="Z203" s="66"/>
      <c r="AA203" s="71" t="str">
        <f t="shared" si="86"/>
        <v>1:411,0,0,204,18,42,311,6,14,805,0.2,0.3,xxxxxx</v>
      </c>
      <c r="AB203" s="78" t="str">
        <f t="shared" si="81"/>
        <v>1:411,0,0,204,18,42,311,6,14,805,0.2,0.3</v>
      </c>
      <c r="AC203" t="str">
        <f t="shared" si="96"/>
        <v>移动速度 {0}</v>
      </c>
      <c r="AD203" t="str">
        <f t="shared" si="87"/>
        <v>物理伤害  + {1}</v>
      </c>
      <c r="AE203" t="str">
        <f t="shared" si="88"/>
        <v>闪避几率%  + {2}</v>
      </c>
      <c r="AF203" t="str">
        <f t="shared" si="89"/>
        <v>每移速额外提升攻速  + {3}</v>
      </c>
      <c r="AG203" t="str">
        <f t="shared" si="90"/>
        <v>xxx</v>
      </c>
      <c r="AI203" t="str">
        <f t="shared" si="91"/>
        <v xml:space="preserve">移动速度 {0}
</v>
      </c>
      <c r="AJ203" t="str">
        <f t="shared" si="92"/>
        <v xml:space="preserve">物理伤害  + {1}
</v>
      </c>
      <c r="AK203" t="str">
        <f t="shared" si="93"/>
        <v xml:space="preserve">闪避几率  + {2}%
</v>
      </c>
      <c r="AL203" t="str">
        <f t="shared" si="94"/>
        <v xml:space="preserve">每移速额外提升攻速  + {3}%
</v>
      </c>
      <c r="AM203" t="str">
        <f t="shared" si="95"/>
        <v>xxx</v>
      </c>
      <c r="AO203" t="str">
        <f t="shared" si="82"/>
        <v>移动速度 {0}
物理伤害  + {1}
闪避几率  + {2}%
每移速额外提升攻速  + {3}%
xxx</v>
      </c>
      <c r="AP203" s="6" t="str">
        <f t="shared" si="83"/>
        <v xml:space="preserve">移动速度 {0}
物理伤害  + {1}
闪避几率  + {2}%
每移速额外提升攻速  + {3}%
</v>
      </c>
      <c r="AQ203" s="80" t="s">
        <v>3798</v>
      </c>
      <c r="AR203" t="str">
        <f t="shared" si="84"/>
        <v xml:space="preserve">移动速度 {0}
物理伤害  + {1}
闪避几率  + {2}%
每移速额外提升攻速  + {3}%
</v>
      </c>
      <c r="AS203" s="81" t="str">
        <f t="shared" si="85"/>
        <v>移动速度 {0}
物理伤害  + {1}
闪避几率  + {2}%
每移速额外提升攻速  + {3}%</v>
      </c>
      <c r="BE203" s="46"/>
      <c r="BF203" s="46"/>
      <c r="BG203" s="52"/>
      <c r="BH203" s="59"/>
      <c r="BI203" s="59"/>
      <c r="BJ203" s="59"/>
      <c r="BK203" s="18"/>
    </row>
    <row r="204" spans="2:63" ht="15.75" x14ac:dyDescent="0.3">
      <c r="C204" s="59">
        <v>14890</v>
      </c>
      <c r="D204" s="59" t="s">
        <v>4234</v>
      </c>
      <c r="E204" s="59"/>
      <c r="F204" s="59"/>
      <c r="G204" s="59"/>
      <c r="H204" s="72"/>
      <c r="I204" s="64" t="s">
        <v>2967</v>
      </c>
      <c r="J204" s="64">
        <v>3</v>
      </c>
      <c r="K204" s="64">
        <v>0.4</v>
      </c>
      <c r="L204" s="65" t="s">
        <v>3240</v>
      </c>
      <c r="M204" s="65">
        <v>1.5</v>
      </c>
      <c r="N204" s="65">
        <v>0.2</v>
      </c>
      <c r="O204" s="66" t="s">
        <v>3030</v>
      </c>
      <c r="P204" s="66">
        <v>2</v>
      </c>
      <c r="Q204" s="66">
        <v>0</v>
      </c>
      <c r="R204" s="64" t="s">
        <v>2949</v>
      </c>
      <c r="S204" s="64">
        <v>2</v>
      </c>
      <c r="T204" s="64">
        <v>0.4</v>
      </c>
      <c r="U204" s="65" t="s">
        <v>3581</v>
      </c>
      <c r="V204" s="65">
        <v>2</v>
      </c>
      <c r="W204" s="65">
        <v>0</v>
      </c>
      <c r="X204" s="66"/>
      <c r="Y204" s="66"/>
      <c r="Z204" s="66"/>
      <c r="AA204" s="71" t="str">
        <f t="shared" si="86"/>
        <v>1:201,9,21,434,12,18,410,10,10,311,6,14,501,4,4,xxx</v>
      </c>
      <c r="AB204" s="78" t="str">
        <f t="shared" si="81"/>
        <v>1:201,9,21,434,12,18,410,10,10,311,6,14,501,4,4</v>
      </c>
      <c r="AC204" t="str">
        <f t="shared" si="96"/>
        <v>攻击力 {0}</v>
      </c>
      <c r="AD204" t="str">
        <f t="shared" si="87"/>
        <v>子弹技能范围%  + {1}</v>
      </c>
      <c r="AE204" t="str">
        <f t="shared" si="88"/>
        <v>冲刺冷却缩减%  + 10</v>
      </c>
      <c r="AF204" t="str">
        <f t="shared" si="89"/>
        <v>闪避几率%  + {3}</v>
      </c>
      <c r="AG204" t="str">
        <f t="shared" si="90"/>
        <v>刷新次数  + 4</v>
      </c>
      <c r="AI204" t="str">
        <f t="shared" si="91"/>
        <v xml:space="preserve">攻击力 {0}
</v>
      </c>
      <c r="AJ204" t="str">
        <f t="shared" si="92"/>
        <v xml:space="preserve">子弹技能范围  + {1}%
</v>
      </c>
      <c r="AK204" t="str">
        <f t="shared" si="93"/>
        <v xml:space="preserve">冲刺冷却缩减  + 10%
</v>
      </c>
      <c r="AL204" t="str">
        <f t="shared" si="94"/>
        <v xml:space="preserve">闪避几率  + {3}%
</v>
      </c>
      <c r="AM204" t="str">
        <f t="shared" si="95"/>
        <v xml:space="preserve">刷新次数  + 4
</v>
      </c>
      <c r="AO204" t="str">
        <f t="shared" si="82"/>
        <v xml:space="preserve">攻击力 {0}
子弹技能范围  + {1}%
冲刺冷却缩减  + 10%
闪避几率  + {3}%
刷新次数  + 4
</v>
      </c>
      <c r="AP204" s="6" t="str">
        <f t="shared" si="83"/>
        <v xml:space="preserve">攻击力 {0}
子弹技能范围  + {1}%
冲刺冷却缩减  + 10%
闪避几率  + {3}%
刷新次数  + 4
</v>
      </c>
      <c r="AQ204" s="80" t="s">
        <v>3799</v>
      </c>
      <c r="AR204" t="str">
        <f t="shared" si="84"/>
        <v xml:space="preserve">攻击力 {0}
子弹技能范围  + {1}%
冲刺冷却缩减  + 10%
闪避几率  + {3}%
刷新次数  + 4
</v>
      </c>
      <c r="AS204" s="81" t="str">
        <f t="shared" si="85"/>
        <v>攻击力 {0}
子弹技能范围  + {1}%
冲刺冷却缩减  + 10%
闪避几率  + {3}%
刷新次数  + 4</v>
      </c>
      <c r="BE204" s="46"/>
      <c r="BF204" s="46"/>
      <c r="BG204" s="52"/>
      <c r="BH204" s="59"/>
      <c r="BI204" s="59"/>
      <c r="BJ204" s="59"/>
      <c r="BK204" s="18"/>
    </row>
    <row r="205" spans="2:63" ht="15.75" x14ac:dyDescent="0.3">
      <c r="C205" s="59">
        <v>14891</v>
      </c>
      <c r="D205" s="59" t="s">
        <v>4237</v>
      </c>
      <c r="E205" s="59"/>
      <c r="F205" s="59"/>
      <c r="G205" s="59"/>
      <c r="H205" s="72"/>
      <c r="I205" s="64" t="s">
        <v>3180</v>
      </c>
      <c r="J205" s="64">
        <v>3</v>
      </c>
      <c r="K205" s="64">
        <v>0.4</v>
      </c>
      <c r="L205" s="65" t="s">
        <v>2950</v>
      </c>
      <c r="M205" s="65">
        <v>3</v>
      </c>
      <c r="N205" s="65">
        <v>0.4</v>
      </c>
      <c r="O205" s="66" t="s">
        <v>2963</v>
      </c>
      <c r="P205" s="66">
        <v>2</v>
      </c>
      <c r="Q205" s="66">
        <v>0.2</v>
      </c>
      <c r="R205" s="64" t="s">
        <v>3031</v>
      </c>
      <c r="S205" s="64">
        <v>2</v>
      </c>
      <c r="T205" s="64">
        <v>0.2</v>
      </c>
      <c r="U205" s="65"/>
      <c r="V205" s="65"/>
      <c r="W205" s="65"/>
      <c r="X205" s="66"/>
      <c r="Y205" s="66"/>
      <c r="Z205" s="66"/>
      <c r="AA205" s="71" t="str">
        <f t="shared" si="86"/>
        <v>1:300,36,84,304,18,42,413,16,24,411,0,0,xxxxxx</v>
      </c>
      <c r="AB205" s="78" t="str">
        <f t="shared" si="81"/>
        <v>1:300,36,84,304,18,42,413,16,24,411,0,0</v>
      </c>
      <c r="AC205" t="str">
        <f t="shared" si="96"/>
        <v>最大生命值 {0}</v>
      </c>
      <c r="AD205" t="str">
        <f t="shared" si="87"/>
        <v>生命回复%  + {1}</v>
      </c>
      <c r="AE205" t="str">
        <f t="shared" si="88"/>
        <v>荆棘  + {2}</v>
      </c>
      <c r="AF205" t="str">
        <f t="shared" si="89"/>
        <v>移动速度  + {3}</v>
      </c>
      <c r="AG205" t="str">
        <f t="shared" si="90"/>
        <v>xxx</v>
      </c>
      <c r="AI205" t="str">
        <f t="shared" si="91"/>
        <v xml:space="preserve">最大生命值 {0}
</v>
      </c>
      <c r="AJ205" t="str">
        <f t="shared" si="92"/>
        <v xml:space="preserve">生命回复  + {1}%
</v>
      </c>
      <c r="AK205" t="str">
        <f t="shared" si="93"/>
        <v xml:space="preserve">荆棘  + {2}
</v>
      </c>
      <c r="AL205" t="str">
        <f t="shared" si="94"/>
        <v xml:space="preserve">移动速度  + {3}
</v>
      </c>
      <c r="AM205" t="str">
        <f t="shared" si="95"/>
        <v>xxx</v>
      </c>
      <c r="AO205" t="str">
        <f t="shared" si="82"/>
        <v>最大生命值 {0}
生命回复  + {1}%
荆棘  + {2}
移动速度  + {3}
xxx</v>
      </c>
      <c r="AP205" s="6" t="str">
        <f t="shared" si="83"/>
        <v xml:space="preserve">最大生命值 {0}
生命回复  + {1}%
荆棘  + {2}
移动速度  + {3}
</v>
      </c>
      <c r="AQ205" s="80" t="s">
        <v>3800</v>
      </c>
      <c r="AR205" t="str">
        <f t="shared" si="84"/>
        <v xml:space="preserve">最大生命值 {0}
生命回复  + {1}%
荆棘  + {2}
移动速度  + {3}
</v>
      </c>
      <c r="AS205" s="81" t="str">
        <f t="shared" si="85"/>
        <v>最大生命值 {0}
生命回复  + {1}%
荆棘  + {2}
移动速度  + {3}</v>
      </c>
      <c r="BE205" s="46"/>
      <c r="BF205" s="46"/>
      <c r="BG205" s="52"/>
      <c r="BH205" s="59"/>
      <c r="BI205" s="59"/>
      <c r="BJ205" s="59"/>
      <c r="BK205" s="18"/>
    </row>
    <row r="206" spans="2:63" ht="15.75" x14ac:dyDescent="0.3">
      <c r="B206" t="s">
        <v>2752</v>
      </c>
      <c r="C206" s="59">
        <v>14892</v>
      </c>
      <c r="D206" s="59" t="s">
        <v>4240</v>
      </c>
      <c r="E206" s="59"/>
      <c r="F206" s="59"/>
      <c r="G206" s="59"/>
      <c r="H206" s="72"/>
      <c r="I206" s="64" t="s">
        <v>2967</v>
      </c>
      <c r="J206" s="64">
        <v>2</v>
      </c>
      <c r="K206" s="64">
        <v>0.4</v>
      </c>
      <c r="L206" s="65" t="s">
        <v>2973</v>
      </c>
      <c r="M206" s="65">
        <v>2</v>
      </c>
      <c r="N206" s="65">
        <v>0.4</v>
      </c>
      <c r="O206" s="66" t="s">
        <v>2969</v>
      </c>
      <c r="P206" s="66">
        <v>1</v>
      </c>
      <c r="Q206" s="66">
        <v>0.2</v>
      </c>
      <c r="R206" s="64" t="s">
        <v>2932</v>
      </c>
      <c r="S206" s="64">
        <v>2</v>
      </c>
      <c r="T206" s="64">
        <v>0.2</v>
      </c>
      <c r="U206" s="65" t="s">
        <v>3177</v>
      </c>
      <c r="V206" s="65">
        <v>2</v>
      </c>
      <c r="W206" s="65">
        <v>0.2</v>
      </c>
      <c r="X206" s="66"/>
      <c r="Y206" s="66"/>
      <c r="Z206" s="66"/>
      <c r="AA206" s="71" t="str">
        <f t="shared" si="86"/>
        <v>1:201,6,14,208,12,28,203,8,12,220,32,48,231,16,24,xxx</v>
      </c>
      <c r="AB206" s="78" t="str">
        <f t="shared" si="81"/>
        <v>1:201,6,14,208,12,28,203,8,12,220,32,48,231,16,24</v>
      </c>
      <c r="AC206" t="str">
        <f t="shared" si="96"/>
        <v>攻击力 {0}</v>
      </c>
      <c r="AD206" t="str">
        <f t="shared" si="87"/>
        <v>闪电伤害  + {1}</v>
      </c>
      <c r="AE206" t="str">
        <f t="shared" si="88"/>
        <v>额外伤害增加%  + {2}</v>
      </c>
      <c r="AF206" t="str">
        <f t="shared" si="89"/>
        <v>暴击伤害%  + {3}</v>
      </c>
      <c r="AG206" t="str">
        <f t="shared" si="90"/>
        <v>附加闪电伤害  + {4}</v>
      </c>
      <c r="AI206" t="str">
        <f t="shared" si="91"/>
        <v xml:space="preserve">攻击力 {0}
</v>
      </c>
      <c r="AJ206" t="str">
        <f t="shared" si="92"/>
        <v xml:space="preserve">闪电伤害  + {1}
</v>
      </c>
      <c r="AK206" t="str">
        <f t="shared" si="93"/>
        <v xml:space="preserve">额外伤害增加  + {2}%
</v>
      </c>
      <c r="AL206" t="str">
        <f t="shared" si="94"/>
        <v xml:space="preserve">暴击伤害  + {3}%
</v>
      </c>
      <c r="AM206" t="str">
        <f t="shared" si="95"/>
        <v xml:space="preserve">附加闪电伤害  + {4}%
</v>
      </c>
      <c r="AO206" t="str">
        <f t="shared" si="82"/>
        <v xml:space="preserve">攻击力 {0}
闪电伤害  + {1}
额外伤害增加  + {2}%
暴击伤害  + {3}%
附加闪电伤害  + {4}%
</v>
      </c>
      <c r="AP206" s="6" t="str">
        <f t="shared" si="83"/>
        <v xml:space="preserve">攻击力 {0}
闪电伤害  + {1}
额外伤害增加  + {2}%
暴击伤害  + {3}%
附加闪电伤害  + {4}%
</v>
      </c>
      <c r="AQ206" s="80" t="s">
        <v>3801</v>
      </c>
      <c r="AR206" t="str">
        <f t="shared" si="84"/>
        <v xml:space="preserve">攻击力 {0}
闪电伤害  + {1}
额外伤害增加  + {2}%
暴击伤害  + {3}%
附加闪电伤害  + {4}%
</v>
      </c>
      <c r="AS206" s="81" t="str">
        <f t="shared" si="85"/>
        <v>攻击力 {0}
闪电伤害  + {1}
额外伤害增加  + {2}%
暴击伤害  + {3}%
附加闪电伤害  + {4}%</v>
      </c>
      <c r="BE206" s="46"/>
      <c r="BF206" s="46"/>
      <c r="BG206" s="52"/>
      <c r="BH206" s="59"/>
      <c r="BI206" s="59"/>
      <c r="BJ206" s="59"/>
      <c r="BK206" s="18"/>
    </row>
    <row r="207" spans="2:63" ht="15.75" x14ac:dyDescent="0.3">
      <c r="C207" s="59">
        <v>14893</v>
      </c>
      <c r="D207" s="59" t="s">
        <v>4244</v>
      </c>
      <c r="E207" s="59"/>
      <c r="F207" s="59"/>
      <c r="G207" s="59"/>
      <c r="H207" s="72"/>
      <c r="I207" s="64" t="s">
        <v>2926</v>
      </c>
      <c r="J207" s="64">
        <v>2</v>
      </c>
      <c r="K207" s="64">
        <v>0.4</v>
      </c>
      <c r="L207" s="65" t="s">
        <v>3146</v>
      </c>
      <c r="M207" s="65">
        <v>2</v>
      </c>
      <c r="N207" s="65">
        <v>0.4</v>
      </c>
      <c r="O207" s="66" t="s">
        <v>3227</v>
      </c>
      <c r="P207" s="66">
        <v>5</v>
      </c>
      <c r="Q207" s="66">
        <v>0</v>
      </c>
      <c r="R207" s="64"/>
      <c r="S207" s="64"/>
      <c r="T207" s="64"/>
      <c r="U207" s="65" t="s">
        <v>3581</v>
      </c>
      <c r="V207" s="65">
        <v>2</v>
      </c>
      <c r="W207" s="65">
        <v>0</v>
      </c>
      <c r="X207" s="66"/>
      <c r="Y207" s="66"/>
      <c r="Z207" s="66"/>
      <c r="AA207" s="71" t="str">
        <f t="shared" si="86"/>
        <v>1:214,12,28,241,12,28,426,1,1,xxx501,4,4,xxx</v>
      </c>
      <c r="AB207" s="78" t="str">
        <f t="shared" si="81"/>
        <v>1:214,12,28,241,12,28,426,1,1,501,4,4</v>
      </c>
      <c r="AC207" t="str">
        <f t="shared" si="96"/>
        <v>火焰伤害% {0}</v>
      </c>
      <c r="AD207" t="str">
        <f t="shared" si="87"/>
        <v>灼烧系数  + {1}</v>
      </c>
      <c r="AE207" t="str">
        <f t="shared" si="88"/>
        <v>复活  + 1</v>
      </c>
      <c r="AF207" t="str">
        <f t="shared" si="89"/>
        <v>xxx</v>
      </c>
      <c r="AG207" t="str">
        <f t="shared" si="90"/>
        <v>刷新次数  + 4</v>
      </c>
      <c r="AI207" t="str">
        <f t="shared" si="91"/>
        <v xml:space="preserve">火焰伤害 {0}%
</v>
      </c>
      <c r="AJ207" t="str">
        <f t="shared" si="92"/>
        <v xml:space="preserve">灼烧系数  + {1}%
</v>
      </c>
      <c r="AK207" t="str">
        <f t="shared" si="93"/>
        <v xml:space="preserve">复活  + 1
</v>
      </c>
      <c r="AL207" t="str">
        <f t="shared" si="94"/>
        <v>xxx</v>
      </c>
      <c r="AM207" t="str">
        <f t="shared" si="95"/>
        <v xml:space="preserve">刷新次数  + 4
</v>
      </c>
      <c r="AO207" t="str">
        <f t="shared" si="82"/>
        <v xml:space="preserve">火焰伤害 {0}%
灼烧系数  + {1}%
复活  + 1
xxx刷新次数  + 4
</v>
      </c>
      <c r="AP207" s="6" t="str">
        <f t="shared" si="83"/>
        <v xml:space="preserve">火焰伤害 {0}%
灼烧系数  + {1}%
复活  + 1
刷新次数  + 4
</v>
      </c>
      <c r="AQ207" s="80" t="s">
        <v>3802</v>
      </c>
      <c r="AR207" t="str">
        <f t="shared" si="84"/>
        <v xml:space="preserve">火焰伤害 {0}%
灼烧系数  + {1}%
复活  + 1
刷新次数  + 4
</v>
      </c>
      <c r="AS207" s="81" t="str">
        <f t="shared" si="85"/>
        <v>火焰伤害 {0}%
灼烧系数  + {1}%
复活  + 1
刷新次数  + 4</v>
      </c>
      <c r="BE207" s="46"/>
      <c r="BF207" s="46"/>
      <c r="BG207" s="52"/>
      <c r="BH207" s="59"/>
      <c r="BI207" s="59"/>
      <c r="BJ207" s="59"/>
      <c r="BK207" s="18"/>
    </row>
    <row r="208" spans="2:63" ht="15.75" x14ac:dyDescent="0.3">
      <c r="C208" s="59">
        <v>14894</v>
      </c>
      <c r="D208" s="59" t="s">
        <v>4247</v>
      </c>
      <c r="E208" s="59"/>
      <c r="F208" s="59"/>
      <c r="G208" s="59"/>
      <c r="H208" s="72"/>
      <c r="I208" s="64" t="s">
        <v>2953</v>
      </c>
      <c r="J208" s="64">
        <v>2</v>
      </c>
      <c r="K208" s="64">
        <v>0.4</v>
      </c>
      <c r="L208" s="65" t="s">
        <v>2943</v>
      </c>
      <c r="M208" s="65">
        <v>2</v>
      </c>
      <c r="N208" s="65">
        <v>0.4</v>
      </c>
      <c r="O208" s="66" t="s">
        <v>2958</v>
      </c>
      <c r="P208" s="66">
        <v>3</v>
      </c>
      <c r="Q208" s="66">
        <v>0.4</v>
      </c>
      <c r="R208" s="64" t="s">
        <v>3031</v>
      </c>
      <c r="S208" s="64">
        <v>-2</v>
      </c>
      <c r="T208" s="64">
        <v>0.2</v>
      </c>
      <c r="U208" s="65"/>
      <c r="V208" s="65"/>
      <c r="W208" s="65"/>
      <c r="X208" s="66"/>
      <c r="Y208" s="66"/>
      <c r="Z208" s="66"/>
      <c r="AA208" s="71" t="str">
        <f t="shared" si="86"/>
        <v>1:213,12,28,226,12,28,321,9,21,411,0,0,xxxxxx</v>
      </c>
      <c r="AB208" s="78" t="str">
        <f t="shared" si="81"/>
        <v>1:213,12,28,226,12,28,321,9,21,411,0,0</v>
      </c>
      <c r="AC208" t="str">
        <f t="shared" si="96"/>
        <v>冰霜伤害% {0}</v>
      </c>
      <c r="AD208" t="str">
        <f t="shared" si="87"/>
        <v>命中率%  + {1}</v>
      </c>
      <c r="AE208" t="str">
        <f t="shared" si="88"/>
        <v>所有伤害减免%  + {2}</v>
      </c>
      <c r="AF208" t="str">
        <f t="shared" si="89"/>
        <v>移动速度  + {3}</v>
      </c>
      <c r="AG208" t="str">
        <f t="shared" si="90"/>
        <v>xxx</v>
      </c>
      <c r="AI208" t="str">
        <f t="shared" si="91"/>
        <v xml:space="preserve">冰霜伤害 {0}%
</v>
      </c>
      <c r="AJ208" t="str">
        <f t="shared" si="92"/>
        <v xml:space="preserve">命中率  + {1}%
</v>
      </c>
      <c r="AK208" t="str">
        <f t="shared" si="93"/>
        <v xml:space="preserve">所有伤害减免  + {2}%
</v>
      </c>
      <c r="AL208" t="str">
        <f t="shared" si="94"/>
        <v xml:space="preserve">移动速度  + {3}
</v>
      </c>
      <c r="AM208" t="str">
        <f t="shared" si="95"/>
        <v>xxx</v>
      </c>
      <c r="AO208" t="str">
        <f t="shared" si="82"/>
        <v>冰霜伤害 {0}%
命中率  + {1}%
所有伤害减免  + {2}%
移动速度  + {3}
xxx</v>
      </c>
      <c r="AP208" s="6" t="str">
        <f t="shared" si="83"/>
        <v xml:space="preserve">冰霜伤害 {0}%
命中率  + {1}%
所有伤害减免  + {2}%
移动速度  + {3}
</v>
      </c>
      <c r="AQ208" s="80" t="s">
        <v>3803</v>
      </c>
      <c r="AR208" t="str">
        <f t="shared" si="84"/>
        <v xml:space="preserve">冰霜伤害 {0}%
命中率  + {1}%
所有伤害减免  + {2}%
移动速度  + {3}
</v>
      </c>
      <c r="AS208" s="81" t="str">
        <f t="shared" si="85"/>
        <v>冰霜伤害 {0}%
命中率  + {1}%
所有伤害减免  + {2}%
移动速度  + {3}</v>
      </c>
      <c r="BE208" s="46"/>
      <c r="BF208" s="46"/>
      <c r="BG208" s="52"/>
      <c r="BH208" s="59"/>
      <c r="BI208" s="59"/>
      <c r="BJ208" s="59"/>
      <c r="BK208" s="18"/>
    </row>
    <row r="209" spans="2:63" ht="15.75" x14ac:dyDescent="0.3">
      <c r="C209" s="59">
        <v>14895</v>
      </c>
      <c r="D209" s="59" t="s">
        <v>4250</v>
      </c>
      <c r="E209" s="59"/>
      <c r="F209" s="59"/>
      <c r="G209" s="59"/>
      <c r="H209" s="72"/>
      <c r="I209" s="64" t="s">
        <v>2969</v>
      </c>
      <c r="J209" s="64">
        <v>2</v>
      </c>
      <c r="K209" s="64">
        <v>0.4</v>
      </c>
      <c r="L209" s="65" t="s">
        <v>2956</v>
      </c>
      <c r="M209" s="65">
        <v>2</v>
      </c>
      <c r="N209" s="65">
        <v>0.4</v>
      </c>
      <c r="O209" s="66" t="s">
        <v>2937</v>
      </c>
      <c r="P209" s="66">
        <v>2</v>
      </c>
      <c r="Q209" s="66">
        <v>0.2</v>
      </c>
      <c r="R209" s="64" t="s">
        <v>3165</v>
      </c>
      <c r="S209" s="64">
        <v>1</v>
      </c>
      <c r="T209" s="64">
        <v>0</v>
      </c>
      <c r="U209" s="65" t="s">
        <v>4267</v>
      </c>
      <c r="V209" s="65">
        <v>4</v>
      </c>
      <c r="W209" s="65">
        <v>0.4</v>
      </c>
      <c r="X209" s="66"/>
      <c r="Y209" s="66"/>
      <c r="Z209" s="66"/>
      <c r="AA209" s="71" t="str">
        <f t="shared" si="86"/>
        <v>1:203,12,28,209,12,28,216,16,24,250,10,10,218,24,56,xxx</v>
      </c>
      <c r="AB209" s="78" t="str">
        <f t="shared" si="81"/>
        <v>1:203,12,28,209,12,28,216,16,24,250,10,10,218,24,56</v>
      </c>
      <c r="AC209" t="str">
        <f t="shared" si="96"/>
        <v>额外伤害增加% {0}</v>
      </c>
      <c r="AD209" t="str">
        <f t="shared" si="87"/>
        <v>混沌伤害  + {1}</v>
      </c>
      <c r="AE209" t="str">
        <f t="shared" si="88"/>
        <v>混沌伤害%  + {2}</v>
      </c>
      <c r="AF209" t="str">
        <f t="shared" si="89"/>
        <v>施加中毒时间提升  + 10</v>
      </c>
      <c r="AG209" t="str">
        <f t="shared" si="90"/>
        <v>持续性伤害%  + {4}</v>
      </c>
      <c r="AI209" t="str">
        <f t="shared" si="91"/>
        <v xml:space="preserve">额外伤害增加 {0}%
</v>
      </c>
      <c r="AJ209" t="str">
        <f t="shared" si="92"/>
        <v xml:space="preserve">混沌伤害  + {1}
</v>
      </c>
      <c r="AK209" t="str">
        <f t="shared" si="93"/>
        <v xml:space="preserve">混沌伤害  + {2}%
</v>
      </c>
      <c r="AL209" t="str">
        <f t="shared" si="94"/>
        <v xml:space="preserve">施加中毒时间提升  + 10%
</v>
      </c>
      <c r="AM209" t="str">
        <f t="shared" si="95"/>
        <v xml:space="preserve">持续性伤害  + {4}%
</v>
      </c>
      <c r="AO209" t="str">
        <f t="shared" si="82"/>
        <v xml:space="preserve">额外伤害增加 {0}%
混沌伤害  + {1}
混沌伤害  + {2}%
施加中毒时间提升  + 10%
持续性伤害  + {4}%
</v>
      </c>
      <c r="AP209" s="6" t="str">
        <f t="shared" si="83"/>
        <v xml:space="preserve">额外伤害增加 {0}%
混沌伤害  + {1}
混沌伤害  + {2}%
施加中毒时间提升  + 10%
持续性伤害  + {4}%
</v>
      </c>
      <c r="AQ209" s="80" t="s">
        <v>3804</v>
      </c>
      <c r="AR209" t="str">
        <f t="shared" si="84"/>
        <v xml:space="preserve">额外伤害增加 {0}%
混沌伤害  + {1}
混沌伤害  + {2}%
施加中毒时间提升  + 10%
持续性伤害  + {4}%
</v>
      </c>
      <c r="AS209" s="81" t="str">
        <f t="shared" si="85"/>
        <v>额外伤害增加 {0}%
混沌伤害  + {1}
混沌伤害  + {2}%
施加中毒时间提升  + 10%
持续性伤害  + {4}%</v>
      </c>
      <c r="BE209" s="46"/>
      <c r="BF209" s="46"/>
      <c r="BG209" s="52"/>
      <c r="BH209" s="59"/>
      <c r="BI209" s="59"/>
      <c r="BJ209" s="59"/>
      <c r="BK209" s="18"/>
    </row>
    <row r="210" spans="2:63" ht="15.75" x14ac:dyDescent="0.3">
      <c r="B210" t="s">
        <v>2748</v>
      </c>
      <c r="C210" s="59">
        <v>14896</v>
      </c>
      <c r="D210" s="59" t="s">
        <v>4253</v>
      </c>
      <c r="E210" s="59"/>
      <c r="F210" s="59"/>
      <c r="G210" s="59"/>
      <c r="H210" s="72"/>
      <c r="I210" s="64" t="s">
        <v>2941</v>
      </c>
      <c r="J210" s="64">
        <v>3</v>
      </c>
      <c r="K210" s="64">
        <v>0.4</v>
      </c>
      <c r="L210" s="65" t="s">
        <v>3180</v>
      </c>
      <c r="M210" s="65">
        <v>4</v>
      </c>
      <c r="N210" s="65">
        <v>0.4</v>
      </c>
      <c r="O210" s="66" t="s">
        <v>3250</v>
      </c>
      <c r="P210" s="66">
        <v>-1</v>
      </c>
      <c r="Q210" s="66">
        <v>0</v>
      </c>
      <c r="R210" s="64" t="s">
        <v>3212</v>
      </c>
      <c r="S210" s="64">
        <v>1</v>
      </c>
      <c r="T210" s="64">
        <v>0</v>
      </c>
      <c r="U210" s="65"/>
      <c r="V210" s="65"/>
      <c r="W210" s="65"/>
      <c r="X210" s="66"/>
      <c r="Y210" s="66"/>
      <c r="Z210" s="66"/>
      <c r="AA210" s="71" t="str">
        <f t="shared" si="86"/>
        <v>1:101,18,42,300,48,112,303,-0.5,-0.5,506,0.25,0.25,xxxxxx</v>
      </c>
      <c r="AB210" s="78" t="str">
        <f t="shared" si="81"/>
        <v>1:101,18,42,300,48,112,303,-0.5,-0.5,506,0.25,0.25</v>
      </c>
      <c r="AC210" t="str">
        <f t="shared" si="96"/>
        <v>力量 {0}</v>
      </c>
      <c r="AD210" t="str">
        <f t="shared" si="87"/>
        <v>最大生命值  + {1}</v>
      </c>
      <c r="AE210" t="str">
        <f t="shared" si="88"/>
        <v>生命回复  + -0.5</v>
      </c>
      <c r="AF210" t="str">
        <f t="shared" si="89"/>
        <v>攻击回血  + 0.25</v>
      </c>
      <c r="AG210" t="str">
        <f t="shared" si="90"/>
        <v>xxx</v>
      </c>
      <c r="AI210" t="str">
        <f t="shared" si="91"/>
        <v xml:space="preserve">力量 {0}
</v>
      </c>
      <c r="AJ210" t="str">
        <f t="shared" si="92"/>
        <v xml:space="preserve">最大生命值  + {1}
</v>
      </c>
      <c r="AK210" t="str">
        <f t="shared" si="93"/>
        <v xml:space="preserve">生命回复  + -0.5
</v>
      </c>
      <c r="AL210" t="str">
        <f t="shared" si="94"/>
        <v xml:space="preserve">攻击回血  + 0.25
</v>
      </c>
      <c r="AM210" t="str">
        <f t="shared" si="95"/>
        <v>xxx</v>
      </c>
      <c r="AO210" t="str">
        <f t="shared" si="82"/>
        <v>力量 {0}
最大生命值  + {1}
生命回复  + -0.5
攻击回血  + 0.25
xxx</v>
      </c>
      <c r="AP210" s="6" t="str">
        <f t="shared" si="83"/>
        <v xml:space="preserve">力量 {0}
最大生命值  + {1}
生命回复  + -0.5
攻击回血  + 0.25
</v>
      </c>
      <c r="AQ210" s="80" t="s">
        <v>3805</v>
      </c>
      <c r="AR210" t="str">
        <f t="shared" si="84"/>
        <v xml:space="preserve">力量 {0}
最大生命值  + {1}
生命回复  + -0.5
攻击回血  + 0.25
</v>
      </c>
      <c r="AS210" s="81" t="str">
        <f t="shared" si="85"/>
        <v>力量 {0}
最大生命值  + {1}
生命回复  + -0.5
攻击回血  + 0.25</v>
      </c>
      <c r="BE210" s="46"/>
      <c r="BF210" s="46"/>
      <c r="BG210" s="52"/>
      <c r="BH210" s="59"/>
      <c r="BI210" s="59"/>
      <c r="BJ210" s="59"/>
      <c r="BK210" s="18"/>
    </row>
    <row r="211" spans="2:63" ht="15.75" x14ac:dyDescent="0.3">
      <c r="C211" s="59">
        <v>14897</v>
      </c>
      <c r="D211" s="59" t="s">
        <v>4254</v>
      </c>
      <c r="E211" s="59"/>
      <c r="F211" s="59"/>
      <c r="G211" s="59"/>
      <c r="H211" s="72"/>
      <c r="I211" s="64" t="s">
        <v>3180</v>
      </c>
      <c r="J211" s="64">
        <v>2</v>
      </c>
      <c r="K211" s="64">
        <v>0.4</v>
      </c>
      <c r="L211" s="65" t="s">
        <v>2957</v>
      </c>
      <c r="M211" s="65">
        <v>4</v>
      </c>
      <c r="N211" s="65">
        <v>0.4</v>
      </c>
      <c r="O211" s="66" t="s">
        <v>2958</v>
      </c>
      <c r="P211" s="66">
        <v>1</v>
      </c>
      <c r="Q211" s="66">
        <v>0.2</v>
      </c>
      <c r="R211" s="64" t="s">
        <v>2959</v>
      </c>
      <c r="S211" s="64">
        <v>1</v>
      </c>
      <c r="T211" s="64">
        <v>0.2</v>
      </c>
      <c r="U211" s="65"/>
      <c r="V211" s="65"/>
      <c r="W211" s="65"/>
      <c r="X211" s="66"/>
      <c r="Y211" s="66"/>
      <c r="Z211" s="66"/>
      <c r="AA211" s="71" t="str">
        <f t="shared" si="86"/>
        <v>1:300,24,56,305,240,560,321,4,6,313,8,12,xxxxxx</v>
      </c>
      <c r="AB211" s="78" t="str">
        <f t="shared" si="81"/>
        <v>1:300,24,56,305,240,560,321,4,6,313,8,12</v>
      </c>
      <c r="AC211" t="str">
        <f t="shared" si="96"/>
        <v>最大生命值 {0}</v>
      </c>
      <c r="AD211" t="str">
        <f t="shared" si="87"/>
        <v>护甲值  + {1}</v>
      </c>
      <c r="AE211" t="str">
        <f t="shared" si="88"/>
        <v>所有伤害减免%  + {2}</v>
      </c>
      <c r="AF211" t="str">
        <f t="shared" si="89"/>
        <v>格挡几率%  + {3}</v>
      </c>
      <c r="AG211" t="str">
        <f t="shared" si="90"/>
        <v>xxx</v>
      </c>
      <c r="AI211" t="str">
        <f t="shared" si="91"/>
        <v xml:space="preserve">最大生命值 {0}
</v>
      </c>
      <c r="AJ211" t="str">
        <f t="shared" si="92"/>
        <v xml:space="preserve">护甲值  + {1}
</v>
      </c>
      <c r="AK211" t="str">
        <f t="shared" si="93"/>
        <v xml:space="preserve">所有伤害减免  + {2}%
</v>
      </c>
      <c r="AL211" t="str">
        <f t="shared" si="94"/>
        <v xml:space="preserve">格挡几率  + {3}%
</v>
      </c>
      <c r="AM211" t="str">
        <f t="shared" si="95"/>
        <v>xxx</v>
      </c>
      <c r="AO211" t="str">
        <f t="shared" si="82"/>
        <v>最大生命值 {0}
护甲值  + {1}
所有伤害减免  + {2}%
格挡几率  + {3}%
xxx</v>
      </c>
      <c r="AP211" s="6" t="str">
        <f t="shared" si="83"/>
        <v xml:space="preserve">最大生命值 {0}
护甲值  + {1}
所有伤害减免  + {2}%
格挡几率  + {3}%
</v>
      </c>
      <c r="AQ211" s="80" t="s">
        <v>3806</v>
      </c>
      <c r="AR211" t="str">
        <f t="shared" si="84"/>
        <v xml:space="preserve">最大生命值 {0}
护甲值  + {1}
所有伤害减免  + {2}%
格挡几率  + {3}%
</v>
      </c>
      <c r="AS211" s="81" t="str">
        <f t="shared" si="85"/>
        <v>最大生命值 {0}
护甲值  + {1}
所有伤害减免  + {2}%
格挡几率  + {3}%</v>
      </c>
      <c r="BE211" s="46"/>
      <c r="BF211" s="46"/>
      <c r="BG211" s="52"/>
      <c r="BH211" s="59"/>
      <c r="BI211" s="59"/>
      <c r="BJ211" s="59"/>
      <c r="BK211" s="18"/>
    </row>
    <row r="212" spans="2:63" ht="15.75" x14ac:dyDescent="0.3">
      <c r="C212" s="59">
        <v>14898</v>
      </c>
      <c r="D212" s="59" t="s">
        <v>4255</v>
      </c>
      <c r="E212" s="59"/>
      <c r="F212" s="59"/>
      <c r="G212" s="59"/>
      <c r="H212" s="72"/>
      <c r="I212" s="64" t="s">
        <v>2962</v>
      </c>
      <c r="J212" s="64">
        <v>2</v>
      </c>
      <c r="K212" s="64">
        <v>0.2</v>
      </c>
      <c r="L212" s="65" t="s">
        <v>2944</v>
      </c>
      <c r="M212" s="65">
        <v>2</v>
      </c>
      <c r="N212" s="65">
        <v>0.2</v>
      </c>
      <c r="O212" s="66" t="s">
        <v>3009</v>
      </c>
      <c r="P212" s="66">
        <v>2</v>
      </c>
      <c r="Q212" s="66">
        <v>0.2</v>
      </c>
      <c r="R212" s="64" t="s">
        <v>3010</v>
      </c>
      <c r="S212" s="64">
        <v>2</v>
      </c>
      <c r="T212" s="64">
        <v>0.2</v>
      </c>
      <c r="U212" s="65" t="s">
        <v>2927</v>
      </c>
      <c r="V212" s="65">
        <v>2</v>
      </c>
      <c r="W212" s="65">
        <v>0.2</v>
      </c>
      <c r="X212" s="66" t="s">
        <v>2948</v>
      </c>
      <c r="Y212" s="66">
        <v>1</v>
      </c>
      <c r="Z212" s="66">
        <v>0</v>
      </c>
      <c r="AA212" s="71" t="str">
        <f t="shared" si="86"/>
        <v>1:316,16,24,317,16,24,318,16,24,319,16,24,212,8,12,409,5,5,</v>
      </c>
      <c r="AB212" s="78" t="str">
        <f t="shared" si="81"/>
        <v>1:316,16,24,317,16,24,318,16,24,319,16,24,212,8,12,409,5,5</v>
      </c>
      <c r="AC212" t="str">
        <f t="shared" si="96"/>
        <v>冰霜抗性% {0}</v>
      </c>
      <c r="AD212" t="str">
        <f t="shared" si="87"/>
        <v>火焰抗性%  + {1}</v>
      </c>
      <c r="AE212" t="str">
        <f t="shared" si="88"/>
        <v>闪电抗性%  + {2}</v>
      </c>
      <c r="AF212" t="str">
        <f t="shared" si="89"/>
        <v>混沌抗性%  + {3}</v>
      </c>
      <c r="AG212" t="str">
        <f t="shared" si="90"/>
        <v>元素伤害%  + {4}</v>
      </c>
      <c r="AI212" t="str">
        <f t="shared" si="91"/>
        <v xml:space="preserve">冰霜抗性 {0}%
</v>
      </c>
      <c r="AJ212" t="str">
        <f t="shared" si="92"/>
        <v xml:space="preserve">火焰抗性  + {1}%
</v>
      </c>
      <c r="AK212" t="str">
        <f t="shared" si="93"/>
        <v xml:space="preserve">闪电抗性  + {2}%
</v>
      </c>
      <c r="AL212" t="str">
        <f t="shared" si="94"/>
        <v xml:space="preserve">混沌抗性  + {3}%
</v>
      </c>
      <c r="AM212" t="str">
        <f t="shared" si="95"/>
        <v xml:space="preserve">元素伤害  + {4}%
</v>
      </c>
      <c r="AO212" t="str">
        <f t="shared" si="82"/>
        <v xml:space="preserve">冰霜抗性 {0}%
火焰抗性  + {1}%
闪电抗性  + {2}%
混沌抗性  + {3}%
元素伤害  + {4}%
</v>
      </c>
      <c r="AP212" s="6" t="str">
        <f t="shared" si="83"/>
        <v xml:space="preserve">冰霜抗性 {0}%
火焰抗性  + {1}%
闪电抗性  + {2}%
混沌抗性  + {3}%
元素伤害  + {4}%
</v>
      </c>
      <c r="AQ212" s="80" t="s">
        <v>3807</v>
      </c>
      <c r="AR212" t="str">
        <f t="shared" si="84"/>
        <v xml:space="preserve">冰霜抗性 {0}%
火焰抗性  + {1}%
闪电抗性  + {2}%
混沌抗性  + {3}%
元素伤害  + {4}%
</v>
      </c>
      <c r="AS212" s="81" t="str">
        <f t="shared" si="85"/>
        <v>冰霜抗性 {0}%
火焰抗性  + {1}%
闪电抗性  + {2}%
混沌抗性  + {3}%
元素伤害  + {4}%</v>
      </c>
      <c r="BE212" s="46"/>
      <c r="BF212" s="46"/>
      <c r="BG212" s="52"/>
      <c r="BH212" s="59"/>
      <c r="BI212" s="59"/>
      <c r="BJ212" s="59"/>
      <c r="BK212" s="18"/>
    </row>
    <row r="213" spans="2:63" ht="15.75" x14ac:dyDescent="0.3">
      <c r="C213" s="59">
        <v>14899</v>
      </c>
      <c r="D213" s="59" t="s">
        <v>4257</v>
      </c>
      <c r="E213" s="59"/>
      <c r="F213" s="59"/>
      <c r="G213" s="59"/>
      <c r="H213" s="72"/>
      <c r="I213" s="64" t="s">
        <v>2938</v>
      </c>
      <c r="J213" s="64">
        <v>3</v>
      </c>
      <c r="K213" s="64">
        <v>0.2</v>
      </c>
      <c r="L213" s="65" t="s">
        <v>2941</v>
      </c>
      <c r="M213" s="65">
        <v>3</v>
      </c>
      <c r="N213" s="65">
        <v>0.2</v>
      </c>
      <c r="O213" s="66" t="s">
        <v>2933</v>
      </c>
      <c r="P213" s="66">
        <v>2</v>
      </c>
      <c r="Q213" s="66">
        <v>0.2</v>
      </c>
      <c r="R213" s="64" t="s">
        <v>2932</v>
      </c>
      <c r="S213" s="64">
        <v>2</v>
      </c>
      <c r="T213" s="64">
        <v>0.2</v>
      </c>
      <c r="U213" s="65" t="s">
        <v>3180</v>
      </c>
      <c r="V213" s="65">
        <v>-1</v>
      </c>
      <c r="W213" s="65">
        <v>0</v>
      </c>
      <c r="X213" s="66"/>
      <c r="Y213" s="66"/>
      <c r="Z213" s="66"/>
      <c r="AA213" s="71" t="str">
        <f t="shared" si="86"/>
        <v>1:215,24,36,101,24,36,217,16,24,220,32,48,300,-20,-20,xxx</v>
      </c>
      <c r="AB213" s="78" t="str">
        <f t="shared" si="81"/>
        <v>1:215,24,36,101,24,36,217,16,24,220,32,48,300,-20,-20</v>
      </c>
      <c r="AC213" t="str">
        <f t="shared" si="96"/>
        <v>闪电伤害% {0}</v>
      </c>
      <c r="AD213" t="str">
        <f t="shared" si="87"/>
        <v>力量  + {1}</v>
      </c>
      <c r="AE213" t="str">
        <f t="shared" si="88"/>
        <v>攻击速度%  + {2}</v>
      </c>
      <c r="AF213" t="str">
        <f t="shared" si="89"/>
        <v>暴击伤害%  + {3}</v>
      </c>
      <c r="AG213" t="str">
        <f t="shared" si="90"/>
        <v>最大生命值  + -20</v>
      </c>
      <c r="AI213" t="str">
        <f t="shared" si="91"/>
        <v xml:space="preserve">闪电伤害 {0}%
</v>
      </c>
      <c r="AJ213" t="str">
        <f t="shared" si="92"/>
        <v xml:space="preserve">力量  + {1}
</v>
      </c>
      <c r="AK213" t="str">
        <f t="shared" si="93"/>
        <v xml:space="preserve">攻击速度  + {2}%
</v>
      </c>
      <c r="AL213" t="str">
        <f t="shared" si="94"/>
        <v xml:space="preserve">暴击伤害  + {3}%
</v>
      </c>
      <c r="AM213" t="str">
        <f t="shared" si="95"/>
        <v xml:space="preserve">最大生命值  + -20
</v>
      </c>
      <c r="AO213" t="str">
        <f t="shared" si="82"/>
        <v xml:space="preserve">闪电伤害 {0}%
力量  + {1}
攻击速度  + {2}%
暴击伤害  + {3}%
最大生命值  + -20
</v>
      </c>
      <c r="AP213" s="6" t="str">
        <f t="shared" si="83"/>
        <v xml:space="preserve">闪电伤害 {0}%
力量  + {1}
攻击速度  + {2}%
暴击伤害  + {3}%
最大生命值  + -20
</v>
      </c>
      <c r="AQ213" s="80" t="s">
        <v>3808</v>
      </c>
      <c r="AR213" t="str">
        <f t="shared" si="84"/>
        <v xml:space="preserve">闪电伤害 {0}%
力量  + {1}
攻击速度  + {2}%
暴击伤害  + {3}%
最大生命值  + -20
</v>
      </c>
      <c r="AS213" s="81" t="str">
        <f t="shared" si="85"/>
        <v>闪电伤害 {0}%
力量  + {1}
攻击速度  + {2}%
暴击伤害  + {3}%
最大生命值  + -20</v>
      </c>
      <c r="BE213" s="46"/>
      <c r="BF213" s="46"/>
      <c r="BG213" s="52"/>
      <c r="BH213" s="59"/>
      <c r="BI213" s="59"/>
      <c r="BJ213" s="59"/>
      <c r="BK213" s="18"/>
    </row>
    <row r="214" spans="2:63" ht="15.75" x14ac:dyDescent="0.3">
      <c r="C214" s="59">
        <v>14900</v>
      </c>
      <c r="D214" s="59" t="s">
        <v>4259</v>
      </c>
      <c r="E214" s="59"/>
      <c r="F214" s="59"/>
      <c r="G214" s="59"/>
      <c r="H214" s="72"/>
      <c r="I214" s="64" t="s">
        <v>2972</v>
      </c>
      <c r="J214" s="64">
        <v>3</v>
      </c>
      <c r="K214" s="64">
        <v>0.4</v>
      </c>
      <c r="L214" s="65" t="s">
        <v>2944</v>
      </c>
      <c r="M214" s="65">
        <v>2</v>
      </c>
      <c r="N214" s="65">
        <v>0.4</v>
      </c>
      <c r="O214" s="66" t="s">
        <v>3173</v>
      </c>
      <c r="P214" s="66">
        <v>1</v>
      </c>
      <c r="Q214" s="66">
        <v>0.2</v>
      </c>
      <c r="R214" s="64" t="s">
        <v>3180</v>
      </c>
      <c r="S214" s="64">
        <v>1</v>
      </c>
      <c r="T214" s="64">
        <v>0.2</v>
      </c>
      <c r="U214" s="65" t="s">
        <v>2957</v>
      </c>
      <c r="V214" s="65">
        <v>2</v>
      </c>
      <c r="W214" s="65">
        <v>0.2</v>
      </c>
      <c r="X214" s="66"/>
      <c r="Y214" s="66"/>
      <c r="Z214" s="66"/>
      <c r="AA214" s="71" t="str">
        <f t="shared" si="86"/>
        <v>1:207,18,42,317,12,28,230,8,12,300,16,24,305,160,240,xxx</v>
      </c>
      <c r="AB214" s="78" t="str">
        <f t="shared" si="81"/>
        <v>1:207,18,42,317,12,28,230,8,12,300,16,24,305,160,240</v>
      </c>
      <c r="AC214" t="str">
        <f t="shared" si="96"/>
        <v>火焰伤害 {0}</v>
      </c>
      <c r="AD214" t="str">
        <f t="shared" si="87"/>
        <v>火焰抗性%  + {1}</v>
      </c>
      <c r="AE214" t="str">
        <f t="shared" si="88"/>
        <v>附加火焰伤害  + {2}</v>
      </c>
      <c r="AF214" t="str">
        <f t="shared" si="89"/>
        <v>最大生命值  + {3}</v>
      </c>
      <c r="AG214" t="str">
        <f t="shared" si="90"/>
        <v>护甲值  + {4}</v>
      </c>
      <c r="AI214" t="str">
        <f t="shared" si="91"/>
        <v xml:space="preserve">火焰伤害 {0}
</v>
      </c>
      <c r="AJ214" t="str">
        <f t="shared" si="92"/>
        <v xml:space="preserve">火焰抗性  + {1}%
</v>
      </c>
      <c r="AK214" t="str">
        <f t="shared" si="93"/>
        <v xml:space="preserve">附加火焰伤害  + {2}%
</v>
      </c>
      <c r="AL214" t="str">
        <f t="shared" si="94"/>
        <v xml:space="preserve">最大生命值  + {3}
</v>
      </c>
      <c r="AM214" t="str">
        <f t="shared" si="95"/>
        <v xml:space="preserve">护甲值  + {4}
</v>
      </c>
      <c r="AO214" t="str">
        <f t="shared" si="82"/>
        <v xml:space="preserve">火焰伤害 {0}
火焰抗性  + {1}%
附加火焰伤害  + {2}%
最大生命值  + {3}
护甲值  + {4}
</v>
      </c>
      <c r="AP214" s="6" t="str">
        <f t="shared" si="83"/>
        <v xml:space="preserve">火焰伤害 {0}
火焰抗性  + {1}%
附加火焰伤害  + {2}%
最大生命值  + {3}
护甲值  + {4}
</v>
      </c>
      <c r="AQ214" s="80" t="s">
        <v>3809</v>
      </c>
      <c r="AR214" t="str">
        <f t="shared" si="84"/>
        <v xml:space="preserve">火焰伤害 {0}
火焰抗性  + {1}%
附加火焰伤害  + {2}%
最大生命值  + {3}
护甲值  + {4}
</v>
      </c>
      <c r="AS214" s="81" t="str">
        <f t="shared" si="85"/>
        <v>火焰伤害 {0}
火焰抗性  + {1}%
附加火焰伤害  + {2}%
最大生命值  + {3}
护甲值  + {4}</v>
      </c>
      <c r="BE214" s="46"/>
      <c r="BF214" s="46"/>
      <c r="BG214" s="52"/>
      <c r="BH214" s="59"/>
      <c r="BI214" s="59"/>
      <c r="BJ214" s="59"/>
      <c r="BK214" s="18"/>
    </row>
    <row r="215" spans="2:63" ht="15.75" x14ac:dyDescent="0.3">
      <c r="C215" s="59">
        <v>14901</v>
      </c>
      <c r="D215" s="59" t="s">
        <v>4260</v>
      </c>
      <c r="E215" s="59"/>
      <c r="F215" s="59"/>
      <c r="G215" s="59"/>
      <c r="H215" s="72"/>
      <c r="I215" s="64" t="s">
        <v>2953</v>
      </c>
      <c r="J215" s="64">
        <v>2</v>
      </c>
      <c r="K215" s="64">
        <v>0.4</v>
      </c>
      <c r="L215" s="65" t="s">
        <v>3252</v>
      </c>
      <c r="M215" s="65">
        <v>2</v>
      </c>
      <c r="N215" s="65">
        <v>0.4</v>
      </c>
      <c r="O215" s="66" t="s">
        <v>2962</v>
      </c>
      <c r="P215" s="66">
        <v>3</v>
      </c>
      <c r="Q215" s="66">
        <v>0.2</v>
      </c>
      <c r="R215" s="64" t="s">
        <v>2958</v>
      </c>
      <c r="S215" s="64">
        <v>1</v>
      </c>
      <c r="T215" s="64">
        <v>0.2</v>
      </c>
      <c r="U215" s="65" t="s">
        <v>3031</v>
      </c>
      <c r="V215" s="65">
        <v>-2</v>
      </c>
      <c r="W215" s="65">
        <v>0.2</v>
      </c>
      <c r="X215" s="66"/>
      <c r="Y215" s="66"/>
      <c r="Z215" s="66"/>
      <c r="AA215" s="71" t="str">
        <f t="shared" si="86"/>
        <v>1:213,12,28,229,12,28,316,24,36,321,4,6,411,0,0,xxx</v>
      </c>
      <c r="AB215" s="78" t="str">
        <f t="shared" si="81"/>
        <v>1:213,12,28,229,12,28,316,24,36,321,4,6,411,0,0</v>
      </c>
      <c r="AC215" t="str">
        <f t="shared" si="96"/>
        <v>冰霜伤害% {0}</v>
      </c>
      <c r="AD215" t="str">
        <f t="shared" si="87"/>
        <v>附加冰霜伤害  + {1}</v>
      </c>
      <c r="AE215" t="str">
        <f t="shared" si="88"/>
        <v>冰霜抗性%  + {2}</v>
      </c>
      <c r="AF215" t="str">
        <f t="shared" si="89"/>
        <v>所有伤害减免%  + {3}</v>
      </c>
      <c r="AG215" t="str">
        <f t="shared" si="90"/>
        <v>移动速度  + {4}</v>
      </c>
      <c r="AI215" t="str">
        <f t="shared" si="91"/>
        <v xml:space="preserve">冰霜伤害 {0}%
</v>
      </c>
      <c r="AJ215" t="str">
        <f t="shared" si="92"/>
        <v xml:space="preserve">附加冰霜伤害  + {1}%
</v>
      </c>
      <c r="AK215" t="str">
        <f t="shared" si="93"/>
        <v xml:space="preserve">冰霜抗性  + {2}%
</v>
      </c>
      <c r="AL215" t="str">
        <f t="shared" si="94"/>
        <v xml:space="preserve">所有伤害减免  + {3}%
</v>
      </c>
      <c r="AM215" t="str">
        <f t="shared" si="95"/>
        <v xml:space="preserve">移动速度  + {4}
</v>
      </c>
      <c r="AO215" t="str">
        <f t="shared" si="82"/>
        <v xml:space="preserve">冰霜伤害 {0}%
附加冰霜伤害  + {1}%
冰霜抗性  + {2}%
所有伤害减免  + {3}%
移动速度  + {4}
</v>
      </c>
      <c r="AP215" s="6" t="str">
        <f t="shared" si="83"/>
        <v xml:space="preserve">冰霜伤害 {0}%
附加冰霜伤害  + {1}%
冰霜抗性  + {2}%
所有伤害减免  + {3}%
移动速度  + {4}
</v>
      </c>
      <c r="AQ215" s="80" t="s">
        <v>3810</v>
      </c>
      <c r="AR215" t="str">
        <f t="shared" si="84"/>
        <v xml:space="preserve">冰霜伤害 {0}%
附加冰霜伤害  + {1}%
冰霜抗性  + {2}%
所有伤害减免  + {3}%
移动速度  + {4}
</v>
      </c>
      <c r="AS215" s="81" t="str">
        <f t="shared" si="85"/>
        <v>冰霜伤害 {0}%
附加冰霜伤害  + {1}%
冰霜抗性  + {2}%
所有伤害减免  + {3}%
移动速度  + {4}</v>
      </c>
      <c r="BE215" s="46"/>
      <c r="BF215" s="46"/>
      <c r="BG215" s="52"/>
      <c r="BH215" s="59"/>
      <c r="BI215" s="59"/>
      <c r="BJ215" s="59"/>
      <c r="BK215" s="18"/>
    </row>
    <row r="216" spans="2:63" ht="15.75" x14ac:dyDescent="0.3">
      <c r="C216" s="59">
        <v>14902</v>
      </c>
      <c r="D216" s="59" t="s">
        <v>4261</v>
      </c>
      <c r="E216" s="59"/>
      <c r="F216" s="59"/>
      <c r="G216" s="59"/>
      <c r="H216" s="72"/>
      <c r="I216" s="64" t="s">
        <v>2937</v>
      </c>
      <c r="J216" s="64">
        <v>2</v>
      </c>
      <c r="K216" s="64">
        <v>0.2</v>
      </c>
      <c r="L216" s="65" t="s">
        <v>2955</v>
      </c>
      <c r="M216" s="65">
        <v>2</v>
      </c>
      <c r="N216" s="65">
        <v>0.2</v>
      </c>
      <c r="O216" s="66" t="s">
        <v>3180</v>
      </c>
      <c r="P216" s="66">
        <v>2</v>
      </c>
      <c r="Q216" s="66">
        <v>0.2</v>
      </c>
      <c r="R216" s="64" t="s">
        <v>2957</v>
      </c>
      <c r="S216" s="64">
        <v>2</v>
      </c>
      <c r="T216" s="64">
        <v>0.2</v>
      </c>
      <c r="U216" s="65" t="s">
        <v>3165</v>
      </c>
      <c r="V216" s="65">
        <v>2</v>
      </c>
      <c r="W216" s="65">
        <v>0.2</v>
      </c>
      <c r="X216" s="66"/>
      <c r="Y216" s="66"/>
      <c r="Z216" s="66"/>
      <c r="AA216" s="71" t="str">
        <f t="shared" si="86"/>
        <v>1:216,16,24,204,16,24,300,32,48,305,160,240,250,16,24,xxx</v>
      </c>
      <c r="AB216" s="78" t="str">
        <f t="shared" si="81"/>
        <v>1:216,16,24,204,16,24,300,32,48,305,160,240,250,16,24</v>
      </c>
      <c r="AC216" t="str">
        <f t="shared" si="96"/>
        <v>混沌伤害% {0}</v>
      </c>
      <c r="AD216" t="str">
        <f t="shared" si="87"/>
        <v>物理伤害  + {1}</v>
      </c>
      <c r="AE216" t="str">
        <f t="shared" si="88"/>
        <v>最大生命值  + {2}</v>
      </c>
      <c r="AF216" t="str">
        <f t="shared" si="89"/>
        <v>护甲值  + {3}</v>
      </c>
      <c r="AG216" t="str">
        <f t="shared" si="90"/>
        <v>施加中毒时间提升  + {4}</v>
      </c>
      <c r="AI216" t="str">
        <f t="shared" si="91"/>
        <v xml:space="preserve">混沌伤害 {0}%
</v>
      </c>
      <c r="AJ216" t="str">
        <f t="shared" si="92"/>
        <v xml:space="preserve">物理伤害  + {1}
</v>
      </c>
      <c r="AK216" t="str">
        <f t="shared" si="93"/>
        <v xml:space="preserve">最大生命值  + {2}
</v>
      </c>
      <c r="AL216" t="str">
        <f t="shared" si="94"/>
        <v xml:space="preserve">护甲值  + {3}
</v>
      </c>
      <c r="AM216" t="str">
        <f t="shared" si="95"/>
        <v xml:space="preserve">施加中毒时间提升  + {4}%
</v>
      </c>
      <c r="AO216" t="str">
        <f t="shared" si="82"/>
        <v xml:space="preserve">混沌伤害 {0}%
物理伤害  + {1}
最大生命值  + {2}
护甲值  + {3}
施加中毒时间提升  + {4}%
</v>
      </c>
      <c r="AP216" s="6" t="str">
        <f t="shared" si="83"/>
        <v xml:space="preserve">混沌伤害 {0}%
物理伤害  + {1}
最大生命值  + {2}
护甲值  + {3}
施加中毒时间提升  + {4}%
</v>
      </c>
      <c r="AQ216" s="80" t="s">
        <v>3811</v>
      </c>
      <c r="AR216" t="str">
        <f t="shared" si="84"/>
        <v xml:space="preserve">混沌伤害 {0}%
物理伤害  + {1}
最大生命值  + {2}
护甲值  + {3}
施加中毒时间提升  + {4}%
</v>
      </c>
      <c r="AS216" s="81" t="str">
        <f t="shared" si="85"/>
        <v>混沌伤害 {0}%
物理伤害  + {1}
最大生命值  + {2}
护甲值  + {3}
施加中毒时间提升  + {4}%</v>
      </c>
      <c r="BE216" s="46"/>
      <c r="BF216" s="46"/>
      <c r="BG216" s="52"/>
      <c r="BH216" s="59"/>
      <c r="BI216" s="59"/>
      <c r="BJ216" s="59"/>
      <c r="BK216" s="18"/>
    </row>
    <row r="217" spans="2:63" ht="15.75" x14ac:dyDescent="0.3">
      <c r="C217" s="59">
        <v>14903</v>
      </c>
      <c r="D217" s="59" t="s">
        <v>4262</v>
      </c>
      <c r="E217" s="59"/>
      <c r="F217" s="59"/>
      <c r="G217" s="59"/>
      <c r="H217" s="72"/>
      <c r="I217" s="64" t="s">
        <v>2956</v>
      </c>
      <c r="J217" s="64">
        <v>2</v>
      </c>
      <c r="K217" s="64">
        <v>0.2</v>
      </c>
      <c r="L217" s="65" t="s">
        <v>2955</v>
      </c>
      <c r="M217" s="65">
        <v>2</v>
      </c>
      <c r="N217" s="65">
        <v>0.2</v>
      </c>
      <c r="O217" s="66" t="s">
        <v>3152</v>
      </c>
      <c r="P217" s="66">
        <v>2</v>
      </c>
      <c r="Q217" s="66">
        <v>0.2</v>
      </c>
      <c r="R217" s="64" t="s">
        <v>3247</v>
      </c>
      <c r="S217" s="64">
        <v>2</v>
      </c>
      <c r="T217" s="64">
        <v>0.2</v>
      </c>
      <c r="U217" s="65" t="s">
        <v>2949</v>
      </c>
      <c r="V217" s="65">
        <v>1</v>
      </c>
      <c r="W217" s="65">
        <v>0</v>
      </c>
      <c r="X217" s="66"/>
      <c r="Y217" s="66"/>
      <c r="Z217" s="66"/>
      <c r="AA217" s="71" t="str">
        <f t="shared" si="86"/>
        <v>1:209,16,24,204,16,24,409,8,12,718,80,120,311,5,5,xxx</v>
      </c>
      <c r="AB217" s="78" t="str">
        <f t="shared" si="81"/>
        <v>1:209,16,24,204,16,24,409,8,12,718,80,120,311,5,5</v>
      </c>
      <c r="AC217" t="str">
        <f t="shared" si="96"/>
        <v>混沌伤害 {0}</v>
      </c>
      <c r="AD217" t="str">
        <f t="shared" si="87"/>
        <v>物理伤害  + {1}</v>
      </c>
      <c r="AE217" t="str">
        <f t="shared" si="88"/>
        <v>冷却缩减%  + {2}</v>
      </c>
      <c r="AF217" t="str">
        <f t="shared" si="89"/>
        <v>召唤物护甲  + {3}</v>
      </c>
      <c r="AG217" t="str">
        <f t="shared" si="90"/>
        <v>闪避几率%  + 5</v>
      </c>
      <c r="AI217" t="str">
        <f t="shared" si="91"/>
        <v xml:space="preserve">混沌伤害 {0}
</v>
      </c>
      <c r="AJ217" t="str">
        <f t="shared" si="92"/>
        <v xml:space="preserve">物理伤害  + {1}
</v>
      </c>
      <c r="AK217" t="str">
        <f t="shared" si="93"/>
        <v xml:space="preserve">冷却缩减  + {2}%
</v>
      </c>
      <c r="AL217" t="str">
        <f t="shared" si="94"/>
        <v xml:space="preserve">召唤物护甲  + {3}
</v>
      </c>
      <c r="AM217" t="str">
        <f t="shared" si="95"/>
        <v xml:space="preserve">闪避几率  + 5%
</v>
      </c>
      <c r="AO217" t="str">
        <f t="shared" si="82"/>
        <v xml:space="preserve">混沌伤害 {0}
物理伤害  + {1}
冷却缩减  + {2}%
召唤物护甲  + {3}
闪避几率  + 5%
</v>
      </c>
      <c r="AP217" s="6" t="str">
        <f t="shared" si="83"/>
        <v xml:space="preserve">混沌伤害 {0}
物理伤害  + {1}
冷却缩减  + {2}%
召唤物护甲  + {3}
闪避几率  + 5%
</v>
      </c>
      <c r="AQ217" s="80" t="s">
        <v>3812</v>
      </c>
      <c r="AR217" t="str">
        <f t="shared" si="84"/>
        <v xml:space="preserve">混沌伤害 {0}
物理伤害  + {1}
冷却缩减  + {2}%
召唤物护甲  + {3}
闪避几率  + 5%
</v>
      </c>
      <c r="AS217" s="81" t="str">
        <f t="shared" si="85"/>
        <v>混沌伤害 {0}
物理伤害  + {1}
冷却缩减  + {2}%
召唤物护甲  + {3}
闪避几率  + 5%</v>
      </c>
      <c r="BE217" s="46"/>
      <c r="BF217" s="46"/>
      <c r="BG217" s="52"/>
      <c r="BH217" s="59"/>
      <c r="BI217" s="59"/>
      <c r="BJ217" s="59"/>
      <c r="BK217" s="18"/>
    </row>
    <row r="218" spans="2:63" ht="15.75" x14ac:dyDescent="0.3">
      <c r="C218" s="59">
        <v>14904</v>
      </c>
      <c r="D218" s="59" t="s">
        <v>4263</v>
      </c>
      <c r="E218" s="59"/>
      <c r="F218" s="59"/>
      <c r="G218" s="59"/>
      <c r="H218" s="72"/>
      <c r="I218" s="64" t="s">
        <v>2933</v>
      </c>
      <c r="J218" s="64">
        <v>2</v>
      </c>
      <c r="K218" s="64">
        <v>0.2</v>
      </c>
      <c r="L218" s="65" t="s">
        <v>4266</v>
      </c>
      <c r="M218" s="65">
        <v>2</v>
      </c>
      <c r="N218" s="65">
        <v>0.4</v>
      </c>
      <c r="O218" s="66" t="s">
        <v>2949</v>
      </c>
      <c r="P218" s="66">
        <v>2</v>
      </c>
      <c r="Q218" s="66">
        <v>0.2</v>
      </c>
      <c r="R218" s="64" t="s">
        <v>3204</v>
      </c>
      <c r="S218" s="64">
        <v>2</v>
      </c>
      <c r="T218" s="64">
        <v>0</v>
      </c>
      <c r="U218" s="65" t="s">
        <v>3180</v>
      </c>
      <c r="V218" s="65">
        <v>-1</v>
      </c>
      <c r="W218" s="65">
        <v>0</v>
      </c>
      <c r="X218" s="66"/>
      <c r="Y218" s="66"/>
      <c r="Z218" s="66"/>
      <c r="AA218" s="71" t="str">
        <f t="shared" si="86"/>
        <v>1:217,16,24,219,12,28,311,8,12,330,20,20,300,-20,-20,xxx</v>
      </c>
      <c r="AB218" s="78" t="str">
        <f t="shared" si="81"/>
        <v>1:217,16,24,219,12,28,311,8,12,330,20,20,300,-20,-20</v>
      </c>
      <c r="AC218" t="str">
        <f t="shared" si="96"/>
        <v>攻击速度% {0}</v>
      </c>
      <c r="AD218" t="str">
        <f t="shared" si="87"/>
        <v>暴击几率%  + {1}</v>
      </c>
      <c r="AE218" t="str">
        <f t="shared" si="88"/>
        <v>闪避几率%  + {2}</v>
      </c>
      <c r="AF218" t="str">
        <f t="shared" si="89"/>
        <v>受到异常时间提升  + 20</v>
      </c>
      <c r="AG218" t="str">
        <f t="shared" si="90"/>
        <v>最大生命值  + -20</v>
      </c>
      <c r="AI218" t="str">
        <f t="shared" si="91"/>
        <v xml:space="preserve">攻击速度 {0}%
</v>
      </c>
      <c r="AJ218" t="str">
        <f t="shared" si="92"/>
        <v xml:space="preserve">暴击几率  + {1}%
</v>
      </c>
      <c r="AK218" t="str">
        <f t="shared" si="93"/>
        <v xml:space="preserve">闪避几率  + {2}%
</v>
      </c>
      <c r="AL218" t="str">
        <f t="shared" si="94"/>
        <v xml:space="preserve">受到异常时间提升  + 20%
</v>
      </c>
      <c r="AM218" t="str">
        <f t="shared" si="95"/>
        <v xml:space="preserve">最大生命值  + -20
</v>
      </c>
      <c r="AO218" t="str">
        <f t="shared" si="82"/>
        <v xml:space="preserve">攻击速度 {0}%
暴击几率  + {1}%
闪避几率  + {2}%
受到异常时间提升  + 20%
最大生命值  + -20
</v>
      </c>
      <c r="AP218" s="6" t="str">
        <f t="shared" si="83"/>
        <v xml:space="preserve">攻击速度 {0}%
暴击几率  + {1}%
闪避几率  + {2}%
受到异常时间提升  + 20%
最大生命值  + -20
</v>
      </c>
      <c r="AQ218" s="80" t="s">
        <v>3813</v>
      </c>
      <c r="AR218" t="str">
        <f t="shared" si="84"/>
        <v xml:space="preserve">攻击速度 {0}%
暴击几率  + {1}%
闪避几率  + {2}%
受到异常时间提升  + 20%
最大生命值  + -20
</v>
      </c>
      <c r="AS218" s="81" t="str">
        <f t="shared" si="85"/>
        <v>攻击速度 {0}%
暴击几率  + {1}%
闪避几率  + {2}%
受到异常时间提升  + 20%
最大生命值  + -20</v>
      </c>
      <c r="BE218" s="46"/>
      <c r="BF218" s="46"/>
      <c r="BG218" s="52"/>
      <c r="BH218" s="59"/>
      <c r="BI218" s="59"/>
      <c r="BJ218" s="59"/>
      <c r="BK218" s="18"/>
    </row>
    <row r="219" spans="2:63" ht="15.75" x14ac:dyDescent="0.3">
      <c r="C219" s="59">
        <v>14905</v>
      </c>
      <c r="D219" s="59" t="s">
        <v>4264</v>
      </c>
      <c r="E219" s="59"/>
      <c r="F219" s="59"/>
      <c r="G219" s="59"/>
      <c r="H219" s="72"/>
      <c r="I219" s="64" t="s">
        <v>2933</v>
      </c>
      <c r="J219" s="64">
        <v>2</v>
      </c>
      <c r="K219" s="64">
        <v>0.2</v>
      </c>
      <c r="L219" s="65" t="s">
        <v>3026</v>
      </c>
      <c r="M219" s="65">
        <v>4</v>
      </c>
      <c r="N219" s="65">
        <v>0.4</v>
      </c>
      <c r="O219" s="66" t="s">
        <v>3226</v>
      </c>
      <c r="P219" s="66">
        <v>2</v>
      </c>
      <c r="Q219" s="66">
        <v>0.2</v>
      </c>
      <c r="R219" s="64" t="s">
        <v>2957</v>
      </c>
      <c r="S219" s="64">
        <v>2</v>
      </c>
      <c r="T219" s="64">
        <v>0.2</v>
      </c>
      <c r="U219" s="65"/>
      <c r="V219" s="65"/>
      <c r="W219" s="65"/>
      <c r="X219" s="66"/>
      <c r="Y219" s="66"/>
      <c r="Z219" s="66"/>
      <c r="AA219" s="71" t="str">
        <f t="shared" si="86"/>
        <v>1:217,16,24,405,0.6,1.4,504,8,12,305,160,240,xxxxxx</v>
      </c>
      <c r="AB219" s="78" t="str">
        <f t="shared" si="81"/>
        <v>1:217,16,24,405,0.6,1.4,504,8,12,305,160,240</v>
      </c>
      <c r="AC219" t="str">
        <f t="shared" si="96"/>
        <v>攻击速度% {0}</v>
      </c>
      <c r="AD219" t="str">
        <f t="shared" si="87"/>
        <v>子弹穿刺  + {1}</v>
      </c>
      <c r="AE219" t="str">
        <f t="shared" si="88"/>
        <v>双重施法范围  + {2}</v>
      </c>
      <c r="AF219" t="str">
        <f t="shared" si="89"/>
        <v>护甲值  + {3}</v>
      </c>
      <c r="AG219" t="str">
        <f t="shared" si="90"/>
        <v>xxx</v>
      </c>
      <c r="AI219" t="str">
        <f t="shared" si="91"/>
        <v xml:space="preserve">攻击速度 {0}%
</v>
      </c>
      <c r="AJ219" t="str">
        <f t="shared" si="92"/>
        <v xml:space="preserve">子弹穿刺  + {1}
</v>
      </c>
      <c r="AK219" t="str">
        <f t="shared" si="93"/>
        <v xml:space="preserve">双重施法范围  + {2}%
</v>
      </c>
      <c r="AL219" t="str">
        <f t="shared" si="94"/>
        <v xml:space="preserve">护甲值  + {3}
</v>
      </c>
      <c r="AM219" t="str">
        <f t="shared" si="95"/>
        <v>xxx</v>
      </c>
      <c r="AO219" t="str">
        <f t="shared" si="82"/>
        <v>攻击速度 {0}%
子弹穿刺  + {1}
双重施法范围  + {2}%
护甲值  + {3}
xxx</v>
      </c>
      <c r="AP219" s="6" t="str">
        <f t="shared" si="83"/>
        <v xml:space="preserve">攻击速度 {0}%
子弹穿刺  + {1}
双重施法范围  + {2}%
护甲值  + {3}
</v>
      </c>
      <c r="AQ219" s="80" t="s">
        <v>3814</v>
      </c>
      <c r="AR219" t="str">
        <f t="shared" si="84"/>
        <v xml:space="preserve">攻击速度 {0}%
子弹穿刺  + {1}
双重施法范围  + {2}%
护甲值  + {3}
</v>
      </c>
      <c r="AS219" s="81" t="str">
        <f t="shared" si="85"/>
        <v>攻击速度 {0}%
子弹穿刺  + {1}
双重施法范围  + {2}%
护甲值  + {3}</v>
      </c>
      <c r="BE219" s="46"/>
      <c r="BF219" s="46"/>
      <c r="BG219" s="52"/>
      <c r="BH219" s="59"/>
      <c r="BI219" s="59"/>
      <c r="BJ219" s="59"/>
      <c r="BK219" s="18"/>
    </row>
    <row r="220" spans="2:63" ht="15.75" x14ac:dyDescent="0.3">
      <c r="C220" s="59">
        <v>14906</v>
      </c>
      <c r="D220" s="59" t="s">
        <v>4315</v>
      </c>
      <c r="E220" s="59"/>
      <c r="F220" s="59"/>
      <c r="G220" s="59"/>
      <c r="H220" s="72"/>
      <c r="I220" s="64" t="s">
        <v>3253</v>
      </c>
      <c r="J220" s="64">
        <v>2</v>
      </c>
      <c r="K220" s="64">
        <v>0.2</v>
      </c>
      <c r="L220" s="65" t="s">
        <v>3146</v>
      </c>
      <c r="M220" s="65">
        <v>2</v>
      </c>
      <c r="N220" s="65">
        <v>0.4</v>
      </c>
      <c r="O220" s="66" t="s">
        <v>3004</v>
      </c>
      <c r="P220" s="66">
        <v>1</v>
      </c>
      <c r="Q220" s="66">
        <v>0.2</v>
      </c>
      <c r="R220" s="64" t="s">
        <v>3056</v>
      </c>
      <c r="S220" s="64">
        <v>2</v>
      </c>
      <c r="T220" s="64">
        <v>0.2</v>
      </c>
      <c r="U220" s="65" t="s">
        <v>3156</v>
      </c>
      <c r="V220" s="65">
        <v>2</v>
      </c>
      <c r="W220" s="65">
        <v>0.2</v>
      </c>
      <c r="X220" s="66"/>
      <c r="Y220" s="66"/>
      <c r="Z220" s="66"/>
      <c r="AA220" s="71" t="str">
        <f t="shared" ref="AA220:AA227" si="97">"1:"&amp;IF(I220&lt;&gt;"",VLOOKUP(I220,$BE$8:$BH$260,3,FALSE)&amp;","&amp;VLOOKUP(I220,$BE$8:$BH$260,4,FALSE)*(1-K220)*J220&amp;","&amp;VLOOKUP(I220,$BE$8:$BH$260,4,FALSE)*(1+K220)*J220&amp;",","xxx")&amp;IF(L220&lt;&gt;"",VLOOKUP(L220,$BE$8:$BH$260,3,FALSE)&amp;","&amp;VLOOKUP(L220,$BE$8:$BH$260,4,FALSE)*(1-N220)*M220&amp;","&amp;VLOOKUP(L220,$BE$8:$BH$260,4,FALSE)*(1+N220)*M220&amp;",","xxx")&amp;IF(O220&lt;&gt;"",VLOOKUP(O220,$BE$8:$BH$260,3,FALSE)&amp;","&amp;VLOOKUP(O220,$BE$8:$BH$260,4,FALSE)*(1-Q220)*P220&amp;","&amp;VLOOKUP(O220,$BE$8:$BH$260,4,FALSE)*(1+Q220)*P220&amp;",","xxx")&amp;IF(R220&lt;&gt;"",VLOOKUP(R220,$BE$8:$BH$260,3,FALSE)&amp;","&amp;VLOOKUP(R220,$BE$8:$BH$260,4,FALSE)*(1-T220)*S220&amp;","&amp;VLOOKUP(R220,$BE$8:$BH$260,4,FALSE)*(1+T220)*S220&amp;",","xxx")&amp;IF(U220&lt;&gt;"",VLOOKUP(U220,$BE$8:$BH$260,3,FALSE)&amp;","&amp;VLOOKUP(U220,$BE$8:$BH$260,4,FALSE)*(1-W220)*V220&amp;","&amp;VLOOKUP(U220,$BE$8:$BH$260,4,FALSE)*(1+W220)*V220&amp;",","xxx")&amp;IF(X220&lt;&gt;"",VLOOKUP(X220,$BE$8:$BH$260,3,FALSE)&amp;","&amp;VLOOKUP(X220,$BE$8:$BH$260,4,FALSE)*(1-Z220)*Y220&amp;","&amp;VLOOKUP(X220,$BE$8:$BH$260,4,FALSE)*(1+Z220)*Y220&amp;",","xxx")</f>
        <v>1:237,16,24,241,12,28,303,0.4,0.6,506,0.4,0.6,217,16,24,xxx</v>
      </c>
      <c r="AB220" s="78" t="str">
        <f t="shared" ref="AB220:AB227" si="98">IF(LEFT(SUBSTITUTE(AA220,"x",""),LEN(SUBSTITUTE(AA220,"x",""))-1)="1","",LEFT(SUBSTITUTE(AA220,"x",""),LEN(SUBSTITUTE(AA220,"x",""))-1))</f>
        <v>1:237,16,24,241,12,28,303,0.4,0.6,506,0.4,0.6,217,16,24</v>
      </c>
      <c r="AC220" t="str">
        <f t="shared" si="96"/>
        <v>附加火焰伤害% {0}</v>
      </c>
      <c r="AD220" t="str">
        <f t="shared" ref="AD220:AD227" si="99">_xlfn.IFNA(L220&amp;" "&amp;IF(N220=0," + "&amp;M220*VLOOKUP(L220,$BE$8:$BH$260,4,FALSE)," + {"&amp;M$6&amp;"}"),"xxx")</f>
        <v>灼烧系数  + {1}</v>
      </c>
      <c r="AE220" t="str">
        <f t="shared" ref="AE220:AE227" si="100">_xlfn.IFNA(O220&amp;" "&amp;IF(Q220=0," + "&amp;P220*VLOOKUP(O220,$BE$8:$BH$260,4,FALSE)," + {"&amp;P$6&amp;"}"),"xxx")</f>
        <v>生命回复  + {2}</v>
      </c>
      <c r="AF220" t="str">
        <f t="shared" ref="AF220:AF227" si="101">_xlfn.IFNA(R220&amp;" "&amp;IF(T220=0," + "&amp;S220*VLOOKUP(R220,$BE$8:$BH$260,4,FALSE)," + {"&amp;S$6&amp;"}"),"xxx")</f>
        <v>攻击回血  + {3}</v>
      </c>
      <c r="AG220" t="str">
        <f t="shared" ref="AG220:AG227" si="102">_xlfn.IFNA(U220&amp;" "&amp;IF(W220=0," + "&amp;V220*VLOOKUP(U220,$BE$8:$BH$260,4,FALSE)," + {"&amp;V$6&amp;"}"),"xxx")</f>
        <v>攻击速度%  + {4}</v>
      </c>
      <c r="AI220" t="str">
        <f t="shared" ref="AI220:AI227" si="103">_xlfn.IFNA(IF(AC220="xxx","xxx",IF(VLOOKUP(I220,$BE$8:$BK$260,7,FALSE)=1,AC220&amp;CHAR(10),SUBSTITUTE(AC220,"%","")&amp;"%"&amp;CHAR(10))),"xxx")</f>
        <v xml:space="preserve">附加火焰伤害 {0}%
</v>
      </c>
      <c r="AJ220" t="str">
        <f t="shared" ref="AJ220:AJ227" si="104">_xlfn.IFNA(IF(AC220="xxx","xxx",IF(VLOOKUP(L220,$BE$8:$BK$260,7,FALSE)=1,AD220&amp;CHAR(10),SUBSTITUTE(AD220,"%","")&amp;"%"&amp;CHAR(10))),"xxx")</f>
        <v xml:space="preserve">灼烧系数  + {1}%
</v>
      </c>
      <c r="AK220" t="str">
        <f t="shared" ref="AK220:AK227" si="105">_xlfn.IFNA(IF(AC220="xxx","xxx",IF(VLOOKUP(O220,$BE$8:$BK$260,7,FALSE)=1,AE220&amp;CHAR(10),SUBSTITUTE(AE220,"%","")&amp;"%"&amp;CHAR(10))),"xxx")</f>
        <v xml:space="preserve">生命回复  + {2}
</v>
      </c>
      <c r="AL220" t="str">
        <f t="shared" ref="AL220:AL227" si="106">_xlfn.IFNA(IF(AC220="xxx","xxx",IF(VLOOKUP(R220,$BE$8:$BK$260,7,FALSE)=1,AF220&amp;CHAR(10),SUBSTITUTE(AF220,"%","")&amp;"%"&amp;CHAR(10))),"xxx")</f>
        <v xml:space="preserve">攻击回血  + {3}
</v>
      </c>
      <c r="AM220" t="str">
        <f t="shared" ref="AM220:AM227" si="107">_xlfn.IFNA(IF(AC220="xxx","xxx",IF(VLOOKUP(U220,$BE$8:$BK$260,7,FALSE)=1,AG220&amp;CHAR(10),SUBSTITUTE(AG220,"%","")&amp;"%"&amp;CHAR(10))),"xxx")</f>
        <v xml:space="preserve">攻击速度  + {4}%
</v>
      </c>
      <c r="AO220" t="str">
        <f t="shared" ref="AO220:AO227" si="108">_xlfn.CONCAT(AI220:AN220)</f>
        <v xml:space="preserve">附加火焰伤害 {0}%
灼烧系数  + {1}%
生命回复  + {2}
攻击回血  + {3}
攻击速度  + {4}%
</v>
      </c>
      <c r="AP220" s="6" t="str">
        <f t="shared" ref="AP220:AP227" si="109">SUBSTITUTE(AO220,"xxx","")</f>
        <v xml:space="preserve">附加火焰伤害 {0}%
灼烧系数  + {1}%
生命回复  + {2}
攻击回血  + {3}
攻击速度  + {4}%
</v>
      </c>
      <c r="AQ220" s="80" t="s">
        <v>3815</v>
      </c>
      <c r="AR220" t="str">
        <f t="shared" ref="AR220:AR227" si="110">IFERROR(IF(AP220="",AQ220,AP220),AP220)</f>
        <v xml:space="preserve">附加火焰伤害 {0}%
灼烧系数  + {1}%
生命回复  + {2}
攻击回血  + {3}
攻击速度  + {4}%
</v>
      </c>
      <c r="AS220" s="81" t="str">
        <f t="shared" ref="AS220:AS227" si="111">IF(AR220&lt;&gt;AQ220,IF(ISNUMBER(SEARCH(CHAR(10),AR220)),SUBSTITUTE(AR220,CHAR(10),"",LEN(AR220)-LEN(SUBSTITUTE(AR220,CHAR(10),""))),AR220),AR220)</f>
        <v>附加火焰伤害 {0}%
灼烧系数  + {1}%
生命回复  + {2}
攻击回血  + {3}
攻击速度  + {4}%</v>
      </c>
      <c r="BE220" s="46"/>
      <c r="BF220" s="46"/>
      <c r="BG220" s="52"/>
      <c r="BH220" s="59"/>
      <c r="BI220" s="59"/>
      <c r="BJ220" s="59"/>
      <c r="BK220" s="18"/>
    </row>
    <row r="221" spans="2:63" ht="15.75" x14ac:dyDescent="0.3">
      <c r="B221" t="s">
        <v>33</v>
      </c>
      <c r="C221" s="59">
        <v>14907</v>
      </c>
      <c r="D221" s="59" t="s">
        <v>4324</v>
      </c>
      <c r="E221" s="59"/>
      <c r="F221" s="59"/>
      <c r="G221" s="59"/>
      <c r="H221" s="72"/>
      <c r="I221" s="64" t="s">
        <v>3151</v>
      </c>
      <c r="J221" s="64">
        <v>2</v>
      </c>
      <c r="K221" s="64">
        <v>0.2</v>
      </c>
      <c r="L221" s="65" t="s">
        <v>2986</v>
      </c>
      <c r="M221" s="65">
        <v>2</v>
      </c>
      <c r="N221" s="65">
        <v>0.4</v>
      </c>
      <c r="O221" s="66" t="s">
        <v>2994</v>
      </c>
      <c r="P221" s="66">
        <v>2</v>
      </c>
      <c r="Q221" s="66">
        <v>0.2</v>
      </c>
      <c r="R221" s="64"/>
      <c r="S221" s="64"/>
      <c r="T221" s="64"/>
      <c r="U221" s="65"/>
      <c r="V221" s="65"/>
      <c r="W221" s="65"/>
      <c r="X221" s="66"/>
      <c r="Y221" s="66"/>
      <c r="Z221" s="66"/>
      <c r="AA221" s="71" t="str">
        <f t="shared" si="97"/>
        <v>1:225,8,12,242,12,28,250,16,24,xxxxxxxxx</v>
      </c>
      <c r="AB221" s="78" t="str">
        <f t="shared" si="98"/>
        <v>1:225,8,12,242,12,28,250,16,24</v>
      </c>
      <c r="AC221" t="str">
        <f t="shared" si="96"/>
        <v>混沌减抗% {0}</v>
      </c>
      <c r="AD221" t="str">
        <f t="shared" si="99"/>
        <v>中毒系数  + {1}</v>
      </c>
      <c r="AE221" t="str">
        <f t="shared" si="100"/>
        <v>施加中毒时间提升  + {2}</v>
      </c>
      <c r="AF221" t="str">
        <f t="shared" si="101"/>
        <v>xxx</v>
      </c>
      <c r="AG221" t="str">
        <f t="shared" si="102"/>
        <v>xxx</v>
      </c>
      <c r="AI221" t="str">
        <f t="shared" si="103"/>
        <v xml:space="preserve">混沌减抗 {0}%
</v>
      </c>
      <c r="AJ221" t="str">
        <f t="shared" si="104"/>
        <v xml:space="preserve">中毒系数  + {1}%
</v>
      </c>
      <c r="AK221" t="str">
        <f t="shared" si="105"/>
        <v xml:space="preserve">施加中毒时间提升  + {2}%
</v>
      </c>
      <c r="AL221" t="str">
        <f t="shared" si="106"/>
        <v>xxx</v>
      </c>
      <c r="AM221" t="str">
        <f t="shared" si="107"/>
        <v>xxx</v>
      </c>
      <c r="AO221" t="str">
        <f t="shared" si="108"/>
        <v>混沌减抗 {0}%
中毒系数  + {1}%
施加中毒时间提升  + {2}%
xxxxxx</v>
      </c>
      <c r="AP221" s="6" t="str">
        <f t="shared" si="109"/>
        <v xml:space="preserve">混沌减抗 {0}%
中毒系数  + {1}%
施加中毒时间提升  + {2}%
</v>
      </c>
      <c r="AQ221" s="80" t="s">
        <v>3816</v>
      </c>
      <c r="AR221" t="str">
        <f t="shared" si="110"/>
        <v xml:space="preserve">混沌减抗 {0}%
中毒系数  + {1}%
施加中毒时间提升  + {2}%
</v>
      </c>
      <c r="AS221" s="81" t="str">
        <f t="shared" si="111"/>
        <v>混沌减抗 {0}%
中毒系数  + {1}%
施加中毒时间提升  + {2}%</v>
      </c>
      <c r="BE221" s="46"/>
      <c r="BF221" s="46"/>
      <c r="BG221" s="52"/>
      <c r="BH221" s="59"/>
      <c r="BI221" s="59"/>
      <c r="BJ221" s="59"/>
      <c r="BK221" s="18"/>
    </row>
    <row r="222" spans="2:63" ht="15.75" x14ac:dyDescent="0.3">
      <c r="C222" s="59">
        <v>14908</v>
      </c>
      <c r="D222" s="59" t="s">
        <v>4325</v>
      </c>
      <c r="E222" s="59"/>
      <c r="F222" s="59"/>
      <c r="G222" s="59"/>
      <c r="H222" s="72"/>
      <c r="I222" s="64" t="s">
        <v>3220</v>
      </c>
      <c r="J222" s="64">
        <v>2</v>
      </c>
      <c r="K222" s="64">
        <v>0.2</v>
      </c>
      <c r="L222" s="65" t="s">
        <v>3183</v>
      </c>
      <c r="M222" s="65">
        <v>2</v>
      </c>
      <c r="N222" s="65">
        <v>0.4</v>
      </c>
      <c r="O222" s="66" t="s">
        <v>3170</v>
      </c>
      <c r="P222" s="66">
        <v>2</v>
      </c>
      <c r="Q222" s="66">
        <v>0.2</v>
      </c>
      <c r="R222" s="64"/>
      <c r="S222" s="64"/>
      <c r="T222" s="64"/>
      <c r="U222" s="65"/>
      <c r="V222" s="65"/>
      <c r="W222" s="65"/>
      <c r="X222" s="66"/>
      <c r="Y222" s="66"/>
      <c r="Z222" s="66"/>
      <c r="AA222" s="71" t="str">
        <f t="shared" si="97"/>
        <v>1:203,16,24,226,12,28,311,8,12,xxxxxxxxx</v>
      </c>
      <c r="AB222" s="78" t="str">
        <f t="shared" si="98"/>
        <v>1:203,16,24,226,12,28,311,8,12</v>
      </c>
      <c r="AC222" t="str">
        <f t="shared" si="96"/>
        <v>额外伤害增加% {0}</v>
      </c>
      <c r="AD222" t="str">
        <f t="shared" si="99"/>
        <v>命中率%  + {1}</v>
      </c>
      <c r="AE222" t="str">
        <f t="shared" si="100"/>
        <v>闪避几率%  + {2}</v>
      </c>
      <c r="AF222" t="str">
        <f t="shared" si="101"/>
        <v>xxx</v>
      </c>
      <c r="AG222" t="str">
        <f t="shared" si="102"/>
        <v>xxx</v>
      </c>
      <c r="AI222" t="str">
        <f t="shared" si="103"/>
        <v xml:space="preserve">额外伤害增加 {0}%
</v>
      </c>
      <c r="AJ222" t="str">
        <f t="shared" si="104"/>
        <v xml:space="preserve">命中率  + {1}%
</v>
      </c>
      <c r="AK222" t="str">
        <f t="shared" si="105"/>
        <v xml:space="preserve">闪避几率  + {2}%
</v>
      </c>
      <c r="AL222" t="str">
        <f t="shared" si="106"/>
        <v>xxx</v>
      </c>
      <c r="AM222" t="str">
        <f t="shared" si="107"/>
        <v>xxx</v>
      </c>
      <c r="AO222" t="str">
        <f t="shared" si="108"/>
        <v>额外伤害增加 {0}%
命中率  + {1}%
闪避几率  + {2}%
xxxxxx</v>
      </c>
      <c r="AP222" s="6" t="str">
        <f t="shared" si="109"/>
        <v xml:space="preserve">额外伤害增加 {0}%
命中率  + {1}%
闪避几率  + {2}%
</v>
      </c>
      <c r="AQ222" s="80" t="s">
        <v>3817</v>
      </c>
      <c r="AR222" t="str">
        <f t="shared" si="110"/>
        <v xml:space="preserve">额外伤害增加 {0}%
命中率  + {1}%
闪避几率  + {2}%
</v>
      </c>
      <c r="AS222" s="81" t="str">
        <f t="shared" si="111"/>
        <v>额外伤害增加 {0}%
命中率  + {1}%
闪避几率  + {2}%</v>
      </c>
      <c r="BE222" s="46"/>
      <c r="BF222" s="46"/>
      <c r="BG222" s="52"/>
      <c r="BH222" s="59"/>
      <c r="BI222" s="59"/>
      <c r="BJ222" s="59"/>
      <c r="BK222" s="18"/>
    </row>
    <row r="223" spans="2:63" ht="15.75" x14ac:dyDescent="0.3">
      <c r="C223" s="59">
        <v>14909</v>
      </c>
      <c r="D223" s="59" t="s">
        <v>4326</v>
      </c>
      <c r="E223" s="59"/>
      <c r="F223" s="59"/>
      <c r="G223" s="59"/>
      <c r="H223" s="72"/>
      <c r="I223" s="64" t="s">
        <v>3153</v>
      </c>
      <c r="J223" s="64">
        <v>2</v>
      </c>
      <c r="K223" s="64">
        <v>0.2</v>
      </c>
      <c r="L223" s="65" t="s">
        <v>3154</v>
      </c>
      <c r="M223" s="65">
        <v>4</v>
      </c>
      <c r="N223" s="65">
        <v>0.4</v>
      </c>
      <c r="O223" s="66" t="s">
        <v>3210</v>
      </c>
      <c r="P223" s="66">
        <v>2</v>
      </c>
      <c r="Q223" s="66">
        <v>0.2</v>
      </c>
      <c r="R223" s="64" t="s">
        <v>3156</v>
      </c>
      <c r="S223" s="64">
        <v>-1</v>
      </c>
      <c r="T223" s="64">
        <v>0.2</v>
      </c>
      <c r="U223" s="65"/>
      <c r="V223" s="65"/>
      <c r="W223" s="65"/>
      <c r="X223" s="66"/>
      <c r="Y223" s="66"/>
      <c r="Z223" s="66"/>
      <c r="AA223" s="71" t="str">
        <f t="shared" si="97"/>
        <v>1:206,16,24,213,24,56,222,8,12,217,-8,-12,xxxxxx</v>
      </c>
      <c r="AB223" s="78" t="str">
        <f t="shared" si="98"/>
        <v>1:206,16,24,213,24,56,222,8,12,217,-8,-12</v>
      </c>
      <c r="AC223" t="str">
        <f t="shared" si="96"/>
        <v>冰霜伤害 {0}</v>
      </c>
      <c r="AD223" t="str">
        <f t="shared" si="99"/>
        <v>冰霜伤害%  + {1}</v>
      </c>
      <c r="AE223" t="str">
        <f t="shared" si="100"/>
        <v>冰霜减抗%  + {2}</v>
      </c>
      <c r="AF223" t="str">
        <f t="shared" si="101"/>
        <v>攻击速度%  + {3}</v>
      </c>
      <c r="AG223" t="str">
        <f t="shared" si="102"/>
        <v>xxx</v>
      </c>
      <c r="AI223" t="str">
        <f t="shared" si="103"/>
        <v xml:space="preserve">冰霜伤害 {0}
</v>
      </c>
      <c r="AJ223" t="str">
        <f t="shared" si="104"/>
        <v xml:space="preserve">冰霜伤害  + {1}%
</v>
      </c>
      <c r="AK223" t="str">
        <f t="shared" si="105"/>
        <v xml:space="preserve">冰霜减抗  + {2}%
</v>
      </c>
      <c r="AL223" t="str">
        <f t="shared" si="106"/>
        <v xml:space="preserve">攻击速度  + {3}%
</v>
      </c>
      <c r="AM223" t="str">
        <f t="shared" si="107"/>
        <v>xxx</v>
      </c>
      <c r="AO223" t="str">
        <f t="shared" si="108"/>
        <v>冰霜伤害 {0}
冰霜伤害  + {1}%
冰霜减抗  + {2}%
攻击速度  + {3}%
xxx</v>
      </c>
      <c r="AP223" s="6" t="str">
        <f t="shared" si="109"/>
        <v xml:space="preserve">冰霜伤害 {0}
冰霜伤害  + {1}%
冰霜减抗  + {2}%
攻击速度  + {3}%
</v>
      </c>
      <c r="AQ223" s="80" t="s">
        <v>3818</v>
      </c>
      <c r="AR223" t="str">
        <f t="shared" si="110"/>
        <v xml:space="preserve">冰霜伤害 {0}
冰霜伤害  + {1}%
冰霜减抗  + {2}%
攻击速度  + {3}%
</v>
      </c>
      <c r="AS223" s="81" t="str">
        <f t="shared" si="111"/>
        <v>冰霜伤害 {0}
冰霜伤害  + {1}%
冰霜减抗  + {2}%
攻击速度  + {3}%</v>
      </c>
      <c r="BE223" s="46"/>
      <c r="BF223" s="46"/>
      <c r="BG223" s="52"/>
      <c r="BH223" s="59"/>
      <c r="BI223" s="59"/>
      <c r="BJ223" s="59"/>
      <c r="BK223" s="18"/>
    </row>
    <row r="224" spans="2:63" ht="15.75" x14ac:dyDescent="0.3">
      <c r="C224" s="59">
        <v>14910</v>
      </c>
      <c r="D224" s="59" t="s">
        <v>4327</v>
      </c>
      <c r="E224" s="59"/>
      <c r="F224" s="59"/>
      <c r="G224" s="59"/>
      <c r="H224" s="72"/>
      <c r="I224" s="64" t="s">
        <v>3154</v>
      </c>
      <c r="J224" s="64">
        <v>4</v>
      </c>
      <c r="K224" s="64">
        <v>0.2</v>
      </c>
      <c r="L224" s="65" t="s">
        <v>3183</v>
      </c>
      <c r="M224" s="65">
        <v>2</v>
      </c>
      <c r="N224" s="65">
        <v>0.2</v>
      </c>
      <c r="O224" s="66" t="s">
        <v>3026</v>
      </c>
      <c r="P224" s="66">
        <v>2</v>
      </c>
      <c r="Q224" s="66">
        <v>0.2</v>
      </c>
      <c r="R224" s="64" t="s">
        <v>3155</v>
      </c>
      <c r="S224" s="64">
        <v>2</v>
      </c>
      <c r="T224" s="64">
        <v>0.2</v>
      </c>
      <c r="U224" s="65"/>
      <c r="V224" s="65"/>
      <c r="W224" s="65"/>
      <c r="X224" s="66"/>
      <c r="Y224" s="66"/>
      <c r="Z224" s="66"/>
      <c r="AA224" s="71" t="str">
        <f t="shared" si="97"/>
        <v>1:213,32,48,226,16,24,405,0.4,0.6,404,0.8,1.2,xxxxxx</v>
      </c>
      <c r="AB224" s="78" t="str">
        <f t="shared" si="98"/>
        <v>1:213,32,48,226,16,24,405,0.4,0.6,404,0.8,1.2</v>
      </c>
      <c r="AC224" t="str">
        <f t="shared" si="96"/>
        <v>冰霜伤害% {0}</v>
      </c>
      <c r="AD224" t="str">
        <f t="shared" si="99"/>
        <v>命中率%  + {1}</v>
      </c>
      <c r="AE224" t="str">
        <f t="shared" si="100"/>
        <v>子弹穿刺  + {2}</v>
      </c>
      <c r="AF224" t="str">
        <f t="shared" si="101"/>
        <v>子弹数量  + {3}</v>
      </c>
      <c r="AG224" t="str">
        <f t="shared" si="102"/>
        <v>xxx</v>
      </c>
      <c r="AI224" t="str">
        <f t="shared" si="103"/>
        <v xml:space="preserve">冰霜伤害 {0}%
</v>
      </c>
      <c r="AJ224" t="str">
        <f t="shared" si="104"/>
        <v xml:space="preserve">命中率  + {1}%
</v>
      </c>
      <c r="AK224" t="str">
        <f t="shared" si="105"/>
        <v xml:space="preserve">子弹穿刺  + {2}
</v>
      </c>
      <c r="AL224" t="str">
        <f t="shared" si="106"/>
        <v xml:space="preserve">子弹数量  + {3}
</v>
      </c>
      <c r="AM224" t="str">
        <f t="shared" si="107"/>
        <v>xxx</v>
      </c>
      <c r="AO224" t="str">
        <f t="shared" si="108"/>
        <v>冰霜伤害 {0}%
命中率  + {1}%
子弹穿刺  + {2}
子弹数量  + {3}
xxx</v>
      </c>
      <c r="AP224" s="6" t="str">
        <f t="shared" si="109"/>
        <v xml:space="preserve">冰霜伤害 {0}%
命中率  + {1}%
子弹穿刺  + {2}
子弹数量  + {3}
</v>
      </c>
      <c r="AQ224" s="80" t="s">
        <v>3819</v>
      </c>
      <c r="AR224" t="str">
        <f t="shared" si="110"/>
        <v xml:space="preserve">冰霜伤害 {0}%
命中率  + {1}%
子弹穿刺  + {2}
子弹数量  + {3}
</v>
      </c>
      <c r="AS224" s="81" t="str">
        <f t="shared" si="111"/>
        <v>冰霜伤害 {0}%
命中率  + {1}%
子弹穿刺  + {2}
子弹数量  + {3}</v>
      </c>
      <c r="BE224" s="46"/>
      <c r="BF224" s="46"/>
      <c r="BG224" s="52"/>
      <c r="BH224" s="59"/>
      <c r="BI224" s="59"/>
      <c r="BJ224" s="59"/>
      <c r="BK224" s="18"/>
    </row>
    <row r="225" spans="3:63" ht="15.75" x14ac:dyDescent="0.3">
      <c r="C225" s="59">
        <v>14911</v>
      </c>
      <c r="D225" s="59" t="s">
        <v>4328</v>
      </c>
      <c r="E225" s="59"/>
      <c r="F225" s="59"/>
      <c r="G225" s="59"/>
      <c r="H225" s="72"/>
      <c r="I225" s="64" t="s">
        <v>3153</v>
      </c>
      <c r="J225" s="64">
        <v>4</v>
      </c>
      <c r="K225" s="64">
        <v>0.2</v>
      </c>
      <c r="L225" s="65" t="s">
        <v>3097</v>
      </c>
      <c r="M225" s="65">
        <v>2</v>
      </c>
      <c r="N225" s="65">
        <v>0.2</v>
      </c>
      <c r="O225" s="66" t="s">
        <v>3756</v>
      </c>
      <c r="P225" s="66">
        <v>2</v>
      </c>
      <c r="Q225" s="66">
        <v>0.2</v>
      </c>
      <c r="R225" s="64" t="s">
        <v>3156</v>
      </c>
      <c r="S225" s="64">
        <v>-1</v>
      </c>
      <c r="T225" s="64">
        <v>0.2</v>
      </c>
      <c r="U225" s="65"/>
      <c r="V225" s="65"/>
      <c r="W225" s="65"/>
      <c r="X225" s="66"/>
      <c r="Y225" s="66"/>
      <c r="Z225" s="66"/>
      <c r="AA225" s="71" t="str">
        <f t="shared" si="97"/>
        <v>1:206,32,48,801,16,24,219,16,24,217,-8,-12,xxxxxx</v>
      </c>
      <c r="AB225" s="78" t="str">
        <f t="shared" si="98"/>
        <v>1:206,32,48,801,16,24,219,16,24,217,-8,-12</v>
      </c>
      <c r="AC225" t="str">
        <f t="shared" si="96"/>
        <v>冰霜伤害 {0}</v>
      </c>
      <c r="AD225" t="str">
        <f t="shared" si="99"/>
        <v>每点力量额外获得护甲  + {1}</v>
      </c>
      <c r="AE225" t="str">
        <f t="shared" si="100"/>
        <v>暴击几率%  + {2}</v>
      </c>
      <c r="AF225" t="str">
        <f t="shared" si="101"/>
        <v>攻击速度%  + {3}</v>
      </c>
      <c r="AG225" t="str">
        <f t="shared" si="102"/>
        <v>xxx</v>
      </c>
      <c r="AI225" t="str">
        <f t="shared" si="103"/>
        <v xml:space="preserve">冰霜伤害 {0}
</v>
      </c>
      <c r="AJ225" t="str">
        <f t="shared" si="104"/>
        <v xml:space="preserve">每点力量额外获得护甲  + {1}
</v>
      </c>
      <c r="AK225" t="str">
        <f t="shared" si="105"/>
        <v xml:space="preserve">暴击几率  + {2}%
</v>
      </c>
      <c r="AL225" t="str">
        <f t="shared" si="106"/>
        <v xml:space="preserve">攻击速度  + {3}%
</v>
      </c>
      <c r="AM225" t="str">
        <f t="shared" si="107"/>
        <v>xxx</v>
      </c>
      <c r="AO225" t="str">
        <f t="shared" si="108"/>
        <v>冰霜伤害 {0}
每点力量额外获得护甲  + {1}
暴击几率  + {2}%
攻击速度  + {3}%
xxx</v>
      </c>
      <c r="AP225" s="6" t="str">
        <f t="shared" si="109"/>
        <v xml:space="preserve">冰霜伤害 {0}
每点力量额外获得护甲  + {1}
暴击几率  + {2}%
攻击速度  + {3}%
</v>
      </c>
      <c r="AQ225" s="80" t="s">
        <v>3820</v>
      </c>
      <c r="AR225" t="str">
        <f t="shared" si="110"/>
        <v xml:space="preserve">冰霜伤害 {0}
每点力量额外获得护甲  + {1}
暴击几率  + {2}%
攻击速度  + {3}%
</v>
      </c>
      <c r="AS225" s="81" t="str">
        <f t="shared" si="111"/>
        <v>冰霜伤害 {0}
每点力量额外获得护甲  + {1}
暴击几率  + {2}%
攻击速度  + {3}%</v>
      </c>
      <c r="BE225" s="46"/>
      <c r="BF225" s="46"/>
      <c r="BG225" s="52"/>
      <c r="BH225" s="59"/>
      <c r="BI225" s="59"/>
      <c r="BJ225" s="59"/>
      <c r="BK225" s="18"/>
    </row>
    <row r="226" spans="3:63" ht="15.75" x14ac:dyDescent="0.3">
      <c r="C226" s="59">
        <v>14912</v>
      </c>
      <c r="D226" s="59" t="s">
        <v>4329</v>
      </c>
      <c r="E226" s="59"/>
      <c r="F226" s="59"/>
      <c r="G226" s="59"/>
      <c r="H226" s="72"/>
      <c r="I226" s="64" t="s">
        <v>3162</v>
      </c>
      <c r="J226" s="64">
        <v>2</v>
      </c>
      <c r="K226" s="64">
        <v>0.2</v>
      </c>
      <c r="L226" s="65" t="s">
        <v>3192</v>
      </c>
      <c r="M226" s="65">
        <v>2</v>
      </c>
      <c r="N226" s="65">
        <v>0.4</v>
      </c>
      <c r="O226" s="66" t="s">
        <v>3757</v>
      </c>
      <c r="P226" s="66">
        <v>2</v>
      </c>
      <c r="Q226" s="66">
        <v>0.2</v>
      </c>
      <c r="R226" s="64" t="s">
        <v>3156</v>
      </c>
      <c r="S226" s="64">
        <v>2</v>
      </c>
      <c r="T226" s="64">
        <v>0.2</v>
      </c>
      <c r="U226" s="65"/>
      <c r="V226" s="65"/>
      <c r="W226" s="65"/>
      <c r="X226" s="66"/>
      <c r="Y226" s="66"/>
      <c r="Z226" s="66"/>
      <c r="AA226" s="71" t="str">
        <f t="shared" si="97"/>
        <v>1:208,16,24,215,12,28,220,32,48,217,16,24,xxxxxx</v>
      </c>
      <c r="AB226" s="78" t="str">
        <f t="shared" si="98"/>
        <v>1:208,16,24,215,12,28,220,32,48,217,16,24</v>
      </c>
      <c r="AC226" t="str">
        <f t="shared" si="96"/>
        <v>闪电伤害 {0}</v>
      </c>
      <c r="AD226" t="str">
        <f t="shared" si="99"/>
        <v>闪电伤害%  + {1}</v>
      </c>
      <c r="AE226" t="str">
        <f t="shared" si="100"/>
        <v>暴击伤害%  + {2}</v>
      </c>
      <c r="AF226" t="str">
        <f t="shared" si="101"/>
        <v>攻击速度%  + {3}</v>
      </c>
      <c r="AG226" t="str">
        <f t="shared" si="102"/>
        <v>xxx</v>
      </c>
      <c r="AI226" t="str">
        <f t="shared" si="103"/>
        <v xml:space="preserve">闪电伤害 {0}
</v>
      </c>
      <c r="AJ226" t="str">
        <f t="shared" si="104"/>
        <v xml:space="preserve">闪电伤害  + {1}%
</v>
      </c>
      <c r="AK226" t="str">
        <f t="shared" si="105"/>
        <v xml:space="preserve">暴击伤害  + {2}%
</v>
      </c>
      <c r="AL226" t="str">
        <f t="shared" si="106"/>
        <v xml:space="preserve">攻击速度  + {3}%
</v>
      </c>
      <c r="AM226" t="str">
        <f t="shared" si="107"/>
        <v>xxx</v>
      </c>
      <c r="AO226" t="str">
        <f t="shared" si="108"/>
        <v>闪电伤害 {0}
闪电伤害  + {1}%
暴击伤害  + {2}%
攻击速度  + {3}%
xxx</v>
      </c>
      <c r="AP226" s="6" t="str">
        <f t="shared" si="109"/>
        <v xml:space="preserve">闪电伤害 {0}
闪电伤害  + {1}%
暴击伤害  + {2}%
攻击速度  + {3}%
</v>
      </c>
      <c r="AQ226" s="80" t="s">
        <v>3821</v>
      </c>
      <c r="AR226" t="str">
        <f t="shared" si="110"/>
        <v xml:space="preserve">闪电伤害 {0}
闪电伤害  + {1}%
暴击伤害  + {2}%
攻击速度  + {3}%
</v>
      </c>
      <c r="AS226" s="81" t="str">
        <f t="shared" si="111"/>
        <v>闪电伤害 {0}
闪电伤害  + {1}%
暴击伤害  + {2}%
攻击速度  + {3}%</v>
      </c>
      <c r="BE226" s="46"/>
      <c r="BF226" s="46"/>
      <c r="BG226" s="52"/>
      <c r="BH226" s="59"/>
      <c r="BI226" s="59"/>
      <c r="BJ226" s="59"/>
      <c r="BK226" s="18"/>
    </row>
    <row r="227" spans="3:63" ht="15.75" x14ac:dyDescent="0.3">
      <c r="C227" s="59">
        <v>14913</v>
      </c>
      <c r="D227" s="59" t="s">
        <v>4330</v>
      </c>
      <c r="E227" s="59"/>
      <c r="F227" s="59"/>
      <c r="G227" s="59"/>
      <c r="H227" s="72"/>
      <c r="I227" s="64" t="s">
        <v>3162</v>
      </c>
      <c r="J227" s="64">
        <v>3</v>
      </c>
      <c r="K227" s="64">
        <v>0.2</v>
      </c>
      <c r="L227" s="65" t="s">
        <v>3757</v>
      </c>
      <c r="M227" s="65">
        <v>2</v>
      </c>
      <c r="N227" s="65">
        <v>0.2</v>
      </c>
      <c r="O227" s="66" t="s">
        <v>3756</v>
      </c>
      <c r="P227" s="66">
        <v>2</v>
      </c>
      <c r="Q227" s="66">
        <v>0.2</v>
      </c>
      <c r="R227" s="64" t="s">
        <v>3156</v>
      </c>
      <c r="S227" s="64">
        <v>2</v>
      </c>
      <c r="T227" s="64">
        <v>0.2</v>
      </c>
      <c r="U227" s="65" t="s">
        <v>3169</v>
      </c>
      <c r="V227" s="65">
        <v>-2</v>
      </c>
      <c r="W227" s="65">
        <v>0</v>
      </c>
      <c r="X227" s="66"/>
      <c r="Y227" s="66"/>
      <c r="Z227" s="66"/>
      <c r="AA227" s="71" t="str">
        <f t="shared" si="97"/>
        <v>1:208,24,36,220,32,48,219,16,24,217,16,24,315,-10,-10,xxx</v>
      </c>
      <c r="AB227" s="78" t="str">
        <f t="shared" si="98"/>
        <v>1:208,24,36,220,32,48,219,16,24,217,16,24,315,-10,-10</v>
      </c>
      <c r="AC227" t="str">
        <f t="shared" si="96"/>
        <v>闪电伤害 {0}</v>
      </c>
      <c r="AD227" t="str">
        <f t="shared" si="99"/>
        <v>暴击伤害%  + {1}</v>
      </c>
      <c r="AE227" t="str">
        <f t="shared" si="100"/>
        <v>暴击几率%  + {2}</v>
      </c>
      <c r="AF227" t="str">
        <f t="shared" si="101"/>
        <v>攻击速度%  + {3}</v>
      </c>
      <c r="AG227" t="str">
        <f t="shared" si="102"/>
        <v>元素抗性%  + -10</v>
      </c>
      <c r="AI227" t="str">
        <f t="shared" si="103"/>
        <v xml:space="preserve">闪电伤害 {0}
</v>
      </c>
      <c r="AJ227" t="str">
        <f t="shared" si="104"/>
        <v xml:space="preserve">暴击伤害  + {1}%
</v>
      </c>
      <c r="AK227" t="str">
        <f t="shared" si="105"/>
        <v xml:space="preserve">暴击几率  + {2}%
</v>
      </c>
      <c r="AL227" t="str">
        <f t="shared" si="106"/>
        <v xml:space="preserve">攻击速度  + {3}%
</v>
      </c>
      <c r="AM227" t="str">
        <f t="shared" si="107"/>
        <v xml:space="preserve">元素抗性  + -10%
</v>
      </c>
      <c r="AO227" t="str">
        <f t="shared" si="108"/>
        <v xml:space="preserve">闪电伤害 {0}
暴击伤害  + {1}%
暴击几率  + {2}%
攻击速度  + {3}%
元素抗性  + -10%
</v>
      </c>
      <c r="AP227" s="6" t="str">
        <f t="shared" si="109"/>
        <v xml:space="preserve">闪电伤害 {0}
暴击伤害  + {1}%
暴击几率  + {2}%
攻击速度  + {3}%
元素抗性  + -10%
</v>
      </c>
      <c r="AQ227" s="80" t="s">
        <v>3822</v>
      </c>
      <c r="AR227" t="str">
        <f t="shared" si="110"/>
        <v xml:space="preserve">闪电伤害 {0}
暴击伤害  + {1}%
暴击几率  + {2}%
攻击速度  + {3}%
元素抗性  + -10%
</v>
      </c>
      <c r="AS227" s="81" t="str">
        <f t="shared" si="111"/>
        <v>闪电伤害 {0}
暴击伤害  + {1}%
暴击几率  + {2}%
攻击速度  + {3}%
元素抗性  + -10%</v>
      </c>
      <c r="BE227" s="46"/>
      <c r="BF227" s="46"/>
      <c r="BG227" s="52"/>
      <c r="BH227" s="59"/>
      <c r="BI227" s="59"/>
      <c r="BJ227" s="59"/>
      <c r="BK227" s="18"/>
    </row>
    <row r="228" spans="3:63" ht="15.75" x14ac:dyDescent="0.3">
      <c r="C228" s="59">
        <v>40001</v>
      </c>
      <c r="D228" s="59" t="s">
        <v>4354</v>
      </c>
      <c r="E228" s="59"/>
      <c r="F228" s="59"/>
      <c r="G228" s="59"/>
      <c r="H228" s="72"/>
      <c r="I228" s="64" t="s">
        <v>3231</v>
      </c>
      <c r="J228" s="64">
        <v>3</v>
      </c>
      <c r="K228" s="64">
        <v>0.2</v>
      </c>
      <c r="L228" s="65" t="s">
        <v>3167</v>
      </c>
      <c r="M228" s="65">
        <v>2</v>
      </c>
      <c r="N228" s="65">
        <v>0.2</v>
      </c>
      <c r="O228" s="66"/>
      <c r="P228" s="66">
        <v>2</v>
      </c>
      <c r="Q228" s="66">
        <v>0.2</v>
      </c>
      <c r="R228" s="64"/>
      <c r="S228" s="64">
        <v>2</v>
      </c>
      <c r="T228" s="64">
        <v>0.2</v>
      </c>
      <c r="U228" s="65"/>
      <c r="V228" s="65"/>
      <c r="W228" s="65"/>
      <c r="X228" s="66"/>
      <c r="Y228" s="66"/>
      <c r="Z228" s="66"/>
      <c r="AA228" s="71" t="str">
        <f t="shared" ref="AA228:AA248" si="112">"1:"&amp;IF(I228&lt;&gt;"",VLOOKUP(I228,$BE$8:$BH$260,3,FALSE)&amp;","&amp;VLOOKUP(I228,$BE$8:$BH$260,4,FALSE)*(1-K228)*J228&amp;","&amp;VLOOKUP(I228,$BE$8:$BH$260,4,FALSE)*(1+K228)*J228&amp;",","xxx")&amp;IF(L228&lt;&gt;"",VLOOKUP(L228,$BE$8:$BH$260,3,FALSE)&amp;","&amp;VLOOKUP(L228,$BE$8:$BH$260,4,FALSE)*(1-N228)*M228&amp;","&amp;VLOOKUP(L228,$BE$8:$BH$260,4,FALSE)*(1+N228)*M228&amp;",","xxx")&amp;IF(O228&lt;&gt;"",VLOOKUP(O228,$BE$8:$BH$260,3,FALSE)&amp;","&amp;VLOOKUP(O228,$BE$8:$BH$260,4,FALSE)*(1-Q228)*P228&amp;","&amp;VLOOKUP(O228,$BE$8:$BH$260,4,FALSE)*(1+Q228)*P228&amp;",","xxx")&amp;IF(R228&lt;&gt;"",VLOOKUP(R228,$BE$8:$BH$260,3,FALSE)&amp;","&amp;VLOOKUP(R228,$BE$8:$BH$260,4,FALSE)*(1-T228)*S228&amp;","&amp;VLOOKUP(R228,$BE$8:$BH$260,4,FALSE)*(1+T228)*S228&amp;",","xxx")&amp;IF(U228&lt;&gt;"",VLOOKUP(U228,$BE$8:$BH$260,3,FALSE)&amp;","&amp;VLOOKUP(U228,$BE$8:$BH$260,4,FALSE)*(1-W228)*V228&amp;","&amp;VLOOKUP(U228,$BE$8:$BH$260,4,FALSE)*(1+W228)*V228&amp;",","xxx")&amp;IF(X228&lt;&gt;"",VLOOKUP(X228,$BE$8:$BH$260,3,FALSE)&amp;","&amp;VLOOKUP(X228,$BE$8:$BH$260,4,FALSE)*(1-Z228)*Y228&amp;","&amp;VLOOKUP(X228,$BE$8:$BH$260,4,FALSE)*(1+Z228)*Y228&amp;",","xxx")</f>
        <v>1:101,24,36,102,16,24,xxxxxxxxxxxx</v>
      </c>
      <c r="AB228" s="78" t="str">
        <f t="shared" ref="AB228:AB248" si="113">IF(LEFT(SUBSTITUTE(AA228,"x",""),LEN(SUBSTITUTE(AA228,"x",""))-1)="1","",LEFT(SUBSTITUTE(AA228,"x",""),LEN(SUBSTITUTE(AA228,"x",""))-1))</f>
        <v>1:101,24,36,102,16,24</v>
      </c>
      <c r="AC228" t="str">
        <f t="shared" si="96"/>
        <v>力量 {0}</v>
      </c>
      <c r="AD228" t="str">
        <f t="shared" ref="AD228:AD248" si="114">_xlfn.IFNA(L228&amp;" "&amp;IF(N228=0," + "&amp;M228*VLOOKUP(L228,$BE$8:$BH$260,4,FALSE)," + {"&amp;M$6&amp;"}"),"xxx")</f>
        <v>敏捷  + {1}</v>
      </c>
      <c r="AE228" t="str">
        <f t="shared" ref="AE228:AE248" si="115">_xlfn.IFNA(O228&amp;" "&amp;IF(Q228=0," + "&amp;P228*VLOOKUP(O228,$BE$8:$BH$260,4,FALSE)," + {"&amp;P$6&amp;"}"),"xxx")</f>
        <v xml:space="preserve">  + {2}</v>
      </c>
      <c r="AF228" t="str">
        <f t="shared" ref="AF228:AF248" si="116">_xlfn.IFNA(R228&amp;" "&amp;IF(T228=0," + "&amp;S228*VLOOKUP(R228,$BE$8:$BH$260,4,FALSE)," + {"&amp;S$6&amp;"}"),"xxx")</f>
        <v xml:space="preserve">  + {3}</v>
      </c>
      <c r="AG228" t="str">
        <f t="shared" ref="AG228:AG248" si="117">_xlfn.IFNA(U228&amp;" "&amp;IF(W228=0," + "&amp;V228*VLOOKUP(U228,$BE$8:$BH$260,4,FALSE)," + {"&amp;V$6&amp;"}"),"xxx")</f>
        <v>xxx</v>
      </c>
      <c r="AI228" t="str">
        <f t="shared" ref="AI228:AI248" si="118">_xlfn.IFNA(IF(AC228="xxx","xxx",IF(VLOOKUP(I228,$BE$8:$BK$260,7,FALSE)=1,AC228&amp;CHAR(10),SUBSTITUTE(AC228,"%","")&amp;"%"&amp;CHAR(10))),"xxx")</f>
        <v xml:space="preserve">力量 {0}
</v>
      </c>
      <c r="AJ228" t="str">
        <f t="shared" ref="AJ228:AJ248" si="119">_xlfn.IFNA(IF(AC228="xxx","xxx",IF(VLOOKUP(L228,$BE$8:$BK$260,7,FALSE)=1,AD228&amp;CHAR(10),SUBSTITUTE(AD228,"%","")&amp;"%"&amp;CHAR(10))),"xxx")</f>
        <v xml:space="preserve">敏捷  + {1}
</v>
      </c>
      <c r="AK228" t="str">
        <f t="shared" ref="AK228:AK248" si="120">_xlfn.IFNA(IF(AC228="xxx","xxx",IF(VLOOKUP(O228,$BE$8:$BK$260,7,FALSE)=1,AE228&amp;CHAR(10),SUBSTITUTE(AE228,"%","")&amp;"%"&amp;CHAR(10))),"xxx")</f>
        <v>xxx</v>
      </c>
      <c r="AL228" t="str">
        <f t="shared" ref="AL228:AL248" si="121">_xlfn.IFNA(IF(AC228="xxx","xxx",IF(VLOOKUP(R228,$BE$8:$BK$260,7,FALSE)=1,AF228&amp;CHAR(10),SUBSTITUTE(AF228,"%","")&amp;"%"&amp;CHAR(10))),"xxx")</f>
        <v>xxx</v>
      </c>
      <c r="AM228" t="str">
        <f t="shared" ref="AM228:AM248" si="122">_xlfn.IFNA(IF(AC228="xxx","xxx",IF(VLOOKUP(U228,$BE$8:$BK$260,7,FALSE)=1,AG228&amp;CHAR(10),SUBSTITUTE(AG228,"%","")&amp;"%"&amp;CHAR(10))),"xxx")</f>
        <v>xxx</v>
      </c>
      <c r="AO228" t="str">
        <f t="shared" ref="AO228:AO248" si="123">_xlfn.CONCAT(AI228:AN228)</f>
        <v>力量 {0}
敏捷  + {1}
xxxxxxxxx</v>
      </c>
      <c r="AP228" s="6" t="str">
        <f t="shared" ref="AP228:AP248" si="124">SUBSTITUTE(AO228,"xxx","")</f>
        <v xml:space="preserve">力量 {0}
敏捷  + {1}
</v>
      </c>
      <c r="AQ228" s="80" t="s">
        <v>3823</v>
      </c>
      <c r="AR228" t="str">
        <f t="shared" ref="AR228:AR248" si="125">IFERROR(IF(AP228="",AQ228,AP228),AP228)</f>
        <v xml:space="preserve">力量 {0}
敏捷  + {1}
</v>
      </c>
      <c r="AS228" s="81" t="str">
        <f t="shared" ref="AS228:AS248" si="126">IF(AR228&lt;&gt;AQ228,IF(ISNUMBER(SEARCH(CHAR(10),AR228)),SUBSTITUTE(AR228,CHAR(10),"",LEN(AR228)-LEN(SUBSTITUTE(AR228,CHAR(10),""))),AR228),AR228)</f>
        <v>力量 {0}
敏捷  + {1}</v>
      </c>
      <c r="BE228" s="46"/>
      <c r="BF228" s="46"/>
      <c r="BG228" s="52"/>
      <c r="BH228" s="59"/>
      <c r="BI228" s="59"/>
      <c r="BJ228" s="59"/>
      <c r="BK228" s="18"/>
    </row>
    <row r="229" spans="3:63" ht="15.75" x14ac:dyDescent="0.3">
      <c r="C229" s="59">
        <v>40002</v>
      </c>
      <c r="D229" s="59" t="s">
        <v>4356</v>
      </c>
      <c r="E229" s="59"/>
      <c r="F229" s="59"/>
      <c r="G229" s="59"/>
      <c r="H229" s="72"/>
      <c r="I229" s="64" t="s">
        <v>3156</v>
      </c>
      <c r="J229" s="64">
        <v>3</v>
      </c>
      <c r="K229" s="64">
        <v>0.2</v>
      </c>
      <c r="L229" s="65" t="s">
        <v>3138</v>
      </c>
      <c r="M229" s="65">
        <v>2</v>
      </c>
      <c r="N229" s="65">
        <v>0.2</v>
      </c>
      <c r="O229" s="66"/>
      <c r="P229" s="66">
        <v>2</v>
      </c>
      <c r="Q229" s="66">
        <v>0.2</v>
      </c>
      <c r="R229" s="64"/>
      <c r="S229" s="64">
        <v>2</v>
      </c>
      <c r="T229" s="64">
        <v>0.2</v>
      </c>
      <c r="U229" s="65"/>
      <c r="V229" s="65"/>
      <c r="W229" s="65"/>
      <c r="X229" s="66"/>
      <c r="Y229" s="66"/>
      <c r="Z229" s="66"/>
      <c r="AA229" s="71" t="str">
        <f t="shared" si="112"/>
        <v>1:217,24,36,214,16,24,xxxxxxxxxxxx</v>
      </c>
      <c r="AB229" s="78" t="str">
        <f t="shared" si="113"/>
        <v>1:217,24,36,214,16,24</v>
      </c>
      <c r="AC229" t="str">
        <f t="shared" si="96"/>
        <v>攻击速度% {0}</v>
      </c>
      <c r="AD229" t="str">
        <f t="shared" si="114"/>
        <v>火焰伤害%  + {1}</v>
      </c>
      <c r="AE229" t="str">
        <f t="shared" si="115"/>
        <v xml:space="preserve">  + {2}</v>
      </c>
      <c r="AF229" t="str">
        <f t="shared" si="116"/>
        <v xml:space="preserve">  + {3}</v>
      </c>
      <c r="AG229" t="str">
        <f t="shared" si="117"/>
        <v>xxx</v>
      </c>
      <c r="AI229" t="str">
        <f t="shared" si="118"/>
        <v xml:space="preserve">攻击速度 {0}%
</v>
      </c>
      <c r="AJ229" t="str">
        <f t="shared" si="119"/>
        <v xml:space="preserve">火焰伤害  + {1}%
</v>
      </c>
      <c r="AK229" t="str">
        <f t="shared" si="120"/>
        <v>xxx</v>
      </c>
      <c r="AL229" t="str">
        <f t="shared" si="121"/>
        <v>xxx</v>
      </c>
      <c r="AM229" t="str">
        <f t="shared" si="122"/>
        <v>xxx</v>
      </c>
      <c r="AO229" t="str">
        <f t="shared" si="123"/>
        <v>攻击速度 {0}%
火焰伤害  + {1}%
xxxxxxxxx</v>
      </c>
      <c r="AP229" s="6" t="str">
        <f t="shared" si="124"/>
        <v xml:space="preserve">攻击速度 {0}%
火焰伤害  + {1}%
</v>
      </c>
      <c r="AQ229" s="80" t="s">
        <v>3824</v>
      </c>
      <c r="AR229" t="str">
        <f t="shared" si="125"/>
        <v xml:space="preserve">攻击速度 {0}%
火焰伤害  + {1}%
</v>
      </c>
      <c r="AS229" s="81" t="str">
        <f t="shared" si="126"/>
        <v>攻击速度 {0}%
火焰伤害  + {1}%</v>
      </c>
      <c r="BE229" s="46"/>
      <c r="BF229" s="46"/>
      <c r="BG229" s="52"/>
      <c r="BH229" s="59"/>
      <c r="BI229" s="59"/>
      <c r="BJ229" s="59"/>
      <c r="BK229" s="18"/>
    </row>
    <row r="230" spans="3:63" ht="15.75" x14ac:dyDescent="0.3">
      <c r="C230" s="59">
        <v>40003</v>
      </c>
      <c r="D230" s="59" t="s">
        <v>4358</v>
      </c>
      <c r="E230" s="59"/>
      <c r="F230" s="59"/>
      <c r="G230" s="59"/>
      <c r="H230" s="72"/>
      <c r="I230" s="64" t="s">
        <v>3231</v>
      </c>
      <c r="J230" s="64">
        <v>3</v>
      </c>
      <c r="K230" s="64">
        <v>0.2</v>
      </c>
      <c r="L230" s="65" t="s">
        <v>3137</v>
      </c>
      <c r="M230" s="65">
        <v>2</v>
      </c>
      <c r="N230" s="65">
        <v>0.2</v>
      </c>
      <c r="O230" s="66" t="s">
        <v>3162</v>
      </c>
      <c r="P230" s="66">
        <v>2</v>
      </c>
      <c r="Q230" s="66">
        <v>0.2</v>
      </c>
      <c r="R230" s="64"/>
      <c r="S230" s="64">
        <v>2</v>
      </c>
      <c r="T230" s="64">
        <v>0.2</v>
      </c>
      <c r="U230" s="65"/>
      <c r="V230" s="65"/>
      <c r="W230" s="65"/>
      <c r="X230" s="66"/>
      <c r="Y230" s="66"/>
      <c r="Z230" s="66"/>
      <c r="AA230" s="71" t="str">
        <f t="shared" si="112"/>
        <v>1:101,24,36,103,16,24,208,16,24,xxxxxxxxx</v>
      </c>
      <c r="AB230" s="78" t="str">
        <f t="shared" si="113"/>
        <v>1:101,24,36,103,16,24,208,16,24</v>
      </c>
      <c r="AC230" t="str">
        <f t="shared" si="96"/>
        <v>力量 {0}</v>
      </c>
      <c r="AD230" t="str">
        <f t="shared" si="114"/>
        <v>智力  + {1}</v>
      </c>
      <c r="AE230" t="str">
        <f t="shared" si="115"/>
        <v>闪电伤害  + {2}</v>
      </c>
      <c r="AF230" t="str">
        <f t="shared" si="116"/>
        <v xml:space="preserve">  + {3}</v>
      </c>
      <c r="AG230" t="str">
        <f t="shared" si="117"/>
        <v>xxx</v>
      </c>
      <c r="AI230" t="str">
        <f t="shared" si="118"/>
        <v xml:space="preserve">力量 {0}
</v>
      </c>
      <c r="AJ230" t="str">
        <f t="shared" si="119"/>
        <v xml:space="preserve">智力  + {1}
</v>
      </c>
      <c r="AK230" t="str">
        <f t="shared" si="120"/>
        <v xml:space="preserve">闪电伤害  + {2}
</v>
      </c>
      <c r="AL230" t="str">
        <f t="shared" si="121"/>
        <v>xxx</v>
      </c>
      <c r="AM230" t="str">
        <f t="shared" si="122"/>
        <v>xxx</v>
      </c>
      <c r="AO230" t="str">
        <f t="shared" si="123"/>
        <v>力量 {0}
智力  + {1}
闪电伤害  + {2}
xxxxxx</v>
      </c>
      <c r="AP230" s="6" t="str">
        <f t="shared" si="124"/>
        <v xml:space="preserve">力量 {0}
智力  + {1}
闪电伤害  + {2}
</v>
      </c>
      <c r="AQ230" s="80" t="s">
        <v>3825</v>
      </c>
      <c r="AR230" t="str">
        <f t="shared" si="125"/>
        <v xml:space="preserve">力量 {0}
智力  + {1}
闪电伤害  + {2}
</v>
      </c>
      <c r="AS230" s="81" t="str">
        <f t="shared" si="126"/>
        <v>力量 {0}
智力  + {1}
闪电伤害  + {2}</v>
      </c>
      <c r="BE230" s="46"/>
      <c r="BF230" s="46"/>
      <c r="BG230" s="52"/>
      <c r="BH230" s="59"/>
      <c r="BI230" s="59"/>
      <c r="BJ230" s="59"/>
      <c r="BK230" s="18"/>
    </row>
    <row r="231" spans="3:63" ht="15.75" x14ac:dyDescent="0.3">
      <c r="C231" s="59">
        <v>40004</v>
      </c>
      <c r="D231" s="59" t="s">
        <v>4361</v>
      </c>
      <c r="E231" s="59"/>
      <c r="F231" s="59"/>
      <c r="G231" s="59"/>
      <c r="H231" s="72"/>
      <c r="I231" s="64" t="s">
        <v>4425</v>
      </c>
      <c r="J231" s="64">
        <v>3</v>
      </c>
      <c r="K231" s="64">
        <v>0.2</v>
      </c>
      <c r="L231" s="65" t="s">
        <v>4426</v>
      </c>
      <c r="M231" s="65">
        <v>2</v>
      </c>
      <c r="N231" s="65">
        <v>0.2</v>
      </c>
      <c r="O231" s="66" t="s">
        <v>4427</v>
      </c>
      <c r="P231" s="66">
        <v>2</v>
      </c>
      <c r="Q231" s="66">
        <v>0.2</v>
      </c>
      <c r="R231" s="64"/>
      <c r="S231" s="64">
        <v>2</v>
      </c>
      <c r="T231" s="64">
        <v>0.2</v>
      </c>
      <c r="U231" s="65"/>
      <c r="V231" s="65"/>
      <c r="W231" s="65"/>
      <c r="X231" s="66"/>
      <c r="Y231" s="66"/>
      <c r="Z231" s="66"/>
      <c r="AA231" s="71" t="e">
        <f t="shared" si="112"/>
        <v>#N/A</v>
      </c>
      <c r="AB231" s="78" t="e">
        <f t="shared" si="113"/>
        <v>#N/A</v>
      </c>
      <c r="AC231" t="str">
        <f t="shared" si="96"/>
        <v>召唤物攻击力 {0}</v>
      </c>
      <c r="AD231" t="str">
        <f t="shared" si="114"/>
        <v>召唤物暴击率%  + {1}</v>
      </c>
      <c r="AE231" t="str">
        <f t="shared" si="115"/>
        <v>生命值  + {2}</v>
      </c>
      <c r="AF231" t="str">
        <f t="shared" si="116"/>
        <v xml:space="preserve">  + {3}</v>
      </c>
      <c r="AG231" t="str">
        <f t="shared" si="117"/>
        <v>xxx</v>
      </c>
      <c r="AI231" t="str">
        <f t="shared" si="118"/>
        <v>xxx</v>
      </c>
      <c r="AJ231" t="str">
        <f t="shared" si="119"/>
        <v>xxx</v>
      </c>
      <c r="AK231" t="str">
        <f t="shared" si="120"/>
        <v>xxx</v>
      </c>
      <c r="AL231" t="str">
        <f t="shared" si="121"/>
        <v>xxx</v>
      </c>
      <c r="AM231" t="str">
        <f t="shared" si="122"/>
        <v>xxx</v>
      </c>
      <c r="AO231" t="str">
        <f t="shared" si="123"/>
        <v>xxxxxxxxxxxxxxx</v>
      </c>
      <c r="AP231" s="6" t="str">
        <f t="shared" si="124"/>
        <v/>
      </c>
      <c r="AQ231" s="80" t="s">
        <v>3826</v>
      </c>
      <c r="AR231" t="str">
        <f t="shared" si="125"/>
        <v>混沌抗性+25%
处于中毒状态时，每一层中毒都能使护盾值每秒恢复（3~5）点
你身上的中毒效果持续时间提升103%</v>
      </c>
      <c r="AS231" s="81" t="str">
        <f t="shared" si="126"/>
        <v>混沌抗性+25%
处于中毒状态时，每一层中毒都能使护盾值每秒恢复（3~5）点
你身上的中毒效果持续时间提升103%</v>
      </c>
      <c r="BE231" s="46"/>
      <c r="BF231" s="46"/>
      <c r="BG231" s="52"/>
      <c r="BH231" s="59"/>
      <c r="BI231" s="59"/>
      <c r="BJ231" s="59"/>
      <c r="BK231" s="18"/>
    </row>
    <row r="232" spans="3:63" ht="15.75" x14ac:dyDescent="0.3">
      <c r="C232" s="59">
        <v>40005</v>
      </c>
      <c r="D232" s="59" t="s">
        <v>4363</v>
      </c>
      <c r="E232" s="59"/>
      <c r="F232" s="59"/>
      <c r="G232" s="59"/>
      <c r="H232" s="72"/>
      <c r="I232" s="64" t="s">
        <v>3231</v>
      </c>
      <c r="J232" s="64">
        <v>3</v>
      </c>
      <c r="K232" s="64">
        <v>0.2</v>
      </c>
      <c r="L232" s="65" t="s">
        <v>3201</v>
      </c>
      <c r="M232" s="65">
        <v>2</v>
      </c>
      <c r="N232" s="65">
        <v>0.2</v>
      </c>
      <c r="O232" s="66" t="s">
        <v>3155</v>
      </c>
      <c r="P232" s="66">
        <v>2</v>
      </c>
      <c r="Q232" s="66">
        <v>0.2</v>
      </c>
      <c r="R232" s="64"/>
      <c r="S232" s="64">
        <v>2</v>
      </c>
      <c r="T232" s="64">
        <v>0.2</v>
      </c>
      <c r="U232" s="65"/>
      <c r="V232" s="65"/>
      <c r="W232" s="65"/>
      <c r="X232" s="66"/>
      <c r="Y232" s="66"/>
      <c r="Z232" s="66"/>
      <c r="AA232" s="71" t="str">
        <f t="shared" si="112"/>
        <v>1:101,24,36,211,16,24,404,0.8,1.2,xxxxxxxxx</v>
      </c>
      <c r="AB232" s="78" t="str">
        <f t="shared" si="113"/>
        <v>1:101,24,36,211,16,24,404,0.8,1.2</v>
      </c>
      <c r="AC232" t="str">
        <f t="shared" si="96"/>
        <v>力量 {0}</v>
      </c>
      <c r="AD232" t="str">
        <f t="shared" si="114"/>
        <v>物理伤害%  + {1}</v>
      </c>
      <c r="AE232" t="str">
        <f t="shared" si="115"/>
        <v>子弹数量  + {2}</v>
      </c>
      <c r="AF232" t="str">
        <f t="shared" si="116"/>
        <v xml:space="preserve">  + {3}</v>
      </c>
      <c r="AG232" t="str">
        <f t="shared" si="117"/>
        <v>xxx</v>
      </c>
      <c r="AI232" t="str">
        <f t="shared" si="118"/>
        <v xml:space="preserve">力量 {0}
</v>
      </c>
      <c r="AJ232" t="str">
        <f t="shared" si="119"/>
        <v xml:space="preserve">物理伤害  + {1}%
</v>
      </c>
      <c r="AK232" t="str">
        <f t="shared" si="120"/>
        <v xml:space="preserve">子弹数量  + {2}
</v>
      </c>
      <c r="AL232" t="str">
        <f t="shared" si="121"/>
        <v>xxx</v>
      </c>
      <c r="AM232" t="str">
        <f t="shared" si="122"/>
        <v>xxx</v>
      </c>
      <c r="AO232" t="str">
        <f t="shared" si="123"/>
        <v>力量 {0}
物理伤害  + {1}%
子弹数量  + {2}
xxxxxx</v>
      </c>
      <c r="AP232" s="6" t="str">
        <f t="shared" si="124"/>
        <v xml:space="preserve">力量 {0}
物理伤害  + {1}%
子弹数量  + {2}
</v>
      </c>
      <c r="AQ232" s="80" t="s">
        <v>3827</v>
      </c>
      <c r="AR232" t="str">
        <f t="shared" si="125"/>
        <v xml:space="preserve">力量 {0}
物理伤害  + {1}%
子弹数量  + {2}
</v>
      </c>
      <c r="AS232" s="81" t="str">
        <f t="shared" si="126"/>
        <v>力量 {0}
物理伤害  + {1}%
子弹数量  + {2}</v>
      </c>
      <c r="BE232" s="46"/>
      <c r="BF232" s="46"/>
      <c r="BG232" s="52"/>
      <c r="BH232" s="59"/>
      <c r="BI232" s="59"/>
      <c r="BJ232" s="59"/>
      <c r="BK232" s="18"/>
    </row>
    <row r="233" spans="3:63" ht="15.75" x14ac:dyDescent="0.3">
      <c r="C233" s="59">
        <v>40006</v>
      </c>
      <c r="D233" s="59" t="s">
        <v>4365</v>
      </c>
      <c r="E233" s="59"/>
      <c r="F233" s="59"/>
      <c r="G233" s="59"/>
      <c r="H233" s="72"/>
      <c r="I233" s="64" t="s">
        <v>3231</v>
      </c>
      <c r="J233" s="64">
        <v>3</v>
      </c>
      <c r="K233" s="64">
        <v>0.2</v>
      </c>
      <c r="L233" s="65" t="s">
        <v>3156</v>
      </c>
      <c r="M233" s="65">
        <v>2</v>
      </c>
      <c r="N233" s="65">
        <v>0.2</v>
      </c>
      <c r="O233" s="66"/>
      <c r="P233" s="66">
        <v>2</v>
      </c>
      <c r="Q233" s="66">
        <v>0.2</v>
      </c>
      <c r="R233" s="64"/>
      <c r="S233" s="64">
        <v>2</v>
      </c>
      <c r="T233" s="64">
        <v>0.2</v>
      </c>
      <c r="U233" s="65"/>
      <c r="V233" s="65"/>
      <c r="W233" s="65"/>
      <c r="X233" s="66"/>
      <c r="Y233" s="66"/>
      <c r="Z233" s="66"/>
      <c r="AA233" s="71" t="str">
        <f t="shared" si="112"/>
        <v>1:101,24,36,217,16,24,xxxxxxxxxxxx</v>
      </c>
      <c r="AB233" s="78" t="str">
        <f t="shared" si="113"/>
        <v>1:101,24,36,217,16,24</v>
      </c>
      <c r="AC233" t="str">
        <f t="shared" si="96"/>
        <v>力量 {0}</v>
      </c>
      <c r="AD233" t="str">
        <f t="shared" si="114"/>
        <v>攻击速度%  + {1}</v>
      </c>
      <c r="AE233" t="str">
        <f t="shared" si="115"/>
        <v xml:space="preserve">  + {2}</v>
      </c>
      <c r="AF233" t="str">
        <f t="shared" si="116"/>
        <v xml:space="preserve">  + {3}</v>
      </c>
      <c r="AG233" t="str">
        <f t="shared" si="117"/>
        <v>xxx</v>
      </c>
      <c r="AI233" t="str">
        <f t="shared" si="118"/>
        <v xml:space="preserve">力量 {0}
</v>
      </c>
      <c r="AJ233" t="str">
        <f t="shared" si="119"/>
        <v xml:space="preserve">攻击速度  + {1}%
</v>
      </c>
      <c r="AK233" t="str">
        <f t="shared" si="120"/>
        <v>xxx</v>
      </c>
      <c r="AL233" t="str">
        <f t="shared" si="121"/>
        <v>xxx</v>
      </c>
      <c r="AM233" t="str">
        <f t="shared" si="122"/>
        <v>xxx</v>
      </c>
      <c r="AO233" t="str">
        <f t="shared" si="123"/>
        <v>力量 {0}
攻击速度  + {1}%
xxxxxxxxx</v>
      </c>
      <c r="AP233" s="6" t="str">
        <f t="shared" si="124"/>
        <v xml:space="preserve">力量 {0}
攻击速度  + {1}%
</v>
      </c>
      <c r="AQ233" s="80" t="s">
        <v>3828</v>
      </c>
      <c r="AR233" t="str">
        <f t="shared" si="125"/>
        <v xml:space="preserve">力量 {0}
攻击速度  + {1}%
</v>
      </c>
      <c r="AS233" s="81" t="str">
        <f t="shared" si="126"/>
        <v>力量 {0}
攻击速度  + {1}%</v>
      </c>
      <c r="BE233" s="46"/>
      <c r="BF233" s="46"/>
      <c r="BG233" s="52"/>
      <c r="BH233" s="59"/>
      <c r="BI233" s="59"/>
      <c r="BJ233" s="59"/>
      <c r="BK233" s="18"/>
    </row>
    <row r="234" spans="3:63" ht="15.75" x14ac:dyDescent="0.3">
      <c r="C234" s="59">
        <v>40007</v>
      </c>
      <c r="D234" s="59" t="s">
        <v>4367</v>
      </c>
      <c r="E234" s="59"/>
      <c r="F234" s="59"/>
      <c r="G234" s="59"/>
      <c r="H234" s="72"/>
      <c r="I234" s="64" t="s">
        <v>3137</v>
      </c>
      <c r="J234" s="64">
        <v>3</v>
      </c>
      <c r="K234" s="64">
        <v>0.2</v>
      </c>
      <c r="L234" s="65" t="s">
        <v>3153</v>
      </c>
      <c r="M234" s="65">
        <v>2</v>
      </c>
      <c r="N234" s="65">
        <v>0.2</v>
      </c>
      <c r="O234" s="66" t="s">
        <v>4428</v>
      </c>
      <c r="P234" s="66">
        <v>2</v>
      </c>
      <c r="Q234" s="66">
        <v>0.2</v>
      </c>
      <c r="R234" s="64"/>
      <c r="S234" s="64">
        <v>2</v>
      </c>
      <c r="T234" s="64">
        <v>0.2</v>
      </c>
      <c r="U234" s="65"/>
      <c r="V234" s="65"/>
      <c r="W234" s="65"/>
      <c r="X234" s="66"/>
      <c r="Y234" s="66"/>
      <c r="Z234" s="66"/>
      <c r="AA234" s="71" t="str">
        <f t="shared" si="112"/>
        <v>1:103,24,36,206,16,24,308,16,24,xxxxxxxxx</v>
      </c>
      <c r="AB234" s="78" t="str">
        <f t="shared" si="113"/>
        <v>1:103,24,36,206,16,24,308,16,24</v>
      </c>
      <c r="AC234" t="str">
        <f t="shared" si="96"/>
        <v>智力 {0}</v>
      </c>
      <c r="AD234" t="str">
        <f t="shared" si="114"/>
        <v>冰霜伤害  + {1}</v>
      </c>
      <c r="AE234" t="str">
        <f t="shared" si="115"/>
        <v>护盾值%  + {2}</v>
      </c>
      <c r="AF234" t="str">
        <f t="shared" si="116"/>
        <v xml:space="preserve">  + {3}</v>
      </c>
      <c r="AG234" t="str">
        <f t="shared" si="117"/>
        <v>xxx</v>
      </c>
      <c r="AI234" t="str">
        <f t="shared" si="118"/>
        <v xml:space="preserve">智力 {0}
</v>
      </c>
      <c r="AJ234" t="str">
        <f t="shared" si="119"/>
        <v xml:space="preserve">冰霜伤害  + {1}
</v>
      </c>
      <c r="AK234" t="str">
        <f t="shared" si="120"/>
        <v xml:space="preserve">护盾值  + {2}%
</v>
      </c>
      <c r="AL234" t="str">
        <f t="shared" si="121"/>
        <v>xxx</v>
      </c>
      <c r="AM234" t="str">
        <f t="shared" si="122"/>
        <v>xxx</v>
      </c>
      <c r="AO234" t="str">
        <f t="shared" si="123"/>
        <v>智力 {0}
冰霜伤害  + {1}
护盾值  + {2}%
xxxxxx</v>
      </c>
      <c r="AP234" s="6" t="str">
        <f t="shared" si="124"/>
        <v xml:space="preserve">智力 {0}
冰霜伤害  + {1}
护盾值  + {2}%
</v>
      </c>
      <c r="AQ234" s="80" t="s">
        <v>3829</v>
      </c>
      <c r="AR234" t="str">
        <f t="shared" si="125"/>
        <v xml:space="preserve">智力 {0}
冰霜伤害  + {1}
护盾值  + {2}%
</v>
      </c>
      <c r="AS234" s="81" t="str">
        <f t="shared" si="126"/>
        <v>智力 {0}
冰霜伤害  + {1}
护盾值  + {2}%</v>
      </c>
      <c r="BE234" s="46"/>
      <c r="BF234" s="46"/>
      <c r="BG234" s="52"/>
      <c r="BH234" s="59"/>
      <c r="BI234" s="59"/>
      <c r="BJ234" s="59"/>
      <c r="BK234" s="18"/>
    </row>
    <row r="235" spans="3:63" ht="15.75" x14ac:dyDescent="0.3">
      <c r="C235" s="59">
        <v>40008</v>
      </c>
      <c r="D235" s="59" t="s">
        <v>4370</v>
      </c>
      <c r="E235" s="59"/>
      <c r="F235" s="59"/>
      <c r="G235" s="59"/>
      <c r="H235" s="72"/>
      <c r="I235" s="64" t="s">
        <v>3138</v>
      </c>
      <c r="J235" s="64">
        <v>3</v>
      </c>
      <c r="K235" s="64">
        <v>0.2</v>
      </c>
      <c r="L235" s="65" t="s">
        <v>3048</v>
      </c>
      <c r="M235" s="65">
        <v>2</v>
      </c>
      <c r="N235" s="65">
        <v>0.2</v>
      </c>
      <c r="O235" s="66"/>
      <c r="P235" s="66">
        <v>2</v>
      </c>
      <c r="Q235" s="66">
        <v>0.2</v>
      </c>
      <c r="R235" s="64"/>
      <c r="S235" s="64">
        <v>2</v>
      </c>
      <c r="T235" s="64">
        <v>0.2</v>
      </c>
      <c r="U235" s="65"/>
      <c r="V235" s="65"/>
      <c r="W235" s="65"/>
      <c r="X235" s="66"/>
      <c r="Y235" s="66"/>
      <c r="Z235" s="66"/>
      <c r="AA235" s="71" t="str">
        <f t="shared" si="112"/>
        <v>1:214,24,36,432,16,24,xxxxxxxxxxxx</v>
      </c>
      <c r="AB235" s="78" t="str">
        <f t="shared" si="113"/>
        <v>1:214,24,36,432,16,24</v>
      </c>
      <c r="AC235" t="str">
        <f t="shared" si="96"/>
        <v>火焰伤害% {0}</v>
      </c>
      <c r="AD235" t="str">
        <f t="shared" si="114"/>
        <v>区域技能范围%   + {1}</v>
      </c>
      <c r="AE235" t="str">
        <f t="shared" si="115"/>
        <v xml:space="preserve">  + {2}</v>
      </c>
      <c r="AF235" t="str">
        <f t="shared" si="116"/>
        <v xml:space="preserve">  + {3}</v>
      </c>
      <c r="AG235" t="str">
        <f t="shared" si="117"/>
        <v>xxx</v>
      </c>
      <c r="AI235" t="str">
        <f t="shared" si="118"/>
        <v xml:space="preserve">火焰伤害 {0}%
</v>
      </c>
      <c r="AJ235" t="str">
        <f t="shared" si="119"/>
        <v xml:space="preserve">区域技能范围   + {1}%
</v>
      </c>
      <c r="AK235" t="str">
        <f t="shared" si="120"/>
        <v>xxx</v>
      </c>
      <c r="AL235" t="str">
        <f t="shared" si="121"/>
        <v>xxx</v>
      </c>
      <c r="AM235" t="str">
        <f t="shared" si="122"/>
        <v>xxx</v>
      </c>
      <c r="AO235" t="str">
        <f t="shared" si="123"/>
        <v>火焰伤害 {0}%
区域技能范围   + {1}%
xxxxxxxxx</v>
      </c>
      <c r="AP235" s="6" t="str">
        <f t="shared" si="124"/>
        <v xml:space="preserve">火焰伤害 {0}%
区域技能范围   + {1}%
</v>
      </c>
      <c r="AQ235" s="80" t="s">
        <v>3830</v>
      </c>
      <c r="AR235" t="str">
        <f t="shared" si="125"/>
        <v xml:space="preserve">火焰伤害 {0}%
区域技能范围   + {1}%
</v>
      </c>
      <c r="AS235" s="81" t="str">
        <f t="shared" si="126"/>
        <v>火焰伤害 {0}%
区域技能范围   + {1}%</v>
      </c>
      <c r="BE235" s="46"/>
      <c r="BF235" s="46"/>
      <c r="BG235" s="52"/>
      <c r="BH235" s="59"/>
      <c r="BI235" s="59"/>
      <c r="BJ235" s="59"/>
      <c r="BK235" s="18"/>
    </row>
    <row r="236" spans="3:63" ht="15.75" x14ac:dyDescent="0.3">
      <c r="C236" s="59">
        <v>40009</v>
      </c>
      <c r="D236" s="59" t="s">
        <v>4374</v>
      </c>
      <c r="E236" s="59"/>
      <c r="F236" s="59"/>
      <c r="G236" s="59"/>
      <c r="H236" s="72"/>
      <c r="I236" s="64" t="s">
        <v>3137</v>
      </c>
      <c r="J236" s="64">
        <v>3</v>
      </c>
      <c r="K236" s="64">
        <v>0.2</v>
      </c>
      <c r="L236" s="65" t="s">
        <v>3162</v>
      </c>
      <c r="M236" s="65">
        <v>2</v>
      </c>
      <c r="N236" s="65">
        <v>0.2</v>
      </c>
      <c r="O236" s="66" t="s">
        <v>3156</v>
      </c>
      <c r="P236" s="66">
        <v>2</v>
      </c>
      <c r="Q236" s="66">
        <v>0.2</v>
      </c>
      <c r="R236" s="64"/>
      <c r="S236" s="64">
        <v>2</v>
      </c>
      <c r="T236" s="64">
        <v>0.2</v>
      </c>
      <c r="U236" s="65"/>
      <c r="V236" s="65"/>
      <c r="W236" s="65"/>
      <c r="X236" s="66"/>
      <c r="Y236" s="66"/>
      <c r="Z236" s="66"/>
      <c r="AA236" s="71" t="str">
        <f t="shared" si="112"/>
        <v>1:103,24,36,208,16,24,217,16,24,xxxxxxxxx</v>
      </c>
      <c r="AB236" s="78" t="str">
        <f t="shared" si="113"/>
        <v>1:103,24,36,208,16,24,217,16,24</v>
      </c>
      <c r="AC236" t="str">
        <f t="shared" si="96"/>
        <v>智力 {0}</v>
      </c>
      <c r="AD236" t="str">
        <f t="shared" si="114"/>
        <v>闪电伤害  + {1}</v>
      </c>
      <c r="AE236" t="str">
        <f t="shared" si="115"/>
        <v>攻击速度%  + {2}</v>
      </c>
      <c r="AF236" t="str">
        <f t="shared" si="116"/>
        <v xml:space="preserve">  + {3}</v>
      </c>
      <c r="AG236" t="str">
        <f t="shared" si="117"/>
        <v>xxx</v>
      </c>
      <c r="AI236" t="str">
        <f t="shared" si="118"/>
        <v xml:space="preserve">智力 {0}
</v>
      </c>
      <c r="AJ236" t="str">
        <f t="shared" si="119"/>
        <v xml:space="preserve">闪电伤害  + {1}
</v>
      </c>
      <c r="AK236" t="str">
        <f t="shared" si="120"/>
        <v xml:space="preserve">攻击速度  + {2}%
</v>
      </c>
      <c r="AL236" t="str">
        <f t="shared" si="121"/>
        <v>xxx</v>
      </c>
      <c r="AM236" t="str">
        <f t="shared" si="122"/>
        <v>xxx</v>
      </c>
      <c r="AO236" t="str">
        <f t="shared" si="123"/>
        <v>智力 {0}
闪电伤害  + {1}
攻击速度  + {2}%
xxxxxx</v>
      </c>
      <c r="AP236" s="6" t="str">
        <f t="shared" si="124"/>
        <v xml:space="preserve">智力 {0}
闪电伤害  + {1}
攻击速度  + {2}%
</v>
      </c>
      <c r="AQ236" s="80" t="s">
        <v>3831</v>
      </c>
      <c r="AR236" t="str">
        <f t="shared" si="125"/>
        <v xml:space="preserve">智力 {0}
闪电伤害  + {1}
攻击速度  + {2}%
</v>
      </c>
      <c r="AS236" s="81" t="str">
        <f t="shared" si="126"/>
        <v>智力 {0}
闪电伤害  + {1}
攻击速度  + {2}%</v>
      </c>
      <c r="BE236" s="46"/>
      <c r="BF236" s="46"/>
      <c r="BG236" s="52"/>
      <c r="BH236" s="59"/>
      <c r="BI236" s="59"/>
      <c r="BJ236" s="59"/>
      <c r="BK236" s="18"/>
    </row>
    <row r="237" spans="3:63" ht="15.75" x14ac:dyDescent="0.3">
      <c r="C237" s="59">
        <v>40010</v>
      </c>
      <c r="D237" s="59" t="s">
        <v>4377</v>
      </c>
      <c r="E237" s="59"/>
      <c r="F237" s="59"/>
      <c r="G237" s="59"/>
      <c r="H237" s="72"/>
      <c r="I237" s="64" t="s">
        <v>4429</v>
      </c>
      <c r="J237" s="64">
        <v>3</v>
      </c>
      <c r="K237" s="64">
        <v>0.2</v>
      </c>
      <c r="L237" s="65" t="s">
        <v>2986</v>
      </c>
      <c r="M237" s="65">
        <v>2</v>
      </c>
      <c r="N237" s="65">
        <v>0.2</v>
      </c>
      <c r="O237" s="66" t="s">
        <v>3152</v>
      </c>
      <c r="P237" s="66">
        <v>2</v>
      </c>
      <c r="Q237" s="66">
        <v>0.2</v>
      </c>
      <c r="R237" s="64"/>
      <c r="S237" s="64">
        <v>2</v>
      </c>
      <c r="T237" s="64">
        <v>0.2</v>
      </c>
      <c r="U237" s="65"/>
      <c r="V237" s="65"/>
      <c r="W237" s="65"/>
      <c r="X237" s="66"/>
      <c r="Y237" s="66"/>
      <c r="Z237" s="66"/>
      <c r="AA237" s="71" t="str">
        <f t="shared" si="112"/>
        <v>1:209,24,36,242,16,24,409,8,12,xxxxxxxxx</v>
      </c>
      <c r="AB237" s="78" t="str">
        <f t="shared" si="113"/>
        <v>1:209,24,36,242,16,24,409,8,12</v>
      </c>
      <c r="AC237" t="str">
        <f t="shared" si="96"/>
        <v>混沌伤害 {0}</v>
      </c>
      <c r="AD237" t="str">
        <f t="shared" si="114"/>
        <v>中毒系数  + {1}</v>
      </c>
      <c r="AE237" t="str">
        <f t="shared" si="115"/>
        <v>冷却缩减%  + {2}</v>
      </c>
      <c r="AF237" t="str">
        <f t="shared" si="116"/>
        <v xml:space="preserve">  + {3}</v>
      </c>
      <c r="AG237" t="str">
        <f t="shared" si="117"/>
        <v>xxx</v>
      </c>
      <c r="AI237" t="str">
        <f t="shared" si="118"/>
        <v xml:space="preserve">混沌伤害 {0}
</v>
      </c>
      <c r="AJ237" t="str">
        <f t="shared" si="119"/>
        <v xml:space="preserve">中毒系数  + {1}%
</v>
      </c>
      <c r="AK237" t="str">
        <f t="shared" si="120"/>
        <v xml:space="preserve">冷却缩减  + {2}%
</v>
      </c>
      <c r="AL237" t="str">
        <f t="shared" si="121"/>
        <v>xxx</v>
      </c>
      <c r="AM237" t="str">
        <f t="shared" si="122"/>
        <v>xxx</v>
      </c>
      <c r="AO237" t="str">
        <f t="shared" si="123"/>
        <v>混沌伤害 {0}
中毒系数  + {1}%
冷却缩减  + {2}%
xxxxxx</v>
      </c>
      <c r="AP237" s="6" t="str">
        <f t="shared" si="124"/>
        <v xml:space="preserve">混沌伤害 {0}
中毒系数  + {1}%
冷却缩减  + {2}%
</v>
      </c>
      <c r="AQ237" s="80" t="s">
        <v>3832</v>
      </c>
      <c r="AR237" t="str">
        <f t="shared" si="125"/>
        <v xml:space="preserve">混沌伤害 {0}
中毒系数  + {1}%
冷却缩减  + {2}%
</v>
      </c>
      <c r="AS237" s="81" t="str">
        <f t="shared" si="126"/>
        <v>混沌伤害 {0}
中毒系数  + {1}%
冷却缩减  + {2}%</v>
      </c>
      <c r="BE237" s="46"/>
      <c r="BF237" s="46"/>
      <c r="BG237" s="52"/>
      <c r="BH237" s="59"/>
      <c r="BI237" s="59"/>
      <c r="BJ237" s="59"/>
      <c r="BK237" s="18"/>
    </row>
    <row r="238" spans="3:63" ht="15.75" x14ac:dyDescent="0.3">
      <c r="C238" s="59">
        <v>40011</v>
      </c>
      <c r="D238" s="59" t="s">
        <v>4380</v>
      </c>
      <c r="E238" s="59"/>
      <c r="F238" s="59"/>
      <c r="G238" s="59"/>
      <c r="H238" s="72"/>
      <c r="I238" s="64" t="s">
        <v>4430</v>
      </c>
      <c r="J238" s="64">
        <v>3</v>
      </c>
      <c r="K238" s="64">
        <v>0.2</v>
      </c>
      <c r="L238" s="65" t="s">
        <v>3147</v>
      </c>
      <c r="M238" s="65">
        <v>2</v>
      </c>
      <c r="N238" s="65">
        <v>0.2</v>
      </c>
      <c r="O238" s="66" t="s">
        <v>3090</v>
      </c>
      <c r="P238" s="66">
        <v>2</v>
      </c>
      <c r="Q238" s="66">
        <v>0.2</v>
      </c>
      <c r="R238" s="64"/>
      <c r="S238" s="64">
        <v>2</v>
      </c>
      <c r="T238" s="64">
        <v>0.2</v>
      </c>
      <c r="U238" s="65"/>
      <c r="V238" s="65"/>
      <c r="W238" s="65"/>
      <c r="X238" s="66"/>
      <c r="Y238" s="66"/>
      <c r="Z238" s="66"/>
      <c r="AA238" s="71" t="str">
        <f t="shared" si="112"/>
        <v>1:721,24,36,702,16,24,718,80,120,xxxxxxxxx</v>
      </c>
      <c r="AB238" s="78" t="str">
        <f t="shared" si="113"/>
        <v>1:721,24,36,702,16,24,718,80,120</v>
      </c>
      <c r="AC238" t="str">
        <f t="shared" si="96"/>
        <v>召唤物最终伤害 {0}</v>
      </c>
      <c r="AD238" t="str">
        <f t="shared" si="114"/>
        <v>召唤物生命值%  + {1}</v>
      </c>
      <c r="AE238" t="str">
        <f t="shared" si="115"/>
        <v>召唤物护甲  + {2}</v>
      </c>
      <c r="AF238" t="str">
        <f t="shared" si="116"/>
        <v xml:space="preserve">  + {3}</v>
      </c>
      <c r="AG238" t="str">
        <f t="shared" si="117"/>
        <v>xxx</v>
      </c>
      <c r="AI238" t="str">
        <f t="shared" si="118"/>
        <v xml:space="preserve">召唤物最终伤害 {0}%
</v>
      </c>
      <c r="AJ238" t="str">
        <f t="shared" si="119"/>
        <v xml:space="preserve">召唤物生命值  + {1}%
</v>
      </c>
      <c r="AK238" t="str">
        <f t="shared" si="120"/>
        <v xml:space="preserve">召唤物护甲  + {2}
</v>
      </c>
      <c r="AL238" t="str">
        <f t="shared" si="121"/>
        <v>xxx</v>
      </c>
      <c r="AM238" t="str">
        <f t="shared" si="122"/>
        <v>xxx</v>
      </c>
      <c r="AO238" t="str">
        <f t="shared" si="123"/>
        <v>召唤物最终伤害 {0}%
召唤物生命值  + {1}%
召唤物护甲  + {2}
xxxxxx</v>
      </c>
      <c r="AP238" s="6" t="str">
        <f t="shared" si="124"/>
        <v xml:space="preserve">召唤物最终伤害 {0}%
召唤物生命值  + {1}%
召唤物护甲  + {2}
</v>
      </c>
      <c r="AQ238" s="80" t="s">
        <v>3833</v>
      </c>
      <c r="AR238" t="str">
        <f t="shared" si="125"/>
        <v xml:space="preserve">召唤物最终伤害 {0}%
召唤物生命值  + {1}%
召唤物护甲  + {2}
</v>
      </c>
      <c r="AS238" s="81" t="str">
        <f t="shared" si="126"/>
        <v>召唤物最终伤害 {0}%
召唤物生命值  + {1}%
召唤物护甲  + {2}</v>
      </c>
      <c r="BE238" s="46"/>
      <c r="BF238" s="46"/>
      <c r="BG238" s="52"/>
      <c r="BH238" s="59"/>
      <c r="BI238" s="59"/>
      <c r="BJ238" s="59"/>
      <c r="BK238" s="18"/>
    </row>
    <row r="239" spans="3:63" ht="15.75" x14ac:dyDescent="0.3">
      <c r="C239" s="59">
        <v>40012</v>
      </c>
      <c r="D239" s="59" t="s">
        <v>4384</v>
      </c>
      <c r="E239" s="59"/>
      <c r="F239" s="59"/>
      <c r="G239" s="59"/>
      <c r="H239" s="72"/>
      <c r="I239" s="64" t="s">
        <v>3156</v>
      </c>
      <c r="J239" s="64">
        <v>3</v>
      </c>
      <c r="K239" s="64">
        <v>0.2</v>
      </c>
      <c r="L239" s="65" t="s">
        <v>3200</v>
      </c>
      <c r="M239" s="65">
        <v>2</v>
      </c>
      <c r="N239" s="65">
        <v>0.2</v>
      </c>
      <c r="O239" s="66" t="s">
        <v>3026</v>
      </c>
      <c r="P239" s="66">
        <v>2</v>
      </c>
      <c r="Q239" s="66">
        <v>0.2</v>
      </c>
      <c r="R239" s="64"/>
      <c r="S239" s="64">
        <v>2</v>
      </c>
      <c r="T239" s="64">
        <v>0.2</v>
      </c>
      <c r="U239" s="65"/>
      <c r="V239" s="65"/>
      <c r="W239" s="65"/>
      <c r="X239" s="66"/>
      <c r="Y239" s="66"/>
      <c r="Z239" s="66"/>
      <c r="AA239" s="71" t="str">
        <f t="shared" si="112"/>
        <v>1:217,24,36,202,16,24,405,0.4,0.6,xxxxxxxxx</v>
      </c>
      <c r="AB239" s="78" t="str">
        <f t="shared" si="113"/>
        <v>1:217,24,36,202,16,24,405,0.4,0.6</v>
      </c>
      <c r="AC239" t="str">
        <f t="shared" si="96"/>
        <v>攻击速度% {0}</v>
      </c>
      <c r="AD239" t="str">
        <f t="shared" si="114"/>
        <v>所有伤害增加%  + {1}</v>
      </c>
      <c r="AE239" t="str">
        <f t="shared" si="115"/>
        <v>子弹穿刺  + {2}</v>
      </c>
      <c r="AF239" t="str">
        <f t="shared" si="116"/>
        <v xml:space="preserve">  + {3}</v>
      </c>
      <c r="AG239" t="str">
        <f t="shared" si="117"/>
        <v>xxx</v>
      </c>
      <c r="AI239" t="str">
        <f t="shared" si="118"/>
        <v xml:space="preserve">攻击速度 {0}%
</v>
      </c>
      <c r="AJ239" t="str">
        <f t="shared" si="119"/>
        <v xml:space="preserve">所有伤害增加  + {1}%
</v>
      </c>
      <c r="AK239" t="str">
        <f t="shared" si="120"/>
        <v xml:space="preserve">子弹穿刺  + {2}
</v>
      </c>
      <c r="AL239" t="str">
        <f t="shared" si="121"/>
        <v>xxx</v>
      </c>
      <c r="AM239" t="str">
        <f t="shared" si="122"/>
        <v>xxx</v>
      </c>
      <c r="AO239" t="str">
        <f t="shared" si="123"/>
        <v>攻击速度 {0}%
所有伤害增加  + {1}%
子弹穿刺  + {2}
xxxxxx</v>
      </c>
      <c r="AP239" s="6" t="str">
        <f t="shared" si="124"/>
        <v xml:space="preserve">攻击速度 {0}%
所有伤害增加  + {1}%
子弹穿刺  + {2}
</v>
      </c>
      <c r="AQ239" s="80" t="s">
        <v>4415</v>
      </c>
      <c r="AR239" t="str">
        <f t="shared" si="125"/>
        <v xml:space="preserve">攻击速度 {0}%
所有伤害增加  + {1}%
子弹穿刺  + {2}
</v>
      </c>
      <c r="AS239" s="81" t="str">
        <f t="shared" si="126"/>
        <v>攻击速度 {0}%
所有伤害增加  + {1}%
子弹穿刺  + {2}</v>
      </c>
      <c r="BE239" s="46"/>
      <c r="BF239" s="46"/>
      <c r="BG239" s="52"/>
      <c r="BH239" s="59"/>
      <c r="BI239" s="59"/>
      <c r="BJ239" s="59"/>
      <c r="BK239" s="18"/>
    </row>
    <row r="240" spans="3:63" ht="15.75" x14ac:dyDescent="0.3">
      <c r="C240" s="59">
        <v>40013</v>
      </c>
      <c r="D240" s="59" t="s">
        <v>4386</v>
      </c>
      <c r="E240" s="59"/>
      <c r="F240" s="59"/>
      <c r="G240" s="59"/>
      <c r="H240" s="72"/>
      <c r="I240" s="64" t="s">
        <v>3167</v>
      </c>
      <c r="J240" s="64">
        <v>3</v>
      </c>
      <c r="K240" s="64">
        <v>0.2</v>
      </c>
      <c r="L240" s="65" t="s">
        <v>3755</v>
      </c>
      <c r="M240" s="65">
        <v>2</v>
      </c>
      <c r="N240" s="65">
        <v>0.2</v>
      </c>
      <c r="O240" s="66" t="s">
        <v>3155</v>
      </c>
      <c r="P240" s="66">
        <v>2</v>
      </c>
      <c r="Q240" s="66">
        <v>0.2</v>
      </c>
      <c r="R240" s="64"/>
      <c r="S240" s="64">
        <v>2</v>
      </c>
      <c r="T240" s="64">
        <v>0.2</v>
      </c>
      <c r="U240" s="65"/>
      <c r="V240" s="65"/>
      <c r="W240" s="65"/>
      <c r="X240" s="66"/>
      <c r="Y240" s="66"/>
      <c r="Z240" s="66"/>
      <c r="AA240" s="71" t="str">
        <f t="shared" si="112"/>
        <v>1:102,24,36,201,8,12,404,0.8,1.2,xxxxxxxxx</v>
      </c>
      <c r="AB240" s="78" t="str">
        <f t="shared" si="113"/>
        <v>1:102,24,36,201,8,12,404,0.8,1.2</v>
      </c>
      <c r="AC240" t="str">
        <f t="shared" si="96"/>
        <v>敏捷 {0}</v>
      </c>
      <c r="AD240" t="str">
        <f t="shared" si="114"/>
        <v>攻击力  + {1}</v>
      </c>
      <c r="AE240" t="str">
        <f t="shared" si="115"/>
        <v>子弹数量  + {2}</v>
      </c>
      <c r="AF240" t="str">
        <f t="shared" si="116"/>
        <v xml:space="preserve">  + {3}</v>
      </c>
      <c r="AG240" t="str">
        <f t="shared" si="117"/>
        <v>xxx</v>
      </c>
      <c r="AI240" t="str">
        <f t="shared" si="118"/>
        <v xml:space="preserve">敏捷 {0}
</v>
      </c>
      <c r="AJ240" t="str">
        <f t="shared" si="119"/>
        <v xml:space="preserve">攻击力  + {1}
</v>
      </c>
      <c r="AK240" t="str">
        <f t="shared" si="120"/>
        <v xml:space="preserve">子弹数量  + {2}
</v>
      </c>
      <c r="AL240" t="str">
        <f t="shared" si="121"/>
        <v>xxx</v>
      </c>
      <c r="AM240" t="str">
        <f t="shared" si="122"/>
        <v>xxx</v>
      </c>
      <c r="AO240" t="str">
        <f t="shared" si="123"/>
        <v>敏捷 {0}
攻击力  + {1}
子弹数量  + {2}
xxxxxx</v>
      </c>
      <c r="AP240" s="6" t="str">
        <f t="shared" si="124"/>
        <v xml:space="preserve">敏捷 {0}
攻击力  + {1}
子弹数量  + {2}
</v>
      </c>
      <c r="AQ240" s="80" t="s">
        <v>4416</v>
      </c>
      <c r="AR240" t="str">
        <f t="shared" si="125"/>
        <v xml:space="preserve">敏捷 {0}
攻击力  + {1}
子弹数量  + {2}
</v>
      </c>
      <c r="AS240" s="81" t="str">
        <f t="shared" si="126"/>
        <v>敏捷 {0}
攻击力  + {1}
子弹数量  + {2}</v>
      </c>
      <c r="BE240" s="46"/>
      <c r="BF240" s="46"/>
      <c r="BG240" s="52"/>
      <c r="BH240" s="59"/>
      <c r="BI240" s="59"/>
      <c r="BJ240" s="59"/>
      <c r="BK240" s="18"/>
    </row>
    <row r="241" spans="2:63" ht="15.75" x14ac:dyDescent="0.3">
      <c r="C241" s="59">
        <v>40014</v>
      </c>
      <c r="D241" s="59" t="s">
        <v>4388</v>
      </c>
      <c r="E241" s="59"/>
      <c r="F241" s="59"/>
      <c r="G241" s="59"/>
      <c r="H241" s="72"/>
      <c r="I241" s="64" t="s">
        <v>3201</v>
      </c>
      <c r="J241" s="64">
        <v>3</v>
      </c>
      <c r="K241" s="64">
        <v>0.2</v>
      </c>
      <c r="L241" s="65" t="s">
        <v>3138</v>
      </c>
      <c r="M241" s="65">
        <v>2</v>
      </c>
      <c r="N241" s="65">
        <v>0.2</v>
      </c>
      <c r="O241" s="66" t="s">
        <v>3172</v>
      </c>
      <c r="P241" s="66">
        <v>2</v>
      </c>
      <c r="Q241" s="66">
        <v>0.2</v>
      </c>
      <c r="R241" s="64" t="s">
        <v>3218</v>
      </c>
      <c r="S241" s="64">
        <v>2</v>
      </c>
      <c r="T241" s="64">
        <v>0.2</v>
      </c>
      <c r="U241" s="65" t="s">
        <v>3137</v>
      </c>
      <c r="V241" s="65"/>
      <c r="W241" s="65"/>
      <c r="X241" s="66"/>
      <c r="Y241" s="66"/>
      <c r="Z241" s="66"/>
      <c r="AA241" s="71" t="str">
        <f t="shared" si="112"/>
        <v>1:211,24,36,214,16,24,413,16,24,316,16,24,103,0,0,xxx</v>
      </c>
      <c r="AB241" s="78" t="str">
        <f t="shared" si="113"/>
        <v>1:211,24,36,214,16,24,413,16,24,316,16,24,103,0,0</v>
      </c>
      <c r="AC241" t="str">
        <f t="shared" si="96"/>
        <v>物理伤害% {0}</v>
      </c>
      <c r="AD241" t="str">
        <f t="shared" si="114"/>
        <v>火焰伤害%  + {1}</v>
      </c>
      <c r="AE241" t="str">
        <f t="shared" si="115"/>
        <v>荆棘  + {2}</v>
      </c>
      <c r="AF241" t="str">
        <f t="shared" si="116"/>
        <v>冰霜抗性%  + {3}</v>
      </c>
      <c r="AG241" t="str">
        <f t="shared" si="117"/>
        <v>智力  + 0</v>
      </c>
      <c r="AI241" t="str">
        <f t="shared" si="118"/>
        <v xml:space="preserve">物理伤害 {0}%
</v>
      </c>
      <c r="AJ241" t="str">
        <f t="shared" si="119"/>
        <v xml:space="preserve">火焰伤害  + {1}%
</v>
      </c>
      <c r="AK241" t="str">
        <f t="shared" si="120"/>
        <v xml:space="preserve">荆棘  + {2}
</v>
      </c>
      <c r="AL241" t="str">
        <f t="shared" si="121"/>
        <v xml:space="preserve">冰霜抗性  + {3}%
</v>
      </c>
      <c r="AM241" t="str">
        <f t="shared" si="122"/>
        <v xml:space="preserve">智力  + 0
</v>
      </c>
      <c r="AO241" t="str">
        <f t="shared" si="123"/>
        <v xml:space="preserve">物理伤害 {0}%
火焰伤害  + {1}%
荆棘  + {2}
冰霜抗性  + {3}%
智力  + 0
</v>
      </c>
      <c r="AP241" s="6" t="str">
        <f t="shared" si="124"/>
        <v xml:space="preserve">物理伤害 {0}%
火焰伤害  + {1}%
荆棘  + {2}
冰霜抗性  + {3}%
智力  + 0
</v>
      </c>
      <c r="AQ241" s="80" t="s">
        <v>4417</v>
      </c>
      <c r="AR241" t="str">
        <f t="shared" si="125"/>
        <v xml:space="preserve">物理伤害 {0}%
火焰伤害  + {1}%
荆棘  + {2}
冰霜抗性  + {3}%
智力  + 0
</v>
      </c>
      <c r="AS241" s="81" t="str">
        <f t="shared" si="126"/>
        <v>物理伤害 {0}%
火焰伤害  + {1}%
荆棘  + {2}
冰霜抗性  + {3}%
智力  + 0</v>
      </c>
      <c r="BE241" s="46"/>
      <c r="BF241" s="46"/>
      <c r="BG241" s="52"/>
      <c r="BH241" s="59"/>
      <c r="BI241" s="59"/>
      <c r="BJ241" s="59"/>
      <c r="BK241" s="18"/>
    </row>
    <row r="242" spans="2:63" ht="15.75" x14ac:dyDescent="0.3">
      <c r="C242" s="59">
        <v>40015</v>
      </c>
      <c r="D242" s="59" t="s">
        <v>4390</v>
      </c>
      <c r="E242" s="59"/>
      <c r="F242" s="59"/>
      <c r="G242" s="59"/>
      <c r="H242" s="72"/>
      <c r="I242" s="64" t="s">
        <v>3138</v>
      </c>
      <c r="J242" s="64">
        <v>3</v>
      </c>
      <c r="K242" s="64">
        <v>0.2</v>
      </c>
      <c r="L242" s="65" t="s">
        <v>3156</v>
      </c>
      <c r="M242" s="65">
        <v>2</v>
      </c>
      <c r="N242" s="65">
        <v>0.2</v>
      </c>
      <c r="O242" s="66"/>
      <c r="P242" s="66">
        <v>2</v>
      </c>
      <c r="Q242" s="66">
        <v>0.2</v>
      </c>
      <c r="R242" s="64"/>
      <c r="S242" s="64">
        <v>2</v>
      </c>
      <c r="T242" s="64">
        <v>0.2</v>
      </c>
      <c r="U242" s="65"/>
      <c r="V242" s="65"/>
      <c r="W242" s="65"/>
      <c r="X242" s="66"/>
      <c r="Y242" s="66"/>
      <c r="Z242" s="66"/>
      <c r="AA242" s="71" t="str">
        <f t="shared" si="112"/>
        <v>1:214,24,36,217,16,24,xxxxxxxxxxxx</v>
      </c>
      <c r="AB242" s="78" t="str">
        <f t="shared" si="113"/>
        <v>1:214,24,36,217,16,24</v>
      </c>
      <c r="AC242" t="str">
        <f t="shared" si="96"/>
        <v>火焰伤害% {0}</v>
      </c>
      <c r="AD242" t="str">
        <f t="shared" si="114"/>
        <v>攻击速度%  + {1}</v>
      </c>
      <c r="AE242" t="str">
        <f t="shared" si="115"/>
        <v xml:space="preserve">  + {2}</v>
      </c>
      <c r="AF242" t="str">
        <f t="shared" si="116"/>
        <v xml:space="preserve">  + {3}</v>
      </c>
      <c r="AG242" t="str">
        <f t="shared" si="117"/>
        <v>xxx</v>
      </c>
      <c r="AI242" t="str">
        <f t="shared" si="118"/>
        <v xml:space="preserve">火焰伤害 {0}%
</v>
      </c>
      <c r="AJ242" t="str">
        <f t="shared" si="119"/>
        <v xml:space="preserve">攻击速度  + {1}%
</v>
      </c>
      <c r="AK242" t="str">
        <f t="shared" si="120"/>
        <v>xxx</v>
      </c>
      <c r="AL242" t="str">
        <f t="shared" si="121"/>
        <v>xxx</v>
      </c>
      <c r="AM242" t="str">
        <f t="shared" si="122"/>
        <v>xxx</v>
      </c>
      <c r="AO242" t="str">
        <f t="shared" si="123"/>
        <v>火焰伤害 {0}%
攻击速度  + {1}%
xxxxxxxxx</v>
      </c>
      <c r="AP242" s="6" t="str">
        <f t="shared" si="124"/>
        <v xml:space="preserve">火焰伤害 {0}%
攻击速度  + {1}%
</v>
      </c>
      <c r="AQ242" s="80" t="s">
        <v>4418</v>
      </c>
      <c r="AR242" t="str">
        <f t="shared" si="125"/>
        <v xml:space="preserve">火焰伤害 {0}%
攻击速度  + {1}%
</v>
      </c>
      <c r="AS242" s="81" t="str">
        <f t="shared" si="126"/>
        <v>火焰伤害 {0}%
攻击速度  + {1}%</v>
      </c>
      <c r="BE242" s="46"/>
      <c r="BF242" s="46"/>
      <c r="BG242" s="52"/>
      <c r="BH242" s="59"/>
      <c r="BI242" s="59"/>
      <c r="BJ242" s="59"/>
      <c r="BK242" s="18"/>
    </row>
    <row r="243" spans="2:63" ht="15.75" x14ac:dyDescent="0.3">
      <c r="C243" s="59">
        <v>40016</v>
      </c>
      <c r="D243" s="59" t="s">
        <v>4392</v>
      </c>
      <c r="E243" s="59"/>
      <c r="F243" s="59"/>
      <c r="G243" s="59"/>
      <c r="H243" s="72"/>
      <c r="I243" s="64" t="s">
        <v>3181</v>
      </c>
      <c r="J243" s="64">
        <v>3</v>
      </c>
      <c r="K243" s="64">
        <v>0.2</v>
      </c>
      <c r="L243" s="65" t="s">
        <v>3137</v>
      </c>
      <c r="M243" s="65">
        <v>2</v>
      </c>
      <c r="N243" s="65">
        <v>0.2</v>
      </c>
      <c r="O243" s="66" t="s">
        <v>3218</v>
      </c>
      <c r="P243" s="66">
        <v>2</v>
      </c>
      <c r="Q243" s="66">
        <v>0.2</v>
      </c>
      <c r="R243" s="64"/>
      <c r="S243" s="64">
        <v>2</v>
      </c>
      <c r="T243" s="64">
        <v>0.2</v>
      </c>
      <c r="U243" s="65"/>
      <c r="V243" s="65"/>
      <c r="W243" s="65"/>
      <c r="X243" s="66"/>
      <c r="Y243" s="66"/>
      <c r="Z243" s="66"/>
      <c r="AA243" s="71" t="str">
        <f t="shared" si="112"/>
        <v>1:412,24,36,103,16,24,316,16,24,xxxxxxxxx</v>
      </c>
      <c r="AB243" s="78" t="str">
        <f t="shared" si="113"/>
        <v>1:412,24,36,103,16,24,316,16,24</v>
      </c>
      <c r="AC243" t="str">
        <f t="shared" si="96"/>
        <v>移动速度% {0}</v>
      </c>
      <c r="AD243" t="str">
        <f t="shared" si="114"/>
        <v>智力  + {1}</v>
      </c>
      <c r="AE243" t="str">
        <f t="shared" si="115"/>
        <v>冰霜抗性%  + {2}</v>
      </c>
      <c r="AF243" t="str">
        <f t="shared" si="116"/>
        <v xml:space="preserve">  + {3}</v>
      </c>
      <c r="AG243" t="str">
        <f t="shared" si="117"/>
        <v>xxx</v>
      </c>
      <c r="AI243" t="str">
        <f t="shared" si="118"/>
        <v xml:space="preserve">移动速度 {0}%
</v>
      </c>
      <c r="AJ243" t="str">
        <f t="shared" si="119"/>
        <v xml:space="preserve">智力  + {1}
</v>
      </c>
      <c r="AK243" t="str">
        <f t="shared" si="120"/>
        <v xml:space="preserve">冰霜抗性  + {2}%
</v>
      </c>
      <c r="AL243" t="str">
        <f t="shared" si="121"/>
        <v>xxx</v>
      </c>
      <c r="AM243" t="str">
        <f t="shared" si="122"/>
        <v>xxx</v>
      </c>
      <c r="AO243" t="str">
        <f t="shared" si="123"/>
        <v>移动速度 {0}%
智力  + {1}
冰霜抗性  + {2}%
xxxxxx</v>
      </c>
      <c r="AP243" s="6" t="str">
        <f t="shared" si="124"/>
        <v xml:space="preserve">移动速度 {0}%
智力  + {1}
冰霜抗性  + {2}%
</v>
      </c>
      <c r="AQ243" s="80" t="s">
        <v>4419</v>
      </c>
      <c r="AR243" t="str">
        <f t="shared" si="125"/>
        <v xml:space="preserve">移动速度 {0}%
智力  + {1}
冰霜抗性  + {2}%
</v>
      </c>
      <c r="AS243" s="81" t="str">
        <f t="shared" si="126"/>
        <v>移动速度 {0}%
智力  + {1}
冰霜抗性  + {2}%</v>
      </c>
      <c r="BE243" s="46"/>
      <c r="BF243" s="46"/>
      <c r="BG243" s="52"/>
      <c r="BH243" s="59"/>
      <c r="BI243" s="59"/>
      <c r="BJ243" s="59"/>
      <c r="BK243" s="18"/>
    </row>
    <row r="244" spans="2:63" ht="15.75" x14ac:dyDescent="0.3">
      <c r="C244" s="59">
        <v>40017</v>
      </c>
      <c r="D244" s="59" t="s">
        <v>4394</v>
      </c>
      <c r="E244" s="59"/>
      <c r="F244" s="59"/>
      <c r="G244" s="59"/>
      <c r="H244" s="72"/>
      <c r="I244" s="64" t="s">
        <v>3169</v>
      </c>
      <c r="J244" s="64">
        <v>3</v>
      </c>
      <c r="K244" s="64">
        <v>0.2</v>
      </c>
      <c r="L244" s="65" t="s">
        <v>3153</v>
      </c>
      <c r="M244" s="65">
        <v>2</v>
      </c>
      <c r="N244" s="65">
        <v>0.2</v>
      </c>
      <c r="O244" s="66" t="s">
        <v>4431</v>
      </c>
      <c r="P244" s="66">
        <v>2</v>
      </c>
      <c r="Q244" s="66">
        <v>0.2</v>
      </c>
      <c r="R244" s="64"/>
      <c r="S244" s="64">
        <v>2</v>
      </c>
      <c r="T244" s="64">
        <v>0.2</v>
      </c>
      <c r="U244" s="65"/>
      <c r="V244" s="65"/>
      <c r="W244" s="65"/>
      <c r="X244" s="66"/>
      <c r="Y244" s="66"/>
      <c r="Z244" s="66"/>
      <c r="AA244" s="71" t="str">
        <f t="shared" si="112"/>
        <v>1:315,12,18,206,16,24,305,160,240,xxxxxxxxx</v>
      </c>
      <c r="AB244" s="78" t="str">
        <f t="shared" si="113"/>
        <v>1:315,12,18,206,16,24,305,160,240</v>
      </c>
      <c r="AC244" t="str">
        <f t="shared" si="96"/>
        <v>元素抗性% {0}</v>
      </c>
      <c r="AD244" t="str">
        <f t="shared" si="114"/>
        <v>冰霜伤害  + {1}</v>
      </c>
      <c r="AE244" t="str">
        <f t="shared" si="115"/>
        <v>护甲值  + {2}</v>
      </c>
      <c r="AF244" t="str">
        <f t="shared" si="116"/>
        <v xml:space="preserve">  + {3}</v>
      </c>
      <c r="AG244" t="str">
        <f t="shared" si="117"/>
        <v>xxx</v>
      </c>
      <c r="AI244" t="str">
        <f t="shared" si="118"/>
        <v xml:space="preserve">元素抗性 {0}%
</v>
      </c>
      <c r="AJ244" t="str">
        <f t="shared" si="119"/>
        <v xml:space="preserve">冰霜伤害  + {1}
</v>
      </c>
      <c r="AK244" t="str">
        <f t="shared" si="120"/>
        <v xml:space="preserve">护甲值  + {2}
</v>
      </c>
      <c r="AL244" t="str">
        <f t="shared" si="121"/>
        <v>xxx</v>
      </c>
      <c r="AM244" t="str">
        <f t="shared" si="122"/>
        <v>xxx</v>
      </c>
      <c r="AO244" t="str">
        <f t="shared" si="123"/>
        <v>元素抗性 {0}%
冰霜伤害  + {1}
护甲值  + {2}
xxxxxx</v>
      </c>
      <c r="AP244" s="6" t="str">
        <f t="shared" si="124"/>
        <v xml:space="preserve">元素抗性 {0}%
冰霜伤害  + {1}
护甲值  + {2}
</v>
      </c>
      <c r="AQ244" s="80" t="s">
        <v>4420</v>
      </c>
      <c r="AR244" t="str">
        <f t="shared" si="125"/>
        <v xml:space="preserve">元素抗性 {0}%
冰霜伤害  + {1}
护甲值  + {2}
</v>
      </c>
      <c r="AS244" s="81" t="str">
        <f t="shared" si="126"/>
        <v>元素抗性 {0}%
冰霜伤害  + {1}
护甲值  + {2}</v>
      </c>
      <c r="BE244" s="46"/>
      <c r="BF244" s="46"/>
      <c r="BG244" s="52"/>
      <c r="BH244" s="59"/>
      <c r="BI244" s="59"/>
      <c r="BJ244" s="59"/>
      <c r="BK244" s="18"/>
    </row>
    <row r="245" spans="2:63" ht="15.75" x14ac:dyDescent="0.3">
      <c r="C245" s="59">
        <v>40018</v>
      </c>
      <c r="D245" s="59" t="s">
        <v>4396</v>
      </c>
      <c r="E245" s="59"/>
      <c r="F245" s="59"/>
      <c r="G245" s="59"/>
      <c r="H245" s="72"/>
      <c r="I245" s="64" t="s">
        <v>4432</v>
      </c>
      <c r="J245" s="64">
        <v>3</v>
      </c>
      <c r="K245" s="64">
        <v>0.2</v>
      </c>
      <c r="L245" s="65" t="s">
        <v>4433</v>
      </c>
      <c r="M245" s="65">
        <v>2</v>
      </c>
      <c r="N245" s="65">
        <v>0.2</v>
      </c>
      <c r="O245" s="66" t="s">
        <v>3168</v>
      </c>
      <c r="P245" s="66">
        <v>2</v>
      </c>
      <c r="Q245" s="66">
        <v>0.2</v>
      </c>
      <c r="R245" s="64" t="s">
        <v>3233</v>
      </c>
      <c r="S245" s="64">
        <v>2</v>
      </c>
      <c r="T245" s="64">
        <v>0.2</v>
      </c>
      <c r="U245" s="65"/>
      <c r="V245" s="65"/>
      <c r="W245" s="65"/>
      <c r="X245" s="66"/>
      <c r="Y245" s="66"/>
      <c r="Z245" s="66"/>
      <c r="AA245" s="71" t="e">
        <f t="shared" si="112"/>
        <v>#N/A</v>
      </c>
      <c r="AB245" s="78" t="e">
        <f t="shared" si="113"/>
        <v>#N/A</v>
      </c>
      <c r="AC245" t="str">
        <f t="shared" si="96"/>
        <v>召唤物攻击力% {0}</v>
      </c>
      <c r="AD245" t="str">
        <f t="shared" si="114"/>
        <v>召唤物攻击速度  + {1}</v>
      </c>
      <c r="AE245" t="str">
        <f t="shared" si="115"/>
        <v>召唤物火焰抗性%  + {2}</v>
      </c>
      <c r="AF245" t="str">
        <f t="shared" si="116"/>
        <v>召唤物混沌抗性%  + {3}</v>
      </c>
      <c r="AG245" t="str">
        <f t="shared" si="117"/>
        <v>xxx</v>
      </c>
      <c r="AI245" t="str">
        <f t="shared" si="118"/>
        <v>xxx</v>
      </c>
      <c r="AJ245" t="str">
        <f t="shared" si="119"/>
        <v>xxx</v>
      </c>
      <c r="AK245" t="str">
        <f t="shared" si="120"/>
        <v xml:space="preserve">召唤物火焰抗性  + {2}%
</v>
      </c>
      <c r="AL245" t="str">
        <f t="shared" si="121"/>
        <v xml:space="preserve">召唤物混沌抗性  + {3}%
</v>
      </c>
      <c r="AM245" t="str">
        <f t="shared" si="122"/>
        <v>xxx</v>
      </c>
      <c r="AO245" t="str">
        <f t="shared" si="123"/>
        <v>xxxxxx召唤物火焰抗性  + {2}%
召唤物混沌抗性  + {3}%
xxx</v>
      </c>
      <c r="AP245" s="6" t="str">
        <f t="shared" si="124"/>
        <v xml:space="preserve">召唤物火焰抗性  + {2}%
召唤物混沌抗性  + {3}%
</v>
      </c>
      <c r="AQ245" s="80" t="s">
        <v>4421</v>
      </c>
      <c r="AR245" t="str">
        <f t="shared" si="125"/>
        <v xml:space="preserve">召唤物火焰抗性  + {2}%
召唤物混沌抗性  + {3}%
</v>
      </c>
      <c r="AS245" s="81" t="str">
        <f t="shared" si="126"/>
        <v>召唤物火焰抗性  + {2}%
召唤物混沌抗性  + {3}%</v>
      </c>
      <c r="BE245" s="46"/>
      <c r="BF245" s="46"/>
      <c r="BG245" s="52"/>
      <c r="BH245" s="59"/>
      <c r="BI245" s="59"/>
      <c r="BJ245" s="59"/>
      <c r="BK245" s="18"/>
    </row>
    <row r="246" spans="2:63" ht="15.75" x14ac:dyDescent="0.3">
      <c r="C246" s="59">
        <v>40019</v>
      </c>
      <c r="D246" s="59" t="s">
        <v>4398</v>
      </c>
      <c r="E246" s="59"/>
      <c r="F246" s="59"/>
      <c r="G246" s="59"/>
      <c r="H246" s="72"/>
      <c r="I246" s="64" t="s">
        <v>3231</v>
      </c>
      <c r="J246" s="64">
        <v>3</v>
      </c>
      <c r="K246" s="64">
        <v>0.2</v>
      </c>
      <c r="L246" s="65" t="s">
        <v>4431</v>
      </c>
      <c r="M246" s="65">
        <v>2</v>
      </c>
      <c r="N246" s="65">
        <v>0.2</v>
      </c>
      <c r="O246" s="66" t="s">
        <v>3152</v>
      </c>
      <c r="P246" s="66">
        <v>2</v>
      </c>
      <c r="Q246" s="66">
        <v>0.2</v>
      </c>
      <c r="R246" s="64"/>
      <c r="S246" s="64">
        <v>2</v>
      </c>
      <c r="T246" s="64">
        <v>0.2</v>
      </c>
      <c r="U246" s="65"/>
      <c r="V246" s="65"/>
      <c r="W246" s="65"/>
      <c r="X246" s="66"/>
      <c r="Y246" s="66"/>
      <c r="Z246" s="66"/>
      <c r="AA246" s="71" t="str">
        <f t="shared" si="112"/>
        <v>1:101,24,36,305,160,240,409,8,12,xxxxxxxxx</v>
      </c>
      <c r="AB246" s="78" t="str">
        <f t="shared" si="113"/>
        <v>1:101,24,36,305,160,240,409,8,12</v>
      </c>
      <c r="AC246" t="str">
        <f t="shared" si="96"/>
        <v>力量 {0}</v>
      </c>
      <c r="AD246" t="str">
        <f t="shared" si="114"/>
        <v>护甲值  + {1}</v>
      </c>
      <c r="AE246" t="str">
        <f t="shared" si="115"/>
        <v>冷却缩减%  + {2}</v>
      </c>
      <c r="AF246" t="str">
        <f t="shared" si="116"/>
        <v xml:space="preserve">  + {3}</v>
      </c>
      <c r="AG246" t="str">
        <f t="shared" si="117"/>
        <v>xxx</v>
      </c>
      <c r="AI246" t="str">
        <f t="shared" si="118"/>
        <v xml:space="preserve">力量 {0}
</v>
      </c>
      <c r="AJ246" t="str">
        <f t="shared" si="119"/>
        <v xml:space="preserve">护甲值  + {1}
</v>
      </c>
      <c r="AK246" t="str">
        <f t="shared" si="120"/>
        <v xml:space="preserve">冷却缩减  + {2}%
</v>
      </c>
      <c r="AL246" t="str">
        <f t="shared" si="121"/>
        <v>xxx</v>
      </c>
      <c r="AM246" t="str">
        <f t="shared" si="122"/>
        <v>xxx</v>
      </c>
      <c r="AO246" t="str">
        <f t="shared" si="123"/>
        <v>力量 {0}
护甲值  + {1}
冷却缩减  + {2}%
xxxxxx</v>
      </c>
      <c r="AP246" s="6" t="str">
        <f t="shared" si="124"/>
        <v xml:space="preserve">力量 {0}
护甲值  + {1}
冷却缩减  + {2}%
</v>
      </c>
      <c r="AQ246" s="80" t="s">
        <v>4422</v>
      </c>
      <c r="AR246" t="str">
        <f t="shared" si="125"/>
        <v xml:space="preserve">力量 {0}
护甲值  + {1}
冷却缩减  + {2}%
</v>
      </c>
      <c r="AS246" s="81" t="str">
        <f t="shared" si="126"/>
        <v>力量 {0}
护甲值  + {1}
冷却缩减  + {2}%</v>
      </c>
      <c r="BE246" s="46"/>
      <c r="BF246" s="46"/>
      <c r="BG246" s="52"/>
      <c r="BH246" s="59"/>
      <c r="BI246" s="59"/>
      <c r="BJ246" s="59"/>
      <c r="BK246" s="18"/>
    </row>
    <row r="247" spans="2:63" ht="15.75" x14ac:dyDescent="0.3">
      <c r="C247" s="59">
        <v>40020</v>
      </c>
      <c r="D247" s="59" t="s">
        <v>4400</v>
      </c>
      <c r="E247" s="59"/>
      <c r="F247" s="59"/>
      <c r="G247" s="59"/>
      <c r="H247" s="72"/>
      <c r="I247" s="64" t="s">
        <v>3217</v>
      </c>
      <c r="J247" s="64">
        <v>3</v>
      </c>
      <c r="K247" s="64">
        <v>0.2</v>
      </c>
      <c r="L247" s="65" t="s">
        <v>2986</v>
      </c>
      <c r="M247" s="65">
        <v>2</v>
      </c>
      <c r="N247" s="65">
        <v>0.2</v>
      </c>
      <c r="O247" s="66" t="s">
        <v>3201</v>
      </c>
      <c r="P247" s="66">
        <v>2</v>
      </c>
      <c r="Q247" s="66">
        <v>0.2</v>
      </c>
      <c r="R247" s="64"/>
      <c r="S247" s="64">
        <v>2</v>
      </c>
      <c r="T247" s="64">
        <v>0.2</v>
      </c>
      <c r="U247" s="65"/>
      <c r="V247" s="65"/>
      <c r="W247" s="65"/>
      <c r="X247" s="66"/>
      <c r="Y247" s="66"/>
      <c r="Z247" s="66"/>
      <c r="AA247" s="71" t="str">
        <f t="shared" si="112"/>
        <v>1:302,24,36,242,16,24,211,16,24,xxxxxxxxx</v>
      </c>
      <c r="AB247" s="78" t="str">
        <f t="shared" si="113"/>
        <v>1:302,24,36,242,16,24,211,16,24</v>
      </c>
      <c r="AC247" t="str">
        <f t="shared" si="96"/>
        <v>生命值% {0}</v>
      </c>
      <c r="AD247" t="str">
        <f t="shared" si="114"/>
        <v>中毒系数  + {1}</v>
      </c>
      <c r="AE247" t="str">
        <f t="shared" si="115"/>
        <v>物理伤害%  + {2}</v>
      </c>
      <c r="AF247" t="str">
        <f t="shared" si="116"/>
        <v xml:space="preserve">  + {3}</v>
      </c>
      <c r="AG247" t="str">
        <f t="shared" si="117"/>
        <v>xxx</v>
      </c>
      <c r="AI247" t="str">
        <f t="shared" si="118"/>
        <v xml:space="preserve">生命值 {0}%
</v>
      </c>
      <c r="AJ247" t="str">
        <f t="shared" si="119"/>
        <v xml:space="preserve">中毒系数  + {1}%
</v>
      </c>
      <c r="AK247" t="str">
        <f t="shared" si="120"/>
        <v xml:space="preserve">物理伤害  + {2}%
</v>
      </c>
      <c r="AL247" t="str">
        <f t="shared" si="121"/>
        <v>xxx</v>
      </c>
      <c r="AM247" t="str">
        <f t="shared" si="122"/>
        <v>xxx</v>
      </c>
      <c r="AO247" t="str">
        <f t="shared" si="123"/>
        <v>生命值 {0}%
中毒系数  + {1}%
物理伤害  + {2}%
xxxxxx</v>
      </c>
      <c r="AP247" s="6" t="str">
        <f t="shared" si="124"/>
        <v xml:space="preserve">生命值 {0}%
中毒系数  + {1}%
物理伤害  + {2}%
</v>
      </c>
      <c r="AQ247" s="80" t="s">
        <v>4423</v>
      </c>
      <c r="AR247" t="str">
        <f t="shared" si="125"/>
        <v xml:space="preserve">生命值 {0}%
中毒系数  + {1}%
物理伤害  + {2}%
</v>
      </c>
      <c r="AS247" s="81" t="str">
        <f t="shared" si="126"/>
        <v>生命值 {0}%
中毒系数  + {1}%
物理伤害  + {2}%</v>
      </c>
      <c r="BE247" s="46"/>
      <c r="BF247" s="46"/>
      <c r="BG247" s="52"/>
      <c r="BH247" s="59"/>
      <c r="BI247" s="59"/>
      <c r="BJ247" s="59"/>
      <c r="BK247" s="18"/>
    </row>
    <row r="248" spans="2:63" ht="15.75" x14ac:dyDescent="0.3">
      <c r="C248" s="59">
        <v>40021</v>
      </c>
      <c r="D248" s="59" t="s">
        <v>4414</v>
      </c>
      <c r="E248" s="59"/>
      <c r="F248" s="59"/>
      <c r="G248" s="59"/>
      <c r="H248" s="72"/>
      <c r="I248" s="64" t="s">
        <v>3090</v>
      </c>
      <c r="J248" s="64">
        <v>3</v>
      </c>
      <c r="K248" s="64">
        <v>0.2</v>
      </c>
      <c r="L248" s="65" t="s">
        <v>3234</v>
      </c>
      <c r="M248" s="65">
        <v>2</v>
      </c>
      <c r="N248" s="65">
        <v>0.2</v>
      </c>
      <c r="O248" s="66" t="s">
        <v>3168</v>
      </c>
      <c r="P248" s="66">
        <v>2</v>
      </c>
      <c r="Q248" s="66">
        <v>0.2</v>
      </c>
      <c r="R248" s="64" t="s">
        <v>4434</v>
      </c>
      <c r="S248" s="64">
        <v>2</v>
      </c>
      <c r="T248" s="64">
        <v>0.2</v>
      </c>
      <c r="U248" s="65" t="s">
        <v>3233</v>
      </c>
      <c r="V248" s="65"/>
      <c r="W248" s="65"/>
      <c r="X248" s="66"/>
      <c r="Y248" s="66"/>
      <c r="Z248" s="66"/>
      <c r="AA248" s="71" t="str">
        <f t="shared" si="112"/>
        <v>1:718,120,180,710,16,24,711,16,24,712,16,24,713,0,0,xxx</v>
      </c>
      <c r="AB248" s="78" t="str">
        <f t="shared" si="113"/>
        <v>1:718,120,180,710,16,24,711,16,24,712,16,24,713,0,0</v>
      </c>
      <c r="AC248" t="str">
        <f t="shared" si="96"/>
        <v>召唤物护甲 {0}</v>
      </c>
      <c r="AD248" t="str">
        <f t="shared" si="114"/>
        <v>召唤物冰霜抗性%  + {1}</v>
      </c>
      <c r="AE248" t="str">
        <f t="shared" si="115"/>
        <v>召唤物火焰抗性%  + {2}</v>
      </c>
      <c r="AF248" t="str">
        <f t="shared" si="116"/>
        <v>召唤物闪电抗性%  + {3}</v>
      </c>
      <c r="AG248" t="str">
        <f t="shared" si="117"/>
        <v>召唤物混沌抗性%  + 0</v>
      </c>
      <c r="AI248" t="str">
        <f t="shared" si="118"/>
        <v xml:space="preserve">召唤物护甲 {0}
</v>
      </c>
      <c r="AJ248" t="str">
        <f t="shared" si="119"/>
        <v xml:space="preserve">召唤物冰霜抗性  + {1}%
</v>
      </c>
      <c r="AK248" t="str">
        <f t="shared" si="120"/>
        <v xml:space="preserve">召唤物火焰抗性  + {2}%
</v>
      </c>
      <c r="AL248" t="str">
        <f t="shared" si="121"/>
        <v xml:space="preserve">召唤物闪电抗性  + {3}%
</v>
      </c>
      <c r="AM248" t="str">
        <f t="shared" si="122"/>
        <v xml:space="preserve">召唤物混沌抗性  + 0%
</v>
      </c>
      <c r="AO248" t="str">
        <f t="shared" si="123"/>
        <v xml:space="preserve">召唤物护甲 {0}
召唤物冰霜抗性  + {1}%
召唤物火焰抗性  + {2}%
召唤物闪电抗性  + {3}%
召唤物混沌抗性  + 0%
</v>
      </c>
      <c r="AP248" s="6" t="str">
        <f t="shared" si="124"/>
        <v xml:space="preserve">召唤物护甲 {0}
召唤物冰霜抗性  + {1}%
召唤物火焰抗性  + {2}%
召唤物闪电抗性  + {3}%
召唤物混沌抗性  + 0%
</v>
      </c>
      <c r="AQ248" s="80" t="s">
        <v>4424</v>
      </c>
      <c r="AR248" t="str">
        <f t="shared" si="125"/>
        <v xml:space="preserve">召唤物护甲 {0}
召唤物冰霜抗性  + {1}%
召唤物火焰抗性  + {2}%
召唤物闪电抗性  + {3}%
召唤物混沌抗性  + 0%
</v>
      </c>
      <c r="AS248" s="81" t="str">
        <f t="shared" si="126"/>
        <v>召唤物护甲 {0}
召唤物冰霜抗性  + {1}%
召唤物火焰抗性  + {2}%
召唤物闪电抗性  + {3}%
召唤物混沌抗性  + 0%</v>
      </c>
      <c r="BE248" s="46"/>
      <c r="BF248" s="46"/>
      <c r="BG248" s="52"/>
      <c r="BH248" s="59"/>
      <c r="BI248" s="59"/>
      <c r="BJ248" s="59"/>
      <c r="BK248" s="18"/>
    </row>
    <row r="249" spans="2:63" ht="15.75" customHeight="1" x14ac:dyDescent="0.3">
      <c r="B249" s="143" t="s">
        <v>3776</v>
      </c>
      <c r="C249" s="104">
        <v>30001</v>
      </c>
      <c r="D249" s="104" t="s">
        <v>2899</v>
      </c>
      <c r="E249" s="104"/>
      <c r="F249" s="104" t="s">
        <v>3733</v>
      </c>
      <c r="G249" s="104"/>
      <c r="H249" s="105" t="e">
        <f t="shared" ref="H249:H269" si="127">J249+M249+P249+S249+V249+Y249</f>
        <v>#VALUE!</v>
      </c>
      <c r="I249" s="106" t="s">
        <v>2926</v>
      </c>
      <c r="J249" s="106">
        <v>2</v>
      </c>
      <c r="K249" s="106">
        <v>0.2</v>
      </c>
      <c r="L249" s="106" t="s">
        <v>2985</v>
      </c>
      <c r="M249" s="106">
        <v>2</v>
      </c>
      <c r="N249" s="106">
        <v>0.2</v>
      </c>
      <c r="O249" s="106" t="s">
        <v>3192</v>
      </c>
      <c r="P249" s="106">
        <v>2</v>
      </c>
      <c r="Q249" s="106">
        <v>0.2</v>
      </c>
      <c r="R249" s="106" t="s">
        <v>2987</v>
      </c>
      <c r="S249" s="106">
        <v>2</v>
      </c>
      <c r="T249" s="106">
        <v>0.2</v>
      </c>
      <c r="U249" s="106" t="s">
        <v>3154</v>
      </c>
      <c r="V249" s="106" t="s">
        <v>4092</v>
      </c>
      <c r="W249" s="106">
        <v>0.2</v>
      </c>
      <c r="X249" s="106" t="s">
        <v>3223</v>
      </c>
      <c r="Y249" s="106">
        <v>2</v>
      </c>
      <c r="Z249" s="106">
        <v>0.2</v>
      </c>
      <c r="AA249" s="71" t="e">
        <f t="shared" ref="AA249:AA280" si="128">"1:"&amp;IF(I249&lt;&gt;"",VLOOKUP(I249,$BE$8:$BH$260,3,FALSE)&amp;","&amp;VLOOKUP(I249,$BE$8:$BH$260,4,FALSE)*(1-K249)*J249&amp;","&amp;VLOOKUP(I249,$BE$8:$BH$260,4,FALSE)*(1+K249)*J249&amp;",","xxx")&amp;IF(L249&lt;&gt;"",VLOOKUP(L249,$BE$8:$BH$260,3,FALSE)&amp;","&amp;VLOOKUP(L249,$BE$8:$BH$260,4,FALSE)*(1-N249)*M249&amp;","&amp;VLOOKUP(L249,$BE$8:$BH$260,4,FALSE)*(1+N249)*M249&amp;",","xxx")&amp;IF(O249&lt;&gt;"",VLOOKUP(O249,$BE$8:$BH$260,3,FALSE)&amp;","&amp;VLOOKUP(O249,$BE$8:$BH$260,4,FALSE)*(1-Q249)*P249&amp;","&amp;VLOOKUP(O249,$BE$8:$BH$260,4,FALSE)*(1+Q249)*P249&amp;",","xxx")&amp;IF(R249&lt;&gt;"",VLOOKUP(R249,$BE$8:$BH$260,3,FALSE)&amp;","&amp;VLOOKUP(R249,$BE$8:$BH$260,4,FALSE)*(1-T249)*S249&amp;","&amp;VLOOKUP(R249,$BE$8:$BH$260,4,FALSE)*(1+T249)*S249&amp;",","xxx")&amp;IF(U249&lt;&gt;"",VLOOKUP(U249,$BE$8:$BH$260,3,FALSE)&amp;","&amp;VLOOKUP(U249,$BE$8:$BH$260,4,FALSE)*(1-W249)*V249&amp;","&amp;VLOOKUP(U249,$BE$8:$BH$260,4,FALSE)*(1+W249)*V249&amp;",","xxx")&amp;IF(X249&lt;&gt;"",VLOOKUP(X249,$BE$8:$BH$260,3,FALSE)&amp;","&amp;VLOOKUP(X249,$BE$8:$BH$260,4,FALSE)*(1-Z249)*Y249&amp;","&amp;VLOOKUP(X249,$BE$8:$BH$260,4,FALSE)*(1+Z249)*Y249&amp;",","xxx")</f>
        <v>#VALUE!</v>
      </c>
      <c r="AB249" s="108" t="e">
        <f t="shared" si="60"/>
        <v>#VALUE!</v>
      </c>
      <c r="AC249" t="str">
        <f t="shared" si="96"/>
        <v>火焰伤害% {0}</v>
      </c>
      <c r="AD249" s="9" t="str">
        <f t="shared" ref="AD249:AD270" si="129">_xlfn.IFNA(L249&amp;" "&amp;IF(N249=0," + "&amp;M249*VLOOKUP(L249,$BE$8:$BH$260,4,FALSE)," + {"&amp;M$6&amp;"}"),"xxx")</f>
        <v>灼烧系数  + {1}</v>
      </c>
      <c r="AE249" s="9" t="str">
        <f t="shared" ref="AE249:AE280" si="130">_xlfn.IFNA(O249&amp;" "&amp;IF(Q249=0," + "&amp;P249*VLOOKUP(O249,$BE$8:$BH$260,4,FALSE)," + {"&amp;P$6&amp;"}"),"xxx")</f>
        <v>闪电伤害%  + {2}</v>
      </c>
      <c r="AF249" s="9" t="str">
        <f t="shared" ref="AF249:AF280" si="131">_xlfn.IFNA(R249&amp;" "&amp;IF(T249=0," + "&amp;S249*VLOOKUP(R249,$BE$8:$BH$260,4,FALSE)," + {"&amp;S$6&amp;"}"),"xxx")</f>
        <v>感电系数  + {3}</v>
      </c>
      <c r="AG249" s="9" t="str">
        <f t="shared" ref="AG249:AG280" si="132">_xlfn.IFNA(U249&amp;" "&amp;IF(W249=0," + "&amp;V249*VLOOKUP(U249,$BE$8:$BH$260,4,FALSE)," + {"&amp;V$6&amp;"}"),"xxx")</f>
        <v>冰霜伤害%  + {4}</v>
      </c>
      <c r="AH249" s="9" t="str">
        <f t="shared" ref="AH249:AH280" si="133">_xlfn.IFNA(X249&amp;" "&amp;IF(Z249=0," + "&amp;Y249*VLOOKUP(X249,$BE$8:$BH$260,4,FALSE)," + {"&amp;Y$6&amp;"}"),"xxx")</f>
        <v>施加异常时间提升  + {5}</v>
      </c>
      <c r="AI249" s="9" t="str">
        <f t="shared" ref="AI249:AI280" si="134">_xlfn.IFNA(IF(AC249="xxx","xxx",IF(VLOOKUP(I249,$BE$8:$BK$260,7,FALSE)=1,AC249&amp;CHAR(10),SUBSTITUTE(AC249,"%","")&amp;"%"&amp;CHAR(10))),"xxx")</f>
        <v xml:space="preserve">火焰伤害 {0}%
</v>
      </c>
      <c r="AJ249" s="9" t="str">
        <f t="shared" ref="AJ249:AJ280" si="135">_xlfn.IFNA(IF(AC249="xxx","xxx",IF(VLOOKUP(L249,$BE$8:$BK$260,7,FALSE)=1,AD249&amp;CHAR(10),SUBSTITUTE(AD249,"%","")&amp;"%"&amp;CHAR(10))),"xxx")</f>
        <v xml:space="preserve">灼烧系数  + {1}%
</v>
      </c>
      <c r="AK249" s="9" t="str">
        <f t="shared" ref="AK249:AK280" si="136">_xlfn.IFNA(IF(AC249="xxx","xxx",IF(VLOOKUP(O249,$BE$8:$BK$260,7,FALSE)=1,AE249&amp;CHAR(10),SUBSTITUTE(AE249,"%","")&amp;"%"&amp;CHAR(10))),"xxx")</f>
        <v xml:space="preserve">闪电伤害  + {2}%
</v>
      </c>
      <c r="AL249" s="9" t="str">
        <f t="shared" ref="AL249:AL280" si="137">_xlfn.IFNA(IF(AC249="xxx","xxx",IF(VLOOKUP(R249,$BE$8:$BK$260,7,FALSE)=1,AF249&amp;CHAR(10),SUBSTITUTE(AF249,"%","")&amp;"%"&amp;CHAR(10))),"xxx")</f>
        <v xml:space="preserve">感电系数  + {3}%
</v>
      </c>
      <c r="AM249" s="9" t="str">
        <f t="shared" ref="AM249:AM280" si="138">_xlfn.IFNA(IF(AC249="xxx","xxx",IF(VLOOKUP(U249,$BE$8:$BK$260,7,FALSE)=1,AG249&amp;CHAR(10),SUBSTITUTE(AG249,"%","")&amp;"%"&amp;CHAR(10))),"xxx")</f>
        <v xml:space="preserve">冰霜伤害  + {4}%
</v>
      </c>
      <c r="AN249" s="9" t="str">
        <f t="shared" ref="AN249:AN280" si="139">_xlfn.IFNA(IF(AC249="xxx","xxx",IF(VLOOKUP(X249,$BE$8:$BK$260,7,FALSE)=1,AH249&amp;CHAR(10),SUBSTITUTE(AH249,"%","")&amp;"%"&amp;CHAR(10))),"xxx")</f>
        <v xml:space="preserve">施加异常时间提升  + {5}%
</v>
      </c>
      <c r="AO249" s="9" t="str">
        <f t="shared" si="64"/>
        <v xml:space="preserve">火焰伤害 {0}%
灼烧系数  + {1}%
闪电伤害  + {2}%
感电系数  + {3}%
冰霜伤害  + {4}%
施加异常时间提升  + {5}%
</v>
      </c>
      <c r="AP249" s="9" t="str">
        <f t="shared" si="65"/>
        <v xml:space="preserve">火焰伤害 {0}%
灼烧系数  + {1}%
闪电伤害  + {2}%
感电系数  + {3}%
冰霜伤害  + {4}%
施加异常时间提升  + {5}%
</v>
      </c>
      <c r="AQ249" s="9" t="s">
        <v>3766</v>
      </c>
      <c r="AR249" s="9" t="str">
        <f t="shared" si="66"/>
        <v xml:space="preserve">火焰伤害 {0}%
灼烧系数  + {1}%
闪电伤害  + {2}%
感电系数  + {3}%
冰霜伤害  + {4}%
施加异常时间提升  + {5}%
</v>
      </c>
      <c r="AS249" s="109" t="str">
        <f t="shared" si="59"/>
        <v>火焰伤害 {0}%
灼烧系数  + {1}%
闪电伤害  + {2}%
感电系数  + {3}%
冰霜伤害  + {4}%
施加异常时间提升  + {5}%</v>
      </c>
      <c r="AY249" s="94">
        <v>610001</v>
      </c>
      <c r="BE249" s="46" t="s">
        <v>3103</v>
      </c>
      <c r="BF249" s="46" t="s">
        <v>3054</v>
      </c>
      <c r="BG249" s="52">
        <v>809</v>
      </c>
      <c r="BH249" s="59">
        <v>0.25</v>
      </c>
      <c r="BI249" s="59">
        <f t="shared" ref="BI249:BI260" si="140">COUNTIF($I$8:$I$179,BE249)/COUNT($C$8:$C$179)+COUNTIF($L$8:$L$179,BE249)/COUNT($C$8:$C$179)+COUNTIF($O$8:$O$179,BE249)/COUNT($C$8:$C$179)+COUNTIF($R$8:$R$179,BE249)/COUNT($C$8:$C$179)+COUNTIF($U$8:$U$179,BE249)/COUNT($C$8:$C$179)+COUNTIF($X$8:$X$179,BE249)/COUNT($C$8:$C$179)</f>
        <v>2.9069767441860465E-2</v>
      </c>
      <c r="BJ249" s="59"/>
      <c r="BK249" s="18">
        <v>2</v>
      </c>
    </row>
    <row r="250" spans="2:63" ht="15.75" x14ac:dyDescent="0.3">
      <c r="B250" s="143"/>
      <c r="C250" s="104">
        <v>30002</v>
      </c>
      <c r="D250" s="104" t="s">
        <v>2875</v>
      </c>
      <c r="E250" s="104"/>
      <c r="F250" s="104" t="s">
        <v>37</v>
      </c>
      <c r="G250" s="104"/>
      <c r="H250" s="105">
        <f t="shared" si="127"/>
        <v>13.5</v>
      </c>
      <c r="I250" s="106" t="s">
        <v>3136</v>
      </c>
      <c r="J250" s="106">
        <v>3</v>
      </c>
      <c r="K250" s="106">
        <v>0.2</v>
      </c>
      <c r="L250" s="106" t="s">
        <v>3162</v>
      </c>
      <c r="M250" s="106">
        <v>3</v>
      </c>
      <c r="N250" s="106">
        <v>0.2</v>
      </c>
      <c r="O250" s="106" t="s">
        <v>3153</v>
      </c>
      <c r="P250" s="106">
        <v>2</v>
      </c>
      <c r="Q250" s="106">
        <v>0.2</v>
      </c>
      <c r="R250" s="106" t="s">
        <v>2941</v>
      </c>
      <c r="S250" s="106">
        <v>2</v>
      </c>
      <c r="T250" s="106">
        <v>0.2</v>
      </c>
      <c r="U250" s="106" t="s">
        <v>3167</v>
      </c>
      <c r="V250" s="106">
        <v>1.5</v>
      </c>
      <c r="W250" s="106">
        <v>0.2</v>
      </c>
      <c r="X250" s="106" t="s">
        <v>2929</v>
      </c>
      <c r="Y250" s="106">
        <v>2</v>
      </c>
      <c r="Z250" s="106">
        <v>0.2</v>
      </c>
      <c r="AA250" s="71" t="str">
        <f t="shared" si="128"/>
        <v>1:207,24,36,208,24,36,206,16,24,101,16,24,102,12,18,103,16,24,</v>
      </c>
      <c r="AB250" s="108" t="str">
        <f t="shared" si="60"/>
        <v>1:207,24,36,208,24,36,206,16,24,101,16,24,102,12,18,103,16,24</v>
      </c>
      <c r="AC250" t="str">
        <f t="shared" si="96"/>
        <v>火焰伤害 {0}</v>
      </c>
      <c r="AD250" s="9" t="str">
        <f t="shared" si="129"/>
        <v>闪电伤害  + {1}</v>
      </c>
      <c r="AE250" s="9" t="str">
        <f t="shared" si="130"/>
        <v>冰霜伤害  + {2}</v>
      </c>
      <c r="AF250" s="9" t="str">
        <f t="shared" si="131"/>
        <v>力量  + {3}</v>
      </c>
      <c r="AG250" s="9" t="str">
        <f t="shared" si="132"/>
        <v>敏捷  + {4}</v>
      </c>
      <c r="AH250" s="9" t="str">
        <f t="shared" si="133"/>
        <v>智力  + {5}</v>
      </c>
      <c r="AI250" s="9" t="str">
        <f t="shared" si="134"/>
        <v xml:space="preserve">火焰伤害 {0}
</v>
      </c>
      <c r="AJ250" s="9" t="str">
        <f t="shared" si="135"/>
        <v xml:space="preserve">闪电伤害  + {1}
</v>
      </c>
      <c r="AK250" s="9" t="str">
        <f t="shared" si="136"/>
        <v xml:space="preserve">冰霜伤害  + {2}
</v>
      </c>
      <c r="AL250" s="9" t="str">
        <f t="shared" si="137"/>
        <v xml:space="preserve">力量  + {3}
</v>
      </c>
      <c r="AM250" s="9" t="str">
        <f t="shared" si="138"/>
        <v xml:space="preserve">敏捷  + {4}
</v>
      </c>
      <c r="AN250" s="9" t="str">
        <f t="shared" si="139"/>
        <v xml:space="preserve">智力  + {5}
</v>
      </c>
      <c r="AO250" s="9" t="str">
        <f t="shared" si="64"/>
        <v xml:space="preserve">火焰伤害 {0}
闪电伤害  + {1}
冰霜伤害  + {2}
力量  + {3}
敏捷  + {4}
智力  + {5}
</v>
      </c>
      <c r="AP250" s="9" t="str">
        <f t="shared" si="65"/>
        <v xml:space="preserve">火焰伤害 {0}
闪电伤害  + {1}
冰霜伤害  + {2}
力量  + {3}
敏捷  + {4}
智力  + {5}
</v>
      </c>
      <c r="AQ250" s="9" t="s">
        <v>3767</v>
      </c>
      <c r="AR250" s="9" t="str">
        <f t="shared" si="66"/>
        <v xml:space="preserve">火焰伤害 {0}
闪电伤害  + {1}
冰霜伤害  + {2}
力量  + {3}
敏捷  + {4}
智力  + {5}
</v>
      </c>
      <c r="AS250" s="109" t="str">
        <f t="shared" si="59"/>
        <v>火焰伤害 {0}
闪电伤害  + {1}
冰霜伤害  + {2}
力量  + {3}
敏捷  + {4}
智力  + {5}</v>
      </c>
      <c r="AY250" s="94" t="s">
        <v>2902</v>
      </c>
      <c r="BE250" s="46" t="s">
        <v>3104</v>
      </c>
      <c r="BF250" s="46" t="s">
        <v>3069</v>
      </c>
      <c r="BG250" s="52">
        <v>810</v>
      </c>
      <c r="BH250" s="59">
        <v>0.5</v>
      </c>
      <c r="BI250" s="59">
        <f t="shared" si="140"/>
        <v>5.8139534883720929E-3</v>
      </c>
      <c r="BJ250" s="59"/>
      <c r="BK250" s="18">
        <v>1</v>
      </c>
    </row>
    <row r="251" spans="2:63" ht="15.75" x14ac:dyDescent="0.3">
      <c r="B251" s="143"/>
      <c r="C251" s="104">
        <v>30003</v>
      </c>
      <c r="D251" s="104" t="s">
        <v>2876</v>
      </c>
      <c r="E251" s="104"/>
      <c r="F251" s="104" t="s">
        <v>38</v>
      </c>
      <c r="G251" s="104"/>
      <c r="H251" s="105">
        <f t="shared" si="127"/>
        <v>12</v>
      </c>
      <c r="I251" s="106" t="s">
        <v>2978</v>
      </c>
      <c r="J251" s="106">
        <v>3</v>
      </c>
      <c r="K251" s="106">
        <v>0.2</v>
      </c>
      <c r="L251" s="106" t="s">
        <v>2979</v>
      </c>
      <c r="M251" s="106">
        <v>3</v>
      </c>
      <c r="N251" s="106">
        <v>0.2</v>
      </c>
      <c r="O251" s="106" t="s">
        <v>2980</v>
      </c>
      <c r="P251" s="106">
        <v>3</v>
      </c>
      <c r="Q251" s="106">
        <v>0.2</v>
      </c>
      <c r="R251" s="106" t="s">
        <v>2958</v>
      </c>
      <c r="S251" s="106">
        <v>1.5</v>
      </c>
      <c r="T251" s="106">
        <v>0.2</v>
      </c>
      <c r="U251" s="106" t="s">
        <v>3152</v>
      </c>
      <c r="V251" s="106">
        <v>1.5</v>
      </c>
      <c r="W251" s="106">
        <v>0.2</v>
      </c>
      <c r="X251" s="106"/>
      <c r="Y251" s="106"/>
      <c r="Z251" s="106"/>
      <c r="AA251" s="71" t="str">
        <f t="shared" si="128"/>
        <v>1:229,24,36,230,24,36,231,24,36,321,6,9,409,6,9,xxx</v>
      </c>
      <c r="AB251" s="108" t="str">
        <f t="shared" si="60"/>
        <v>1:229,24,36,230,24,36,231,24,36,321,6,9,409,6,9</v>
      </c>
      <c r="AC251" t="str">
        <f t="shared" si="96"/>
        <v>附加冰霜伤害 {0}</v>
      </c>
      <c r="AD251" s="9" t="str">
        <f t="shared" si="129"/>
        <v>附加火焰伤害  + {1}</v>
      </c>
      <c r="AE251" s="9" t="str">
        <f t="shared" si="130"/>
        <v>附加闪电伤害  + {2}</v>
      </c>
      <c r="AF251" s="9" t="str">
        <f t="shared" si="131"/>
        <v>所有伤害减免%  + {3}</v>
      </c>
      <c r="AG251" s="9" t="str">
        <f t="shared" si="132"/>
        <v>冷却缩减%  + {4}</v>
      </c>
      <c r="AH251" s="9" t="str">
        <f t="shared" si="133"/>
        <v>xxx</v>
      </c>
      <c r="AI251" s="9" t="str">
        <f t="shared" si="134"/>
        <v xml:space="preserve">附加冰霜伤害 {0}%
</v>
      </c>
      <c r="AJ251" s="9" t="str">
        <f t="shared" si="135"/>
        <v xml:space="preserve">附加火焰伤害  + {1}%
</v>
      </c>
      <c r="AK251" s="9" t="str">
        <f t="shared" si="136"/>
        <v xml:space="preserve">附加闪电伤害  + {2}%
</v>
      </c>
      <c r="AL251" s="9" t="str">
        <f t="shared" si="137"/>
        <v xml:space="preserve">所有伤害减免  + {3}%
</v>
      </c>
      <c r="AM251" s="9" t="str">
        <f t="shared" si="138"/>
        <v xml:space="preserve">冷却缩减  + {4}%
</v>
      </c>
      <c r="AN251" s="9" t="str">
        <f t="shared" si="139"/>
        <v>xxx</v>
      </c>
      <c r="AO251" s="9" t="str">
        <f t="shared" si="64"/>
        <v>附加冰霜伤害 {0}%
附加火焰伤害  + {1}%
附加闪电伤害  + {2}%
所有伤害减免  + {3}%
冷却缩减  + {4}%
xxx</v>
      </c>
      <c r="AP251" s="9" t="str">
        <f t="shared" si="65"/>
        <v xml:space="preserve">附加冰霜伤害 {0}%
附加火焰伤害  + {1}%
附加闪电伤害  + {2}%
所有伤害减免  + {3}%
冷却缩减  + {4}%
</v>
      </c>
      <c r="AQ251" s="9" t="s">
        <v>3768</v>
      </c>
      <c r="AR251" s="9" t="str">
        <f t="shared" si="66"/>
        <v xml:space="preserve">附加冰霜伤害 {0}%
附加火焰伤害  + {1}%
附加闪电伤害  + {2}%
所有伤害减免  + {3}%
冷却缩减  + {4}%
</v>
      </c>
      <c r="AS251" s="109" t="str">
        <f t="shared" si="59"/>
        <v>附加冰霜伤害 {0}%
附加火焰伤害  + {1}%
附加闪电伤害  + {2}%
所有伤害减免  + {3}%
冷却缩减  + {4}%</v>
      </c>
      <c r="AY251" s="94" t="s">
        <v>2903</v>
      </c>
      <c r="BE251" s="46" t="s">
        <v>3105</v>
      </c>
      <c r="BF251" s="46" t="s">
        <v>3135</v>
      </c>
      <c r="BG251" s="52" t="s">
        <v>3106</v>
      </c>
      <c r="BH251" s="59">
        <v>0.2</v>
      </c>
      <c r="BI251" s="59">
        <f t="shared" si="140"/>
        <v>5.8139534883720929E-3</v>
      </c>
      <c r="BJ251" s="59"/>
      <c r="BK251" s="18">
        <v>2</v>
      </c>
    </row>
    <row r="252" spans="2:63" ht="15.75" x14ac:dyDescent="0.3">
      <c r="B252" s="143"/>
      <c r="C252" s="104">
        <v>30004</v>
      </c>
      <c r="D252" s="104" t="s">
        <v>2877</v>
      </c>
      <c r="E252" s="104"/>
      <c r="F252" s="104" t="s">
        <v>39</v>
      </c>
      <c r="G252" s="104"/>
      <c r="H252" s="105">
        <f t="shared" si="127"/>
        <v>10.5</v>
      </c>
      <c r="I252" s="106" t="s">
        <v>3152</v>
      </c>
      <c r="J252" s="106">
        <v>3</v>
      </c>
      <c r="K252" s="106">
        <v>0.2</v>
      </c>
      <c r="L252" s="106" t="s">
        <v>3206</v>
      </c>
      <c r="M252" s="106">
        <v>2</v>
      </c>
      <c r="N252" s="106">
        <v>0.2</v>
      </c>
      <c r="O252" s="106" t="s">
        <v>3185</v>
      </c>
      <c r="P252" s="106">
        <v>2</v>
      </c>
      <c r="Q252" s="106">
        <v>0.2</v>
      </c>
      <c r="R252" s="106" t="s">
        <v>3022</v>
      </c>
      <c r="S252" s="106">
        <v>2</v>
      </c>
      <c r="T252" s="106">
        <v>0.2</v>
      </c>
      <c r="U252" s="106" t="s">
        <v>3756</v>
      </c>
      <c r="V252" s="106">
        <v>1.5</v>
      </c>
      <c r="W252" s="106">
        <v>0.2</v>
      </c>
      <c r="X252" s="106"/>
      <c r="Y252" s="106"/>
      <c r="Z252" s="106"/>
      <c r="AA252" s="71" t="str">
        <f t="shared" si="128"/>
        <v>1:409,12,18,416,8,12,407,32,48,401,16,24,219,12,18,xxx</v>
      </c>
      <c r="AB252" s="108" t="str">
        <f>IF(LEFT(SUBSTITUTE(AA252,"x",""),LEN(SUBSTITUTE(AA252,"x",""))-1)="1","",LEFT(SUBSTITUTE(AA252,"x",""),LEN(SUBSTITUTE(AA252,"x",""))-1))</f>
        <v>1:409,12,18,416,8,12,407,32,48,401,16,24,219,12,18</v>
      </c>
      <c r="AC252" t="str">
        <f t="shared" si="96"/>
        <v>冷却缩减% {0}</v>
      </c>
      <c r="AD252" s="9" t="str">
        <f t="shared" si="129"/>
        <v>控制时间%  + {1}</v>
      </c>
      <c r="AE252" s="9" t="str">
        <f t="shared" si="130"/>
        <v>拾取范围%  + {2}</v>
      </c>
      <c r="AF252" s="9" t="str">
        <f t="shared" si="131"/>
        <v>经验获取%  + {3}</v>
      </c>
      <c r="AG252" s="9" t="str">
        <f t="shared" si="132"/>
        <v>暴击几率%  + {4}</v>
      </c>
      <c r="AH252" s="9" t="str">
        <f t="shared" si="133"/>
        <v>xxx</v>
      </c>
      <c r="AI252" s="9" t="str">
        <f t="shared" si="134"/>
        <v xml:space="preserve">冷却缩减 {0}%
</v>
      </c>
      <c r="AJ252" s="9" t="str">
        <f t="shared" si="135"/>
        <v xml:space="preserve">控制时间  + {1}%
</v>
      </c>
      <c r="AK252" s="9" t="str">
        <f t="shared" si="136"/>
        <v xml:space="preserve">拾取范围  + {2}%
</v>
      </c>
      <c r="AL252" s="9" t="str">
        <f t="shared" si="137"/>
        <v xml:space="preserve">经验获取  + {3}%
</v>
      </c>
      <c r="AM252" s="9" t="str">
        <f t="shared" si="138"/>
        <v xml:space="preserve">暴击几率  + {4}%
</v>
      </c>
      <c r="AN252" s="9" t="str">
        <f t="shared" si="139"/>
        <v>xxx</v>
      </c>
      <c r="AO252" s="9" t="str">
        <f t="shared" si="64"/>
        <v>冷却缩减 {0}%
控制时间  + {1}%
拾取范围  + {2}%
经验获取  + {3}%
暴击几率  + {4}%
xxx</v>
      </c>
      <c r="AP252" s="9" t="str">
        <f t="shared" si="65"/>
        <v xml:space="preserve">冷却缩减 {0}%
控制时间  + {1}%
拾取范围  + {2}%
经验获取  + {3}%
暴击几率  + {4}%
</v>
      </c>
      <c r="AQ252" s="9" t="s">
        <v>3769</v>
      </c>
      <c r="AR252" s="9" t="str">
        <f t="shared" si="66"/>
        <v xml:space="preserve">冷却缩减 {0}%
控制时间  + {1}%
拾取范围  + {2}%
经验获取  + {3}%
暴击几率  + {4}%
</v>
      </c>
      <c r="AS252" s="109" t="str">
        <f t="shared" si="59"/>
        <v>冷却缩减 {0}%
控制时间  + {1}%
拾取范围  + {2}%
经验获取  + {3}%
暴击几率  + {4}%</v>
      </c>
      <c r="AY252" s="94" t="s">
        <v>2904</v>
      </c>
      <c r="BE252" s="46" t="s">
        <v>3107</v>
      </c>
      <c r="BF252" s="46" t="s">
        <v>3135</v>
      </c>
      <c r="BG252" s="52" t="s">
        <v>3108</v>
      </c>
      <c r="BH252" s="59">
        <v>0.2</v>
      </c>
      <c r="BI252" s="59">
        <f t="shared" si="140"/>
        <v>1.1627906976744186E-2</v>
      </c>
      <c r="BJ252" s="59"/>
      <c r="BK252" s="18">
        <v>2</v>
      </c>
    </row>
    <row r="253" spans="2:63" ht="15.75" x14ac:dyDescent="0.3">
      <c r="B253" s="143"/>
      <c r="C253" s="104">
        <v>30005</v>
      </c>
      <c r="D253" s="104" t="s">
        <v>2878</v>
      </c>
      <c r="E253" s="104"/>
      <c r="F253" s="104" t="s">
        <v>40</v>
      </c>
      <c r="G253" s="104"/>
      <c r="H253" s="105">
        <f t="shared" si="127"/>
        <v>9.5</v>
      </c>
      <c r="I253" s="106" t="s">
        <v>3152</v>
      </c>
      <c r="J253" s="106">
        <v>3</v>
      </c>
      <c r="K253" s="106">
        <v>0.2</v>
      </c>
      <c r="L253" s="106" t="s">
        <v>3181</v>
      </c>
      <c r="M253" s="106">
        <v>2.5</v>
      </c>
      <c r="N253" s="106">
        <v>0.2</v>
      </c>
      <c r="O253" s="106" t="s">
        <v>3757</v>
      </c>
      <c r="P253" s="106">
        <v>2</v>
      </c>
      <c r="Q253" s="106">
        <v>0.2</v>
      </c>
      <c r="R253" s="106" t="s">
        <v>3752</v>
      </c>
      <c r="S253" s="106">
        <v>1</v>
      </c>
      <c r="T253" s="106">
        <v>0.2</v>
      </c>
      <c r="U253" s="106" t="s">
        <v>3036</v>
      </c>
      <c r="V253" s="106">
        <v>1</v>
      </c>
      <c r="W253" s="106">
        <v>0.2</v>
      </c>
      <c r="X253" s="106"/>
      <c r="Y253" s="106"/>
      <c r="Z253" s="106"/>
      <c r="AA253" s="71" t="str">
        <f t="shared" si="128"/>
        <v>1:409,12,18,412,20,30,220,32,48,423,8,12,419,40,60,xxx</v>
      </c>
      <c r="AB253" s="108" t="str">
        <f t="shared" si="60"/>
        <v>1:409,12,18,412,20,30,220,32,48,423,8,12,419,40,60</v>
      </c>
      <c r="AC253" t="str">
        <f t="shared" si="96"/>
        <v>冷却缩减% {0}</v>
      </c>
      <c r="AD253" s="9" t="str">
        <f t="shared" si="129"/>
        <v>移动速度%  + {1}</v>
      </c>
      <c r="AE253" s="9" t="str">
        <f t="shared" si="130"/>
        <v>暴击伤害%  + {2}</v>
      </c>
      <c r="AF253" s="9" t="str">
        <f t="shared" si="131"/>
        <v>概率重置冲刺CD  + {3}</v>
      </c>
      <c r="AG253" s="9" t="str">
        <f t="shared" si="132"/>
        <v>冲刺距离  + {4}</v>
      </c>
      <c r="AH253" s="9" t="str">
        <f t="shared" si="133"/>
        <v>xxx</v>
      </c>
      <c r="AI253" s="9" t="str">
        <f t="shared" si="134"/>
        <v xml:space="preserve">冷却缩减 {0}%
</v>
      </c>
      <c r="AJ253" s="9" t="str">
        <f t="shared" si="135"/>
        <v xml:space="preserve">移动速度  + {1}%
</v>
      </c>
      <c r="AK253" s="9" t="str">
        <f t="shared" si="136"/>
        <v xml:space="preserve">暴击伤害  + {2}%
</v>
      </c>
      <c r="AL253" s="9" t="str">
        <f t="shared" si="137"/>
        <v xml:space="preserve">概率重置冲刺CD  + {3}%
</v>
      </c>
      <c r="AM253" s="9" t="str">
        <f t="shared" si="138"/>
        <v xml:space="preserve">冲刺距离  + {4}
</v>
      </c>
      <c r="AN253" s="9" t="str">
        <f t="shared" si="139"/>
        <v>xxx</v>
      </c>
      <c r="AO253" s="9" t="str">
        <f t="shared" si="64"/>
        <v>冷却缩减 {0}%
移动速度  + {1}%
暴击伤害  + {2}%
概率重置冲刺CD  + {3}%
冲刺距离  + {4}
xxx</v>
      </c>
      <c r="AP253" s="9" t="str">
        <f t="shared" si="65"/>
        <v xml:space="preserve">冷却缩减 {0}%
移动速度  + {1}%
暴击伤害  + {2}%
概率重置冲刺CD  + {3}%
冲刺距离  + {4}
</v>
      </c>
      <c r="AQ253" s="9" t="s">
        <v>3770</v>
      </c>
      <c r="AR253" s="9" t="str">
        <f t="shared" si="66"/>
        <v xml:space="preserve">冷却缩减 {0}%
移动速度  + {1}%
暴击伤害  + {2}%
概率重置冲刺CD  + {3}%
冲刺距离  + {4}
</v>
      </c>
      <c r="AS253" s="109" t="str">
        <f t="shared" si="59"/>
        <v>冷却缩减 {0}%
移动速度  + {1}%
暴击伤害  + {2}%
概率重置冲刺CD  + {3}%
冲刺距离  + {4}</v>
      </c>
      <c r="AY253" s="94" t="s">
        <v>2905</v>
      </c>
      <c r="BE253" s="46" t="s">
        <v>3109</v>
      </c>
      <c r="BF253" s="46" t="s">
        <v>3135</v>
      </c>
      <c r="BG253" s="52" t="s">
        <v>3110</v>
      </c>
      <c r="BH253" s="59">
        <v>0.5</v>
      </c>
      <c r="BI253" s="59">
        <f t="shared" si="140"/>
        <v>1.7441860465116279E-2</v>
      </c>
      <c r="BJ253" s="59"/>
      <c r="BK253" s="18">
        <v>2</v>
      </c>
    </row>
    <row r="254" spans="2:63" ht="15.75" x14ac:dyDescent="0.3">
      <c r="B254" s="143"/>
      <c r="C254" s="104">
        <v>30006</v>
      </c>
      <c r="D254" s="104" t="s">
        <v>2879</v>
      </c>
      <c r="E254" s="104"/>
      <c r="F254" s="104" t="s">
        <v>43</v>
      </c>
      <c r="G254" s="104"/>
      <c r="H254" s="105">
        <f t="shared" si="127"/>
        <v>11</v>
      </c>
      <c r="I254" s="106" t="s">
        <v>3136</v>
      </c>
      <c r="J254" s="106">
        <v>3</v>
      </c>
      <c r="K254" s="106">
        <v>0.2</v>
      </c>
      <c r="L254" s="106" t="s">
        <v>3192</v>
      </c>
      <c r="M254" s="106">
        <v>3</v>
      </c>
      <c r="N254" s="106">
        <v>0.2</v>
      </c>
      <c r="O254" s="106" t="s">
        <v>3154</v>
      </c>
      <c r="P254" s="106">
        <v>3</v>
      </c>
      <c r="Q254" s="106">
        <v>0.2</v>
      </c>
      <c r="R254" s="106" t="s">
        <v>2948</v>
      </c>
      <c r="S254" s="106">
        <v>2</v>
      </c>
      <c r="T254" s="106">
        <v>0.2</v>
      </c>
      <c r="U254" s="106"/>
      <c r="V254" s="106"/>
      <c r="W254" s="106"/>
      <c r="X254" s="106"/>
      <c r="Y254" s="106"/>
      <c r="Z254" s="106"/>
      <c r="AA254" s="71" t="str">
        <f t="shared" si="128"/>
        <v>1:207,24,36,215,24,36,213,24,36,409,8,12,xxxxxx</v>
      </c>
      <c r="AB254" s="108" t="str">
        <f>IF(LEFT(SUBSTITUTE(AA254,"x",""),LEN(SUBSTITUTE(AA254,"x",""))-1)="1","",LEFT(SUBSTITUTE(AA254,"x",""),LEN(SUBSTITUTE(AA254,"x",""))-1))</f>
        <v>1:207,24,36,215,24,36,213,24,36,409,8,12</v>
      </c>
      <c r="AC254" t="str">
        <f t="shared" si="96"/>
        <v>火焰伤害 {0}</v>
      </c>
      <c r="AD254" s="9" t="str">
        <f t="shared" si="129"/>
        <v>闪电伤害%  + {1}</v>
      </c>
      <c r="AE254" s="9" t="str">
        <f t="shared" si="130"/>
        <v>冰霜伤害%  + {2}</v>
      </c>
      <c r="AF254" s="9" t="str">
        <f t="shared" si="131"/>
        <v>冷却缩减%  + {3}</v>
      </c>
      <c r="AG254" s="9" t="str">
        <f t="shared" si="132"/>
        <v>xxx</v>
      </c>
      <c r="AH254" s="9" t="str">
        <f t="shared" si="133"/>
        <v>xxx</v>
      </c>
      <c r="AI254" s="9" t="str">
        <f t="shared" si="134"/>
        <v xml:space="preserve">火焰伤害 {0}
</v>
      </c>
      <c r="AJ254" s="9" t="str">
        <f t="shared" si="135"/>
        <v xml:space="preserve">闪电伤害  + {1}%
</v>
      </c>
      <c r="AK254" s="9" t="str">
        <f t="shared" si="136"/>
        <v xml:space="preserve">冰霜伤害  + {2}%
</v>
      </c>
      <c r="AL254" s="9" t="str">
        <f t="shared" si="137"/>
        <v xml:space="preserve">冷却缩减  + {3}%
</v>
      </c>
      <c r="AM254" s="9" t="str">
        <f t="shared" si="138"/>
        <v>xxx</v>
      </c>
      <c r="AN254" s="9" t="str">
        <f t="shared" si="139"/>
        <v>xxx</v>
      </c>
      <c r="AO254" s="9" t="str">
        <f t="shared" si="64"/>
        <v>火焰伤害 {0}
闪电伤害  + {1}%
冰霜伤害  + {2}%
冷却缩减  + {3}%
xxxxxx</v>
      </c>
      <c r="AP254" s="9" t="str">
        <f t="shared" si="65"/>
        <v xml:space="preserve">火焰伤害 {0}
闪电伤害  + {1}%
冰霜伤害  + {2}%
冷却缩减  + {3}%
</v>
      </c>
      <c r="AQ254" s="9" t="s">
        <v>3771</v>
      </c>
      <c r="AR254" s="9" t="str">
        <f t="shared" si="66"/>
        <v xml:space="preserve">火焰伤害 {0}
闪电伤害  + {1}%
冰霜伤害  + {2}%
冷却缩减  + {3}%
</v>
      </c>
      <c r="AS254" s="109" t="str">
        <f t="shared" si="59"/>
        <v>火焰伤害 {0}
闪电伤害  + {1}%
冰霜伤害  + {2}%
冷却缩减  + {3}%</v>
      </c>
      <c r="AY254" s="94" t="s">
        <v>3845</v>
      </c>
      <c r="BE254" s="55" t="s">
        <v>3111</v>
      </c>
      <c r="BF254" s="46" t="s">
        <v>3054</v>
      </c>
      <c r="BG254" s="52" t="s">
        <v>3112</v>
      </c>
      <c r="BH254" s="59">
        <v>0.1</v>
      </c>
      <c r="BI254" s="59">
        <f t="shared" si="140"/>
        <v>0</v>
      </c>
      <c r="BJ254" s="59"/>
      <c r="BK254" s="18">
        <v>2</v>
      </c>
    </row>
    <row r="255" spans="2:63" ht="15.75" customHeight="1" x14ac:dyDescent="0.3">
      <c r="B255" s="143" t="s">
        <v>3775</v>
      </c>
      <c r="C255" s="104">
        <v>30007</v>
      </c>
      <c r="D255" s="104" t="s">
        <v>3753</v>
      </c>
      <c r="E255" s="104"/>
      <c r="F255" s="104" t="s">
        <v>44</v>
      </c>
      <c r="G255" s="104"/>
      <c r="H255" s="105">
        <f t="shared" si="127"/>
        <v>10</v>
      </c>
      <c r="I255" s="106" t="s">
        <v>3201</v>
      </c>
      <c r="J255" s="106">
        <v>3</v>
      </c>
      <c r="K255" s="106">
        <v>0.2</v>
      </c>
      <c r="L255" s="106" t="s">
        <v>3156</v>
      </c>
      <c r="M255" s="106">
        <v>3</v>
      </c>
      <c r="N255" s="106">
        <v>0.2</v>
      </c>
      <c r="O255" s="106" t="s">
        <v>3231</v>
      </c>
      <c r="P255" s="106">
        <v>2</v>
      </c>
      <c r="Q255" s="106">
        <v>0.2</v>
      </c>
      <c r="R255" s="106" t="s">
        <v>3755</v>
      </c>
      <c r="S255" s="106">
        <v>1</v>
      </c>
      <c r="T255" s="106">
        <v>0.2</v>
      </c>
      <c r="U255" s="106" t="s">
        <v>3756</v>
      </c>
      <c r="V255" s="106">
        <v>1</v>
      </c>
      <c r="W255" s="106">
        <v>0.2</v>
      </c>
      <c r="X255" s="106"/>
      <c r="Y255" s="106"/>
      <c r="Z255" s="106"/>
      <c r="AA255" s="71" t="str">
        <f t="shared" si="128"/>
        <v>1:211,24,36,217,24,36,101,16,24,201,4,6,219,8,12,xxx</v>
      </c>
      <c r="AB255" s="108" t="str">
        <f t="shared" si="60"/>
        <v>1:211,24,36,217,24,36,101,16,24,201,4,6,219,8,12</v>
      </c>
      <c r="AC255" t="str">
        <f t="shared" si="96"/>
        <v>物理伤害% {0}</v>
      </c>
      <c r="AD255" s="9" t="str">
        <f t="shared" si="129"/>
        <v>攻击速度%  + {1}</v>
      </c>
      <c r="AE255" s="9" t="str">
        <f t="shared" si="130"/>
        <v>力量  + {2}</v>
      </c>
      <c r="AF255" s="9" t="str">
        <f t="shared" si="131"/>
        <v>攻击力  + {3}</v>
      </c>
      <c r="AG255" s="9" t="str">
        <f t="shared" si="132"/>
        <v>暴击几率%  + {4}</v>
      </c>
      <c r="AH255" s="9" t="str">
        <f t="shared" si="133"/>
        <v>xxx</v>
      </c>
      <c r="AI255" s="9" t="str">
        <f t="shared" si="134"/>
        <v xml:space="preserve">物理伤害 {0}%
</v>
      </c>
      <c r="AJ255" s="9" t="str">
        <f t="shared" si="135"/>
        <v xml:space="preserve">攻击速度  + {1}%
</v>
      </c>
      <c r="AK255" s="9" t="str">
        <f t="shared" si="136"/>
        <v xml:space="preserve">力量  + {2}
</v>
      </c>
      <c r="AL255" s="9" t="str">
        <f t="shared" si="137"/>
        <v xml:space="preserve">攻击力  + {3}
</v>
      </c>
      <c r="AM255" s="9" t="str">
        <f t="shared" si="138"/>
        <v xml:space="preserve">暴击几率  + {4}%
</v>
      </c>
      <c r="AN255" s="9" t="str">
        <f t="shared" si="139"/>
        <v>xxx</v>
      </c>
      <c r="AO255" s="9" t="str">
        <f t="shared" si="64"/>
        <v>物理伤害 {0}%
攻击速度  + {1}%
力量  + {2}
攻击力  + {3}
暴击几率  + {4}%
xxx</v>
      </c>
      <c r="AP255" s="9" t="str">
        <f t="shared" si="65"/>
        <v xml:space="preserve">物理伤害 {0}%
攻击速度  + {1}%
力量  + {2}
攻击力  + {3}
暴击几率  + {4}%
</v>
      </c>
      <c r="AQ255" s="9" t="s">
        <v>3772</v>
      </c>
      <c r="AR255" s="9" t="str">
        <f t="shared" si="66"/>
        <v xml:space="preserve">物理伤害 {0}%
攻击速度  + {1}%
力量  + {2}
攻击力  + {3}
暴击几率  + {4}%
</v>
      </c>
      <c r="AS255" s="109" t="str">
        <f t="shared" si="59"/>
        <v>物理伤害 {0}%
攻击速度  + {1}%
力量  + {2}
攻击力  + {3}
暴击几率  + {4}%</v>
      </c>
      <c r="AY255" s="94" t="s">
        <v>3846</v>
      </c>
      <c r="BE255" s="55" t="s">
        <v>3113</v>
      </c>
      <c r="BF255" s="46" t="s">
        <v>3069</v>
      </c>
      <c r="BG255" s="52" t="s">
        <v>3114</v>
      </c>
      <c r="BH255" s="59">
        <v>5</v>
      </c>
      <c r="BI255" s="59">
        <f t="shared" si="140"/>
        <v>0</v>
      </c>
      <c r="BJ255" s="59"/>
      <c r="BK255" s="18">
        <v>1</v>
      </c>
    </row>
    <row r="256" spans="2:63" ht="15.75" x14ac:dyDescent="0.3">
      <c r="B256" s="143"/>
      <c r="C256" s="104">
        <v>30008</v>
      </c>
      <c r="D256" s="104" t="s">
        <v>2880</v>
      </c>
      <c r="E256" s="104"/>
      <c r="F256" s="104" t="s">
        <v>37</v>
      </c>
      <c r="G256" s="104"/>
      <c r="H256" s="105">
        <f t="shared" si="127"/>
        <v>9</v>
      </c>
      <c r="I256" s="106" t="s">
        <v>3172</v>
      </c>
      <c r="J256" s="106">
        <v>2</v>
      </c>
      <c r="K256" s="106">
        <v>0.2</v>
      </c>
      <c r="L256" s="106" t="s">
        <v>3231</v>
      </c>
      <c r="M256" s="106">
        <v>3</v>
      </c>
      <c r="N256" s="106">
        <v>0.2</v>
      </c>
      <c r="O256" s="106" t="s">
        <v>3002</v>
      </c>
      <c r="P256" s="106">
        <v>2</v>
      </c>
      <c r="Q256" s="106">
        <v>0.2</v>
      </c>
      <c r="R256" s="106" t="s">
        <v>3004</v>
      </c>
      <c r="S256" s="106">
        <v>2</v>
      </c>
      <c r="T256" s="106">
        <v>0.2</v>
      </c>
      <c r="U256" s="106"/>
      <c r="V256" s="106"/>
      <c r="W256" s="106"/>
      <c r="X256" s="106"/>
      <c r="Y256" s="106"/>
      <c r="Z256" s="106"/>
      <c r="AA256" s="71" t="str">
        <f t="shared" si="128"/>
        <v>1:413,16,24,101,24,36,300,32,48,303,0.8,1.2,xxxxxx</v>
      </c>
      <c r="AB256" s="108" t="str">
        <f t="shared" si="60"/>
        <v>1:413,16,24,101,24,36,300,32,48,303,0.8,1.2</v>
      </c>
      <c r="AC256" t="str">
        <f t="shared" si="96"/>
        <v>荆棘 {0}</v>
      </c>
      <c r="AD256" s="9" t="str">
        <f t="shared" si="129"/>
        <v>力量  + {1}</v>
      </c>
      <c r="AE256" s="9" t="str">
        <f t="shared" si="130"/>
        <v>最大生命值  + {2}</v>
      </c>
      <c r="AF256" s="9" t="str">
        <f t="shared" si="131"/>
        <v>生命回复  + {3}</v>
      </c>
      <c r="AG256" s="9" t="str">
        <f t="shared" si="132"/>
        <v>xxx</v>
      </c>
      <c r="AH256" s="9" t="str">
        <f t="shared" si="133"/>
        <v>xxx</v>
      </c>
      <c r="AI256" s="9" t="str">
        <f t="shared" si="134"/>
        <v xml:space="preserve">荆棘 {0}
</v>
      </c>
      <c r="AJ256" s="9" t="str">
        <f t="shared" si="135"/>
        <v xml:space="preserve">力量  + {1}
</v>
      </c>
      <c r="AK256" s="9" t="str">
        <f t="shared" si="136"/>
        <v xml:space="preserve">最大生命值  + {2}
</v>
      </c>
      <c r="AL256" s="9" t="str">
        <f t="shared" si="137"/>
        <v xml:space="preserve">生命回复  + {3}
</v>
      </c>
      <c r="AM256" s="9" t="str">
        <f t="shared" si="138"/>
        <v>xxx</v>
      </c>
      <c r="AN256" s="9" t="str">
        <f t="shared" si="139"/>
        <v>xxx</v>
      </c>
      <c r="AO256" s="9" t="str">
        <f t="shared" si="64"/>
        <v>荆棘 {0}
力量  + {1}
最大生命值  + {2}
生命回复  + {3}
xxxxxx</v>
      </c>
      <c r="AP256" s="9" t="str">
        <f t="shared" si="65"/>
        <v xml:space="preserve">荆棘 {0}
力量  + {1}
最大生命值  + {2}
生命回复  + {3}
</v>
      </c>
      <c r="AQ256" s="9" t="s">
        <v>3773</v>
      </c>
      <c r="AR256" s="9" t="str">
        <f t="shared" si="66"/>
        <v xml:space="preserve">荆棘 {0}
力量  + {1}
最大生命值  + {2}
生命回复  + {3}
</v>
      </c>
      <c r="AS256" s="109" t="str">
        <f>IF(AR256&lt;&gt;AQ256,IF(ISNUMBER(SEARCH(CHAR(10),AR256)),SUBSTITUTE(AR256,CHAR(10),"",LEN(AR256)-LEN(SUBSTITUTE(AR256,CHAR(10),""))),AR256),AR256)</f>
        <v>荆棘 {0}
力量  + {1}
最大生命值  + {2}
生命回复  + {3}</v>
      </c>
      <c r="AY256" s="94" t="s">
        <v>3847</v>
      </c>
      <c r="BE256" s="55" t="s">
        <v>3115</v>
      </c>
      <c r="BF256" s="46" t="s">
        <v>3054</v>
      </c>
      <c r="BG256" s="52" t="s">
        <v>3116</v>
      </c>
      <c r="BH256" s="59">
        <v>1</v>
      </c>
      <c r="BI256" s="59">
        <f t="shared" si="140"/>
        <v>0</v>
      </c>
      <c r="BJ256" s="59"/>
      <c r="BK256" s="18">
        <v>2</v>
      </c>
    </row>
    <row r="257" spans="2:63" ht="15.75" x14ac:dyDescent="0.3">
      <c r="B257" s="143"/>
      <c r="C257" s="104">
        <v>30009</v>
      </c>
      <c r="D257" s="104" t="s">
        <v>2881</v>
      </c>
      <c r="E257" s="104"/>
      <c r="F257" s="104" t="s">
        <v>38</v>
      </c>
      <c r="G257" s="104"/>
      <c r="H257" s="105">
        <f t="shared" si="127"/>
        <v>9.5</v>
      </c>
      <c r="I257" s="106" t="s">
        <v>3197</v>
      </c>
      <c r="J257" s="106">
        <v>2</v>
      </c>
      <c r="K257" s="106">
        <v>0.2</v>
      </c>
      <c r="L257" s="106" t="s">
        <v>3014</v>
      </c>
      <c r="M257" s="106">
        <v>1</v>
      </c>
      <c r="N257" s="106">
        <v>0.2</v>
      </c>
      <c r="O257" s="106" t="s">
        <v>3021</v>
      </c>
      <c r="P257" s="106">
        <v>1</v>
      </c>
      <c r="Q257" s="106">
        <v>0.2</v>
      </c>
      <c r="R257" s="106" t="s">
        <v>3205</v>
      </c>
      <c r="S257" s="106">
        <v>2</v>
      </c>
      <c r="T257" s="106">
        <v>0.2</v>
      </c>
      <c r="U257" s="106" t="s">
        <v>3181</v>
      </c>
      <c r="V257" s="106">
        <v>1.5</v>
      </c>
      <c r="W257" s="106">
        <v>0.2</v>
      </c>
      <c r="X257" s="106" t="s">
        <v>3221</v>
      </c>
      <c r="Y257" s="106">
        <v>2</v>
      </c>
      <c r="Z257" s="106">
        <v>0.2</v>
      </c>
      <c r="AA257" s="71" t="str">
        <f t="shared" si="128"/>
        <v>1:321,8,12,324,0.2,0.3,331,8,12,330,16,24,412,12,18,313,16,24,</v>
      </c>
      <c r="AB257" s="108" t="str">
        <f t="shared" si="60"/>
        <v>1:321,8,12,324,0.2,0.3,331,8,12,330,16,24,412,12,18,313,16,24</v>
      </c>
      <c r="AC257" t="str">
        <f t="shared" si="96"/>
        <v>所有伤害减免% {0}</v>
      </c>
      <c r="AD257" s="9" t="str">
        <f t="shared" si="129"/>
        <v>百分比回复最大生命值  + {1}</v>
      </c>
      <c r="AE257" s="9" t="str">
        <f t="shared" si="130"/>
        <v>暴击抗性  + {2}</v>
      </c>
      <c r="AF257" s="9" t="str">
        <f t="shared" si="131"/>
        <v>受到异常时间提升  + {3}</v>
      </c>
      <c r="AG257" s="9" t="str">
        <f t="shared" si="132"/>
        <v>移动速度%  + {4}</v>
      </c>
      <c r="AH257" s="9" t="str">
        <f t="shared" si="133"/>
        <v>格挡几率%  + {5}</v>
      </c>
      <c r="AI257" s="9" t="str">
        <f t="shared" si="134"/>
        <v xml:space="preserve">所有伤害减免 {0}%
</v>
      </c>
      <c r="AJ257" s="9" t="str">
        <f t="shared" si="135"/>
        <v xml:space="preserve">百分比回复最大生命值  + {1}%
</v>
      </c>
      <c r="AK257" s="9" t="str">
        <f t="shared" si="136"/>
        <v xml:space="preserve">暴击抗性  + {2}%
</v>
      </c>
      <c r="AL257" s="9" t="str">
        <f t="shared" si="137"/>
        <v xml:space="preserve">受到异常时间提升  + {3}%
</v>
      </c>
      <c r="AM257" s="9" t="str">
        <f t="shared" si="138"/>
        <v xml:space="preserve">移动速度  + {4}%
</v>
      </c>
      <c r="AN257" s="9" t="str">
        <f t="shared" si="139"/>
        <v xml:space="preserve">格挡几率  + {5}%
</v>
      </c>
      <c r="AO257" s="9" t="str">
        <f t="shared" si="64"/>
        <v xml:space="preserve">所有伤害减免 {0}%
百分比回复最大生命值  + {1}%
暴击抗性  + {2}%
受到异常时间提升  + {3}%
移动速度  + {4}%
格挡几率  + {5}%
</v>
      </c>
      <c r="AP257" s="9" t="str">
        <f t="shared" si="65"/>
        <v xml:space="preserve">所有伤害减免 {0}%
百分比回复最大生命值  + {1}%
暴击抗性  + {2}%
受到异常时间提升  + {3}%
移动速度  + {4}%
格挡几率  + {5}%
</v>
      </c>
      <c r="AQ257" s="9" t="s">
        <v>3783</v>
      </c>
      <c r="AR257" s="9" t="str">
        <f t="shared" si="66"/>
        <v xml:space="preserve">所有伤害减免 {0}%
百分比回复最大生命值  + {1}%
暴击抗性  + {2}%
受到异常时间提升  + {3}%
移动速度  + {4}%
格挡几率  + {5}%
</v>
      </c>
      <c r="AS257" s="109" t="str">
        <f t="shared" ref="AS257:AS307" si="141">IF(AR257&lt;&gt;AQ257,IF(ISNUMBER(SEARCH(CHAR(10),AR257)),SUBSTITUTE(AR257,CHAR(10),"",LEN(AR257)-LEN(SUBSTITUTE(AR257,CHAR(10),""))),AR257),AR257)</f>
        <v>所有伤害减免 {0}%
百分比回复最大生命值  + {1}%
暴击抗性  + {2}%
受到异常时间提升  + {3}%
移动速度  + {4}%
格挡几率  + {5}%</v>
      </c>
      <c r="AY257" s="94" t="s">
        <v>2907</v>
      </c>
      <c r="BE257" s="55" t="s">
        <v>3117</v>
      </c>
      <c r="BF257" s="46" t="s">
        <v>3054</v>
      </c>
      <c r="BG257" s="52" t="s">
        <v>3118</v>
      </c>
      <c r="BH257" s="59">
        <v>1</v>
      </c>
      <c r="BI257" s="59">
        <f t="shared" si="140"/>
        <v>1.7441860465116279E-2</v>
      </c>
      <c r="BJ257" s="59"/>
      <c r="BK257" s="18">
        <v>1</v>
      </c>
    </row>
    <row r="258" spans="2:63" ht="15.75" x14ac:dyDescent="0.3">
      <c r="B258" s="143"/>
      <c r="C258" s="104">
        <v>30010</v>
      </c>
      <c r="D258" s="104" t="s">
        <v>2882</v>
      </c>
      <c r="E258" s="104"/>
      <c r="F258" s="104" t="s">
        <v>39</v>
      </c>
      <c r="G258" s="104"/>
      <c r="H258" s="105">
        <f t="shared" si="127"/>
        <v>5</v>
      </c>
      <c r="I258" s="106" t="s">
        <v>3202</v>
      </c>
      <c r="J258" s="106">
        <v>2</v>
      </c>
      <c r="K258" s="106">
        <v>0.2</v>
      </c>
      <c r="L258" s="106" t="s">
        <v>3056</v>
      </c>
      <c r="M258" s="106">
        <v>1</v>
      </c>
      <c r="N258" s="106">
        <v>0.2</v>
      </c>
      <c r="O258" s="106" t="s">
        <v>3200</v>
      </c>
      <c r="P258" s="106">
        <v>2</v>
      </c>
      <c r="Q258" s="106">
        <v>0.2</v>
      </c>
      <c r="R258" s="106"/>
      <c r="S258" s="106"/>
      <c r="T258" s="106"/>
      <c r="U258" s="106"/>
      <c r="V258" s="106"/>
      <c r="W258" s="106"/>
      <c r="X258" s="106"/>
      <c r="Y258" s="106"/>
      <c r="Z258" s="106"/>
      <c r="AA258" s="107" t="str">
        <f t="shared" si="128"/>
        <v>1:430,16,24,506,0.2,0.3,202,16,24,xxxxxxxxx</v>
      </c>
      <c r="AB258" s="108" t="str">
        <f t="shared" si="60"/>
        <v>1:430,16,24,506,0.2,0.3,202,16,24</v>
      </c>
      <c r="AC258" t="str">
        <f t="shared" si="96"/>
        <v>近战技能范围% {0}</v>
      </c>
      <c r="AD258" s="9" t="str">
        <f t="shared" si="129"/>
        <v>攻击回血  + {1}</v>
      </c>
      <c r="AE258" s="9" t="str">
        <f t="shared" si="130"/>
        <v>所有伤害增加%  + {2}</v>
      </c>
      <c r="AF258" s="9" t="str">
        <f t="shared" si="131"/>
        <v>xxx</v>
      </c>
      <c r="AG258" s="9" t="str">
        <f t="shared" si="132"/>
        <v>xxx</v>
      </c>
      <c r="AH258" s="9" t="str">
        <f t="shared" si="133"/>
        <v>xxx</v>
      </c>
      <c r="AI258" s="9" t="str">
        <f t="shared" si="134"/>
        <v xml:space="preserve">近战技能范围 {0}%
</v>
      </c>
      <c r="AJ258" s="9" t="str">
        <f t="shared" si="135"/>
        <v xml:space="preserve">攻击回血  + {1}
</v>
      </c>
      <c r="AK258" s="9" t="str">
        <f t="shared" si="136"/>
        <v xml:space="preserve">所有伤害增加  + {2}%
</v>
      </c>
      <c r="AL258" s="9" t="str">
        <f t="shared" si="137"/>
        <v>xxx</v>
      </c>
      <c r="AM258" s="9" t="str">
        <f t="shared" si="138"/>
        <v>xxx</v>
      </c>
      <c r="AN258" s="9" t="str">
        <f t="shared" si="139"/>
        <v>xxx</v>
      </c>
      <c r="AO258" s="9" t="str">
        <f t="shared" si="64"/>
        <v>近战技能范围 {0}%
攻击回血  + {1}
所有伤害增加  + {2}%
xxxxxxxxx</v>
      </c>
      <c r="AP258" s="9" t="str">
        <f t="shared" si="65"/>
        <v xml:space="preserve">近战技能范围 {0}%
攻击回血  + {1}
所有伤害增加  + {2}%
</v>
      </c>
      <c r="AQ258" s="9" t="s">
        <v>3784</v>
      </c>
      <c r="AR258" s="9" t="str">
        <f t="shared" si="66"/>
        <v xml:space="preserve">近战技能范围 {0}%
攻击回血  + {1}
所有伤害增加  + {2}%
</v>
      </c>
      <c r="AS258" s="109" t="str">
        <f t="shared" si="141"/>
        <v>近战技能范围 {0}%
攻击回血  + {1}
所有伤害增加  + {2}%</v>
      </c>
      <c r="AY258" s="94" t="s">
        <v>2908</v>
      </c>
      <c r="BE258" s="55" t="s">
        <v>3119</v>
      </c>
      <c r="BF258" s="46" t="s">
        <v>3054</v>
      </c>
      <c r="BG258" s="52" t="s">
        <v>3120</v>
      </c>
      <c r="BH258" s="59">
        <v>0.05</v>
      </c>
      <c r="BI258" s="59">
        <f t="shared" si="140"/>
        <v>0</v>
      </c>
      <c r="BJ258" s="59"/>
      <c r="BK258" s="18">
        <v>2</v>
      </c>
    </row>
    <row r="259" spans="2:63" ht="15.75" x14ac:dyDescent="0.3">
      <c r="B259" s="143"/>
      <c r="C259" s="104">
        <v>30011</v>
      </c>
      <c r="D259" s="104" t="s">
        <v>2883</v>
      </c>
      <c r="E259" s="104"/>
      <c r="F259" s="104" t="s">
        <v>40</v>
      </c>
      <c r="G259" s="104"/>
      <c r="H259" s="105">
        <f t="shared" si="127"/>
        <v>7</v>
      </c>
      <c r="I259" s="106" t="s">
        <v>2976</v>
      </c>
      <c r="J259" s="106">
        <v>2</v>
      </c>
      <c r="K259" s="106">
        <v>0.2</v>
      </c>
      <c r="L259" s="106" t="s">
        <v>3167</v>
      </c>
      <c r="M259" s="106">
        <v>3</v>
      </c>
      <c r="N259" s="106">
        <v>0.2</v>
      </c>
      <c r="O259" s="106" t="s">
        <v>3181</v>
      </c>
      <c r="P259" s="106">
        <v>2</v>
      </c>
      <c r="Q259" s="106">
        <v>0.2</v>
      </c>
      <c r="R259" s="106"/>
      <c r="S259" s="106"/>
      <c r="T259" s="106"/>
      <c r="U259" s="106"/>
      <c r="V259" s="106"/>
      <c r="W259" s="106"/>
      <c r="X259" s="106"/>
      <c r="Y259" s="106"/>
      <c r="Z259" s="106"/>
      <c r="AA259" s="107" t="str">
        <f t="shared" si="128"/>
        <v>1:227,8,12,102,24,36,412,16,24,xxxxxxxxx</v>
      </c>
      <c r="AB259" s="108" t="str">
        <f t="shared" si="60"/>
        <v>1:227,8,12,102,24,36,412,16,24</v>
      </c>
      <c r="AC259" t="str">
        <f t="shared" si="96"/>
        <v>物理减抗% {0}</v>
      </c>
      <c r="AD259" s="9" t="str">
        <f t="shared" si="129"/>
        <v>敏捷  + {1}</v>
      </c>
      <c r="AE259" s="9" t="str">
        <f t="shared" si="130"/>
        <v>移动速度%  + {2}</v>
      </c>
      <c r="AF259" s="9" t="str">
        <f t="shared" si="131"/>
        <v>xxx</v>
      </c>
      <c r="AG259" s="9" t="str">
        <f t="shared" si="132"/>
        <v>xxx</v>
      </c>
      <c r="AH259" s="9" t="str">
        <f t="shared" si="133"/>
        <v>xxx</v>
      </c>
      <c r="AI259" s="9" t="str">
        <f t="shared" si="134"/>
        <v xml:space="preserve">物理减抗 {0}%
</v>
      </c>
      <c r="AJ259" s="9" t="str">
        <f t="shared" si="135"/>
        <v xml:space="preserve">敏捷  + {1}
</v>
      </c>
      <c r="AK259" s="9" t="str">
        <f t="shared" si="136"/>
        <v xml:space="preserve">移动速度  + {2}%
</v>
      </c>
      <c r="AL259" s="9" t="str">
        <f t="shared" si="137"/>
        <v>xxx</v>
      </c>
      <c r="AM259" s="9" t="str">
        <f t="shared" si="138"/>
        <v>xxx</v>
      </c>
      <c r="AN259" s="9" t="str">
        <f t="shared" si="139"/>
        <v>xxx</v>
      </c>
      <c r="AO259" s="9" t="str">
        <f t="shared" si="64"/>
        <v>物理减抗 {0}%
敏捷  + {1}
移动速度  + {2}%
xxxxxxxxx</v>
      </c>
      <c r="AP259" s="9" t="str">
        <f t="shared" si="65"/>
        <v xml:space="preserve">物理减抗 {0}%
敏捷  + {1}
移动速度  + {2}%
</v>
      </c>
      <c r="AQ259" s="9" t="s">
        <v>3785</v>
      </c>
      <c r="AR259" s="9" t="str">
        <f t="shared" si="66"/>
        <v xml:space="preserve">物理减抗 {0}%
敏捷  + {1}
移动速度  + {2}%
</v>
      </c>
      <c r="AS259" s="109" t="str">
        <f t="shared" si="141"/>
        <v>物理减抗 {0}%
敏捷  + {1}
移动速度  + {2}%</v>
      </c>
      <c r="AY259" s="94" t="s">
        <v>2909</v>
      </c>
      <c r="BE259" s="55" t="s">
        <v>3121</v>
      </c>
      <c r="BF259" s="46" t="s">
        <v>3054</v>
      </c>
      <c r="BG259" s="52" t="s">
        <v>3122</v>
      </c>
      <c r="BH259" s="59">
        <v>25</v>
      </c>
      <c r="BI259" s="59">
        <f t="shared" si="140"/>
        <v>5.8139534883720929E-3</v>
      </c>
      <c r="BJ259" s="59"/>
      <c r="BK259" s="18">
        <v>2</v>
      </c>
    </row>
    <row r="260" spans="2:63" ht="15.75" x14ac:dyDescent="0.3">
      <c r="B260" s="143"/>
      <c r="C260" s="104">
        <v>30012</v>
      </c>
      <c r="D260" s="104" t="s">
        <v>2884</v>
      </c>
      <c r="E260" s="104"/>
      <c r="F260" s="104" t="s">
        <v>41</v>
      </c>
      <c r="G260" s="104"/>
      <c r="H260" s="105">
        <f t="shared" si="127"/>
        <v>7</v>
      </c>
      <c r="I260" s="106" t="s">
        <v>3113</v>
      </c>
      <c r="J260" s="106">
        <v>2</v>
      </c>
      <c r="K260" s="106">
        <v>0.2</v>
      </c>
      <c r="L260" s="106" t="s">
        <v>3217</v>
      </c>
      <c r="M260" s="106">
        <v>3</v>
      </c>
      <c r="N260" s="106">
        <v>0.2</v>
      </c>
      <c r="O260" s="106" t="s">
        <v>3170</v>
      </c>
      <c r="P260" s="106">
        <v>2</v>
      </c>
      <c r="Q260" s="106">
        <v>0.2</v>
      </c>
      <c r="R260" s="106"/>
      <c r="S260" s="106"/>
      <c r="T260" s="106"/>
      <c r="U260" s="106"/>
      <c r="V260" s="106"/>
      <c r="W260" s="106"/>
      <c r="X260" s="106"/>
      <c r="Y260" s="106"/>
      <c r="Z260" s="106"/>
      <c r="AA260" s="107" t="str">
        <f t="shared" si="128"/>
        <v>1:815,8,12,302,24,36,311,8,12,xxxxxxxxx</v>
      </c>
      <c r="AB260" s="108" t="str">
        <f t="shared" si="60"/>
        <v>1:815,8,12,302,24,36,311,8,12</v>
      </c>
      <c r="AC260" t="str">
        <f t="shared" si="96"/>
        <v>回血转回盾 {0}</v>
      </c>
      <c r="AD260" s="9" t="str">
        <f t="shared" si="129"/>
        <v>生命值%  + {1}</v>
      </c>
      <c r="AE260" s="9" t="str">
        <f t="shared" si="130"/>
        <v>闪避几率%  + {2}</v>
      </c>
      <c r="AF260" s="9" t="str">
        <f t="shared" si="131"/>
        <v>xxx</v>
      </c>
      <c r="AG260" s="9" t="str">
        <f t="shared" si="132"/>
        <v>xxx</v>
      </c>
      <c r="AH260" s="9" t="str">
        <f t="shared" si="133"/>
        <v>xxx</v>
      </c>
      <c r="AI260" s="9" t="str">
        <f t="shared" si="134"/>
        <v xml:space="preserve">回血转回盾 {0}
</v>
      </c>
      <c r="AJ260" s="9" t="str">
        <f t="shared" si="135"/>
        <v xml:space="preserve">生命值  + {1}%
</v>
      </c>
      <c r="AK260" s="9" t="str">
        <f t="shared" si="136"/>
        <v xml:space="preserve">闪避几率  + {2}%
</v>
      </c>
      <c r="AL260" s="9" t="str">
        <f t="shared" si="137"/>
        <v>xxx</v>
      </c>
      <c r="AM260" s="9" t="str">
        <f t="shared" si="138"/>
        <v>xxx</v>
      </c>
      <c r="AN260" s="9" t="str">
        <f t="shared" si="139"/>
        <v>xxx</v>
      </c>
      <c r="AO260" s="9" t="str">
        <f t="shared" si="64"/>
        <v>回血转回盾 {0}
生命值  + {1}%
闪避几率  + {2}%
xxxxxxxxx</v>
      </c>
      <c r="AP260" s="9" t="str">
        <f t="shared" si="65"/>
        <v xml:space="preserve">回血转回盾 {0}
生命值  + {1}%
闪避几率  + {2}%
</v>
      </c>
      <c r="AQ260" s="9" t="s">
        <v>3786</v>
      </c>
      <c r="AR260" s="9" t="str">
        <f t="shared" si="66"/>
        <v xml:space="preserve">回血转回盾 {0}
生命值  + {1}%
闪避几率  + {2}%
</v>
      </c>
      <c r="AS260" s="109" t="str">
        <f t="shared" si="141"/>
        <v>回血转回盾 {0}
生命值  + {1}%
闪避几率  + {2}%</v>
      </c>
      <c r="AY260" s="94" t="s">
        <v>2910</v>
      </c>
      <c r="BE260" s="55" t="s">
        <v>3123</v>
      </c>
      <c r="BF260" s="46" t="s">
        <v>3054</v>
      </c>
      <c r="BG260" s="52" t="s">
        <v>3124</v>
      </c>
      <c r="BH260" s="59">
        <v>1</v>
      </c>
      <c r="BI260" s="59">
        <f t="shared" si="140"/>
        <v>5.8139534883720929E-3</v>
      </c>
      <c r="BJ260" s="59"/>
      <c r="BK260" s="18">
        <v>2</v>
      </c>
    </row>
    <row r="261" spans="2:63" ht="14.25" customHeight="1" x14ac:dyDescent="0.2">
      <c r="B261" s="143" t="s">
        <v>3480</v>
      </c>
      <c r="C261" s="104">
        <v>30013</v>
      </c>
      <c r="D261" s="104" t="s">
        <v>3481</v>
      </c>
      <c r="E261" s="104"/>
      <c r="F261" s="104" t="s">
        <v>3733</v>
      </c>
      <c r="G261" s="104"/>
      <c r="H261" s="105">
        <f t="shared" si="127"/>
        <v>13</v>
      </c>
      <c r="I261" s="106" t="s">
        <v>3756</v>
      </c>
      <c r="J261" s="106">
        <v>2</v>
      </c>
      <c r="K261" s="106">
        <v>0.2</v>
      </c>
      <c r="L261" s="106" t="s">
        <v>3138</v>
      </c>
      <c r="M261" s="106">
        <v>5</v>
      </c>
      <c r="N261" s="106">
        <v>0.2</v>
      </c>
      <c r="O261" s="106" t="s">
        <v>2985</v>
      </c>
      <c r="P261" s="106">
        <v>2</v>
      </c>
      <c r="Q261" s="106">
        <v>0.2</v>
      </c>
      <c r="R261" s="106" t="s">
        <v>2995</v>
      </c>
      <c r="S261" s="106">
        <v>2</v>
      </c>
      <c r="T261" s="106">
        <v>0.2</v>
      </c>
      <c r="U261" s="106" t="s">
        <v>3756</v>
      </c>
      <c r="V261" s="106">
        <v>2</v>
      </c>
      <c r="W261" s="106">
        <v>0.2</v>
      </c>
      <c r="X261" s="106"/>
      <c r="Y261" s="106"/>
      <c r="Z261" s="106"/>
      <c r="AA261" s="107" t="str">
        <f t="shared" si="128"/>
        <v>1:219,16,24,214,40,60,241,16,24,251,16,24,219,16,24,xxx</v>
      </c>
      <c r="AB261" s="108" t="str">
        <f t="shared" si="60"/>
        <v>1:219,16,24,214,40,60,241,16,24,251,16,24,219,16,24</v>
      </c>
      <c r="AC261" t="str">
        <f t="shared" si="96"/>
        <v>暴击几率% {0}</v>
      </c>
      <c r="AD261" s="9" t="str">
        <f t="shared" si="129"/>
        <v>火焰伤害%  + {1}</v>
      </c>
      <c r="AE261" s="9" t="str">
        <f t="shared" si="130"/>
        <v>灼烧系数  + {2}</v>
      </c>
      <c r="AF261" s="9" t="str">
        <f t="shared" si="131"/>
        <v>施加灼烧时间提升  + {3}</v>
      </c>
      <c r="AG261" s="9" t="str">
        <f t="shared" si="132"/>
        <v>暴击几率%  + {4}</v>
      </c>
      <c r="AH261" s="9" t="str">
        <f t="shared" si="133"/>
        <v>xxx</v>
      </c>
      <c r="AI261" s="9" t="str">
        <f t="shared" si="134"/>
        <v xml:space="preserve">暴击几率 {0}%
</v>
      </c>
      <c r="AJ261" s="9" t="str">
        <f t="shared" si="135"/>
        <v xml:space="preserve">火焰伤害  + {1}%
</v>
      </c>
      <c r="AK261" s="9" t="str">
        <f t="shared" si="136"/>
        <v xml:space="preserve">灼烧系数  + {2}%
</v>
      </c>
      <c r="AL261" s="9" t="str">
        <f t="shared" si="137"/>
        <v xml:space="preserve">施加灼烧时间提升  + {3}%
</v>
      </c>
      <c r="AM261" s="9" t="str">
        <f t="shared" si="138"/>
        <v xml:space="preserve">暴击几率  + {4}%
</v>
      </c>
      <c r="AN261" s="9" t="str">
        <f t="shared" si="139"/>
        <v>xxx</v>
      </c>
      <c r="AO261" s="9" t="str">
        <f t="shared" si="64"/>
        <v>暴击几率 {0}%
火焰伤害  + {1}%
灼烧系数  + {2}%
施加灼烧时间提升  + {3}%
暴击几率  + {4}%
xxx</v>
      </c>
      <c r="AP261" s="9" t="str">
        <f t="shared" si="65"/>
        <v xml:space="preserve">暴击几率 {0}%
火焰伤害  + {1}%
灼烧系数  + {2}%
施加灼烧时间提升  + {3}%
暴击几率  + {4}%
</v>
      </c>
      <c r="AQ261" s="9" t="s">
        <v>3787</v>
      </c>
      <c r="AR261" s="9" t="str">
        <f t="shared" si="66"/>
        <v xml:space="preserve">暴击几率 {0}%
火焰伤害  + {1}%
灼烧系数  + {2}%
施加灼烧时间提升  + {3}%
暴击几率  + {4}%
</v>
      </c>
      <c r="AS261" s="109" t="str">
        <f t="shared" si="141"/>
        <v>暴击几率 {0}%
火焰伤害  + {1}%
灼烧系数  + {2}%
施加灼烧时间提升  + {3}%
暴击几率  + {4}%</v>
      </c>
      <c r="AY261" s="94" t="s">
        <v>3848</v>
      </c>
      <c r="BK261" s="18">
        <v>1</v>
      </c>
    </row>
    <row r="262" spans="2:63" x14ac:dyDescent="0.2">
      <c r="B262" s="143"/>
      <c r="C262" s="104">
        <v>30014</v>
      </c>
      <c r="D262" s="104" t="s">
        <v>3483</v>
      </c>
      <c r="E262" s="104"/>
      <c r="F262" s="104" t="s">
        <v>37</v>
      </c>
      <c r="G262" s="104"/>
      <c r="H262" s="105">
        <f t="shared" si="127"/>
        <v>12</v>
      </c>
      <c r="I262" s="106" t="s">
        <v>3137</v>
      </c>
      <c r="J262" s="106">
        <v>3</v>
      </c>
      <c r="K262" s="106">
        <v>0.2</v>
      </c>
      <c r="L262" s="106" t="s">
        <v>3136</v>
      </c>
      <c r="M262" s="106">
        <v>2</v>
      </c>
      <c r="N262" s="106">
        <v>0.2</v>
      </c>
      <c r="O262" s="106" t="s">
        <v>3139</v>
      </c>
      <c r="P262" s="106">
        <v>2</v>
      </c>
      <c r="Q262" s="106">
        <v>0.2</v>
      </c>
      <c r="R262" s="106" t="s">
        <v>3022</v>
      </c>
      <c r="S262" s="106">
        <v>2</v>
      </c>
      <c r="T262" s="106">
        <v>0.2</v>
      </c>
      <c r="U262" s="106" t="s">
        <v>3197</v>
      </c>
      <c r="V262" s="106">
        <v>1</v>
      </c>
      <c r="W262" s="106">
        <v>0.2</v>
      </c>
      <c r="X262" s="106"/>
      <c r="Y262" s="106">
        <v>2</v>
      </c>
      <c r="Z262" s="106">
        <v>0.2</v>
      </c>
      <c r="AA262" s="107" t="str">
        <f t="shared" si="128"/>
        <v>1:103,24,36,207,16,24,223,8,12,401,16,24,321,4,6,xxx</v>
      </c>
      <c r="AB262" s="108" t="str">
        <f t="shared" si="60"/>
        <v>1:103,24,36,207,16,24,223,8,12,401,16,24,321,4,6</v>
      </c>
      <c r="AC262" t="str">
        <f t="shared" si="96"/>
        <v>智力 {0}</v>
      </c>
      <c r="AD262" s="9" t="str">
        <f t="shared" si="129"/>
        <v>火焰伤害  + {1}</v>
      </c>
      <c r="AE262" s="9" t="str">
        <f t="shared" si="130"/>
        <v>火焰减抗%  + {2}</v>
      </c>
      <c r="AF262" s="9" t="str">
        <f t="shared" si="131"/>
        <v>经验获取%  + {3}</v>
      </c>
      <c r="AG262" s="9" t="str">
        <f t="shared" si="132"/>
        <v>所有伤害减免%  + {4}</v>
      </c>
      <c r="AH262" s="9" t="str">
        <f t="shared" si="133"/>
        <v xml:space="preserve">  + {5}</v>
      </c>
      <c r="AI262" s="9" t="str">
        <f t="shared" si="134"/>
        <v xml:space="preserve">智力 {0}
</v>
      </c>
      <c r="AJ262" s="9" t="str">
        <f t="shared" si="135"/>
        <v xml:space="preserve">火焰伤害  + {1}
</v>
      </c>
      <c r="AK262" s="9" t="str">
        <f t="shared" si="136"/>
        <v xml:space="preserve">火焰减抗  + {2}%
</v>
      </c>
      <c r="AL262" s="9" t="str">
        <f t="shared" si="137"/>
        <v xml:space="preserve">经验获取  + {3}%
</v>
      </c>
      <c r="AM262" s="9" t="str">
        <f t="shared" si="138"/>
        <v xml:space="preserve">所有伤害减免  + {4}%
</v>
      </c>
      <c r="AN262" s="9" t="str">
        <f t="shared" si="139"/>
        <v>xxx</v>
      </c>
      <c r="AO262" s="9" t="str">
        <f t="shared" si="64"/>
        <v>智力 {0}
火焰伤害  + {1}
火焰减抗  + {2}%
经验获取  + {3}%
所有伤害减免  + {4}%
xxx</v>
      </c>
      <c r="AP262" s="9" t="str">
        <f t="shared" si="65"/>
        <v xml:space="preserve">智力 {0}
火焰伤害  + {1}
火焰减抗  + {2}%
经验获取  + {3}%
所有伤害减免  + {4}%
</v>
      </c>
      <c r="AQ262" s="9" t="s">
        <v>3788</v>
      </c>
      <c r="AR262" s="9" t="str">
        <f t="shared" si="66"/>
        <v xml:space="preserve">智力 {0}
火焰伤害  + {1}
火焰减抗  + {2}%
经验获取  + {3}%
所有伤害减免  + {4}%
</v>
      </c>
      <c r="AS262" s="109" t="str">
        <f t="shared" si="141"/>
        <v>智力 {0}
火焰伤害  + {1}
火焰减抗  + {2}%
经验获取  + {3}%
所有伤害减免  + {4}%</v>
      </c>
      <c r="AY262" s="94" t="s">
        <v>3484</v>
      </c>
      <c r="BK262" s="18">
        <v>1</v>
      </c>
    </row>
    <row r="263" spans="2:63" x14ac:dyDescent="0.2">
      <c r="B263" s="143"/>
      <c r="C263" s="104">
        <v>30015</v>
      </c>
      <c r="D263" s="104" t="s">
        <v>3485</v>
      </c>
      <c r="E263" s="104"/>
      <c r="F263" s="104" t="s">
        <v>38</v>
      </c>
      <c r="G263" s="104"/>
      <c r="H263" s="105">
        <f t="shared" si="127"/>
        <v>11</v>
      </c>
      <c r="I263" s="106" t="s">
        <v>3174</v>
      </c>
      <c r="J263" s="106">
        <v>5</v>
      </c>
      <c r="K263" s="106">
        <v>0.2</v>
      </c>
      <c r="L263" s="106" t="s">
        <v>3048</v>
      </c>
      <c r="M263" s="106">
        <v>2</v>
      </c>
      <c r="N263" s="106">
        <v>0.2</v>
      </c>
      <c r="O263" s="106" t="s">
        <v>3049</v>
      </c>
      <c r="P263" s="106">
        <v>2</v>
      </c>
      <c r="Q263" s="106">
        <v>0.2</v>
      </c>
      <c r="R263" s="106" t="s">
        <v>3757</v>
      </c>
      <c r="S263" s="106">
        <v>2</v>
      </c>
      <c r="T263" s="106">
        <v>0.2</v>
      </c>
      <c r="U263" s="106"/>
      <c r="V263" s="106"/>
      <c r="W263" s="106"/>
      <c r="X263" s="106"/>
      <c r="Y263" s="106"/>
      <c r="Z263" s="106"/>
      <c r="AA263" s="107" t="str">
        <f t="shared" si="128"/>
        <v>1:317,40,60,432,16,24,434,16,24,220,32,48,xxxxxx</v>
      </c>
      <c r="AB263" s="108" t="str">
        <f t="shared" si="60"/>
        <v>1:317,40,60,432,16,24,434,16,24,220,32,48</v>
      </c>
      <c r="AC263" t="str">
        <f t="shared" si="96"/>
        <v>火焰抗性% {0}</v>
      </c>
      <c r="AD263" s="9" t="str">
        <f t="shared" si="129"/>
        <v>区域技能范围%   + {1}</v>
      </c>
      <c r="AE263" s="9" t="str">
        <f t="shared" si="130"/>
        <v>子弹技能范围%  + {2}</v>
      </c>
      <c r="AF263" s="9" t="str">
        <f t="shared" si="131"/>
        <v>暴击伤害%  + {3}</v>
      </c>
      <c r="AG263" s="9" t="str">
        <f t="shared" si="132"/>
        <v>xxx</v>
      </c>
      <c r="AH263" s="9" t="str">
        <f t="shared" si="133"/>
        <v>xxx</v>
      </c>
      <c r="AI263" s="9" t="str">
        <f t="shared" si="134"/>
        <v xml:space="preserve">火焰抗性 {0}%
</v>
      </c>
      <c r="AJ263" s="9" t="str">
        <f t="shared" si="135"/>
        <v xml:space="preserve">区域技能范围   + {1}%
</v>
      </c>
      <c r="AK263" s="9" t="str">
        <f t="shared" si="136"/>
        <v xml:space="preserve">子弹技能范围  + {2}%
</v>
      </c>
      <c r="AL263" s="9" t="str">
        <f t="shared" si="137"/>
        <v xml:space="preserve">暴击伤害  + {3}%
</v>
      </c>
      <c r="AM263" s="9" t="str">
        <f t="shared" si="138"/>
        <v>xxx</v>
      </c>
      <c r="AN263" s="9" t="str">
        <f t="shared" si="139"/>
        <v>xxx</v>
      </c>
      <c r="AO263" s="9" t="str">
        <f t="shared" si="64"/>
        <v>火焰抗性 {0}%
区域技能范围   + {1}%
子弹技能范围  + {2}%
暴击伤害  + {3}%
xxxxxx</v>
      </c>
      <c r="AP263" s="9" t="str">
        <f t="shared" si="65"/>
        <v xml:space="preserve">火焰抗性 {0}%
区域技能范围   + {1}%
子弹技能范围  + {2}%
暴击伤害  + {3}%
</v>
      </c>
      <c r="AQ263" s="9" t="s">
        <v>3789</v>
      </c>
      <c r="AR263" s="9" t="str">
        <f t="shared" si="66"/>
        <v xml:space="preserve">火焰抗性 {0}%
区域技能范围   + {1}%
子弹技能范围  + {2}%
暴击伤害  + {3}%
</v>
      </c>
      <c r="AS263" s="109" t="str">
        <f t="shared" si="141"/>
        <v>火焰抗性 {0}%
区域技能范围   + {1}%
子弹技能范围  + {2}%
暴击伤害  + {3}%</v>
      </c>
      <c r="AY263" s="94" t="s">
        <v>3486</v>
      </c>
      <c r="BK263" s="18">
        <v>1</v>
      </c>
    </row>
    <row r="264" spans="2:63" x14ac:dyDescent="0.2">
      <c r="B264" s="143"/>
      <c r="C264" s="104">
        <v>30016</v>
      </c>
      <c r="D264" s="104" t="s">
        <v>3487</v>
      </c>
      <c r="E264" s="104"/>
      <c r="F264" s="104" t="s">
        <v>39</v>
      </c>
      <c r="G264" s="104"/>
      <c r="H264" s="105">
        <f t="shared" si="127"/>
        <v>9</v>
      </c>
      <c r="I264" s="106" t="s">
        <v>3142</v>
      </c>
      <c r="J264" s="106">
        <v>3</v>
      </c>
      <c r="K264" s="106">
        <v>0.2</v>
      </c>
      <c r="L264" s="106" t="s">
        <v>3136</v>
      </c>
      <c r="M264" s="106">
        <v>4</v>
      </c>
      <c r="N264" s="106">
        <v>0.2</v>
      </c>
      <c r="O264" s="106" t="s">
        <v>3152</v>
      </c>
      <c r="P264" s="106">
        <v>2</v>
      </c>
      <c r="Q264" s="106">
        <v>0.2</v>
      </c>
      <c r="R264" s="106"/>
      <c r="S264" s="106"/>
      <c r="T264" s="106"/>
      <c r="U264" s="106"/>
      <c r="V264" s="106"/>
      <c r="W264" s="106"/>
      <c r="X264" s="106"/>
      <c r="Y264" s="106"/>
      <c r="Z264" s="106"/>
      <c r="AA264" s="107" t="str">
        <f t="shared" si="128"/>
        <v>1:237,24,36,207,32,48,409,8,12,xxxxxxxxx</v>
      </c>
      <c r="AB264" s="108" t="str">
        <f t="shared" si="60"/>
        <v>1:237,24,36,207,32,48,409,8,12</v>
      </c>
      <c r="AC264" t="str">
        <f t="shared" si="96"/>
        <v>附加火焰伤害% {0}</v>
      </c>
      <c r="AD264" s="9" t="str">
        <f t="shared" si="129"/>
        <v>火焰伤害  + {1}</v>
      </c>
      <c r="AE264" s="9" t="str">
        <f t="shared" si="130"/>
        <v>冷却缩减%  + {2}</v>
      </c>
      <c r="AF264" s="9" t="str">
        <f t="shared" si="131"/>
        <v>xxx</v>
      </c>
      <c r="AG264" s="9" t="str">
        <f t="shared" si="132"/>
        <v>xxx</v>
      </c>
      <c r="AH264" s="9" t="str">
        <f t="shared" si="133"/>
        <v>xxx</v>
      </c>
      <c r="AI264" s="9" t="str">
        <f t="shared" si="134"/>
        <v xml:space="preserve">附加火焰伤害 {0}%
</v>
      </c>
      <c r="AJ264" s="9" t="str">
        <f t="shared" si="135"/>
        <v xml:space="preserve">火焰伤害  + {1}
</v>
      </c>
      <c r="AK264" s="9" t="str">
        <f t="shared" si="136"/>
        <v xml:space="preserve">冷却缩减  + {2}%
</v>
      </c>
      <c r="AL264" s="9" t="str">
        <f t="shared" si="137"/>
        <v>xxx</v>
      </c>
      <c r="AM264" s="9" t="str">
        <f t="shared" si="138"/>
        <v>xxx</v>
      </c>
      <c r="AN264" s="9" t="str">
        <f t="shared" si="139"/>
        <v>xxx</v>
      </c>
      <c r="AO264" s="9" t="str">
        <f t="shared" si="64"/>
        <v>附加火焰伤害 {0}%
火焰伤害  + {1}
冷却缩减  + {2}%
xxxxxxxxx</v>
      </c>
      <c r="AP264" s="9" t="str">
        <f t="shared" si="65"/>
        <v xml:space="preserve">附加火焰伤害 {0}%
火焰伤害  + {1}
冷却缩减  + {2}%
</v>
      </c>
      <c r="AQ264" s="9" t="s">
        <v>3790</v>
      </c>
      <c r="AR264" s="9" t="str">
        <f t="shared" si="66"/>
        <v xml:space="preserve">附加火焰伤害 {0}%
火焰伤害  + {1}
冷却缩减  + {2}%
</v>
      </c>
      <c r="AS264" s="109" t="str">
        <f t="shared" si="141"/>
        <v>附加火焰伤害 {0}%
火焰伤害  + {1}
冷却缩减  + {2}%</v>
      </c>
      <c r="AY264" s="94" t="s">
        <v>3488</v>
      </c>
      <c r="BK264" s="18">
        <v>1</v>
      </c>
    </row>
    <row r="265" spans="2:63" x14ac:dyDescent="0.2">
      <c r="B265" s="143"/>
      <c r="C265" s="104">
        <v>30017</v>
      </c>
      <c r="D265" s="104" t="s">
        <v>3489</v>
      </c>
      <c r="E265" s="104"/>
      <c r="F265" s="104" t="s">
        <v>40</v>
      </c>
      <c r="G265" s="104"/>
      <c r="H265" s="105">
        <f t="shared" si="127"/>
        <v>10</v>
      </c>
      <c r="I265" s="106" t="s">
        <v>2940</v>
      </c>
      <c r="J265" s="106">
        <v>3</v>
      </c>
      <c r="K265" s="106">
        <v>0.2</v>
      </c>
      <c r="L265" s="106" t="s">
        <v>3152</v>
      </c>
      <c r="M265" s="106">
        <v>3</v>
      </c>
      <c r="N265" s="106">
        <v>0.2</v>
      </c>
      <c r="O265" s="106" t="s">
        <v>3167</v>
      </c>
      <c r="P265" s="106">
        <v>2</v>
      </c>
      <c r="Q265" s="106">
        <v>0.2</v>
      </c>
      <c r="R265" s="106" t="s">
        <v>3142</v>
      </c>
      <c r="S265" s="106">
        <v>2</v>
      </c>
      <c r="T265" s="106">
        <v>0.2</v>
      </c>
      <c r="U265" s="106"/>
      <c r="V265" s="106"/>
      <c r="W265" s="106"/>
      <c r="X265" s="106"/>
      <c r="Y265" s="106"/>
      <c r="Z265" s="106"/>
      <c r="AA265" s="107" t="str">
        <f t="shared" si="128"/>
        <v>1:412,24,36,409,12,18,102,16,24,237,16,24,xxxxxx</v>
      </c>
      <c r="AB265" s="108" t="str">
        <f t="shared" si="60"/>
        <v>1:412,24,36,409,12,18,102,16,24,237,16,24</v>
      </c>
      <c r="AC265" t="str">
        <f t="shared" ref="AC265:AC307" si="142">IF(J265&gt;0,I265&amp;" "&amp;"{"&amp;J$6&amp;"}","xxx")</f>
        <v>移动速度% {0}</v>
      </c>
      <c r="AD265" s="9" t="str">
        <f t="shared" si="129"/>
        <v>冷却缩减%  + {1}</v>
      </c>
      <c r="AE265" s="9" t="str">
        <f t="shared" si="130"/>
        <v>敏捷  + {2}</v>
      </c>
      <c r="AF265" s="9" t="str">
        <f t="shared" si="131"/>
        <v>附加火焰伤害%  + {3}</v>
      </c>
      <c r="AG265" s="9" t="str">
        <f t="shared" si="132"/>
        <v>xxx</v>
      </c>
      <c r="AH265" s="9" t="str">
        <f t="shared" si="133"/>
        <v>xxx</v>
      </c>
      <c r="AI265" s="9" t="str">
        <f t="shared" si="134"/>
        <v xml:space="preserve">移动速度 {0}%
</v>
      </c>
      <c r="AJ265" s="9" t="str">
        <f t="shared" si="135"/>
        <v xml:space="preserve">冷却缩减  + {1}%
</v>
      </c>
      <c r="AK265" s="9" t="str">
        <f t="shared" si="136"/>
        <v xml:space="preserve">敏捷  + {2}
</v>
      </c>
      <c r="AL265" s="9" t="str">
        <f t="shared" si="137"/>
        <v xml:space="preserve">附加火焰伤害  + {3}%
</v>
      </c>
      <c r="AM265" s="9" t="str">
        <f t="shared" si="138"/>
        <v>xxx</v>
      </c>
      <c r="AN265" s="9" t="str">
        <f t="shared" si="139"/>
        <v>xxx</v>
      </c>
      <c r="AO265" s="9" t="str">
        <f t="shared" si="64"/>
        <v>移动速度 {0}%
冷却缩减  + {1}%
敏捷  + {2}
附加火焰伤害  + {3}%
xxxxxx</v>
      </c>
      <c r="AP265" s="9" t="str">
        <f t="shared" si="65"/>
        <v xml:space="preserve">移动速度 {0}%
冷却缩减  + {1}%
敏捷  + {2}
附加火焰伤害  + {3}%
</v>
      </c>
      <c r="AQ265" s="9" t="s">
        <v>3791</v>
      </c>
      <c r="AR265" s="9" t="str">
        <f t="shared" si="66"/>
        <v xml:space="preserve">移动速度 {0}%
冷却缩减  + {1}%
敏捷  + {2}
附加火焰伤害  + {3}%
</v>
      </c>
      <c r="AS265" s="109" t="str">
        <f t="shared" si="141"/>
        <v>移动速度 {0}%
冷却缩减  + {1}%
敏捷  + {2}
附加火焰伤害  + {3}%</v>
      </c>
      <c r="AY265" s="94" t="s">
        <v>3490</v>
      </c>
      <c r="BK265" s="18">
        <v>1</v>
      </c>
    </row>
    <row r="266" spans="2:63" x14ac:dyDescent="0.2">
      <c r="B266" s="144"/>
      <c r="C266" s="104">
        <v>30018</v>
      </c>
      <c r="D266" s="104" t="s">
        <v>3491</v>
      </c>
      <c r="E266" s="104"/>
      <c r="F266" s="104" t="s">
        <v>41</v>
      </c>
      <c r="G266" s="104"/>
      <c r="H266" s="105">
        <f t="shared" si="127"/>
        <v>8.5</v>
      </c>
      <c r="I266" s="106" t="s">
        <v>3169</v>
      </c>
      <c r="J266" s="106">
        <v>2</v>
      </c>
      <c r="K266" s="106">
        <v>0.2</v>
      </c>
      <c r="L266" s="106" t="s">
        <v>3174</v>
      </c>
      <c r="M266" s="106">
        <v>3</v>
      </c>
      <c r="N266" s="106">
        <v>0.2</v>
      </c>
      <c r="O266" s="106" t="s">
        <v>2951</v>
      </c>
      <c r="P266" s="106">
        <v>2</v>
      </c>
      <c r="Q266" s="106">
        <v>0.2</v>
      </c>
      <c r="R266" s="106" t="s">
        <v>3136</v>
      </c>
      <c r="S266" s="106">
        <v>1.5</v>
      </c>
      <c r="T266" s="106">
        <v>0.2</v>
      </c>
      <c r="U266" s="106"/>
      <c r="V266" s="106"/>
      <c r="W266" s="106"/>
      <c r="X266" s="106"/>
      <c r="Y266" s="106"/>
      <c r="Z266" s="106"/>
      <c r="AA266" s="107" t="str">
        <f t="shared" si="128"/>
        <v>1:315,8,12,317,24,36,308,16,24,207,12,18,xxxxxx</v>
      </c>
      <c r="AB266" s="108" t="str">
        <f t="shared" si="60"/>
        <v>1:315,8,12,317,24,36,308,16,24,207,12,18</v>
      </c>
      <c r="AC266" t="str">
        <f t="shared" si="142"/>
        <v>元素抗性% {0}</v>
      </c>
      <c r="AD266" s="9" t="str">
        <f t="shared" si="129"/>
        <v>火焰抗性%  + {1}</v>
      </c>
      <c r="AE266" s="9" t="str">
        <f t="shared" si="130"/>
        <v>护盾值%  + {2}</v>
      </c>
      <c r="AF266" s="9" t="str">
        <f t="shared" si="131"/>
        <v>火焰伤害  + {3}</v>
      </c>
      <c r="AG266" s="9" t="str">
        <f t="shared" si="132"/>
        <v>xxx</v>
      </c>
      <c r="AH266" s="9" t="str">
        <f t="shared" si="133"/>
        <v>xxx</v>
      </c>
      <c r="AI266" s="9" t="str">
        <f t="shared" si="134"/>
        <v xml:space="preserve">元素抗性 {0}%
</v>
      </c>
      <c r="AJ266" s="9" t="str">
        <f t="shared" si="135"/>
        <v xml:space="preserve">火焰抗性  + {1}%
</v>
      </c>
      <c r="AK266" s="9" t="str">
        <f t="shared" si="136"/>
        <v xml:space="preserve">护盾值  + {2}%
</v>
      </c>
      <c r="AL266" s="9" t="str">
        <f t="shared" si="137"/>
        <v xml:space="preserve">火焰伤害  + {3}
</v>
      </c>
      <c r="AM266" s="9" t="str">
        <f t="shared" si="138"/>
        <v>xxx</v>
      </c>
      <c r="AN266" s="9" t="str">
        <f t="shared" si="139"/>
        <v>xxx</v>
      </c>
      <c r="AO266" s="9" t="str">
        <f t="shared" si="64"/>
        <v>元素抗性 {0}%
火焰抗性  + {1}%
护盾值  + {2}%
火焰伤害  + {3}
xxxxxx</v>
      </c>
      <c r="AP266" s="9" t="str">
        <f t="shared" si="65"/>
        <v xml:space="preserve">元素抗性 {0}%
火焰抗性  + {1}%
护盾值  + {2}%
火焰伤害  + {3}
</v>
      </c>
      <c r="AQ266" s="9" t="s">
        <v>3792</v>
      </c>
      <c r="AR266" s="9" t="str">
        <f t="shared" si="66"/>
        <v xml:space="preserve">元素抗性 {0}%
火焰抗性  + {1}%
护盾值  + {2}%
火焰伤害  + {3}
</v>
      </c>
      <c r="AS266" s="109" t="str">
        <f t="shared" si="141"/>
        <v>元素抗性 {0}%
火焰抗性  + {1}%
护盾值  + {2}%
火焰伤害  + {3}</v>
      </c>
      <c r="AY266" s="94" t="s">
        <v>3492</v>
      </c>
      <c r="BK266" s="18">
        <v>1</v>
      </c>
    </row>
    <row r="267" spans="2:63" x14ac:dyDescent="0.2">
      <c r="B267" s="141" t="s">
        <v>3493</v>
      </c>
      <c r="C267" s="104">
        <v>30019</v>
      </c>
      <c r="D267" s="104" t="s">
        <v>3494</v>
      </c>
      <c r="E267" s="104"/>
      <c r="F267" s="104" t="s">
        <v>44</v>
      </c>
      <c r="G267" s="104"/>
      <c r="H267" s="105">
        <f t="shared" si="127"/>
        <v>7</v>
      </c>
      <c r="I267" s="106" t="s">
        <v>2942</v>
      </c>
      <c r="J267" s="106">
        <v>2</v>
      </c>
      <c r="K267" s="106">
        <v>0.2</v>
      </c>
      <c r="L267" s="106" t="s">
        <v>3249</v>
      </c>
      <c r="M267" s="106">
        <v>3</v>
      </c>
      <c r="N267" s="106">
        <v>0.2</v>
      </c>
      <c r="O267" s="106" t="s">
        <v>2976</v>
      </c>
      <c r="P267" s="106">
        <v>2</v>
      </c>
      <c r="Q267" s="106">
        <v>0.2</v>
      </c>
      <c r="R267" s="106"/>
      <c r="S267" s="106"/>
      <c r="T267" s="106"/>
      <c r="U267" s="106"/>
      <c r="V267" s="106"/>
      <c r="W267" s="106"/>
      <c r="X267" s="106"/>
      <c r="Y267" s="106"/>
      <c r="Z267" s="106"/>
      <c r="AA267" s="107" t="str">
        <f t="shared" si="128"/>
        <v>1:102,16,24,808,0.6,0.9,227,8,12,xxxxxxxxx</v>
      </c>
      <c r="AB267" s="108" t="str">
        <f t="shared" si="60"/>
        <v>1:102,16,24,808,0.6,0.9,227,8,12</v>
      </c>
      <c r="AC267" t="str">
        <f t="shared" si="142"/>
        <v>敏捷 {0}</v>
      </c>
      <c r="AD267" s="9" t="str">
        <f t="shared" si="129"/>
        <v>每点敏捷提升攻击速度  + {1}</v>
      </c>
      <c r="AE267" s="9" t="str">
        <f t="shared" si="130"/>
        <v>物理减抗%  + {2}</v>
      </c>
      <c r="AF267" s="9" t="str">
        <f t="shared" si="131"/>
        <v>xxx</v>
      </c>
      <c r="AG267" s="9" t="str">
        <f t="shared" si="132"/>
        <v>xxx</v>
      </c>
      <c r="AH267" s="9" t="str">
        <f t="shared" si="133"/>
        <v>xxx</v>
      </c>
      <c r="AI267" s="9" t="str">
        <f t="shared" si="134"/>
        <v xml:space="preserve">敏捷 {0}
</v>
      </c>
      <c r="AJ267" s="9" t="str">
        <f t="shared" si="135"/>
        <v xml:space="preserve">每点敏捷提升攻击速度  + {1}%
</v>
      </c>
      <c r="AK267" s="9" t="str">
        <f t="shared" si="136"/>
        <v xml:space="preserve">物理减抗  + {2}%
</v>
      </c>
      <c r="AL267" s="9" t="str">
        <f t="shared" si="137"/>
        <v>xxx</v>
      </c>
      <c r="AM267" s="9" t="str">
        <f t="shared" si="138"/>
        <v>xxx</v>
      </c>
      <c r="AN267" s="9" t="str">
        <f t="shared" si="139"/>
        <v>xxx</v>
      </c>
      <c r="AO267" s="9" t="str">
        <f t="shared" si="64"/>
        <v>敏捷 {0}
每点敏捷提升攻击速度  + {1}%
物理减抗  + {2}%
xxxxxxxxx</v>
      </c>
      <c r="AP267" s="9" t="str">
        <f t="shared" si="65"/>
        <v xml:space="preserve">敏捷 {0}
每点敏捷提升攻击速度  + {1}%
物理减抗  + {2}%
</v>
      </c>
      <c r="AQ267" s="9" t="s">
        <v>3793</v>
      </c>
      <c r="AR267" s="9" t="str">
        <f t="shared" si="66"/>
        <v xml:space="preserve">敏捷 {0}
每点敏捷提升攻击速度  + {1}%
物理减抗  + {2}%
</v>
      </c>
      <c r="AS267" s="109" t="str">
        <f t="shared" si="141"/>
        <v>敏捷 {0}
每点敏捷提升攻击速度  + {1}%
物理减抗  + {2}%</v>
      </c>
      <c r="AY267" s="94" t="s">
        <v>3849</v>
      </c>
      <c r="BK267" s="18">
        <v>2</v>
      </c>
    </row>
    <row r="268" spans="2:63" x14ac:dyDescent="0.2">
      <c r="B268" s="142"/>
      <c r="C268" s="104">
        <v>30020</v>
      </c>
      <c r="D268" s="104" t="s">
        <v>3495</v>
      </c>
      <c r="E268" s="104"/>
      <c r="F268" s="104" t="s">
        <v>3734</v>
      </c>
      <c r="G268" s="104"/>
      <c r="H268" s="105">
        <f t="shared" si="127"/>
        <v>7</v>
      </c>
      <c r="I268" s="106" t="s">
        <v>2942</v>
      </c>
      <c r="J268" s="106">
        <v>2</v>
      </c>
      <c r="K268" s="106">
        <v>0.2</v>
      </c>
      <c r="L268" s="106" t="s">
        <v>3236</v>
      </c>
      <c r="M268" s="106">
        <v>3</v>
      </c>
      <c r="N268" s="106">
        <v>0.2</v>
      </c>
      <c r="O268" s="106" t="s">
        <v>3201</v>
      </c>
      <c r="P268" s="106">
        <v>2</v>
      </c>
      <c r="Q268" s="106">
        <v>0.2</v>
      </c>
      <c r="R268" s="106"/>
      <c r="S268" s="106"/>
      <c r="T268" s="106"/>
      <c r="U268" s="106"/>
      <c r="V268" s="106"/>
      <c r="W268" s="106"/>
      <c r="X268" s="106"/>
      <c r="Y268" s="106"/>
      <c r="Z268" s="106"/>
      <c r="AA268" s="107" t="str">
        <f t="shared" si="128"/>
        <v>1:102,16,24,802,0.6,0.9,211,16,24,xxxxxxxxx</v>
      </c>
      <c r="AB268" s="108" t="str">
        <f t="shared" si="60"/>
        <v>1:102,16,24,802,0.6,0.9,211,16,24</v>
      </c>
      <c r="AC268" t="str">
        <f t="shared" si="142"/>
        <v>敏捷 {0}</v>
      </c>
      <c r="AD268" s="9" t="str">
        <f t="shared" si="129"/>
        <v>每点敏捷提高物理伤害  + {1}</v>
      </c>
      <c r="AE268" s="9" t="str">
        <f t="shared" si="130"/>
        <v>物理伤害%  + {2}</v>
      </c>
      <c r="AF268" s="9" t="str">
        <f t="shared" si="131"/>
        <v>xxx</v>
      </c>
      <c r="AG268" s="9" t="str">
        <f t="shared" si="132"/>
        <v>xxx</v>
      </c>
      <c r="AH268" s="9" t="str">
        <f t="shared" si="133"/>
        <v>xxx</v>
      </c>
      <c r="AI268" s="9" t="str">
        <f t="shared" si="134"/>
        <v xml:space="preserve">敏捷 {0}
</v>
      </c>
      <c r="AJ268" s="9" t="str">
        <f t="shared" si="135"/>
        <v xml:space="preserve">每点敏捷提高物理伤害  + {1}%
</v>
      </c>
      <c r="AK268" s="9" t="str">
        <f t="shared" si="136"/>
        <v xml:space="preserve">物理伤害  + {2}%
</v>
      </c>
      <c r="AL268" s="9" t="str">
        <f t="shared" si="137"/>
        <v>xxx</v>
      </c>
      <c r="AM268" s="9" t="str">
        <f t="shared" si="138"/>
        <v>xxx</v>
      </c>
      <c r="AN268" s="9" t="str">
        <f t="shared" si="139"/>
        <v>xxx</v>
      </c>
      <c r="AO268" s="9" t="str">
        <f t="shared" si="64"/>
        <v>敏捷 {0}
每点敏捷提高物理伤害  + {1}%
物理伤害  + {2}%
xxxxxxxxx</v>
      </c>
      <c r="AP268" s="9" t="str">
        <f t="shared" si="65"/>
        <v xml:space="preserve">敏捷 {0}
每点敏捷提高物理伤害  + {1}%
物理伤害  + {2}%
</v>
      </c>
      <c r="AQ268" s="9" t="s">
        <v>3794</v>
      </c>
      <c r="AR268" s="9" t="str">
        <f t="shared" si="66"/>
        <v xml:space="preserve">敏捷 {0}
每点敏捷提高物理伤害  + {1}%
物理伤害  + {2}%
</v>
      </c>
      <c r="AS268" s="109" t="str">
        <f t="shared" si="141"/>
        <v>敏捷 {0}
每点敏捷提高物理伤害  + {1}%
物理伤害  + {2}%</v>
      </c>
      <c r="AY268" s="94" t="s">
        <v>3498</v>
      </c>
    </row>
    <row r="269" spans="2:63" x14ac:dyDescent="0.2">
      <c r="B269" s="142"/>
      <c r="C269" s="104">
        <v>30021</v>
      </c>
      <c r="D269" s="104" t="s">
        <v>3497</v>
      </c>
      <c r="E269" s="104"/>
      <c r="F269" s="104" t="s">
        <v>37</v>
      </c>
      <c r="G269" s="104"/>
      <c r="H269" s="105">
        <f t="shared" si="127"/>
        <v>7</v>
      </c>
      <c r="I269" s="106" t="s">
        <v>3756</v>
      </c>
      <c r="J269" s="106">
        <v>2</v>
      </c>
      <c r="K269" s="106">
        <v>0.2</v>
      </c>
      <c r="L269" s="106" t="s">
        <v>3757</v>
      </c>
      <c r="M269" s="106">
        <v>3</v>
      </c>
      <c r="N269" s="106">
        <v>0.2</v>
      </c>
      <c r="O269" s="106" t="s">
        <v>3183</v>
      </c>
      <c r="P269" s="106">
        <v>2</v>
      </c>
      <c r="Q269" s="106">
        <v>0.2</v>
      </c>
      <c r="R269" s="106"/>
      <c r="S269" s="106"/>
      <c r="T269" s="106"/>
      <c r="U269" s="106"/>
      <c r="V269" s="106"/>
      <c r="W269" s="106"/>
      <c r="X269" s="106"/>
      <c r="Y269" s="106"/>
      <c r="Z269" s="106"/>
      <c r="AA269" s="107" t="str">
        <f t="shared" si="128"/>
        <v>1:219,16,24,220,48,72,226,16,24,xxxxxxxxx</v>
      </c>
      <c r="AB269" s="108" t="str">
        <f t="shared" si="60"/>
        <v>1:219,16,24,220,48,72,226,16,24</v>
      </c>
      <c r="AC269" t="str">
        <f t="shared" si="142"/>
        <v>暴击几率% {0}</v>
      </c>
      <c r="AD269" s="9" t="str">
        <f t="shared" si="129"/>
        <v>暴击伤害%  + {1}</v>
      </c>
      <c r="AE269" s="9" t="str">
        <f t="shared" si="130"/>
        <v>命中率%  + {2}</v>
      </c>
      <c r="AF269" s="9" t="str">
        <f t="shared" si="131"/>
        <v>xxx</v>
      </c>
      <c r="AG269" s="9" t="str">
        <f t="shared" si="132"/>
        <v>xxx</v>
      </c>
      <c r="AH269" s="9" t="str">
        <f t="shared" si="133"/>
        <v>xxx</v>
      </c>
      <c r="AI269" s="9" t="str">
        <f t="shared" si="134"/>
        <v xml:space="preserve">暴击几率 {0}%
</v>
      </c>
      <c r="AJ269" s="9" t="str">
        <f t="shared" si="135"/>
        <v xml:space="preserve">暴击伤害  + {1}%
</v>
      </c>
      <c r="AK269" s="9" t="str">
        <f t="shared" si="136"/>
        <v xml:space="preserve">命中率  + {2}%
</v>
      </c>
      <c r="AL269" s="9" t="str">
        <f t="shared" si="137"/>
        <v>xxx</v>
      </c>
      <c r="AM269" s="9" t="str">
        <f t="shared" si="138"/>
        <v>xxx</v>
      </c>
      <c r="AN269" s="9" t="str">
        <f t="shared" si="139"/>
        <v>xxx</v>
      </c>
      <c r="AO269" s="9" t="str">
        <f t="shared" si="64"/>
        <v>暴击几率 {0}%
暴击伤害  + {1}%
命中率  + {2}%
xxxxxxxxx</v>
      </c>
      <c r="AP269" s="9" t="str">
        <f t="shared" si="65"/>
        <v xml:space="preserve">暴击几率 {0}%
暴击伤害  + {1}%
命中率  + {2}%
</v>
      </c>
      <c r="AQ269" s="9" t="s">
        <v>3795</v>
      </c>
      <c r="AR269" s="9" t="str">
        <f t="shared" si="66"/>
        <v xml:space="preserve">暴击几率 {0}%
暴击伤害  + {1}%
命中率  + {2}%
</v>
      </c>
      <c r="AS269" s="109" t="str">
        <f t="shared" si="141"/>
        <v>暴击几率 {0}%
暴击伤害  + {1}%
命中率  + {2}%</v>
      </c>
      <c r="AY269" s="94" t="s">
        <v>3500</v>
      </c>
    </row>
    <row r="270" spans="2:63" x14ac:dyDescent="0.2">
      <c r="B270" s="142"/>
      <c r="C270" s="104">
        <v>30022</v>
      </c>
      <c r="D270" s="104" t="s">
        <v>3499</v>
      </c>
      <c r="E270" s="104"/>
      <c r="F270" s="104" t="s">
        <v>38</v>
      </c>
      <c r="G270" s="104"/>
      <c r="H270" s="105">
        <f t="shared" ref="H270:H307" si="143">J270+M270+P270+S270+V270+Y270</f>
        <v>12</v>
      </c>
      <c r="I270" s="106" t="s">
        <v>3167</v>
      </c>
      <c r="J270" s="106">
        <v>3</v>
      </c>
      <c r="K270" s="106">
        <v>0.2</v>
      </c>
      <c r="L270" s="106" t="s">
        <v>3755</v>
      </c>
      <c r="M270" s="106">
        <v>2</v>
      </c>
      <c r="N270" s="106">
        <v>0.2</v>
      </c>
      <c r="O270" s="106" t="s">
        <v>3261</v>
      </c>
      <c r="P270" s="106">
        <v>1.5</v>
      </c>
      <c r="Q270" s="106">
        <v>0.2</v>
      </c>
      <c r="R270" s="106" t="s">
        <v>2940</v>
      </c>
      <c r="S270" s="106">
        <v>2</v>
      </c>
      <c r="T270" s="106">
        <v>0.2</v>
      </c>
      <c r="U270" s="106" t="s">
        <v>3250</v>
      </c>
      <c r="V270" s="106">
        <v>1.5</v>
      </c>
      <c r="W270" s="106">
        <v>0.2</v>
      </c>
      <c r="X270" s="106"/>
      <c r="Y270" s="106">
        <v>2</v>
      </c>
      <c r="Z270" s="106">
        <v>0.2</v>
      </c>
      <c r="AA270" s="107" t="str">
        <f t="shared" si="128"/>
        <v>1:102,24,36,201,8,12,819,30,45,412,16,24,303,0.6,0.9,xxx</v>
      </c>
      <c r="AB270" s="108" t="str">
        <f t="shared" si="60"/>
        <v>1:102,24,36,201,8,12,819,30,45,412,16,24,303,0.6,0.9</v>
      </c>
      <c r="AC270" t="str">
        <f t="shared" si="142"/>
        <v>敏捷 {0}</v>
      </c>
      <c r="AD270" s="9" t="str">
        <f t="shared" si="129"/>
        <v>攻击力  + {1}</v>
      </c>
      <c r="AE270" s="9" t="str">
        <f t="shared" si="130"/>
        <v>物理伤害转化元素伤害%  + {2}</v>
      </c>
      <c r="AF270" s="9" t="str">
        <f t="shared" si="131"/>
        <v>移动速度%  + {3}</v>
      </c>
      <c r="AG270" s="9" t="str">
        <f t="shared" si="132"/>
        <v>生命回复  + {4}</v>
      </c>
      <c r="AH270" s="9" t="str">
        <f t="shared" si="133"/>
        <v xml:space="preserve">  + {5}</v>
      </c>
      <c r="AI270" s="9" t="str">
        <f t="shared" si="134"/>
        <v xml:space="preserve">敏捷 {0}
</v>
      </c>
      <c r="AJ270" s="9" t="str">
        <f t="shared" si="135"/>
        <v xml:space="preserve">攻击力  + {1}
</v>
      </c>
      <c r="AK270" s="9" t="str">
        <f t="shared" si="136"/>
        <v xml:space="preserve">物理伤害转化元素伤害  + {2}%
</v>
      </c>
      <c r="AL270" s="9" t="str">
        <f t="shared" si="137"/>
        <v xml:space="preserve">移动速度  + {3}%
</v>
      </c>
      <c r="AM270" s="9" t="str">
        <f t="shared" si="138"/>
        <v xml:space="preserve">生命回复  + {4}
</v>
      </c>
      <c r="AN270" s="9" t="str">
        <f t="shared" si="139"/>
        <v>xxx</v>
      </c>
      <c r="AO270" s="9" t="str">
        <f t="shared" si="64"/>
        <v>敏捷 {0}
攻击力  + {1}
物理伤害转化元素伤害  + {2}%
移动速度  + {3}%
生命回复  + {4}
xxx</v>
      </c>
      <c r="AP270" s="9" t="str">
        <f t="shared" si="65"/>
        <v xml:space="preserve">敏捷 {0}
攻击力  + {1}
物理伤害转化元素伤害  + {2}%
移动速度  + {3}%
生命回复  + {4}
</v>
      </c>
      <c r="AQ270" s="9" t="s">
        <v>3796</v>
      </c>
      <c r="AR270" s="9" t="str">
        <f t="shared" si="66"/>
        <v xml:space="preserve">敏捷 {0}
攻击力  + {1}
物理伤害转化元素伤害  + {2}%
移动速度  + {3}%
生命回复  + {4}
</v>
      </c>
      <c r="AS270" s="109" t="str">
        <f t="shared" si="141"/>
        <v>敏捷 {0}
攻击力  + {1}
物理伤害转化元素伤害  + {2}%
移动速度  + {3}%
生命回复  + {4}</v>
      </c>
      <c r="AY270" s="94" t="s">
        <v>3502</v>
      </c>
    </row>
    <row r="271" spans="2:63" x14ac:dyDescent="0.2">
      <c r="B271" s="142"/>
      <c r="C271" s="104">
        <v>30023</v>
      </c>
      <c r="D271" s="104" t="s">
        <v>3501</v>
      </c>
      <c r="E271" s="104"/>
      <c r="F271" s="104" t="s">
        <v>41</v>
      </c>
      <c r="G271" s="104"/>
      <c r="H271" s="105">
        <f t="shared" si="143"/>
        <v>8</v>
      </c>
      <c r="I271" s="106" t="s">
        <v>3204</v>
      </c>
      <c r="J271" s="106">
        <v>2</v>
      </c>
      <c r="K271" s="106">
        <v>0.2</v>
      </c>
      <c r="L271" s="106" t="s">
        <v>3186</v>
      </c>
      <c r="M271" s="106">
        <v>2</v>
      </c>
      <c r="N271" s="106">
        <v>0.2</v>
      </c>
      <c r="O271" s="106" t="s">
        <v>3229</v>
      </c>
      <c r="P271" s="106">
        <v>2</v>
      </c>
      <c r="Q271" s="106">
        <v>0.2</v>
      </c>
      <c r="R271" s="106" t="s">
        <v>3044</v>
      </c>
      <c r="S271" s="106">
        <v>2</v>
      </c>
      <c r="T271" s="106">
        <v>0.2</v>
      </c>
      <c r="U271" s="106"/>
      <c r="V271" s="106"/>
      <c r="W271" s="106"/>
      <c r="X271" s="106"/>
      <c r="Y271" s="106"/>
      <c r="Z271" s="106"/>
      <c r="AA271" s="107" t="str">
        <f t="shared" si="128"/>
        <v>1:330,16,24,401,16,24,410,8,12,428,32,48,xxxxxx</v>
      </c>
      <c r="AB271" s="108" t="str">
        <f t="shared" ref="AB271:AB307" si="144">IF(LEFT(SUBSTITUTE(AA271,"x",""),LEN(SUBSTITUTE(AA271,"x",""))-1)="1","",LEFT(SUBSTITUTE(AA271,"x",""),LEN(SUBSTITUTE(AA271,"x",""))-1))</f>
        <v>1:330,16,24,401,16,24,410,8,12,428,32,48</v>
      </c>
      <c r="AC271" t="str">
        <f t="shared" si="142"/>
        <v>受到异常时间提升 {0}</v>
      </c>
      <c r="AD271" s="9"/>
      <c r="AE271" s="9" t="str">
        <f t="shared" si="130"/>
        <v>冲刺冷却缩减%  + {2}</v>
      </c>
      <c r="AF271" s="9" t="str">
        <f t="shared" si="131"/>
        <v>经验碎片加攻速移速  + {3}</v>
      </c>
      <c r="AG271" s="9" t="str">
        <f t="shared" si="132"/>
        <v>xxx</v>
      </c>
      <c r="AH271" s="9" t="str">
        <f t="shared" si="133"/>
        <v>xxx</v>
      </c>
      <c r="AI271" s="9" t="str">
        <f t="shared" si="134"/>
        <v xml:space="preserve">受到异常时间提升 {0}%
</v>
      </c>
      <c r="AJ271" s="9" t="str">
        <f t="shared" si="135"/>
        <v xml:space="preserve">%
</v>
      </c>
      <c r="AK271" s="9" t="str">
        <f t="shared" si="136"/>
        <v xml:space="preserve">冲刺冷却缩减  + {2}%
</v>
      </c>
      <c r="AL271" s="9" t="str">
        <f t="shared" si="137"/>
        <v xml:space="preserve">经验碎片加攻速移速  + {3}%
</v>
      </c>
      <c r="AM271" s="9" t="str">
        <f t="shared" si="138"/>
        <v>xxx</v>
      </c>
      <c r="AN271" s="9" t="str">
        <f t="shared" si="139"/>
        <v>xxx</v>
      </c>
      <c r="AO271" s="9" t="str">
        <f t="shared" si="64"/>
        <v>受到异常时间提升 {0}%
%
冲刺冷却缩减  + {2}%
经验碎片加攻速移速  + {3}%
xxxxxx</v>
      </c>
      <c r="AP271" s="9" t="str">
        <f t="shared" si="65"/>
        <v xml:space="preserve">受到异常时间提升 {0}%
%
冲刺冷却缩减  + {2}%
经验碎片加攻速移速  + {3}%
</v>
      </c>
      <c r="AQ271" s="9" t="s">
        <v>3797</v>
      </c>
      <c r="AR271" s="9" t="str">
        <f t="shared" si="66"/>
        <v xml:space="preserve">受到异常时间提升 {0}%
%
冲刺冷却缩减  + {2}%
经验碎片加攻速移速  + {3}%
</v>
      </c>
      <c r="AS271" s="109" t="str">
        <f t="shared" si="141"/>
        <v>受到异常时间提升 {0}%
%
冲刺冷却缩减  + {2}%
经验碎片加攻速移速  + {3}%</v>
      </c>
      <c r="AY271" s="94" t="s">
        <v>3504</v>
      </c>
    </row>
    <row r="272" spans="2:63" x14ac:dyDescent="0.2">
      <c r="B272" s="142"/>
      <c r="C272" s="104">
        <v>30024</v>
      </c>
      <c r="D272" s="104" t="s">
        <v>3503</v>
      </c>
      <c r="E272" s="104"/>
      <c r="F272" s="104" t="s">
        <v>39</v>
      </c>
      <c r="G272" s="104"/>
      <c r="H272" s="105">
        <f t="shared" si="143"/>
        <v>8</v>
      </c>
      <c r="I272" s="106" t="s">
        <v>3201</v>
      </c>
      <c r="J272" s="106">
        <v>2</v>
      </c>
      <c r="K272" s="106">
        <v>0.2</v>
      </c>
      <c r="L272" s="106" t="s">
        <v>3199</v>
      </c>
      <c r="M272" s="106">
        <v>2</v>
      </c>
      <c r="N272" s="106">
        <v>0.2</v>
      </c>
      <c r="O272" s="106" t="s">
        <v>3183</v>
      </c>
      <c r="P272" s="106">
        <v>2</v>
      </c>
      <c r="Q272" s="106">
        <v>0.2</v>
      </c>
      <c r="R272" s="106" t="s">
        <v>3185</v>
      </c>
      <c r="S272" s="106">
        <v>2</v>
      </c>
      <c r="T272" s="106">
        <v>0.2</v>
      </c>
      <c r="U272" s="106"/>
      <c r="V272" s="106"/>
      <c r="W272" s="106"/>
      <c r="X272" s="106"/>
      <c r="Y272" s="106"/>
      <c r="Z272" s="106"/>
      <c r="AA272" s="107" t="str">
        <f t="shared" si="128"/>
        <v>1:211,16,24,104,16,24,226,16,24,407,32,48,xxxxxx</v>
      </c>
      <c r="AB272" s="108" t="str">
        <f t="shared" si="144"/>
        <v>1:211,16,24,104,16,24,226,16,24,407,32,48</v>
      </c>
      <c r="AC272" t="str">
        <f t="shared" si="142"/>
        <v>物理伤害% {0}</v>
      </c>
      <c r="AD272" s="9" t="str">
        <f t="shared" ref="AD272:AD298" si="145">_xlfn.IFNA(L272&amp;" "&amp;IF(N272=0," + "&amp;M272*VLOOKUP(L272,$BE$8:$BH$260,4,FALSE)," + {"&amp;M$6&amp;"}"),"xxx")</f>
        <v>幸运  + {1}</v>
      </c>
      <c r="AE272" s="9" t="str">
        <f t="shared" si="130"/>
        <v>命中率%  + {2}</v>
      </c>
      <c r="AF272" s="9" t="str">
        <f t="shared" si="131"/>
        <v>拾取范围%  + {3}</v>
      </c>
      <c r="AG272" s="9" t="str">
        <f t="shared" si="132"/>
        <v>xxx</v>
      </c>
      <c r="AH272" s="9" t="str">
        <f t="shared" si="133"/>
        <v>xxx</v>
      </c>
      <c r="AI272" s="9" t="str">
        <f t="shared" si="134"/>
        <v xml:space="preserve">物理伤害 {0}%
</v>
      </c>
      <c r="AJ272" s="9" t="str">
        <f t="shared" si="135"/>
        <v xml:space="preserve">幸运  + {1}
</v>
      </c>
      <c r="AK272" s="9" t="str">
        <f t="shared" si="136"/>
        <v xml:space="preserve">命中率  + {2}%
</v>
      </c>
      <c r="AL272" s="9" t="str">
        <f t="shared" si="137"/>
        <v xml:space="preserve">拾取范围  + {3}%
</v>
      </c>
      <c r="AM272" s="9" t="str">
        <f t="shared" si="138"/>
        <v>xxx</v>
      </c>
      <c r="AN272" s="9" t="str">
        <f t="shared" si="139"/>
        <v>xxx</v>
      </c>
      <c r="AO272" s="9" t="str">
        <f t="shared" si="64"/>
        <v>物理伤害 {0}%
幸运  + {1}
命中率  + {2}%
拾取范围  + {3}%
xxxxxx</v>
      </c>
      <c r="AP272" s="9" t="str">
        <f t="shared" si="65"/>
        <v xml:space="preserve">物理伤害 {0}%
幸运  + {1}
命中率  + {2}%
拾取范围  + {3}%
</v>
      </c>
      <c r="AQ272" s="9" t="s">
        <v>3798</v>
      </c>
      <c r="AR272" s="9" t="str">
        <f t="shared" si="66"/>
        <v xml:space="preserve">物理伤害 {0}%
幸运  + {1}
命中率  + {2}%
拾取范围  + {3}%
</v>
      </c>
      <c r="AS272" s="109" t="str">
        <f t="shared" si="141"/>
        <v>物理伤害 {0}%
幸运  + {1}
命中率  + {2}%
拾取范围  + {3}%</v>
      </c>
      <c r="AY272" s="94" t="s">
        <v>3558</v>
      </c>
    </row>
    <row r="273" spans="2:51" x14ac:dyDescent="0.2">
      <c r="B273" s="145" t="s">
        <v>3505</v>
      </c>
      <c r="C273" s="104">
        <v>30025</v>
      </c>
      <c r="D273" s="104" t="s">
        <v>3506</v>
      </c>
      <c r="E273" s="104"/>
      <c r="F273" s="104" t="s">
        <v>3735</v>
      </c>
      <c r="G273" s="104"/>
      <c r="H273" s="105">
        <f t="shared" si="143"/>
        <v>13</v>
      </c>
      <c r="I273" s="106" t="s">
        <v>3156</v>
      </c>
      <c r="J273" s="106">
        <v>3</v>
      </c>
      <c r="K273" s="106">
        <v>0.2</v>
      </c>
      <c r="L273" s="106" t="s">
        <v>3755</v>
      </c>
      <c r="M273" s="106">
        <v>2</v>
      </c>
      <c r="N273" s="106">
        <v>0.2</v>
      </c>
      <c r="O273" s="106" t="s">
        <v>3756</v>
      </c>
      <c r="P273" s="106">
        <v>2</v>
      </c>
      <c r="Q273" s="106">
        <v>0.2</v>
      </c>
      <c r="R273" s="106" t="s">
        <v>3183</v>
      </c>
      <c r="S273" s="106">
        <v>2</v>
      </c>
      <c r="T273" s="106">
        <v>0.2</v>
      </c>
      <c r="U273" s="106" t="s">
        <v>2976</v>
      </c>
      <c r="V273" s="106">
        <v>2</v>
      </c>
      <c r="W273" s="106">
        <v>0.2</v>
      </c>
      <c r="X273" s="106"/>
      <c r="Y273" s="106">
        <v>2</v>
      </c>
      <c r="Z273" s="106">
        <v>0.2</v>
      </c>
      <c r="AA273" s="107" t="str">
        <f t="shared" si="128"/>
        <v>1:217,24,36,201,8,12,219,16,24,226,16,24,227,8,12,xxx</v>
      </c>
      <c r="AB273" s="108" t="str">
        <f t="shared" si="144"/>
        <v>1:217,24,36,201,8,12,219,16,24,226,16,24,227,8,12</v>
      </c>
      <c r="AC273" t="str">
        <f t="shared" si="142"/>
        <v>攻击速度% {0}</v>
      </c>
      <c r="AD273" s="9" t="str">
        <f t="shared" si="145"/>
        <v>攻击力  + {1}</v>
      </c>
      <c r="AE273" s="9" t="str">
        <f t="shared" si="130"/>
        <v>暴击几率%  + {2}</v>
      </c>
      <c r="AF273" s="9" t="str">
        <f t="shared" si="131"/>
        <v>命中率%  + {3}</v>
      </c>
      <c r="AG273" s="9" t="str">
        <f t="shared" si="132"/>
        <v>物理减抗%  + {4}</v>
      </c>
      <c r="AH273" s="9" t="str">
        <f t="shared" si="133"/>
        <v xml:space="preserve">  + {5}</v>
      </c>
      <c r="AI273" s="9" t="str">
        <f t="shared" si="134"/>
        <v xml:space="preserve">攻击速度 {0}%
</v>
      </c>
      <c r="AJ273" s="9" t="str">
        <f t="shared" si="135"/>
        <v xml:space="preserve">攻击力  + {1}
</v>
      </c>
      <c r="AK273" s="9" t="str">
        <f t="shared" si="136"/>
        <v xml:space="preserve">暴击几率  + {2}%
</v>
      </c>
      <c r="AL273" s="9" t="str">
        <f t="shared" si="137"/>
        <v xml:space="preserve">命中率  + {3}%
</v>
      </c>
      <c r="AM273" s="9" t="str">
        <f t="shared" si="138"/>
        <v xml:space="preserve">物理减抗  + {4}%
</v>
      </c>
      <c r="AN273" s="9" t="str">
        <f t="shared" si="139"/>
        <v>xxx</v>
      </c>
      <c r="AO273" s="9" t="str">
        <f t="shared" si="64"/>
        <v>攻击速度 {0}%
攻击力  + {1}
暴击几率  + {2}%
命中率  + {3}%
物理减抗  + {4}%
xxx</v>
      </c>
      <c r="AP273" s="9" t="str">
        <f t="shared" si="65"/>
        <v xml:space="preserve">攻击速度 {0}%
攻击力  + {1}
暴击几率  + {2}%
命中率  + {3}%
物理减抗  + {4}%
</v>
      </c>
      <c r="AQ273" s="9" t="s">
        <v>3799</v>
      </c>
      <c r="AR273" s="9" t="str">
        <f t="shared" si="66"/>
        <v xml:space="preserve">攻击速度 {0}%
攻击力  + {1}
暴击几率  + {2}%
命中率  + {3}%
物理减抗  + {4}%
</v>
      </c>
      <c r="AS273" s="109" t="str">
        <f t="shared" si="141"/>
        <v>攻击速度 {0}%
攻击力  + {1}
暴击几率  + {2}%
命中率  + {3}%
物理减抗  + {4}%</v>
      </c>
      <c r="AY273" s="94" t="s">
        <v>3850</v>
      </c>
    </row>
    <row r="274" spans="2:51" x14ac:dyDescent="0.2">
      <c r="B274" s="145"/>
      <c r="C274" s="104">
        <v>30026</v>
      </c>
      <c r="D274" s="104" t="s">
        <v>3507</v>
      </c>
      <c r="E274" s="104"/>
      <c r="F274" s="104" t="s">
        <v>37</v>
      </c>
      <c r="G274" s="104"/>
      <c r="H274" s="105">
        <f t="shared" si="143"/>
        <v>10</v>
      </c>
      <c r="I274" s="106" t="s">
        <v>3183</v>
      </c>
      <c r="J274" s="106">
        <v>3</v>
      </c>
      <c r="K274" s="106">
        <v>0.2</v>
      </c>
      <c r="L274" s="106" t="s">
        <v>3757</v>
      </c>
      <c r="M274" s="106">
        <v>3</v>
      </c>
      <c r="N274" s="106">
        <v>0.2</v>
      </c>
      <c r="O274" s="106" t="s">
        <v>3155</v>
      </c>
      <c r="P274" s="106">
        <v>4</v>
      </c>
      <c r="Q274" s="106">
        <v>0</v>
      </c>
      <c r="R274" s="106"/>
      <c r="S274" s="106"/>
      <c r="T274" s="106"/>
      <c r="U274" s="106"/>
      <c r="V274" s="106"/>
      <c r="W274" s="106"/>
      <c r="X274" s="106"/>
      <c r="Y274" s="106"/>
      <c r="Z274" s="106"/>
      <c r="AA274" s="107" t="str">
        <f t="shared" si="128"/>
        <v>1:226,24,36,220,48,72,404,2,2,xxxxxxxxx</v>
      </c>
      <c r="AB274" s="108" t="str">
        <f t="shared" ref="AB274:AB279" si="146">IF(LEFT(SUBSTITUTE(AA274,"x",""),LEN(SUBSTITUTE(AA274,"x",""))-1)="1","",LEFT(SUBSTITUTE(AA274,"x",""),LEN(SUBSTITUTE(AA274,"x",""))-1))</f>
        <v>1:226,24,36,220,48,72,404,2,2</v>
      </c>
      <c r="AC274" t="str">
        <f t="shared" si="142"/>
        <v>命中率% {0}</v>
      </c>
      <c r="AD274" s="9" t="str">
        <f t="shared" si="145"/>
        <v>暴击伤害%  + {1}</v>
      </c>
      <c r="AE274" s="9" t="str">
        <f t="shared" si="130"/>
        <v>子弹数量  + 2</v>
      </c>
      <c r="AF274" s="9" t="str">
        <f t="shared" si="131"/>
        <v>xxx</v>
      </c>
      <c r="AG274" s="9" t="str">
        <f t="shared" si="132"/>
        <v>xxx</v>
      </c>
      <c r="AH274" s="9" t="str">
        <f t="shared" si="133"/>
        <v>xxx</v>
      </c>
      <c r="AI274" s="9" t="str">
        <f t="shared" si="134"/>
        <v xml:space="preserve">命中率 {0}%
</v>
      </c>
      <c r="AJ274" s="9" t="str">
        <f t="shared" si="135"/>
        <v xml:space="preserve">暴击伤害  + {1}%
</v>
      </c>
      <c r="AK274" s="9" t="str">
        <f t="shared" si="136"/>
        <v xml:space="preserve">子弹数量  + 2
</v>
      </c>
      <c r="AL274" s="9" t="str">
        <f t="shared" si="137"/>
        <v>xxx</v>
      </c>
      <c r="AM274" s="9" t="str">
        <f t="shared" si="138"/>
        <v>xxx</v>
      </c>
      <c r="AN274" s="9" t="str">
        <f t="shared" si="139"/>
        <v>xxx</v>
      </c>
      <c r="AO274" s="9" t="str">
        <f t="shared" ref="AO274:AO279" si="147">_xlfn.CONCAT(AI274:AN274)</f>
        <v>命中率 {0}%
暴击伤害  + {1}%
子弹数量  + 2
xxxxxxxxx</v>
      </c>
      <c r="AP274" s="9" t="str">
        <f t="shared" ref="AP274:AP279" si="148">SUBSTITUTE(AO274,"xxx","")</f>
        <v xml:space="preserve">命中率 {0}%
暴击伤害  + {1}%
子弹数量  + 2
</v>
      </c>
      <c r="AQ274" s="9" t="s">
        <v>3800</v>
      </c>
      <c r="AR274" s="9" t="str">
        <f t="shared" ref="AR274:AR279" si="149">IFERROR(IF(AP274="",AQ274,AP274),AP274)</f>
        <v xml:space="preserve">命中率 {0}%
暴击伤害  + {1}%
子弹数量  + 2
</v>
      </c>
      <c r="AS274" s="109" t="str">
        <f t="shared" ref="AS274:AS279" si="150">IF(AR274&lt;&gt;AQ274,IF(ISNUMBER(SEARCH(CHAR(10),AR274)),SUBSTITUTE(AR274,CHAR(10),"",LEN(AR274)-LEN(SUBSTITUTE(AR274,CHAR(10),""))),AR274),AR274)</f>
        <v>命中率 {0}%
暴击伤害  + {1}%
子弹数量  + 2</v>
      </c>
      <c r="AY274" s="94" t="s">
        <v>3509</v>
      </c>
    </row>
    <row r="275" spans="2:51" x14ac:dyDescent="0.2">
      <c r="B275" s="145"/>
      <c r="C275" s="104">
        <v>30027</v>
      </c>
      <c r="D275" s="104" t="s">
        <v>3508</v>
      </c>
      <c r="E275" s="104"/>
      <c r="F275" s="104" t="s">
        <v>38</v>
      </c>
      <c r="G275" s="104"/>
      <c r="H275" s="105">
        <f t="shared" si="143"/>
        <v>12</v>
      </c>
      <c r="I275" s="106" t="s">
        <v>3167</v>
      </c>
      <c r="J275" s="106">
        <v>2</v>
      </c>
      <c r="K275" s="106">
        <v>0.2</v>
      </c>
      <c r="L275" s="106" t="s">
        <v>3217</v>
      </c>
      <c r="M275" s="106">
        <v>2</v>
      </c>
      <c r="N275" s="106">
        <v>0.2</v>
      </c>
      <c r="O275" s="106" t="s">
        <v>3170</v>
      </c>
      <c r="P275" s="106">
        <v>2</v>
      </c>
      <c r="Q275" s="106">
        <v>0.2</v>
      </c>
      <c r="R275" s="106" t="s">
        <v>3756</v>
      </c>
      <c r="S275" s="106">
        <v>2</v>
      </c>
      <c r="T275" s="106">
        <v>0.2</v>
      </c>
      <c r="U275" s="106" t="s">
        <v>3755</v>
      </c>
      <c r="V275" s="106">
        <v>4</v>
      </c>
      <c r="W275" s="106">
        <v>0.2</v>
      </c>
      <c r="X275" s="106"/>
      <c r="Y275" s="106"/>
      <c r="Z275" s="106"/>
      <c r="AA275" s="107" t="str">
        <f t="shared" si="128"/>
        <v>1:102,16,24,302,16,24,311,8,12,219,16,24,201,16,24,xxx</v>
      </c>
      <c r="AB275" s="108" t="str">
        <f t="shared" si="146"/>
        <v>1:102,16,24,302,16,24,311,8,12,219,16,24,201,16,24</v>
      </c>
      <c r="AC275" t="str">
        <f t="shared" si="142"/>
        <v>敏捷 {0}</v>
      </c>
      <c r="AD275" s="9" t="str">
        <f t="shared" si="145"/>
        <v>生命值%  + {1}</v>
      </c>
      <c r="AE275" s="9" t="str">
        <f t="shared" si="130"/>
        <v>闪避几率%  + {2}</v>
      </c>
      <c r="AF275" s="9" t="str">
        <f t="shared" si="131"/>
        <v>暴击几率%  + {3}</v>
      </c>
      <c r="AG275" s="9" t="str">
        <f t="shared" si="132"/>
        <v>攻击力  + {4}</v>
      </c>
      <c r="AH275" s="9" t="str">
        <f t="shared" si="133"/>
        <v>xxx</v>
      </c>
      <c r="AI275" s="9" t="str">
        <f t="shared" si="134"/>
        <v xml:space="preserve">敏捷 {0}
</v>
      </c>
      <c r="AJ275" s="9" t="str">
        <f t="shared" si="135"/>
        <v xml:space="preserve">生命值  + {1}%
</v>
      </c>
      <c r="AK275" s="9" t="str">
        <f t="shared" si="136"/>
        <v xml:space="preserve">闪避几率  + {2}%
</v>
      </c>
      <c r="AL275" s="9" t="str">
        <f t="shared" si="137"/>
        <v xml:space="preserve">暴击几率  + {3}%
</v>
      </c>
      <c r="AM275" s="9" t="str">
        <f t="shared" si="138"/>
        <v xml:space="preserve">攻击力  + {4}
</v>
      </c>
      <c r="AN275" s="9" t="str">
        <f t="shared" si="139"/>
        <v>xxx</v>
      </c>
      <c r="AO275" s="9" t="str">
        <f t="shared" si="147"/>
        <v>敏捷 {0}
生命值  + {1}%
闪避几率  + {2}%
暴击几率  + {3}%
攻击力  + {4}
xxx</v>
      </c>
      <c r="AP275" s="9" t="str">
        <f t="shared" si="148"/>
        <v xml:space="preserve">敏捷 {0}
生命值  + {1}%
闪避几率  + {2}%
暴击几率  + {3}%
攻击力  + {4}
</v>
      </c>
      <c r="AQ275" s="9" t="s">
        <v>3801</v>
      </c>
      <c r="AR275" s="9" t="str">
        <f t="shared" si="149"/>
        <v xml:space="preserve">敏捷 {0}
生命值  + {1}%
闪避几率  + {2}%
暴击几率  + {3}%
攻击力  + {4}
</v>
      </c>
      <c r="AS275" s="109" t="str">
        <f t="shared" si="150"/>
        <v>敏捷 {0}
生命值  + {1}%
闪避几率  + {2}%
暴击几率  + {3}%
攻击力  + {4}</v>
      </c>
      <c r="AY275" s="94" t="s">
        <v>3511</v>
      </c>
    </row>
    <row r="276" spans="2:51" x14ac:dyDescent="0.2">
      <c r="B276" s="145"/>
      <c r="C276" s="104">
        <v>30028</v>
      </c>
      <c r="D276" s="104" t="s">
        <v>3510</v>
      </c>
      <c r="E276" s="104"/>
      <c r="F276" s="104" t="s">
        <v>39</v>
      </c>
      <c r="G276" s="104"/>
      <c r="H276" s="105">
        <f t="shared" si="143"/>
        <v>12</v>
      </c>
      <c r="I276" s="106" t="s">
        <v>3231</v>
      </c>
      <c r="J276" s="106">
        <v>3</v>
      </c>
      <c r="K276" s="106">
        <v>0.2</v>
      </c>
      <c r="L276" s="106" t="s">
        <v>3156</v>
      </c>
      <c r="M276" s="106">
        <v>5</v>
      </c>
      <c r="N276" s="106">
        <v>0.2</v>
      </c>
      <c r="O276" s="106" t="s">
        <v>3183</v>
      </c>
      <c r="P276" s="106">
        <v>2</v>
      </c>
      <c r="Q276" s="106">
        <v>0.2</v>
      </c>
      <c r="R276" s="106" t="s">
        <v>2984</v>
      </c>
      <c r="S276" s="106">
        <v>2</v>
      </c>
      <c r="T276" s="106">
        <v>0.2</v>
      </c>
      <c r="U276" s="106"/>
      <c r="V276" s="106"/>
      <c r="W276" s="106"/>
      <c r="X276" s="106"/>
      <c r="Y276" s="106"/>
      <c r="Z276" s="106"/>
      <c r="AA276" s="107" t="str">
        <f t="shared" si="128"/>
        <v>1:101,24,36,217,40,60,226,16,24,240,16,24,xxxxxx</v>
      </c>
      <c r="AB276" s="108" t="str">
        <f t="shared" si="146"/>
        <v>1:101,24,36,217,40,60,226,16,24,240,16,24</v>
      </c>
      <c r="AC276" t="str">
        <f t="shared" si="142"/>
        <v>力量 {0}</v>
      </c>
      <c r="AD276" s="9" t="str">
        <f t="shared" si="145"/>
        <v>攻击速度%  + {1}</v>
      </c>
      <c r="AE276" s="9" t="str">
        <f t="shared" si="130"/>
        <v>命中率%  + {2}</v>
      </c>
      <c r="AF276" s="9" t="str">
        <f t="shared" si="131"/>
        <v>流血系数  + {3}</v>
      </c>
      <c r="AG276" s="9" t="str">
        <f t="shared" si="132"/>
        <v>xxx</v>
      </c>
      <c r="AH276" s="9" t="str">
        <f t="shared" si="133"/>
        <v>xxx</v>
      </c>
      <c r="AI276" s="9" t="str">
        <f t="shared" si="134"/>
        <v xml:space="preserve">力量 {0}
</v>
      </c>
      <c r="AJ276" s="9" t="str">
        <f t="shared" si="135"/>
        <v xml:space="preserve">攻击速度  + {1}%
</v>
      </c>
      <c r="AK276" s="9" t="str">
        <f t="shared" si="136"/>
        <v xml:space="preserve">命中率  + {2}%
</v>
      </c>
      <c r="AL276" s="9" t="str">
        <f t="shared" si="137"/>
        <v xml:space="preserve">流血系数  + {3}%
</v>
      </c>
      <c r="AM276" s="9" t="str">
        <f t="shared" si="138"/>
        <v>xxx</v>
      </c>
      <c r="AN276" s="9" t="str">
        <f t="shared" si="139"/>
        <v>xxx</v>
      </c>
      <c r="AO276" s="9" t="str">
        <f t="shared" si="147"/>
        <v>力量 {0}
攻击速度  + {1}%
命中率  + {2}%
流血系数  + {3}%
xxxxxx</v>
      </c>
      <c r="AP276" s="9" t="str">
        <f t="shared" si="148"/>
        <v xml:space="preserve">力量 {0}
攻击速度  + {1}%
命中率  + {2}%
流血系数  + {3}%
</v>
      </c>
      <c r="AQ276" s="9" t="s">
        <v>3802</v>
      </c>
      <c r="AR276" s="9" t="str">
        <f t="shared" si="149"/>
        <v xml:space="preserve">力量 {0}
攻击速度  + {1}%
命中率  + {2}%
流血系数  + {3}%
</v>
      </c>
      <c r="AS276" s="109" t="str">
        <f t="shared" si="150"/>
        <v>力量 {0}
攻击速度  + {1}%
命中率  + {2}%
流血系数  + {3}%</v>
      </c>
      <c r="AY276" s="94" t="s">
        <v>3513</v>
      </c>
    </row>
    <row r="277" spans="2:51" x14ac:dyDescent="0.2">
      <c r="B277" s="145"/>
      <c r="C277" s="104">
        <v>30029</v>
      </c>
      <c r="D277" s="104" t="s">
        <v>3512</v>
      </c>
      <c r="E277" s="104"/>
      <c r="F277" s="104" t="s">
        <v>40</v>
      </c>
      <c r="G277" s="104"/>
      <c r="H277" s="105">
        <f t="shared" si="143"/>
        <v>9.5</v>
      </c>
      <c r="I277" s="106" t="s">
        <v>2940</v>
      </c>
      <c r="J277" s="106">
        <v>3</v>
      </c>
      <c r="K277" s="106">
        <v>0.2</v>
      </c>
      <c r="L277" s="106" t="s">
        <v>3167</v>
      </c>
      <c r="M277" s="106">
        <v>3</v>
      </c>
      <c r="N277" s="106">
        <v>0.2</v>
      </c>
      <c r="O277" s="106" t="s">
        <v>3070</v>
      </c>
      <c r="P277" s="106">
        <v>1.5</v>
      </c>
      <c r="Q277" s="106">
        <v>0.2</v>
      </c>
      <c r="R277" s="106" t="s">
        <v>3756</v>
      </c>
      <c r="S277" s="106">
        <v>2</v>
      </c>
      <c r="T277" s="106"/>
      <c r="U277" s="106"/>
      <c r="V277" s="106"/>
      <c r="W277" s="106"/>
      <c r="X277" s="106"/>
      <c r="Y277" s="106"/>
      <c r="Z277" s="106"/>
      <c r="AA277" s="107" t="str">
        <f t="shared" si="128"/>
        <v>1:412,24,36,102,24,36,601,1.2,1.8,219,20,20,xxxxxx</v>
      </c>
      <c r="AB277" s="108" t="str">
        <f t="shared" si="146"/>
        <v>1:412,24,36,102,24,36,601,1.2,1.8,219,20,20</v>
      </c>
      <c r="AC277" t="str">
        <f t="shared" si="142"/>
        <v>移动速度% {0}</v>
      </c>
      <c r="AD277" s="9" t="str">
        <f t="shared" si="145"/>
        <v>敏捷  + {1}</v>
      </c>
      <c r="AE277" s="9" t="str">
        <f t="shared" si="130"/>
        <v>击杀加伤害  + {2}</v>
      </c>
      <c r="AF277" s="9" t="str">
        <f t="shared" si="131"/>
        <v>暴击几率%  + 20</v>
      </c>
      <c r="AG277" s="9" t="str">
        <f t="shared" si="132"/>
        <v>xxx</v>
      </c>
      <c r="AH277" s="9" t="str">
        <f t="shared" si="133"/>
        <v>xxx</v>
      </c>
      <c r="AI277" s="9" t="str">
        <f t="shared" si="134"/>
        <v xml:space="preserve">移动速度 {0}%
</v>
      </c>
      <c r="AJ277" s="9" t="str">
        <f t="shared" si="135"/>
        <v xml:space="preserve">敏捷  + {1}
</v>
      </c>
      <c r="AK277" s="9" t="str">
        <f t="shared" si="136"/>
        <v xml:space="preserve">击杀加伤害  + {2}%
</v>
      </c>
      <c r="AL277" s="9" t="str">
        <f t="shared" si="137"/>
        <v xml:space="preserve">暴击几率  + 20%
</v>
      </c>
      <c r="AM277" s="9" t="str">
        <f t="shared" si="138"/>
        <v>xxx</v>
      </c>
      <c r="AN277" s="9" t="str">
        <f t="shared" si="139"/>
        <v>xxx</v>
      </c>
      <c r="AO277" s="9" t="str">
        <f t="shared" si="147"/>
        <v>移动速度 {0}%
敏捷  + {1}
击杀加伤害  + {2}%
暴击几率  + 20%
xxxxxx</v>
      </c>
      <c r="AP277" s="9" t="str">
        <f t="shared" si="148"/>
        <v xml:space="preserve">移动速度 {0}%
敏捷  + {1}
击杀加伤害  + {2}%
暴击几率  + 20%
</v>
      </c>
      <c r="AQ277" s="9" t="s">
        <v>3803</v>
      </c>
      <c r="AR277" s="9" t="str">
        <f t="shared" si="149"/>
        <v xml:space="preserve">移动速度 {0}%
敏捷  + {1}
击杀加伤害  + {2}%
暴击几率  + 20%
</v>
      </c>
      <c r="AS277" s="109" t="str">
        <f>IF(AR277&lt;&gt;AQ277,IF(ISNUMBER(SEARCH(CHAR(10),AR277)),SUBSTITUTE(AR277,CHAR(10),"",LEN(AR277)-LEN(SUBSTITUTE(AR277,CHAR(10),""))),AR277),AR277)</f>
        <v>移动速度 {0}%
敏捷  + {1}
击杀加伤害  + {2}%
暴击几率  + 20%</v>
      </c>
      <c r="AY277" s="94" t="s">
        <v>3515</v>
      </c>
    </row>
    <row r="278" spans="2:51" x14ac:dyDescent="0.2">
      <c r="B278" s="145"/>
      <c r="C278" s="104">
        <v>30030</v>
      </c>
      <c r="D278" s="104" t="s">
        <v>3514</v>
      </c>
      <c r="E278" s="104"/>
      <c r="F278" s="104" t="s">
        <v>43</v>
      </c>
      <c r="G278" s="104"/>
      <c r="H278" s="105">
        <f t="shared" si="143"/>
        <v>11</v>
      </c>
      <c r="I278" s="106" t="s">
        <v>3156</v>
      </c>
      <c r="J278" s="106">
        <v>3</v>
      </c>
      <c r="K278" s="106">
        <v>0.2</v>
      </c>
      <c r="L278" s="106" t="s">
        <v>3155</v>
      </c>
      <c r="M278" s="106">
        <v>2</v>
      </c>
      <c r="N278" s="106">
        <v>0.2</v>
      </c>
      <c r="O278" s="106" t="s">
        <v>3026</v>
      </c>
      <c r="P278" s="106">
        <v>4</v>
      </c>
      <c r="Q278" s="106">
        <v>0</v>
      </c>
      <c r="R278" s="106" t="s">
        <v>3250</v>
      </c>
      <c r="S278" s="106">
        <v>2</v>
      </c>
      <c r="T278" s="106">
        <v>0.2</v>
      </c>
      <c r="U278" s="106"/>
      <c r="V278" s="106"/>
      <c r="W278" s="106"/>
      <c r="X278" s="106"/>
      <c r="Y278" s="106"/>
      <c r="Z278" s="106"/>
      <c r="AA278" s="107" t="str">
        <f t="shared" si="128"/>
        <v>1:217,24,36,404,0.8,1.2,405,1,1,303,0.8,1.2,xxxxxx</v>
      </c>
      <c r="AB278" s="108" t="str">
        <f t="shared" si="146"/>
        <v>1:217,24,36,404,0.8,1.2,405,1,1,303,0.8,1.2</v>
      </c>
      <c r="AC278" t="str">
        <f t="shared" si="142"/>
        <v>攻击速度% {0}</v>
      </c>
      <c r="AD278" s="9" t="str">
        <f t="shared" si="145"/>
        <v>子弹数量  + {1}</v>
      </c>
      <c r="AE278" s="9" t="str">
        <f t="shared" si="130"/>
        <v>子弹穿刺  + 1</v>
      </c>
      <c r="AF278" s="9" t="str">
        <f t="shared" si="131"/>
        <v>生命回复  + {3}</v>
      </c>
      <c r="AG278" s="9" t="str">
        <f t="shared" si="132"/>
        <v>xxx</v>
      </c>
      <c r="AH278" s="9" t="str">
        <f t="shared" si="133"/>
        <v>xxx</v>
      </c>
      <c r="AI278" s="9" t="str">
        <f t="shared" si="134"/>
        <v xml:space="preserve">攻击速度 {0}%
</v>
      </c>
      <c r="AJ278" s="9" t="str">
        <f t="shared" si="135"/>
        <v xml:space="preserve">子弹数量  + {1}
</v>
      </c>
      <c r="AK278" s="9" t="str">
        <f t="shared" si="136"/>
        <v xml:space="preserve">子弹穿刺  + 1
</v>
      </c>
      <c r="AL278" s="9" t="str">
        <f t="shared" si="137"/>
        <v xml:space="preserve">生命回复  + {3}
</v>
      </c>
      <c r="AM278" s="9" t="str">
        <f t="shared" si="138"/>
        <v>xxx</v>
      </c>
      <c r="AN278" s="9" t="str">
        <f t="shared" si="139"/>
        <v>xxx</v>
      </c>
      <c r="AO278" s="9" t="str">
        <f t="shared" si="147"/>
        <v>攻击速度 {0}%
子弹数量  + {1}
子弹穿刺  + 1
生命回复  + {3}
xxxxxx</v>
      </c>
      <c r="AP278" s="9" t="str">
        <f t="shared" si="148"/>
        <v xml:space="preserve">攻击速度 {0}%
子弹数量  + {1}
子弹穿刺  + 1
生命回复  + {3}
</v>
      </c>
      <c r="AQ278" s="9" t="s">
        <v>3804</v>
      </c>
      <c r="AR278" s="9" t="str">
        <f t="shared" si="149"/>
        <v xml:space="preserve">攻击速度 {0}%
子弹数量  + {1}
子弹穿刺  + 1
生命回复  + {3}
</v>
      </c>
      <c r="AS278" s="109" t="str">
        <f t="shared" si="150"/>
        <v>攻击速度 {0}%
子弹数量  + {1}
子弹穿刺  + 1
生命回复  + {3}</v>
      </c>
      <c r="AY278" s="94" t="s">
        <v>3851</v>
      </c>
    </row>
    <row r="279" spans="2:51" x14ac:dyDescent="0.2">
      <c r="B279" s="145" t="s">
        <v>3516</v>
      </c>
      <c r="C279" s="104">
        <v>30031</v>
      </c>
      <c r="D279" s="104" t="s">
        <v>3517</v>
      </c>
      <c r="E279" s="104"/>
      <c r="F279" s="104" t="s">
        <v>37</v>
      </c>
      <c r="G279" s="104"/>
      <c r="H279" s="105">
        <f t="shared" si="143"/>
        <v>11</v>
      </c>
      <c r="I279" s="106" t="s">
        <v>3777</v>
      </c>
      <c r="J279" s="106">
        <v>4</v>
      </c>
      <c r="K279" s="106">
        <v>0.2</v>
      </c>
      <c r="L279" s="106" t="s">
        <v>3185</v>
      </c>
      <c r="M279" s="106">
        <v>3</v>
      </c>
      <c r="N279" s="106">
        <v>0.2</v>
      </c>
      <c r="O279" s="106" t="s">
        <v>3186</v>
      </c>
      <c r="P279" s="106">
        <v>2</v>
      </c>
      <c r="Q279" s="106">
        <v>0.2</v>
      </c>
      <c r="R279" s="106" t="s">
        <v>3217</v>
      </c>
      <c r="S279" s="106">
        <v>2</v>
      </c>
      <c r="T279" s="106">
        <v>0.2</v>
      </c>
      <c r="U279" s="106"/>
      <c r="V279" s="106"/>
      <c r="W279" s="106"/>
      <c r="X279" s="106"/>
      <c r="Y279" s="106"/>
      <c r="Z279" s="106"/>
      <c r="AA279" s="107" t="str">
        <f t="shared" si="128"/>
        <v>1:701,160,240,407,48,72,401,16,24,302,16,24,xxxxxx</v>
      </c>
      <c r="AB279" s="108" t="str">
        <f t="shared" si="146"/>
        <v>1:701,160,240,407,48,72,401,16,24,302,16,24</v>
      </c>
      <c r="AC279" t="str">
        <f t="shared" si="142"/>
        <v>召唤物生命值 {0}</v>
      </c>
      <c r="AD279" s="9" t="str">
        <f t="shared" si="145"/>
        <v>拾取范围%  + {1}</v>
      </c>
      <c r="AE279" s="9" t="str">
        <f t="shared" si="130"/>
        <v>经验获取%  + {2}</v>
      </c>
      <c r="AF279" s="9" t="str">
        <f t="shared" si="131"/>
        <v>生命值%  + {3}</v>
      </c>
      <c r="AG279" s="9" t="str">
        <f t="shared" si="132"/>
        <v>xxx</v>
      </c>
      <c r="AH279" s="9" t="str">
        <f t="shared" si="133"/>
        <v>xxx</v>
      </c>
      <c r="AI279" s="9" t="str">
        <f t="shared" si="134"/>
        <v xml:space="preserve">召唤物生命值 {0}
</v>
      </c>
      <c r="AJ279" s="9" t="str">
        <f t="shared" si="135"/>
        <v xml:space="preserve">拾取范围  + {1}%
</v>
      </c>
      <c r="AK279" s="9" t="str">
        <f t="shared" si="136"/>
        <v xml:space="preserve">经验获取  + {2}%
</v>
      </c>
      <c r="AL279" s="9" t="str">
        <f t="shared" si="137"/>
        <v xml:space="preserve">生命值  + {3}%
</v>
      </c>
      <c r="AM279" s="9" t="str">
        <f t="shared" si="138"/>
        <v>xxx</v>
      </c>
      <c r="AN279" s="9" t="str">
        <f t="shared" si="139"/>
        <v>xxx</v>
      </c>
      <c r="AO279" s="9" t="str">
        <f t="shared" si="147"/>
        <v>召唤物生命值 {0}
拾取范围  + {1}%
经验获取  + {2}%
生命值  + {3}%
xxxxxx</v>
      </c>
      <c r="AP279" s="9" t="str">
        <f t="shared" si="148"/>
        <v xml:space="preserve">召唤物生命值 {0}
拾取范围  + {1}%
经验获取  + {2}%
生命值  + {3}%
</v>
      </c>
      <c r="AQ279" s="9" t="s">
        <v>3805</v>
      </c>
      <c r="AR279" s="9" t="str">
        <f t="shared" si="149"/>
        <v xml:space="preserve">召唤物生命值 {0}
拾取范围  + {1}%
经验获取  + {2}%
生命值  + {3}%
</v>
      </c>
      <c r="AS279" s="109" t="str">
        <f t="shared" si="150"/>
        <v>召唤物生命值 {0}
拾取范围  + {1}%
经验获取  + {2}%
生命值  + {3}%</v>
      </c>
      <c r="AY279" s="94" t="s">
        <v>3852</v>
      </c>
    </row>
    <row r="280" spans="2:51" x14ac:dyDescent="0.2">
      <c r="B280" s="145"/>
      <c r="C280" s="104">
        <v>30032</v>
      </c>
      <c r="D280" s="104" t="s">
        <v>3518</v>
      </c>
      <c r="E280" s="104"/>
      <c r="F280" s="104" t="s">
        <v>38</v>
      </c>
      <c r="G280" s="104"/>
      <c r="H280" s="105">
        <f t="shared" si="143"/>
        <v>13.5</v>
      </c>
      <c r="I280" s="106" t="s">
        <v>3217</v>
      </c>
      <c r="J280" s="106">
        <v>3</v>
      </c>
      <c r="K280" s="106">
        <v>0.2</v>
      </c>
      <c r="L280" s="106" t="s">
        <v>3004</v>
      </c>
      <c r="M280" s="106">
        <v>3</v>
      </c>
      <c r="N280" s="106">
        <v>0.2</v>
      </c>
      <c r="O280" s="106" t="s">
        <v>3778</v>
      </c>
      <c r="P280" s="106">
        <v>2</v>
      </c>
      <c r="Q280" s="106">
        <v>0.2</v>
      </c>
      <c r="R280" s="106" t="s">
        <v>3152</v>
      </c>
      <c r="S280" s="106">
        <v>2</v>
      </c>
      <c r="T280" s="106">
        <v>0.2</v>
      </c>
      <c r="U280" s="106" t="s">
        <v>3170</v>
      </c>
      <c r="V280" s="106">
        <v>1.5</v>
      </c>
      <c r="W280" s="106">
        <v>0.2</v>
      </c>
      <c r="X280" s="106"/>
      <c r="Y280" s="106">
        <v>2</v>
      </c>
      <c r="Z280" s="106">
        <v>0.2</v>
      </c>
      <c r="AA280" s="107" t="str">
        <f t="shared" si="128"/>
        <v>1:302,24,36,303,1.2,1.8,304,16,24,409,8,12,311,6,9,xxx</v>
      </c>
      <c r="AB280" s="108" t="str">
        <f t="shared" ref="AB280:AB290" si="151">IF(LEFT(SUBSTITUTE(AA280,"x",""),LEN(SUBSTITUTE(AA280,"x",""))-1)="1","",LEFT(SUBSTITUTE(AA280,"x",""),LEN(SUBSTITUTE(AA280,"x",""))-1))</f>
        <v>1:302,24,36,303,1.2,1.8,304,16,24,409,8,12,311,6,9</v>
      </c>
      <c r="AC280" t="str">
        <f t="shared" si="142"/>
        <v>生命值% {0}</v>
      </c>
      <c r="AD280" s="9" t="str">
        <f t="shared" si="145"/>
        <v>生命回复  + {1}</v>
      </c>
      <c r="AE280" s="9" t="str">
        <f t="shared" si="130"/>
        <v>生命回复%  + {2}</v>
      </c>
      <c r="AF280" s="9" t="str">
        <f t="shared" si="131"/>
        <v>冷却缩减%  + {3}</v>
      </c>
      <c r="AG280" s="9" t="str">
        <f t="shared" si="132"/>
        <v>闪避几率%  + {4}</v>
      </c>
      <c r="AH280" s="9" t="str">
        <f t="shared" si="133"/>
        <v xml:space="preserve">  + {5}</v>
      </c>
      <c r="AI280" s="9" t="str">
        <f t="shared" si="134"/>
        <v xml:space="preserve">生命值 {0}%
</v>
      </c>
      <c r="AJ280" s="9" t="str">
        <f t="shared" si="135"/>
        <v xml:space="preserve">生命回复  + {1}
</v>
      </c>
      <c r="AK280" s="9" t="str">
        <f t="shared" si="136"/>
        <v xml:space="preserve">生命回复  + {2}%
</v>
      </c>
      <c r="AL280" s="9" t="str">
        <f t="shared" si="137"/>
        <v xml:space="preserve">冷却缩减  + {3}%
</v>
      </c>
      <c r="AM280" s="9" t="str">
        <f t="shared" si="138"/>
        <v xml:space="preserve">闪避几率  + {4}%
</v>
      </c>
      <c r="AN280" s="9" t="str">
        <f t="shared" si="139"/>
        <v>xxx</v>
      </c>
      <c r="AO280" s="9" t="str">
        <f t="shared" ref="AO280:AO290" si="152">_xlfn.CONCAT(AI280:AN280)</f>
        <v>生命值 {0}%
生命回复  + {1}
生命回复  + {2}%
冷却缩减  + {3}%
闪避几率  + {4}%
xxx</v>
      </c>
      <c r="AP280" s="9" t="str">
        <f t="shared" ref="AP280:AP290" si="153">SUBSTITUTE(AO280,"xxx","")</f>
        <v xml:space="preserve">生命值 {0}%
生命回复  + {1}
生命回复  + {2}%
冷却缩减  + {3}%
闪避几率  + {4}%
</v>
      </c>
      <c r="AQ280" s="9" t="s">
        <v>3806</v>
      </c>
      <c r="AR280" s="9" t="str">
        <f t="shared" ref="AR280:AR290" si="154">IFERROR(IF(AP280="",AQ280,AP280),AP280)</f>
        <v xml:space="preserve">生命值 {0}%
生命回复  + {1}
生命回复  + {2}%
冷却缩减  + {3}%
闪避几率  + {4}%
</v>
      </c>
      <c r="AS280" s="109" t="str">
        <f t="shared" ref="AS280:AS290" si="155">IF(AR280&lt;&gt;AQ280,IF(ISNUMBER(SEARCH(CHAR(10),AR280)),SUBSTITUTE(AR280,CHAR(10),"",LEN(AR280)-LEN(SUBSTITUTE(AR280,CHAR(10),""))),AR280),AR280)</f>
        <v>生命值 {0}%
生命回复  + {1}
生命回复  + {2}%
冷却缩减  + {3}%
闪避几率  + {4}%</v>
      </c>
      <c r="AY280" s="94" t="s">
        <v>3520</v>
      </c>
    </row>
    <row r="281" spans="2:51" x14ac:dyDescent="0.2">
      <c r="B281" s="145"/>
      <c r="C281" s="104">
        <v>30033</v>
      </c>
      <c r="D281" s="104" t="s">
        <v>3519</v>
      </c>
      <c r="E281" s="104"/>
      <c r="F281" s="104" t="s">
        <v>39</v>
      </c>
      <c r="G281" s="104"/>
      <c r="H281" s="105">
        <f t="shared" si="143"/>
        <v>10</v>
      </c>
      <c r="I281" s="106" t="s">
        <v>3147</v>
      </c>
      <c r="J281" s="106">
        <v>3</v>
      </c>
      <c r="K281" s="106">
        <v>0.2</v>
      </c>
      <c r="L281" s="106" t="s">
        <v>3148</v>
      </c>
      <c r="M281" s="106">
        <v>3</v>
      </c>
      <c r="N281" s="106">
        <v>0.2</v>
      </c>
      <c r="O281" s="106" t="s">
        <v>3200</v>
      </c>
      <c r="P281" s="106">
        <v>2</v>
      </c>
      <c r="Q281" s="106">
        <v>0.2</v>
      </c>
      <c r="R281" s="106" t="s">
        <v>3149</v>
      </c>
      <c r="S281" s="106">
        <v>2</v>
      </c>
      <c r="T281" s="106">
        <v>0.2</v>
      </c>
      <c r="U281" s="106"/>
      <c r="V281" s="106"/>
      <c r="W281" s="106"/>
      <c r="X281" s="106"/>
      <c r="Y281" s="106"/>
      <c r="Z281" s="106"/>
      <c r="AA281" s="107" t="str">
        <f t="shared" ref="AA281:AA307" si="156">"1:"&amp;IF(I281&lt;&gt;"",VLOOKUP(I281,$BE$8:$BH$260,3,FALSE)&amp;","&amp;VLOOKUP(I281,$BE$8:$BH$260,4,FALSE)*(1-K281)*J281&amp;","&amp;VLOOKUP(I281,$BE$8:$BH$260,4,FALSE)*(1+K281)*J281&amp;",","xxx")&amp;IF(L281&lt;&gt;"",VLOOKUP(L281,$BE$8:$BH$260,3,FALSE)&amp;","&amp;VLOOKUP(L281,$BE$8:$BH$260,4,FALSE)*(1-N281)*M281&amp;","&amp;VLOOKUP(L281,$BE$8:$BH$260,4,FALSE)*(1+N281)*M281&amp;",","xxx")&amp;IF(O281&lt;&gt;"",VLOOKUP(O281,$BE$8:$BH$260,3,FALSE)&amp;","&amp;VLOOKUP(O281,$BE$8:$BH$260,4,FALSE)*(1-Q281)*P281&amp;","&amp;VLOOKUP(O281,$BE$8:$BH$260,4,FALSE)*(1+Q281)*P281&amp;",","xxx")&amp;IF(R281&lt;&gt;"",VLOOKUP(R281,$BE$8:$BH$260,3,FALSE)&amp;","&amp;VLOOKUP(R281,$BE$8:$BH$260,4,FALSE)*(1-T281)*S281&amp;","&amp;VLOOKUP(R281,$BE$8:$BH$260,4,FALSE)*(1+T281)*S281&amp;",","xxx")&amp;IF(U281&lt;&gt;"",VLOOKUP(U281,$BE$8:$BH$260,3,FALSE)&amp;","&amp;VLOOKUP(U281,$BE$8:$BH$260,4,FALSE)*(1-W281)*V281&amp;","&amp;VLOOKUP(U281,$BE$8:$BH$260,4,FALSE)*(1+W281)*V281&amp;",","xxx")&amp;IF(X281&lt;&gt;"",VLOOKUP(X281,$BE$8:$BH$260,3,FALSE)&amp;","&amp;VLOOKUP(X281,$BE$8:$BH$260,4,FALSE)*(1-Z281)*Y281&amp;","&amp;VLOOKUP(X281,$BE$8:$BH$260,4,FALSE)*(1+Z281)*Y281&amp;",","xxx")</f>
        <v>1:702,24,36,716,12,18,202,16,24,717,16,24,xxxxxx</v>
      </c>
      <c r="AB281" s="108" t="str">
        <f t="shared" si="151"/>
        <v>1:702,24,36,716,12,18,202,16,24,717,16,24</v>
      </c>
      <c r="AC281" t="str">
        <f t="shared" si="142"/>
        <v>召唤物生命值% {0}</v>
      </c>
      <c r="AD281" s="9" t="str">
        <f t="shared" si="145"/>
        <v>召唤物暴击几率%  + {1}</v>
      </c>
      <c r="AE281" s="9" t="str">
        <f t="shared" ref="AE281:AE307" si="157">_xlfn.IFNA(O281&amp;" "&amp;IF(Q281=0," + "&amp;P281*VLOOKUP(O281,$BE$8:$BH$260,4,FALSE)," + {"&amp;P$6&amp;"}"),"xxx")</f>
        <v>所有伤害增加%  + {2}</v>
      </c>
      <c r="AF281" s="9" t="str">
        <f t="shared" ref="AF281:AF307" si="158">_xlfn.IFNA(R281&amp;" "&amp;IF(T281=0," + "&amp;S281*VLOOKUP(R281,$BE$8:$BH$260,4,FALSE)," + {"&amp;S$6&amp;"}"),"xxx")</f>
        <v>召唤物暴击伤害%  + {3}</v>
      </c>
      <c r="AG281" s="9" t="str">
        <f t="shared" ref="AG281:AG307" si="159">_xlfn.IFNA(U281&amp;" "&amp;IF(W281=0," + "&amp;V281*VLOOKUP(U281,$BE$8:$BH$260,4,FALSE)," + {"&amp;V$6&amp;"}"),"xxx")</f>
        <v>xxx</v>
      </c>
      <c r="AH281" s="9" t="str">
        <f t="shared" ref="AH281:AH307" si="160">_xlfn.IFNA(X281&amp;" "&amp;IF(Z281=0," + "&amp;Y281*VLOOKUP(X281,$BE$8:$BH$260,4,FALSE)," + {"&amp;Y$6&amp;"}"),"xxx")</f>
        <v>xxx</v>
      </c>
      <c r="AI281" s="9" t="str">
        <f t="shared" ref="AI281:AI307" si="161">_xlfn.IFNA(IF(AC281="xxx","xxx",IF(VLOOKUP(I281,$BE$8:$BK$260,7,FALSE)=1,AC281&amp;CHAR(10),SUBSTITUTE(AC281,"%","")&amp;"%"&amp;CHAR(10))),"xxx")</f>
        <v xml:space="preserve">召唤物生命值 {0}%
</v>
      </c>
      <c r="AJ281" s="9" t="str">
        <f t="shared" ref="AJ281:AJ307" si="162">_xlfn.IFNA(IF(AC281="xxx","xxx",IF(VLOOKUP(L281,$BE$8:$BK$260,7,FALSE)=1,AD281&amp;CHAR(10),SUBSTITUTE(AD281,"%","")&amp;"%"&amp;CHAR(10))),"xxx")</f>
        <v xml:space="preserve">召唤物暴击几率  + {1}%
</v>
      </c>
      <c r="AK281" s="9" t="str">
        <f t="shared" ref="AK281:AK307" si="163">_xlfn.IFNA(IF(AC281="xxx","xxx",IF(VLOOKUP(O281,$BE$8:$BK$260,7,FALSE)=1,AE281&amp;CHAR(10),SUBSTITUTE(AE281,"%","")&amp;"%"&amp;CHAR(10))),"xxx")</f>
        <v xml:space="preserve">所有伤害增加  + {2}%
</v>
      </c>
      <c r="AL281" s="9" t="str">
        <f t="shared" ref="AL281:AL307" si="164">_xlfn.IFNA(IF(AC281="xxx","xxx",IF(VLOOKUP(R281,$BE$8:$BK$260,7,FALSE)=1,AF281&amp;CHAR(10),SUBSTITUTE(AF281,"%","")&amp;"%"&amp;CHAR(10))),"xxx")</f>
        <v xml:space="preserve">召唤物暴击伤害  + {3}%
</v>
      </c>
      <c r="AM281" s="9" t="str">
        <f t="shared" ref="AM281:AM307" si="165">_xlfn.IFNA(IF(AC281="xxx","xxx",IF(VLOOKUP(U281,$BE$8:$BK$260,7,FALSE)=1,AG281&amp;CHAR(10),SUBSTITUTE(AG281,"%","")&amp;"%"&amp;CHAR(10))),"xxx")</f>
        <v>xxx</v>
      </c>
      <c r="AN281" s="9" t="str">
        <f t="shared" ref="AN281:AN307" si="166">_xlfn.IFNA(IF(AC281="xxx","xxx",IF(VLOOKUP(X281,$BE$8:$BK$260,7,FALSE)=1,AH281&amp;CHAR(10),SUBSTITUTE(AH281,"%","")&amp;"%"&amp;CHAR(10))),"xxx")</f>
        <v>xxx</v>
      </c>
      <c r="AO281" s="9" t="str">
        <f t="shared" si="152"/>
        <v>召唤物生命值 {0}%
召唤物暴击几率  + {1}%
所有伤害增加  + {2}%
召唤物暴击伤害  + {3}%
xxxxxx</v>
      </c>
      <c r="AP281" s="9" t="str">
        <f t="shared" si="153"/>
        <v xml:space="preserve">召唤物生命值 {0}%
召唤物暴击几率  + {1}%
所有伤害增加  + {2}%
召唤物暴击伤害  + {3}%
</v>
      </c>
      <c r="AQ281" s="9" t="s">
        <v>3807</v>
      </c>
      <c r="AR281" s="9" t="str">
        <f t="shared" si="154"/>
        <v xml:space="preserve">召唤物生命值 {0}%
召唤物暴击几率  + {1}%
所有伤害增加  + {2}%
召唤物暴击伤害  + {3}%
</v>
      </c>
      <c r="AS281" s="109" t="str">
        <f t="shared" si="155"/>
        <v>召唤物生命值 {0}%
召唤物暴击几率  + {1}%
所有伤害增加  + {2}%
召唤物暴击伤害  + {3}%</v>
      </c>
      <c r="AY281" s="94" t="s">
        <v>3522</v>
      </c>
    </row>
    <row r="282" spans="2:51" x14ac:dyDescent="0.2">
      <c r="B282" s="145"/>
      <c r="C282" s="104">
        <v>30034</v>
      </c>
      <c r="D282" s="104" t="s">
        <v>3521</v>
      </c>
      <c r="E282" s="104"/>
      <c r="F282" s="104" t="s">
        <v>40</v>
      </c>
      <c r="G282" s="104"/>
      <c r="H282" s="105">
        <f t="shared" si="143"/>
        <v>8</v>
      </c>
      <c r="I282" s="106" t="s">
        <v>2940</v>
      </c>
      <c r="J282" s="106">
        <v>3</v>
      </c>
      <c r="K282" s="106">
        <v>0.2</v>
      </c>
      <c r="L282" s="106" t="s">
        <v>3214</v>
      </c>
      <c r="M282" s="106">
        <v>3</v>
      </c>
      <c r="N282" s="106">
        <v>0.2</v>
      </c>
      <c r="O282" s="106" t="s">
        <v>3167</v>
      </c>
      <c r="P282" s="106">
        <v>2</v>
      </c>
      <c r="Q282" s="106">
        <v>0.2</v>
      </c>
      <c r="R282" s="106"/>
      <c r="S282" s="106"/>
      <c r="T282" s="106"/>
      <c r="U282" s="106"/>
      <c r="V282" s="106"/>
      <c r="W282" s="106"/>
      <c r="X282" s="106"/>
      <c r="Y282" s="106"/>
      <c r="Z282" s="106"/>
      <c r="AA282" s="107" t="str">
        <f t="shared" si="156"/>
        <v>1:412,24,36,715,24,36,102,16,24,xxxxxxxxx</v>
      </c>
      <c r="AB282" s="108" t="str">
        <f t="shared" si="151"/>
        <v>1:412,24,36,715,24,36,102,16,24</v>
      </c>
      <c r="AC282" t="str">
        <f t="shared" si="142"/>
        <v>移动速度% {0}</v>
      </c>
      <c r="AD282" s="9" t="str">
        <f t="shared" si="145"/>
        <v>召唤物移动速度%  + {1}</v>
      </c>
      <c r="AE282" s="9" t="str">
        <f t="shared" si="157"/>
        <v>敏捷  + {2}</v>
      </c>
      <c r="AF282" s="9" t="str">
        <f t="shared" si="158"/>
        <v>xxx</v>
      </c>
      <c r="AG282" s="9" t="str">
        <f t="shared" si="159"/>
        <v>xxx</v>
      </c>
      <c r="AH282" s="9" t="str">
        <f t="shared" si="160"/>
        <v>xxx</v>
      </c>
      <c r="AI282" s="9" t="str">
        <f t="shared" si="161"/>
        <v xml:space="preserve">移动速度 {0}%
</v>
      </c>
      <c r="AJ282" s="9" t="str">
        <f t="shared" si="162"/>
        <v xml:space="preserve">召唤物移动速度  + {1}%
</v>
      </c>
      <c r="AK282" s="9" t="str">
        <f t="shared" si="163"/>
        <v xml:space="preserve">敏捷  + {2}
</v>
      </c>
      <c r="AL282" s="9" t="str">
        <f t="shared" si="164"/>
        <v>xxx</v>
      </c>
      <c r="AM282" s="9" t="str">
        <f t="shared" si="165"/>
        <v>xxx</v>
      </c>
      <c r="AN282" s="9" t="str">
        <f t="shared" si="166"/>
        <v>xxx</v>
      </c>
      <c r="AO282" s="9" t="str">
        <f t="shared" si="152"/>
        <v>移动速度 {0}%
召唤物移动速度  + {1}%
敏捷  + {2}
xxxxxxxxx</v>
      </c>
      <c r="AP282" s="9" t="str">
        <f t="shared" si="153"/>
        <v xml:space="preserve">移动速度 {0}%
召唤物移动速度  + {1}%
敏捷  + {2}
</v>
      </c>
      <c r="AQ282" s="9" t="s">
        <v>3808</v>
      </c>
      <c r="AR282" s="9" t="str">
        <f t="shared" si="154"/>
        <v xml:space="preserve">移动速度 {0}%
召唤物移动速度  + {1}%
敏捷  + {2}
</v>
      </c>
      <c r="AS282" s="109" t="str">
        <f t="shared" si="155"/>
        <v>移动速度 {0}%
召唤物移动速度  + {1}%
敏捷  + {2}</v>
      </c>
      <c r="AY282" s="94" t="s">
        <v>3524</v>
      </c>
    </row>
    <row r="283" spans="2:51" x14ac:dyDescent="0.2">
      <c r="B283" s="145"/>
      <c r="C283" s="104">
        <v>30035</v>
      </c>
      <c r="D283" s="104" t="s">
        <v>3523</v>
      </c>
      <c r="E283" s="104"/>
      <c r="F283" s="104" t="s">
        <v>41</v>
      </c>
      <c r="G283" s="104"/>
      <c r="H283" s="105">
        <f t="shared" si="143"/>
        <v>10</v>
      </c>
      <c r="I283" s="106" t="s">
        <v>3149</v>
      </c>
      <c r="J283" s="106">
        <v>3</v>
      </c>
      <c r="K283" s="106">
        <v>0.2</v>
      </c>
      <c r="L283" s="106" t="s">
        <v>3175</v>
      </c>
      <c r="M283" s="106">
        <v>3</v>
      </c>
      <c r="N283" s="106">
        <v>0.2</v>
      </c>
      <c r="O283" s="106" t="s">
        <v>3186</v>
      </c>
      <c r="P283" s="106">
        <v>2</v>
      </c>
      <c r="Q283" s="106">
        <v>0.2</v>
      </c>
      <c r="R283" s="106" t="s">
        <v>3217</v>
      </c>
      <c r="S283" s="106">
        <v>2</v>
      </c>
      <c r="T283" s="106">
        <v>0.2</v>
      </c>
      <c r="U283" s="106"/>
      <c r="V283" s="106"/>
      <c r="W283" s="106"/>
      <c r="X283" s="106"/>
      <c r="Y283" s="106"/>
      <c r="Z283" s="106"/>
      <c r="AA283" s="107" t="str">
        <f t="shared" si="156"/>
        <v>1:717,24,36,306,24,36,401,16,24,302,16,24,xxxxxx</v>
      </c>
      <c r="AB283" s="108" t="str">
        <f t="shared" si="151"/>
        <v>1:717,24,36,306,24,36,401,16,24,302,16,24</v>
      </c>
      <c r="AC283" t="str">
        <f t="shared" si="142"/>
        <v>召唤物暴击伤害% {0}</v>
      </c>
      <c r="AD283" s="9" t="str">
        <f t="shared" si="145"/>
        <v>护甲值%  + {1}</v>
      </c>
      <c r="AE283" s="9" t="str">
        <f t="shared" si="157"/>
        <v>经验获取%  + {2}</v>
      </c>
      <c r="AF283" s="9" t="str">
        <f t="shared" si="158"/>
        <v>生命值%  + {3}</v>
      </c>
      <c r="AG283" s="9" t="str">
        <f t="shared" si="159"/>
        <v>xxx</v>
      </c>
      <c r="AH283" s="9" t="str">
        <f t="shared" si="160"/>
        <v>xxx</v>
      </c>
      <c r="AI283" s="9" t="str">
        <f t="shared" si="161"/>
        <v xml:space="preserve">召唤物暴击伤害 {0}%
</v>
      </c>
      <c r="AJ283" s="9" t="str">
        <f t="shared" si="162"/>
        <v xml:space="preserve">护甲值  + {1}%
</v>
      </c>
      <c r="AK283" s="9" t="str">
        <f t="shared" si="163"/>
        <v xml:space="preserve">经验获取  + {2}%
</v>
      </c>
      <c r="AL283" s="9" t="str">
        <f t="shared" si="164"/>
        <v xml:space="preserve">生命值  + {3}%
</v>
      </c>
      <c r="AM283" s="9" t="str">
        <f t="shared" si="165"/>
        <v>xxx</v>
      </c>
      <c r="AN283" s="9" t="str">
        <f t="shared" si="166"/>
        <v>xxx</v>
      </c>
      <c r="AO283" s="9" t="str">
        <f t="shared" si="152"/>
        <v>召唤物暴击伤害 {0}%
护甲值  + {1}%
经验获取  + {2}%
生命值  + {3}%
xxxxxx</v>
      </c>
      <c r="AP283" s="9" t="str">
        <f t="shared" si="153"/>
        <v xml:space="preserve">召唤物暴击伤害 {0}%
护甲值  + {1}%
经验获取  + {2}%
生命值  + {3}%
</v>
      </c>
      <c r="AQ283" s="9" t="s">
        <v>3809</v>
      </c>
      <c r="AR283" s="9" t="str">
        <f t="shared" si="154"/>
        <v xml:space="preserve">召唤物暴击伤害 {0}%
护甲值  + {1}%
经验获取  + {2}%
生命值  + {3}%
</v>
      </c>
      <c r="AS283" s="109" t="str">
        <f t="shared" si="155"/>
        <v>召唤物暴击伤害 {0}%
护甲值  + {1}%
经验获取  + {2}%
生命值  + {3}%</v>
      </c>
      <c r="AY283" s="94" t="s">
        <v>3526</v>
      </c>
    </row>
    <row r="284" spans="2:51" x14ac:dyDescent="0.2">
      <c r="B284" s="145"/>
      <c r="C284" s="104">
        <v>30036</v>
      </c>
      <c r="D284" s="104" t="s">
        <v>3525</v>
      </c>
      <c r="E284" s="104"/>
      <c r="F284" s="104" t="s">
        <v>42</v>
      </c>
      <c r="G284" s="104"/>
      <c r="H284" s="105">
        <f t="shared" si="143"/>
        <v>8</v>
      </c>
      <c r="I284" s="106" t="s">
        <v>3091</v>
      </c>
      <c r="J284" s="106">
        <v>3</v>
      </c>
      <c r="K284" s="106">
        <v>0.2</v>
      </c>
      <c r="L284" s="106" t="s">
        <v>3123</v>
      </c>
      <c r="M284" s="106">
        <v>3</v>
      </c>
      <c r="N284" s="106">
        <v>0.2</v>
      </c>
      <c r="O284" s="106" t="s">
        <v>3181</v>
      </c>
      <c r="P284" s="106">
        <v>2</v>
      </c>
      <c r="Q284" s="106">
        <v>0.2</v>
      </c>
      <c r="R284" s="106"/>
      <c r="S284" s="106"/>
      <c r="T284" s="106"/>
      <c r="U284" s="106"/>
      <c r="V284" s="106"/>
      <c r="W284" s="106"/>
      <c r="X284" s="106"/>
      <c r="Y284" s="106"/>
      <c r="Z284" s="106"/>
      <c r="AA284" s="107" t="str">
        <f t="shared" si="156"/>
        <v>1:719,2.4,3.6,820,2.4,3.6,412,16,24,xxxxxxxxx</v>
      </c>
      <c r="AB284" s="108" t="str">
        <f t="shared" si="151"/>
        <v>1:719,2.4,3.6,820,2.4,3.6,412,16,24</v>
      </c>
      <c r="AC284" t="str">
        <f t="shared" si="142"/>
        <v>召唤物百分比回血 {0}</v>
      </c>
      <c r="AD284" s="9" t="str">
        <f t="shared" si="145"/>
        <v>敏捷转化召唤物伤害  + {1}</v>
      </c>
      <c r="AE284" s="9" t="str">
        <f t="shared" si="157"/>
        <v>移动速度%  + {2}</v>
      </c>
      <c r="AF284" s="9" t="str">
        <f t="shared" si="158"/>
        <v>xxx</v>
      </c>
      <c r="AG284" s="9" t="str">
        <f t="shared" si="159"/>
        <v>xxx</v>
      </c>
      <c r="AH284" s="9" t="str">
        <f t="shared" si="160"/>
        <v>xxx</v>
      </c>
      <c r="AI284" s="9" t="str">
        <f t="shared" si="161"/>
        <v xml:space="preserve">召唤物百分比回血 {0}%
</v>
      </c>
      <c r="AJ284" s="9" t="str">
        <f t="shared" si="162"/>
        <v xml:space="preserve">敏捷转化召唤物伤害  + {1}%
</v>
      </c>
      <c r="AK284" s="9" t="str">
        <f t="shared" si="163"/>
        <v xml:space="preserve">移动速度  + {2}%
</v>
      </c>
      <c r="AL284" s="9" t="str">
        <f t="shared" si="164"/>
        <v>xxx</v>
      </c>
      <c r="AM284" s="9" t="str">
        <f t="shared" si="165"/>
        <v>xxx</v>
      </c>
      <c r="AN284" s="9" t="str">
        <f t="shared" si="166"/>
        <v>xxx</v>
      </c>
      <c r="AO284" s="9" t="str">
        <f t="shared" si="152"/>
        <v>召唤物百分比回血 {0}%
敏捷转化召唤物伤害  + {1}%
移动速度  + {2}%
xxxxxxxxx</v>
      </c>
      <c r="AP284" s="9" t="str">
        <f t="shared" si="153"/>
        <v xml:space="preserve">召唤物百分比回血 {0}%
敏捷转化召唤物伤害  + {1}%
移动速度  + {2}%
</v>
      </c>
      <c r="AQ284" s="9" t="s">
        <v>3810</v>
      </c>
      <c r="AR284" s="9" t="str">
        <f t="shared" si="154"/>
        <v xml:space="preserve">召唤物百分比回血 {0}%
敏捷转化召唤物伤害  + {1}%
移动速度  + {2}%
</v>
      </c>
      <c r="AS284" s="109" t="str">
        <f t="shared" si="155"/>
        <v>召唤物百分比回血 {0}%
敏捷转化召唤物伤害  + {1}%
移动速度  + {2}%</v>
      </c>
      <c r="AY284" s="94" t="s">
        <v>3561</v>
      </c>
    </row>
    <row r="285" spans="2:51" x14ac:dyDescent="0.2">
      <c r="B285" s="145" t="s">
        <v>3527</v>
      </c>
      <c r="C285" s="104">
        <v>30037</v>
      </c>
      <c r="D285" s="104" t="s">
        <v>3528</v>
      </c>
      <c r="E285" s="104"/>
      <c r="F285" s="104" t="s">
        <v>3733</v>
      </c>
      <c r="G285" s="104"/>
      <c r="H285" s="105">
        <f t="shared" si="143"/>
        <v>13</v>
      </c>
      <c r="I285" s="106" t="s">
        <v>3201</v>
      </c>
      <c r="J285" s="106">
        <v>3</v>
      </c>
      <c r="K285" s="106">
        <v>0.2</v>
      </c>
      <c r="L285" s="106" t="s">
        <v>3779</v>
      </c>
      <c r="M285" s="106">
        <v>4</v>
      </c>
      <c r="N285" s="106">
        <v>0.2</v>
      </c>
      <c r="O285" s="106" t="s">
        <v>2986</v>
      </c>
      <c r="P285" s="106">
        <v>3</v>
      </c>
      <c r="Q285" s="106">
        <v>0.2</v>
      </c>
      <c r="R285" s="106" t="s">
        <v>3238</v>
      </c>
      <c r="S285" s="106">
        <v>3</v>
      </c>
      <c r="T285" s="106">
        <v>0.2</v>
      </c>
      <c r="U285" s="106"/>
      <c r="V285" s="106"/>
      <c r="W285" s="106"/>
      <c r="X285" s="106"/>
      <c r="Y285" s="106"/>
      <c r="Z285" s="106"/>
      <c r="AA285" s="107" t="str">
        <f t="shared" si="156"/>
        <v>1:211,24,36,216,32,48,242,24,36,247,24,36,xxxxxx</v>
      </c>
      <c r="AB285" s="108" t="str">
        <f t="shared" si="151"/>
        <v>1:211,24,36,216,32,48,242,24,36,247,24,36</v>
      </c>
      <c r="AC285" t="str">
        <f t="shared" si="142"/>
        <v>物理伤害% {0}</v>
      </c>
      <c r="AD285" s="9" t="str">
        <f t="shared" si="145"/>
        <v>混沌伤害%  + {1}</v>
      </c>
      <c r="AE285" s="9" t="str">
        <f t="shared" si="157"/>
        <v>中毒系数  + {2}</v>
      </c>
      <c r="AF285" s="9" t="str">
        <f t="shared" si="158"/>
        <v>武器攻击吸血  + {3}</v>
      </c>
      <c r="AG285" s="9" t="str">
        <f t="shared" si="159"/>
        <v>xxx</v>
      </c>
      <c r="AH285" s="9" t="str">
        <f t="shared" si="160"/>
        <v>xxx</v>
      </c>
      <c r="AI285" s="9" t="str">
        <f t="shared" si="161"/>
        <v xml:space="preserve">物理伤害 {0}%
</v>
      </c>
      <c r="AJ285" s="9" t="str">
        <f t="shared" si="162"/>
        <v xml:space="preserve">混沌伤害  + {1}%
</v>
      </c>
      <c r="AK285" s="9" t="str">
        <f t="shared" si="163"/>
        <v xml:space="preserve">中毒系数  + {2}%
</v>
      </c>
      <c r="AL285" s="9" t="str">
        <f t="shared" si="164"/>
        <v xml:space="preserve">武器攻击吸血  + {3}%
</v>
      </c>
      <c r="AM285" s="9" t="str">
        <f t="shared" si="165"/>
        <v>xxx</v>
      </c>
      <c r="AN285" s="9" t="str">
        <f t="shared" si="166"/>
        <v>xxx</v>
      </c>
      <c r="AO285" s="9" t="str">
        <f t="shared" si="152"/>
        <v>物理伤害 {0}%
混沌伤害  + {1}%
中毒系数  + {2}%
武器攻击吸血  + {3}%
xxxxxx</v>
      </c>
      <c r="AP285" s="9" t="str">
        <f t="shared" si="153"/>
        <v xml:space="preserve">物理伤害 {0}%
混沌伤害  + {1}%
中毒系数  + {2}%
武器攻击吸血  + {3}%
</v>
      </c>
      <c r="AQ285" s="9" t="s">
        <v>3811</v>
      </c>
      <c r="AR285" s="9" t="str">
        <f t="shared" si="154"/>
        <v xml:space="preserve">物理伤害 {0}%
混沌伤害  + {1}%
中毒系数  + {2}%
武器攻击吸血  + {3}%
</v>
      </c>
      <c r="AS285" s="109" t="str">
        <f t="shared" si="155"/>
        <v>物理伤害 {0}%
混沌伤害  + {1}%
中毒系数  + {2}%
武器攻击吸血  + {3}%</v>
      </c>
      <c r="AY285" s="94" t="s">
        <v>3853</v>
      </c>
    </row>
    <row r="286" spans="2:51" x14ac:dyDescent="0.2">
      <c r="B286" s="145"/>
      <c r="C286" s="104">
        <v>30038</v>
      </c>
      <c r="D286" s="104" t="s">
        <v>3529</v>
      </c>
      <c r="E286" s="104"/>
      <c r="F286" s="104" t="s">
        <v>37</v>
      </c>
      <c r="G286" s="104"/>
      <c r="H286" s="105">
        <f t="shared" si="143"/>
        <v>10</v>
      </c>
      <c r="I286" s="106" t="s">
        <v>3137</v>
      </c>
      <c r="J286" s="106">
        <v>3</v>
      </c>
      <c r="K286" s="106">
        <v>0.2</v>
      </c>
      <c r="L286" s="106" t="s">
        <v>3220</v>
      </c>
      <c r="M286" s="106">
        <v>3</v>
      </c>
      <c r="N286" s="106">
        <v>0.2</v>
      </c>
      <c r="O286" s="106" t="s">
        <v>3781</v>
      </c>
      <c r="P286" s="106">
        <v>2</v>
      </c>
      <c r="Q286" s="106">
        <v>0.2</v>
      </c>
      <c r="R286" s="106" t="s">
        <v>3151</v>
      </c>
      <c r="S286" s="106">
        <v>2</v>
      </c>
      <c r="T286" s="106">
        <v>0.2</v>
      </c>
      <c r="U286" s="106"/>
      <c r="V286" s="106"/>
      <c r="W286" s="106"/>
      <c r="X286" s="106"/>
      <c r="Y286" s="106"/>
      <c r="Z286" s="106"/>
      <c r="AA286" s="107" t="str">
        <f t="shared" si="156"/>
        <v>1:103,24,36,203,24,36,218,16,24,225,8,12,xxxxxx</v>
      </c>
      <c r="AB286" s="108" t="str">
        <f t="shared" si="151"/>
        <v>1:103,24,36,203,24,36,218,16,24,225,8,12</v>
      </c>
      <c r="AC286" t="str">
        <f t="shared" si="142"/>
        <v>智力 {0}</v>
      </c>
      <c r="AD286" s="9" t="str">
        <f t="shared" si="145"/>
        <v>额外伤害增加%  + {1}</v>
      </c>
      <c r="AE286" s="9" t="str">
        <f t="shared" si="157"/>
        <v>持续性伤害%  + {2}</v>
      </c>
      <c r="AF286" s="9" t="str">
        <f t="shared" si="158"/>
        <v>混沌减抗%  + {3}</v>
      </c>
      <c r="AG286" s="9" t="str">
        <f t="shared" si="159"/>
        <v>xxx</v>
      </c>
      <c r="AH286" s="9" t="str">
        <f t="shared" si="160"/>
        <v>xxx</v>
      </c>
      <c r="AI286" s="9" t="str">
        <f t="shared" si="161"/>
        <v xml:space="preserve">智力 {0}
</v>
      </c>
      <c r="AJ286" s="9" t="str">
        <f t="shared" si="162"/>
        <v xml:space="preserve">额外伤害增加  + {1}%
</v>
      </c>
      <c r="AK286" s="9" t="str">
        <f t="shared" si="163"/>
        <v xml:space="preserve">持续性伤害  + {2}%
</v>
      </c>
      <c r="AL286" s="9" t="str">
        <f t="shared" si="164"/>
        <v xml:space="preserve">混沌减抗  + {3}%
</v>
      </c>
      <c r="AM286" s="9" t="str">
        <f t="shared" si="165"/>
        <v>xxx</v>
      </c>
      <c r="AN286" s="9" t="str">
        <f t="shared" si="166"/>
        <v>xxx</v>
      </c>
      <c r="AO286" s="9" t="str">
        <f t="shared" si="152"/>
        <v>智力 {0}
额外伤害增加  + {1}%
持续性伤害  + {2}%
混沌减抗  + {3}%
xxxxxx</v>
      </c>
      <c r="AP286" s="9" t="str">
        <f t="shared" si="153"/>
        <v xml:space="preserve">智力 {0}
额外伤害增加  + {1}%
持续性伤害  + {2}%
混沌减抗  + {3}%
</v>
      </c>
      <c r="AQ286" s="9" t="s">
        <v>3812</v>
      </c>
      <c r="AR286" s="9" t="str">
        <f t="shared" si="154"/>
        <v xml:space="preserve">智力 {0}
额外伤害增加  + {1}%
持续性伤害  + {2}%
混沌减抗  + {3}%
</v>
      </c>
      <c r="AS286" s="109" t="str">
        <f t="shared" si="155"/>
        <v>智力 {0}
额外伤害增加  + {1}%
持续性伤害  + {2}%
混沌减抗  + {3}%</v>
      </c>
      <c r="AY286" s="94" t="s">
        <v>3531</v>
      </c>
    </row>
    <row r="287" spans="2:51" x14ac:dyDescent="0.2">
      <c r="B287" s="145"/>
      <c r="C287" s="104">
        <v>30039</v>
      </c>
      <c r="D287" s="104" t="s">
        <v>3530</v>
      </c>
      <c r="E287" s="104"/>
      <c r="F287" s="104" t="s">
        <v>38</v>
      </c>
      <c r="G287" s="104"/>
      <c r="H287" s="105">
        <f t="shared" si="143"/>
        <v>16.5</v>
      </c>
      <c r="I287" s="106" t="s">
        <v>3203</v>
      </c>
      <c r="J287" s="106">
        <v>3</v>
      </c>
      <c r="K287" s="106">
        <v>0.2</v>
      </c>
      <c r="L287" s="106" t="s">
        <v>3757</v>
      </c>
      <c r="M287" s="106">
        <v>4</v>
      </c>
      <c r="N287" s="106">
        <v>0.2</v>
      </c>
      <c r="O287" s="106" t="s">
        <v>2986</v>
      </c>
      <c r="P287" s="106">
        <v>2</v>
      </c>
      <c r="Q287" s="106">
        <v>0.2</v>
      </c>
      <c r="R287" s="106" t="s">
        <v>3780</v>
      </c>
      <c r="S287" s="106">
        <v>3</v>
      </c>
      <c r="T287" s="106">
        <v>0.2</v>
      </c>
      <c r="U287" s="106" t="s">
        <v>3217</v>
      </c>
      <c r="V287" s="106">
        <v>2.5</v>
      </c>
      <c r="W287" s="106">
        <v>0.2</v>
      </c>
      <c r="X287" s="106" t="s">
        <v>3115</v>
      </c>
      <c r="Y287" s="106">
        <v>2</v>
      </c>
      <c r="Z287" s="106">
        <v>0.2</v>
      </c>
      <c r="AA287" s="107" t="str">
        <f t="shared" si="156"/>
        <v>1:204,24,36,220,64,96,242,16,24,319,24,36,302,20,30,816,1.6,2.4,</v>
      </c>
      <c r="AB287" s="108" t="str">
        <f t="shared" si="151"/>
        <v>1:204,24,36,220,64,96,242,16,24,319,24,36,302,20,30,816,1.6,2.4</v>
      </c>
      <c r="AC287" t="str">
        <f t="shared" si="142"/>
        <v>物理伤害 {0}</v>
      </c>
      <c r="AD287" s="9" t="str">
        <f t="shared" si="145"/>
        <v>暴击伤害%  + {1}</v>
      </c>
      <c r="AE287" s="9" t="str">
        <f t="shared" si="157"/>
        <v>中毒系数  + {2}</v>
      </c>
      <c r="AF287" s="9" t="str">
        <f t="shared" si="158"/>
        <v>混沌抗性%  + {3}</v>
      </c>
      <c r="AG287" s="9" t="str">
        <f t="shared" si="159"/>
        <v>生命值%  + {4}</v>
      </c>
      <c r="AH287" s="9" t="str">
        <f t="shared" si="160"/>
        <v>回血百分比转回盾百分比  + {5}</v>
      </c>
      <c r="AI287" s="9" t="str">
        <f t="shared" si="161"/>
        <v xml:space="preserve">物理伤害 {0}
</v>
      </c>
      <c r="AJ287" s="9" t="str">
        <f t="shared" si="162"/>
        <v xml:space="preserve">暴击伤害  + {1}%
</v>
      </c>
      <c r="AK287" s="9" t="str">
        <f t="shared" si="163"/>
        <v xml:space="preserve">中毒系数  + {2}%
</v>
      </c>
      <c r="AL287" s="9" t="str">
        <f t="shared" si="164"/>
        <v xml:space="preserve">混沌抗性  + {3}%
</v>
      </c>
      <c r="AM287" s="9" t="str">
        <f t="shared" si="165"/>
        <v xml:space="preserve">生命值  + {4}%
</v>
      </c>
      <c r="AN287" s="9" t="str">
        <f t="shared" si="166"/>
        <v xml:space="preserve">回血百分比转回盾百分比  + {5}%
</v>
      </c>
      <c r="AO287" s="9" t="str">
        <f t="shared" si="152"/>
        <v xml:space="preserve">物理伤害 {0}
暴击伤害  + {1}%
中毒系数  + {2}%
混沌抗性  + {3}%
生命值  + {4}%
回血百分比转回盾百分比  + {5}%
</v>
      </c>
      <c r="AP287" s="9" t="str">
        <f t="shared" si="153"/>
        <v xml:space="preserve">物理伤害 {0}
暴击伤害  + {1}%
中毒系数  + {2}%
混沌抗性  + {3}%
生命值  + {4}%
回血百分比转回盾百分比  + {5}%
</v>
      </c>
      <c r="AQ287" s="9" t="s">
        <v>3813</v>
      </c>
      <c r="AR287" s="9" t="str">
        <f t="shared" si="154"/>
        <v xml:space="preserve">物理伤害 {0}
暴击伤害  + {1}%
中毒系数  + {2}%
混沌抗性  + {3}%
生命值  + {4}%
回血百分比转回盾百分比  + {5}%
</v>
      </c>
      <c r="AS287" s="109" t="str">
        <f t="shared" si="155"/>
        <v>物理伤害 {0}
暴击伤害  + {1}%
中毒系数  + {2}%
混沌抗性  + {3}%
生命值  + {4}%
回血百分比转回盾百分比  + {5}%</v>
      </c>
      <c r="AY287" s="94" t="s">
        <v>3533</v>
      </c>
    </row>
    <row r="288" spans="2:51" x14ac:dyDescent="0.2">
      <c r="B288" s="145"/>
      <c r="C288" s="104">
        <v>30040</v>
      </c>
      <c r="D288" s="104" t="s">
        <v>3532</v>
      </c>
      <c r="E288" s="104"/>
      <c r="F288" s="104" t="s">
        <v>41</v>
      </c>
      <c r="G288" s="104"/>
      <c r="H288" s="105">
        <f t="shared" si="143"/>
        <v>10</v>
      </c>
      <c r="I288" s="106" t="s">
        <v>3183</v>
      </c>
      <c r="J288" s="106">
        <v>3</v>
      </c>
      <c r="K288" s="106">
        <v>0.2</v>
      </c>
      <c r="L288" s="106" t="s">
        <v>3175</v>
      </c>
      <c r="M288" s="106">
        <v>3</v>
      </c>
      <c r="N288" s="106">
        <v>0.2</v>
      </c>
      <c r="O288" s="106" t="s">
        <v>3000</v>
      </c>
      <c r="P288" s="106">
        <v>2</v>
      </c>
      <c r="Q288" s="106">
        <v>0.2</v>
      </c>
      <c r="R288" s="106" t="s">
        <v>3217</v>
      </c>
      <c r="S288" s="106">
        <v>2</v>
      </c>
      <c r="T288" s="106">
        <v>0.2</v>
      </c>
      <c r="U288" s="106"/>
      <c r="V288" s="106"/>
      <c r="W288" s="106"/>
      <c r="X288" s="106"/>
      <c r="Y288" s="106"/>
      <c r="Z288" s="106"/>
      <c r="AA288" s="107" t="str">
        <f t="shared" si="156"/>
        <v>1:226,24,36,306,24,36,257,16,24,302,16,24,xxxxxx</v>
      </c>
      <c r="AB288" s="108" t="str">
        <f t="shared" si="151"/>
        <v>1:226,24,36,306,24,36,257,16,24,302,16,24</v>
      </c>
      <c r="AC288" t="str">
        <f t="shared" si="142"/>
        <v>命中率% {0}</v>
      </c>
      <c r="AD288" s="9" t="str">
        <f t="shared" si="145"/>
        <v>护甲值%  + {1}</v>
      </c>
      <c r="AE288" s="9" t="str">
        <f t="shared" si="157"/>
        <v>暴击率增幅  + {2}</v>
      </c>
      <c r="AF288" s="9" t="str">
        <f t="shared" si="158"/>
        <v>生命值%  + {3}</v>
      </c>
      <c r="AG288" s="9" t="str">
        <f t="shared" si="159"/>
        <v>xxx</v>
      </c>
      <c r="AH288" s="9" t="str">
        <f t="shared" si="160"/>
        <v>xxx</v>
      </c>
      <c r="AI288" s="9" t="str">
        <f t="shared" si="161"/>
        <v xml:space="preserve">命中率 {0}%
</v>
      </c>
      <c r="AJ288" s="9" t="str">
        <f t="shared" si="162"/>
        <v xml:space="preserve">护甲值  + {1}%
</v>
      </c>
      <c r="AK288" s="9" t="str">
        <f t="shared" si="163"/>
        <v xml:space="preserve">暴击率增幅  + {2}%
</v>
      </c>
      <c r="AL288" s="9" t="str">
        <f t="shared" si="164"/>
        <v xml:space="preserve">生命值  + {3}%
</v>
      </c>
      <c r="AM288" s="9" t="str">
        <f t="shared" si="165"/>
        <v>xxx</v>
      </c>
      <c r="AN288" s="9" t="str">
        <f t="shared" si="166"/>
        <v>xxx</v>
      </c>
      <c r="AO288" s="9" t="str">
        <f t="shared" si="152"/>
        <v>命中率 {0}%
护甲值  + {1}%
暴击率增幅  + {2}%
生命值  + {3}%
xxxxxx</v>
      </c>
      <c r="AP288" s="9" t="str">
        <f t="shared" si="153"/>
        <v xml:space="preserve">命中率 {0}%
护甲值  + {1}%
暴击率增幅  + {2}%
生命值  + {3}%
</v>
      </c>
      <c r="AQ288" s="9" t="s">
        <v>3814</v>
      </c>
      <c r="AR288" s="9" t="str">
        <f t="shared" si="154"/>
        <v xml:space="preserve">命中率 {0}%
护甲值  + {1}%
暴击率增幅  + {2}%
生命值  + {3}%
</v>
      </c>
      <c r="AS288" s="109" t="str">
        <f t="shared" si="155"/>
        <v>命中率 {0}%
护甲值  + {1}%
暴击率增幅  + {2}%
生命值  + {3}%</v>
      </c>
      <c r="AY288" s="94" t="s">
        <v>3535</v>
      </c>
    </row>
    <row r="289" spans="2:51" x14ac:dyDescent="0.2">
      <c r="B289" s="145"/>
      <c r="C289" s="104">
        <v>30041</v>
      </c>
      <c r="D289" s="104" t="s">
        <v>3534</v>
      </c>
      <c r="E289" s="104"/>
      <c r="F289" s="104" t="s">
        <v>43</v>
      </c>
      <c r="G289" s="104"/>
      <c r="H289" s="105">
        <f t="shared" si="143"/>
        <v>10</v>
      </c>
      <c r="I289" s="106" t="s">
        <v>3780</v>
      </c>
      <c r="J289" s="106">
        <v>3</v>
      </c>
      <c r="K289" s="106">
        <v>0.2</v>
      </c>
      <c r="L289" s="106" t="s">
        <v>2994</v>
      </c>
      <c r="M289" s="106">
        <v>3</v>
      </c>
      <c r="N289" s="106">
        <v>0.2</v>
      </c>
      <c r="O289" s="106" t="s">
        <v>3185</v>
      </c>
      <c r="P289" s="106">
        <v>2</v>
      </c>
      <c r="Q289" s="106">
        <v>0.2</v>
      </c>
      <c r="R289" s="106" t="s">
        <v>3156</v>
      </c>
      <c r="S289" s="106">
        <v>2</v>
      </c>
      <c r="T289" s="106">
        <v>0.2</v>
      </c>
      <c r="U289" s="106"/>
      <c r="V289" s="106"/>
      <c r="W289" s="106"/>
      <c r="X289" s="106"/>
      <c r="Y289" s="106"/>
      <c r="Z289" s="106"/>
      <c r="AA289" s="107" t="str">
        <f t="shared" si="156"/>
        <v>1:319,24,36,250,24,36,407,32,48,217,16,24,xxxxxx</v>
      </c>
      <c r="AB289" s="108" t="str">
        <f t="shared" si="151"/>
        <v>1:319,24,36,250,24,36,407,32,48,217,16,24</v>
      </c>
      <c r="AC289" t="str">
        <f t="shared" si="142"/>
        <v>混沌抗性% {0}</v>
      </c>
      <c r="AD289" s="9" t="str">
        <f t="shared" si="145"/>
        <v>施加中毒时间提升  + {1}</v>
      </c>
      <c r="AE289" s="9" t="str">
        <f t="shared" si="157"/>
        <v>拾取范围%  + {2}</v>
      </c>
      <c r="AF289" s="9" t="str">
        <f t="shared" si="158"/>
        <v>攻击速度%  + {3}</v>
      </c>
      <c r="AG289" s="9" t="str">
        <f t="shared" si="159"/>
        <v>xxx</v>
      </c>
      <c r="AH289" s="9" t="str">
        <f t="shared" si="160"/>
        <v>xxx</v>
      </c>
      <c r="AI289" s="9" t="str">
        <f t="shared" si="161"/>
        <v xml:space="preserve">混沌抗性 {0}%
</v>
      </c>
      <c r="AJ289" s="9" t="str">
        <f t="shared" si="162"/>
        <v xml:space="preserve">施加中毒时间提升  + {1}%
</v>
      </c>
      <c r="AK289" s="9" t="str">
        <f t="shared" si="163"/>
        <v xml:space="preserve">拾取范围  + {2}%
</v>
      </c>
      <c r="AL289" s="9" t="str">
        <f t="shared" si="164"/>
        <v xml:space="preserve">攻击速度  + {3}%
</v>
      </c>
      <c r="AM289" s="9" t="str">
        <f t="shared" si="165"/>
        <v>xxx</v>
      </c>
      <c r="AN289" s="9" t="str">
        <f t="shared" si="166"/>
        <v>xxx</v>
      </c>
      <c r="AO289" s="9" t="str">
        <f t="shared" si="152"/>
        <v>混沌抗性 {0}%
施加中毒时间提升  + {1}%
拾取范围  + {2}%
攻击速度  + {3}%
xxxxxx</v>
      </c>
      <c r="AP289" s="9" t="str">
        <f t="shared" si="153"/>
        <v xml:space="preserve">混沌抗性 {0}%
施加中毒时间提升  + {1}%
拾取范围  + {2}%
攻击速度  + {3}%
</v>
      </c>
      <c r="AQ289" s="9" t="s">
        <v>3815</v>
      </c>
      <c r="AR289" s="9" t="str">
        <f t="shared" si="154"/>
        <v xml:space="preserve">混沌抗性 {0}%
施加中毒时间提升  + {1}%
拾取范围  + {2}%
攻击速度  + {3}%
</v>
      </c>
      <c r="AS289" s="109" t="str">
        <f t="shared" si="155"/>
        <v>混沌抗性 {0}%
施加中毒时间提升  + {1}%
拾取范围  + {2}%
攻击速度  + {3}%</v>
      </c>
      <c r="AY289" s="94" t="s">
        <v>3537</v>
      </c>
    </row>
    <row r="290" spans="2:51" x14ac:dyDescent="0.2">
      <c r="B290" s="145"/>
      <c r="C290" s="104">
        <v>30042</v>
      </c>
      <c r="D290" s="104" t="s">
        <v>3536</v>
      </c>
      <c r="E290" s="104"/>
      <c r="F290" s="104" t="s">
        <v>42</v>
      </c>
      <c r="G290" s="104"/>
      <c r="H290" s="105">
        <f t="shared" si="143"/>
        <v>12</v>
      </c>
      <c r="I290" s="106" t="s">
        <v>3151</v>
      </c>
      <c r="J290" s="106">
        <v>3</v>
      </c>
      <c r="K290" s="106">
        <v>0.2</v>
      </c>
      <c r="L290" s="106" t="s">
        <v>2981</v>
      </c>
      <c r="M290" s="106">
        <v>3</v>
      </c>
      <c r="N290" s="106">
        <v>0.2</v>
      </c>
      <c r="O290" s="106" t="s">
        <v>3181</v>
      </c>
      <c r="P290" s="106">
        <v>2</v>
      </c>
      <c r="Q290" s="106">
        <v>0.2</v>
      </c>
      <c r="R290" s="106" t="s">
        <v>3137</v>
      </c>
      <c r="S290" s="106">
        <v>2</v>
      </c>
      <c r="T290" s="106">
        <v>0.2</v>
      </c>
      <c r="U290" s="106" t="s">
        <v>3779</v>
      </c>
      <c r="V290" s="106">
        <v>2</v>
      </c>
      <c r="W290" s="106">
        <v>0.2</v>
      </c>
      <c r="X290" s="106"/>
      <c r="Y290" s="106"/>
      <c r="Z290" s="106"/>
      <c r="AA290" s="107" t="str">
        <f t="shared" si="156"/>
        <v>1:225,12,18,232,24,36,412,16,24,103,16,24,216,16,24,xxx</v>
      </c>
      <c r="AB290" s="108" t="str">
        <f t="shared" si="151"/>
        <v>1:225,12,18,232,24,36,412,16,24,103,16,24,216,16,24</v>
      </c>
      <c r="AC290" t="str">
        <f t="shared" si="142"/>
        <v>混沌减抗% {0}</v>
      </c>
      <c r="AD290" s="9" t="str">
        <f t="shared" si="145"/>
        <v>附加混沌伤害  + {1}</v>
      </c>
      <c r="AE290" s="9" t="str">
        <f t="shared" si="157"/>
        <v>移动速度%  + {2}</v>
      </c>
      <c r="AF290" s="9" t="str">
        <f t="shared" si="158"/>
        <v>智力  + {3}</v>
      </c>
      <c r="AG290" s="9" t="str">
        <f t="shared" si="159"/>
        <v>混沌伤害%  + {4}</v>
      </c>
      <c r="AH290" s="9" t="str">
        <f t="shared" si="160"/>
        <v>xxx</v>
      </c>
      <c r="AI290" s="9" t="str">
        <f t="shared" si="161"/>
        <v xml:space="preserve">混沌减抗 {0}%
</v>
      </c>
      <c r="AJ290" s="9" t="str">
        <f t="shared" si="162"/>
        <v xml:space="preserve">附加混沌伤害  + {1}%
</v>
      </c>
      <c r="AK290" s="9" t="str">
        <f t="shared" si="163"/>
        <v xml:space="preserve">移动速度  + {2}%
</v>
      </c>
      <c r="AL290" s="9" t="str">
        <f t="shared" si="164"/>
        <v xml:space="preserve">智力  + {3}
</v>
      </c>
      <c r="AM290" s="9" t="str">
        <f t="shared" si="165"/>
        <v xml:space="preserve">混沌伤害  + {4}%
</v>
      </c>
      <c r="AN290" s="9" t="str">
        <f t="shared" si="166"/>
        <v>xxx</v>
      </c>
      <c r="AO290" s="9" t="str">
        <f t="shared" si="152"/>
        <v>混沌减抗 {0}%
附加混沌伤害  + {1}%
移动速度  + {2}%
智力  + {3}
混沌伤害  + {4}%
xxx</v>
      </c>
      <c r="AP290" s="9" t="str">
        <f t="shared" si="153"/>
        <v xml:space="preserve">混沌减抗 {0}%
附加混沌伤害  + {1}%
移动速度  + {2}%
智力  + {3}
混沌伤害  + {4}%
</v>
      </c>
      <c r="AQ290" s="9" t="s">
        <v>3816</v>
      </c>
      <c r="AR290" s="9" t="str">
        <f t="shared" si="154"/>
        <v xml:space="preserve">混沌减抗 {0}%
附加混沌伤害  + {1}%
移动速度  + {2}%
智力  + {3}
混沌伤害  + {4}%
</v>
      </c>
      <c r="AS290" s="109" t="str">
        <f t="shared" si="155"/>
        <v>混沌减抗 {0}%
附加混沌伤害  + {1}%
移动速度  + {2}%
智力  + {3}
混沌伤害  + {4}%</v>
      </c>
      <c r="AY290" s="94" t="s">
        <v>3854</v>
      </c>
    </row>
    <row r="291" spans="2:51" x14ac:dyDescent="0.2">
      <c r="B291" s="145" t="s">
        <v>3538</v>
      </c>
      <c r="C291" s="104">
        <v>30043</v>
      </c>
      <c r="D291" s="104" t="s">
        <v>3539</v>
      </c>
      <c r="E291" s="104"/>
      <c r="F291" s="104" t="s">
        <v>3733</v>
      </c>
      <c r="G291" s="104"/>
      <c r="H291" s="105">
        <f t="shared" si="143"/>
        <v>3</v>
      </c>
      <c r="I291" s="106"/>
      <c r="J291" s="106">
        <v>3</v>
      </c>
      <c r="K291" s="106">
        <v>0.2</v>
      </c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7" t="str">
        <f t="shared" si="156"/>
        <v>1:xxxxxxxxxxxxxxxxxx</v>
      </c>
      <c r="AB291" s="108" t="str">
        <f t="shared" si="144"/>
        <v/>
      </c>
      <c r="AC291" t="str">
        <f t="shared" si="142"/>
        <v xml:space="preserve"> {0}</v>
      </c>
      <c r="AD291" s="9" t="str">
        <f t="shared" si="145"/>
        <v>xxx</v>
      </c>
      <c r="AE291" s="9" t="str">
        <f t="shared" si="157"/>
        <v>xxx</v>
      </c>
      <c r="AF291" s="9" t="str">
        <f t="shared" si="158"/>
        <v>xxx</v>
      </c>
      <c r="AG291" s="9" t="str">
        <f t="shared" si="159"/>
        <v>xxx</v>
      </c>
      <c r="AH291" s="9" t="str">
        <f t="shared" si="160"/>
        <v>xxx</v>
      </c>
      <c r="AI291" s="9" t="str">
        <f t="shared" si="161"/>
        <v>xxx</v>
      </c>
      <c r="AJ291" s="9" t="str">
        <f t="shared" si="162"/>
        <v>xxx</v>
      </c>
      <c r="AK291" s="9" t="str">
        <f t="shared" si="163"/>
        <v>xxx</v>
      </c>
      <c r="AL291" s="9" t="str">
        <f t="shared" si="164"/>
        <v>xxx</v>
      </c>
      <c r="AM291" s="9" t="str">
        <f t="shared" si="165"/>
        <v>xxx</v>
      </c>
      <c r="AN291" s="9" t="str">
        <f t="shared" si="166"/>
        <v>xxx</v>
      </c>
      <c r="AO291" s="9" t="str">
        <f t="shared" si="64"/>
        <v>xxxxxxxxxxxxxxxxxx</v>
      </c>
      <c r="AP291" s="9" t="str">
        <f t="shared" si="65"/>
        <v/>
      </c>
      <c r="AQ291" s="9" t="s">
        <v>3817</v>
      </c>
      <c r="AR291" s="9" t="str">
        <f t="shared" si="66"/>
        <v>混沌抗性+25%
处于中毒状态时，每一层中毒都能使护盾值每秒恢复（3~5）点
你身上的中毒效果持续时间提升94%</v>
      </c>
      <c r="AS291" s="109" t="str">
        <f t="shared" si="141"/>
        <v>混沌抗性+25%
处于中毒状态时，每一层中毒都能使护盾值每秒恢复（3~5）点
你身上的中毒效果持续时间提升94%</v>
      </c>
      <c r="AY291" s="94" t="s">
        <v>3855</v>
      </c>
    </row>
    <row r="292" spans="2:51" x14ac:dyDescent="0.2">
      <c r="B292" s="145"/>
      <c r="C292" s="104">
        <v>30044</v>
      </c>
      <c r="D292" s="104" t="s">
        <v>3540</v>
      </c>
      <c r="E292" s="104"/>
      <c r="F292" s="104" t="s">
        <v>37</v>
      </c>
      <c r="G292" s="104"/>
      <c r="H292" s="105">
        <f t="shared" si="143"/>
        <v>3</v>
      </c>
      <c r="I292" s="106"/>
      <c r="J292" s="106">
        <v>3</v>
      </c>
      <c r="K292" s="106">
        <v>0.2</v>
      </c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7" t="str">
        <f t="shared" si="156"/>
        <v>1:xxxxxxxxxxxxxxxxxx</v>
      </c>
      <c r="AB292" s="108" t="str">
        <f t="shared" si="144"/>
        <v/>
      </c>
      <c r="AC292" t="str">
        <f t="shared" si="142"/>
        <v xml:space="preserve"> {0}</v>
      </c>
      <c r="AD292" s="9" t="str">
        <f t="shared" si="145"/>
        <v>xxx</v>
      </c>
      <c r="AE292" s="9" t="str">
        <f t="shared" si="157"/>
        <v>xxx</v>
      </c>
      <c r="AF292" s="9" t="str">
        <f t="shared" si="158"/>
        <v>xxx</v>
      </c>
      <c r="AG292" s="9" t="str">
        <f t="shared" si="159"/>
        <v>xxx</v>
      </c>
      <c r="AH292" s="9" t="str">
        <f t="shared" si="160"/>
        <v>xxx</v>
      </c>
      <c r="AI292" s="9" t="str">
        <f t="shared" si="161"/>
        <v>xxx</v>
      </c>
      <c r="AJ292" s="9" t="str">
        <f t="shared" si="162"/>
        <v>xxx</v>
      </c>
      <c r="AK292" s="9" t="str">
        <f t="shared" si="163"/>
        <v>xxx</v>
      </c>
      <c r="AL292" s="9" t="str">
        <f t="shared" si="164"/>
        <v>xxx</v>
      </c>
      <c r="AM292" s="9" t="str">
        <f t="shared" si="165"/>
        <v>xxx</v>
      </c>
      <c r="AN292" s="9" t="str">
        <f t="shared" si="166"/>
        <v>xxx</v>
      </c>
      <c r="AO292" s="9" t="str">
        <f t="shared" si="64"/>
        <v>xxxxxxxxxxxxxxxxxx</v>
      </c>
      <c r="AP292" s="9" t="str">
        <f t="shared" si="65"/>
        <v/>
      </c>
      <c r="AQ292" s="9" t="s">
        <v>3818</v>
      </c>
      <c r="AR292" s="9" t="str">
        <f t="shared" si="66"/>
        <v>混沌抗性+25%
处于中毒状态时，每一层中毒都能使护盾值每秒恢复（3~5）点
你身上的中毒效果持续时间提升95%</v>
      </c>
      <c r="AS292" s="109" t="str">
        <f t="shared" si="141"/>
        <v>混沌抗性+25%
处于中毒状态时，每一层中毒都能使护盾值每秒恢复（3~5）点
你身上的中毒效果持续时间提升95%</v>
      </c>
      <c r="AY292" s="94" t="s">
        <v>3542</v>
      </c>
    </row>
    <row r="293" spans="2:51" x14ac:dyDescent="0.2">
      <c r="B293" s="145"/>
      <c r="C293" s="104">
        <v>30045</v>
      </c>
      <c r="D293" s="104" t="s">
        <v>3541</v>
      </c>
      <c r="E293" s="104"/>
      <c r="F293" s="104" t="s">
        <v>38</v>
      </c>
      <c r="G293" s="104"/>
      <c r="H293" s="105">
        <f t="shared" si="143"/>
        <v>3</v>
      </c>
      <c r="I293" s="106"/>
      <c r="J293" s="106">
        <v>3</v>
      </c>
      <c r="K293" s="106">
        <v>0.2</v>
      </c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7" t="str">
        <f t="shared" si="156"/>
        <v>1:xxxxxxxxxxxxxxxxxx</v>
      </c>
      <c r="AB293" s="108" t="str">
        <f t="shared" si="144"/>
        <v/>
      </c>
      <c r="AC293" t="str">
        <f t="shared" si="142"/>
        <v xml:space="preserve"> {0}</v>
      </c>
      <c r="AD293" s="9" t="str">
        <f t="shared" si="145"/>
        <v>xxx</v>
      </c>
      <c r="AE293" s="9" t="str">
        <f t="shared" si="157"/>
        <v>xxx</v>
      </c>
      <c r="AF293" s="9" t="str">
        <f t="shared" si="158"/>
        <v>xxx</v>
      </c>
      <c r="AG293" s="9" t="str">
        <f t="shared" si="159"/>
        <v>xxx</v>
      </c>
      <c r="AH293" s="9" t="str">
        <f t="shared" si="160"/>
        <v>xxx</v>
      </c>
      <c r="AI293" s="9" t="str">
        <f t="shared" si="161"/>
        <v>xxx</v>
      </c>
      <c r="AJ293" s="9" t="str">
        <f t="shared" si="162"/>
        <v>xxx</v>
      </c>
      <c r="AK293" s="9" t="str">
        <f t="shared" si="163"/>
        <v>xxx</v>
      </c>
      <c r="AL293" s="9" t="str">
        <f t="shared" si="164"/>
        <v>xxx</v>
      </c>
      <c r="AM293" s="9" t="str">
        <f t="shared" si="165"/>
        <v>xxx</v>
      </c>
      <c r="AN293" s="9" t="str">
        <f t="shared" si="166"/>
        <v>xxx</v>
      </c>
      <c r="AO293" s="9" t="str">
        <f t="shared" si="64"/>
        <v>xxxxxxxxxxxxxxxxxx</v>
      </c>
      <c r="AP293" s="9" t="str">
        <f t="shared" si="65"/>
        <v/>
      </c>
      <c r="AQ293" s="9" t="s">
        <v>3819</v>
      </c>
      <c r="AR293" s="9" t="str">
        <f t="shared" si="66"/>
        <v>混沌抗性+25%
处于中毒状态时，每一层中毒都能使护盾值每秒恢复（3~5）点
你身上的中毒效果持续时间提升96%</v>
      </c>
      <c r="AS293" s="109" t="str">
        <f t="shared" si="141"/>
        <v>混沌抗性+25%
处于中毒状态时，每一层中毒都能使护盾值每秒恢复（3~5）点
你身上的中毒效果持续时间提升96%</v>
      </c>
      <c r="AY293" s="94" t="s">
        <v>3544</v>
      </c>
    </row>
    <row r="294" spans="2:51" x14ac:dyDescent="0.2">
      <c r="B294" s="145"/>
      <c r="C294" s="104">
        <v>30046</v>
      </c>
      <c r="D294" s="104" t="s">
        <v>3543</v>
      </c>
      <c r="E294" s="104"/>
      <c r="F294" s="104" t="s">
        <v>39</v>
      </c>
      <c r="G294" s="104"/>
      <c r="H294" s="105">
        <f t="shared" si="143"/>
        <v>3</v>
      </c>
      <c r="I294" s="106"/>
      <c r="J294" s="106">
        <v>3</v>
      </c>
      <c r="K294" s="106">
        <v>0.2</v>
      </c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7" t="str">
        <f t="shared" si="156"/>
        <v>1:xxxxxxxxxxxxxxxxxx</v>
      </c>
      <c r="AB294" s="108" t="str">
        <f t="shared" si="144"/>
        <v/>
      </c>
      <c r="AC294" t="str">
        <f t="shared" si="142"/>
        <v xml:space="preserve"> {0}</v>
      </c>
      <c r="AD294" s="9" t="str">
        <f t="shared" si="145"/>
        <v>xxx</v>
      </c>
      <c r="AE294" s="9" t="str">
        <f t="shared" si="157"/>
        <v>xxx</v>
      </c>
      <c r="AF294" s="9" t="str">
        <f t="shared" si="158"/>
        <v>xxx</v>
      </c>
      <c r="AG294" s="9" t="str">
        <f t="shared" si="159"/>
        <v>xxx</v>
      </c>
      <c r="AH294" s="9" t="str">
        <f t="shared" si="160"/>
        <v>xxx</v>
      </c>
      <c r="AI294" s="9" t="str">
        <f t="shared" si="161"/>
        <v>xxx</v>
      </c>
      <c r="AJ294" s="9" t="str">
        <f t="shared" si="162"/>
        <v>xxx</v>
      </c>
      <c r="AK294" s="9" t="str">
        <f t="shared" si="163"/>
        <v>xxx</v>
      </c>
      <c r="AL294" s="9" t="str">
        <f t="shared" si="164"/>
        <v>xxx</v>
      </c>
      <c r="AM294" s="9" t="str">
        <f t="shared" si="165"/>
        <v>xxx</v>
      </c>
      <c r="AN294" s="9" t="str">
        <f t="shared" si="166"/>
        <v>xxx</v>
      </c>
      <c r="AO294" s="9" t="str">
        <f t="shared" si="64"/>
        <v>xxxxxxxxxxxxxxxxxx</v>
      </c>
      <c r="AP294" s="9" t="str">
        <f t="shared" si="65"/>
        <v/>
      </c>
      <c r="AQ294" s="9" t="s">
        <v>3820</v>
      </c>
      <c r="AR294" s="9" t="str">
        <f t="shared" si="66"/>
        <v>混沌抗性+25%
处于中毒状态时，每一层中毒都能使护盾值每秒恢复（3~5）点
你身上的中毒效果持续时间提升97%</v>
      </c>
      <c r="AS294" s="109" t="str">
        <f t="shared" si="141"/>
        <v>混沌抗性+25%
处于中毒状态时，每一层中毒都能使护盾值每秒恢复（3~5）点
你身上的中毒效果持续时间提升97%</v>
      </c>
      <c r="AY294" s="94" t="s">
        <v>3546</v>
      </c>
    </row>
    <row r="295" spans="2:51" x14ac:dyDescent="0.2">
      <c r="B295" s="145"/>
      <c r="C295" s="104">
        <v>30047</v>
      </c>
      <c r="D295" s="104" t="s">
        <v>3545</v>
      </c>
      <c r="E295" s="104"/>
      <c r="F295" s="104" t="s">
        <v>41</v>
      </c>
      <c r="G295" s="104"/>
      <c r="H295" s="105">
        <f t="shared" si="143"/>
        <v>3</v>
      </c>
      <c r="I295" s="106"/>
      <c r="J295" s="106">
        <v>3</v>
      </c>
      <c r="K295" s="106">
        <v>0.2</v>
      </c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7" t="str">
        <f t="shared" si="156"/>
        <v>1:xxxxxxxxxxxxxxxxxx</v>
      </c>
      <c r="AB295" s="108" t="str">
        <f t="shared" si="144"/>
        <v/>
      </c>
      <c r="AC295" t="str">
        <f t="shared" si="142"/>
        <v xml:space="preserve"> {0}</v>
      </c>
      <c r="AD295" s="9" t="str">
        <f t="shared" si="145"/>
        <v>xxx</v>
      </c>
      <c r="AE295" s="9" t="str">
        <f t="shared" si="157"/>
        <v>xxx</v>
      </c>
      <c r="AF295" s="9" t="str">
        <f t="shared" si="158"/>
        <v>xxx</v>
      </c>
      <c r="AG295" s="9" t="str">
        <f t="shared" si="159"/>
        <v>xxx</v>
      </c>
      <c r="AH295" s="9" t="str">
        <f t="shared" si="160"/>
        <v>xxx</v>
      </c>
      <c r="AI295" s="9" t="str">
        <f t="shared" si="161"/>
        <v>xxx</v>
      </c>
      <c r="AJ295" s="9" t="str">
        <f t="shared" si="162"/>
        <v>xxx</v>
      </c>
      <c r="AK295" s="9" t="str">
        <f t="shared" si="163"/>
        <v>xxx</v>
      </c>
      <c r="AL295" s="9" t="str">
        <f t="shared" si="164"/>
        <v>xxx</v>
      </c>
      <c r="AM295" s="9" t="str">
        <f t="shared" si="165"/>
        <v>xxx</v>
      </c>
      <c r="AN295" s="9" t="str">
        <f t="shared" si="166"/>
        <v>xxx</v>
      </c>
      <c r="AO295" s="9" t="str">
        <f t="shared" si="64"/>
        <v>xxxxxxxxxxxxxxxxxx</v>
      </c>
      <c r="AP295" s="9" t="str">
        <f t="shared" si="65"/>
        <v/>
      </c>
      <c r="AQ295" s="9" t="s">
        <v>3821</v>
      </c>
      <c r="AR295" s="9" t="str">
        <f t="shared" si="66"/>
        <v>混沌抗性+25%
处于中毒状态时，每一层中毒都能使护盾值每秒恢复（3~5）点
你身上的中毒效果持续时间提升98%</v>
      </c>
      <c r="AS295" s="109" t="str">
        <f t="shared" si="141"/>
        <v>混沌抗性+25%
处于中毒状态时，每一层中毒都能使护盾值每秒恢复（3~5）点
你身上的中毒效果持续时间提升98%</v>
      </c>
      <c r="AY295" s="94" t="s">
        <v>3548</v>
      </c>
    </row>
    <row r="296" spans="2:51" x14ac:dyDescent="0.2">
      <c r="B296" s="145"/>
      <c r="C296" s="104">
        <v>30048</v>
      </c>
      <c r="D296" s="104" t="s">
        <v>3547</v>
      </c>
      <c r="E296" s="104"/>
      <c r="F296" s="104" t="s">
        <v>40</v>
      </c>
      <c r="G296" s="104"/>
      <c r="H296" s="105">
        <f t="shared" si="143"/>
        <v>3</v>
      </c>
      <c r="I296" s="106" t="s">
        <v>2940</v>
      </c>
      <c r="J296" s="106">
        <v>3</v>
      </c>
      <c r="K296" s="106">
        <v>0.2</v>
      </c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7" t="str">
        <f t="shared" si="156"/>
        <v>1:412,24,36,xxxxxxxxxxxxxxx</v>
      </c>
      <c r="AB296" s="108" t="str">
        <f t="shared" si="144"/>
        <v>1:412,24,36</v>
      </c>
      <c r="AC296" t="str">
        <f t="shared" si="142"/>
        <v>移动速度% {0}</v>
      </c>
      <c r="AD296" s="9" t="str">
        <f t="shared" si="145"/>
        <v>xxx</v>
      </c>
      <c r="AE296" s="9" t="str">
        <f t="shared" si="157"/>
        <v>xxx</v>
      </c>
      <c r="AF296" s="9" t="str">
        <f t="shared" si="158"/>
        <v>xxx</v>
      </c>
      <c r="AG296" s="9" t="str">
        <f t="shared" si="159"/>
        <v>xxx</v>
      </c>
      <c r="AH296" s="9" t="str">
        <f t="shared" si="160"/>
        <v>xxx</v>
      </c>
      <c r="AI296" s="9" t="str">
        <f t="shared" si="161"/>
        <v xml:space="preserve">移动速度 {0}%
</v>
      </c>
      <c r="AJ296" s="9" t="str">
        <f t="shared" si="162"/>
        <v>xxx</v>
      </c>
      <c r="AK296" s="9" t="str">
        <f t="shared" si="163"/>
        <v>xxx</v>
      </c>
      <c r="AL296" s="9" t="str">
        <f t="shared" si="164"/>
        <v>xxx</v>
      </c>
      <c r="AM296" s="9" t="str">
        <f t="shared" si="165"/>
        <v>xxx</v>
      </c>
      <c r="AN296" s="9" t="str">
        <f t="shared" si="166"/>
        <v>xxx</v>
      </c>
      <c r="AO296" s="9" t="str">
        <f t="shared" si="64"/>
        <v>移动速度 {0}%
xxxxxxxxxxxxxxx</v>
      </c>
      <c r="AP296" s="9" t="str">
        <f t="shared" si="65"/>
        <v xml:space="preserve">移动速度 {0}%
</v>
      </c>
      <c r="AQ296" s="9" t="s">
        <v>3822</v>
      </c>
      <c r="AR296" s="9" t="str">
        <f t="shared" si="66"/>
        <v xml:space="preserve">移动速度 {0}%
</v>
      </c>
      <c r="AS296" s="109" t="str">
        <f t="shared" si="141"/>
        <v>移动速度 {0}%</v>
      </c>
      <c r="AY296" s="94" t="s">
        <v>3564</v>
      </c>
    </row>
    <row r="297" spans="2:51" x14ac:dyDescent="0.2">
      <c r="B297" s="141" t="s">
        <v>3726</v>
      </c>
      <c r="C297" s="104">
        <v>30049</v>
      </c>
      <c r="D297" s="104" t="s">
        <v>3715</v>
      </c>
      <c r="E297" s="104"/>
      <c r="F297" s="104" t="s">
        <v>42</v>
      </c>
      <c r="G297" s="104"/>
      <c r="H297" s="105">
        <f t="shared" si="143"/>
        <v>8</v>
      </c>
      <c r="I297" s="106" t="s">
        <v>3217</v>
      </c>
      <c r="J297" s="106">
        <v>3</v>
      </c>
      <c r="K297" s="106">
        <v>0.2</v>
      </c>
      <c r="L297" s="106" t="s">
        <v>3778</v>
      </c>
      <c r="M297" s="106">
        <v>2</v>
      </c>
      <c r="N297" s="106">
        <v>0.2</v>
      </c>
      <c r="O297" s="106" t="s">
        <v>3117</v>
      </c>
      <c r="P297" s="106">
        <v>1</v>
      </c>
      <c r="Q297" s="106">
        <v>0.1</v>
      </c>
      <c r="R297" s="106" t="s">
        <v>3757</v>
      </c>
      <c r="S297" s="106">
        <v>2</v>
      </c>
      <c r="T297" s="106">
        <v>0.2</v>
      </c>
      <c r="U297" s="106"/>
      <c r="V297" s="106"/>
      <c r="W297" s="106"/>
      <c r="X297" s="106"/>
      <c r="Y297" s="106"/>
      <c r="Z297" s="106"/>
      <c r="AA297" s="107" t="str">
        <f t="shared" si="156"/>
        <v>1:302,24,36,304,16,24,817,0.9,1.1,220,32,48,xxxxxx</v>
      </c>
      <c r="AB297" s="108" t="str">
        <f t="shared" si="144"/>
        <v>1:302,24,36,304,16,24,817,0.9,1.1,220,32,48</v>
      </c>
      <c r="AC297" t="str">
        <f t="shared" si="142"/>
        <v>生命值% {0}</v>
      </c>
      <c r="AD297" s="9" t="str">
        <f t="shared" si="145"/>
        <v>生命回复%  + {1}</v>
      </c>
      <c r="AE297" s="9" t="str">
        <f t="shared" si="157"/>
        <v>护甲转化荆棘  + {2}</v>
      </c>
      <c r="AF297" s="9" t="str">
        <f t="shared" si="158"/>
        <v>暴击伤害%  + {3}</v>
      </c>
      <c r="AG297" s="9" t="str">
        <f t="shared" si="159"/>
        <v>xxx</v>
      </c>
      <c r="AH297" s="9" t="str">
        <f t="shared" si="160"/>
        <v>xxx</v>
      </c>
      <c r="AI297" s="9" t="str">
        <f t="shared" si="161"/>
        <v xml:space="preserve">生命值 {0}%
</v>
      </c>
      <c r="AJ297" s="9" t="str">
        <f t="shared" si="162"/>
        <v xml:space="preserve">生命回复  + {1}%
</v>
      </c>
      <c r="AK297" s="9" t="str">
        <f t="shared" si="163"/>
        <v xml:space="preserve">护甲转化荆棘  + {2}
</v>
      </c>
      <c r="AL297" s="9" t="str">
        <f t="shared" si="164"/>
        <v xml:space="preserve">暴击伤害  + {3}%
</v>
      </c>
      <c r="AM297" s="9" t="str">
        <f t="shared" si="165"/>
        <v>xxx</v>
      </c>
      <c r="AN297" s="9" t="str">
        <f t="shared" si="166"/>
        <v>xxx</v>
      </c>
      <c r="AO297" s="9" t="str">
        <f t="shared" si="64"/>
        <v>生命值 {0}%
生命回复  + {1}%
护甲转化荆棘  + {2}
暴击伤害  + {3}%
xxxxxx</v>
      </c>
      <c r="AP297" s="9" t="str">
        <f t="shared" si="65"/>
        <v xml:space="preserve">生命值 {0}%
生命回复  + {1}%
护甲转化荆棘  + {2}
暴击伤害  + {3}%
</v>
      </c>
      <c r="AQ297" s="9" t="s">
        <v>3823</v>
      </c>
      <c r="AR297" s="9" t="str">
        <f t="shared" si="66"/>
        <v xml:space="preserve">生命值 {0}%
生命回复  + {1}%
护甲转化荆棘  + {2}
暴击伤害  + {3}%
</v>
      </c>
      <c r="AS297" s="109" t="str">
        <f t="shared" si="141"/>
        <v>生命值 {0}%
生命回复  + {1}%
护甲转化荆棘  + {2}
暴击伤害  + {3}%</v>
      </c>
      <c r="AY297" s="94">
        <v>610073</v>
      </c>
    </row>
    <row r="298" spans="2:51" x14ac:dyDescent="0.2">
      <c r="B298" s="142"/>
      <c r="C298" s="104">
        <v>30050</v>
      </c>
      <c r="D298" s="104" t="s">
        <v>3716</v>
      </c>
      <c r="E298" s="104"/>
      <c r="F298" s="104" t="s">
        <v>38</v>
      </c>
      <c r="G298" s="104"/>
      <c r="H298" s="105">
        <f t="shared" si="143"/>
        <v>11</v>
      </c>
      <c r="I298" s="106" t="s">
        <v>3004</v>
      </c>
      <c r="J298" s="106">
        <v>2</v>
      </c>
      <c r="K298" s="106">
        <v>0.2</v>
      </c>
      <c r="L298" s="106" t="s">
        <v>3197</v>
      </c>
      <c r="M298" s="106">
        <v>3</v>
      </c>
      <c r="N298" s="106">
        <v>0.2</v>
      </c>
      <c r="O298" s="106" t="s">
        <v>3172</v>
      </c>
      <c r="P298" s="106">
        <v>4</v>
      </c>
      <c r="Q298" s="106">
        <v>0.2</v>
      </c>
      <c r="R298" s="106" t="s">
        <v>3175</v>
      </c>
      <c r="S298" s="106">
        <v>2</v>
      </c>
      <c r="T298" s="106">
        <v>0.2</v>
      </c>
      <c r="U298" s="106"/>
      <c r="V298" s="106"/>
      <c r="W298" s="106"/>
      <c r="X298" s="106"/>
      <c r="Y298" s="106"/>
      <c r="Z298" s="106"/>
      <c r="AA298" s="107" t="str">
        <f t="shared" si="156"/>
        <v>1:303,0.8,1.2,321,12,18,413,32,48,306,16,24,xxxxxx</v>
      </c>
      <c r="AB298" s="108" t="str">
        <f t="shared" si="144"/>
        <v>1:303,0.8,1.2,321,12,18,413,32,48,306,16,24</v>
      </c>
      <c r="AC298" t="str">
        <f t="shared" si="142"/>
        <v>生命回复 {0}</v>
      </c>
      <c r="AD298" s="9" t="str">
        <f t="shared" si="145"/>
        <v>所有伤害减免%  + {1}</v>
      </c>
      <c r="AE298" s="9" t="str">
        <f t="shared" si="157"/>
        <v>荆棘  + {2}</v>
      </c>
      <c r="AF298" s="9" t="str">
        <f t="shared" si="158"/>
        <v>护甲值%  + {3}</v>
      </c>
      <c r="AG298" s="9" t="str">
        <f t="shared" si="159"/>
        <v>xxx</v>
      </c>
      <c r="AH298" s="9" t="str">
        <f t="shared" si="160"/>
        <v>xxx</v>
      </c>
      <c r="AI298" s="9" t="str">
        <f t="shared" si="161"/>
        <v xml:space="preserve">生命回复 {0}
</v>
      </c>
      <c r="AJ298" s="9" t="str">
        <f t="shared" si="162"/>
        <v xml:space="preserve">所有伤害减免  + {1}%
</v>
      </c>
      <c r="AK298" s="9" t="str">
        <f t="shared" si="163"/>
        <v xml:space="preserve">荆棘  + {2}
</v>
      </c>
      <c r="AL298" s="9" t="str">
        <f t="shared" si="164"/>
        <v xml:space="preserve">护甲值  + {3}%
</v>
      </c>
      <c r="AM298" s="9" t="str">
        <f t="shared" si="165"/>
        <v>xxx</v>
      </c>
      <c r="AN298" s="9" t="str">
        <f t="shared" si="166"/>
        <v>xxx</v>
      </c>
      <c r="AO298" s="9" t="str">
        <f t="shared" si="64"/>
        <v>生命回复 {0}
所有伤害减免  + {1}%
荆棘  + {2}
护甲值  + {3}%
xxxxxx</v>
      </c>
      <c r="AP298" s="9" t="str">
        <f t="shared" si="65"/>
        <v xml:space="preserve">生命回复 {0}
所有伤害减免  + {1}%
荆棘  + {2}
护甲值  + {3}%
</v>
      </c>
      <c r="AQ298" s="9" t="s">
        <v>3824</v>
      </c>
      <c r="AR298" s="9" t="str">
        <f t="shared" si="66"/>
        <v xml:space="preserve">生命回复 {0}
所有伤害减免  + {1}%
荆棘  + {2}
护甲值  + {3}%
</v>
      </c>
      <c r="AS298" s="109" t="str">
        <f t="shared" si="141"/>
        <v>生命回复 {0}
所有伤害减免  + {1}%
荆棘  + {2}
护甲值  + {3}%</v>
      </c>
      <c r="AY298" s="94">
        <v>610074</v>
      </c>
    </row>
    <row r="299" spans="2:51" x14ac:dyDescent="0.2">
      <c r="B299" s="141" t="s">
        <v>3727</v>
      </c>
      <c r="C299" s="104">
        <v>30051</v>
      </c>
      <c r="D299" s="104" t="s">
        <v>3717</v>
      </c>
      <c r="E299" s="104"/>
      <c r="F299" s="104" t="s">
        <v>37</v>
      </c>
      <c r="G299" s="104"/>
      <c r="H299" s="105">
        <f t="shared" si="143"/>
        <v>9</v>
      </c>
      <c r="I299" s="106" t="s">
        <v>3137</v>
      </c>
      <c r="J299" s="106">
        <v>4</v>
      </c>
      <c r="K299" s="106">
        <v>0.2</v>
      </c>
      <c r="L299" s="106" t="s">
        <v>3200</v>
      </c>
      <c r="M299" s="106">
        <v>3</v>
      </c>
      <c r="N299" s="106">
        <v>0.2</v>
      </c>
      <c r="O299" s="106" t="s">
        <v>3196</v>
      </c>
      <c r="P299" s="106">
        <v>2</v>
      </c>
      <c r="Q299" s="106">
        <v>0.2</v>
      </c>
      <c r="R299" s="106"/>
      <c r="S299" s="106"/>
      <c r="T299" s="106"/>
      <c r="U299" s="106"/>
      <c r="V299" s="106"/>
      <c r="W299" s="106"/>
      <c r="X299" s="106"/>
      <c r="Y299" s="106"/>
      <c r="Z299" s="106"/>
      <c r="AA299" s="107" t="str">
        <f t="shared" si="156"/>
        <v>1:103,32,48,202,24,36,212,8,12,xxxxxxxxx</v>
      </c>
      <c r="AB299" s="108" t="str">
        <f t="shared" si="144"/>
        <v>1:103,32,48,202,24,36,212,8,12</v>
      </c>
      <c r="AC299" t="str">
        <f t="shared" si="142"/>
        <v>智力 {0}</v>
      </c>
      <c r="AD299" s="9"/>
      <c r="AE299" s="9" t="str">
        <f t="shared" si="157"/>
        <v>元素伤害%  + {2}</v>
      </c>
      <c r="AF299" s="9" t="str">
        <f t="shared" si="158"/>
        <v>xxx</v>
      </c>
      <c r="AG299" s="9" t="str">
        <f t="shared" si="159"/>
        <v>xxx</v>
      </c>
      <c r="AH299" s="9" t="str">
        <f t="shared" si="160"/>
        <v>xxx</v>
      </c>
      <c r="AI299" s="9" t="str">
        <f t="shared" si="161"/>
        <v xml:space="preserve">智力 {0}
</v>
      </c>
      <c r="AJ299" s="9" t="str">
        <f t="shared" si="162"/>
        <v xml:space="preserve">%
</v>
      </c>
      <c r="AK299" s="9" t="str">
        <f t="shared" si="163"/>
        <v xml:space="preserve">元素伤害  + {2}%
</v>
      </c>
      <c r="AL299" s="9" t="str">
        <f t="shared" si="164"/>
        <v>xxx</v>
      </c>
      <c r="AM299" s="9" t="str">
        <f t="shared" si="165"/>
        <v>xxx</v>
      </c>
      <c r="AN299" s="9" t="str">
        <f t="shared" si="166"/>
        <v>xxx</v>
      </c>
      <c r="AO299" s="9" t="str">
        <f t="shared" si="64"/>
        <v>智力 {0}
%
元素伤害  + {2}%
xxxxxxxxx</v>
      </c>
      <c r="AP299" s="9" t="str">
        <f t="shared" si="65"/>
        <v xml:space="preserve">智力 {0}
%
元素伤害  + {2}%
</v>
      </c>
      <c r="AQ299" s="9" t="s">
        <v>3825</v>
      </c>
      <c r="AR299" s="9" t="str">
        <f t="shared" si="66"/>
        <v xml:space="preserve">智力 {0}
%
元素伤害  + {2}%
</v>
      </c>
      <c r="AS299" s="109" t="str">
        <f t="shared" si="141"/>
        <v>智力 {0}
%
元素伤害  + {2}%</v>
      </c>
      <c r="AY299" s="94">
        <v>610076</v>
      </c>
    </row>
    <row r="300" spans="2:51" x14ac:dyDescent="0.2">
      <c r="B300" s="142"/>
      <c r="C300" s="104">
        <v>30052</v>
      </c>
      <c r="D300" s="104" t="s">
        <v>3718</v>
      </c>
      <c r="E300" s="104"/>
      <c r="F300" s="104" t="s">
        <v>38</v>
      </c>
      <c r="G300" s="104"/>
      <c r="H300" s="105">
        <f t="shared" si="143"/>
        <v>13.5</v>
      </c>
      <c r="I300" s="106" t="s">
        <v>3231</v>
      </c>
      <c r="J300" s="106">
        <v>3</v>
      </c>
      <c r="K300" s="106">
        <v>0.2</v>
      </c>
      <c r="L300" s="106" t="s">
        <v>3217</v>
      </c>
      <c r="M300" s="106">
        <v>3</v>
      </c>
      <c r="N300" s="106">
        <v>0.2</v>
      </c>
      <c r="O300" s="106" t="s">
        <v>3033</v>
      </c>
      <c r="P300" s="106">
        <v>2</v>
      </c>
      <c r="Q300" s="106">
        <v>0.2</v>
      </c>
      <c r="R300" s="106" t="s">
        <v>3038</v>
      </c>
      <c r="S300" s="106">
        <v>2</v>
      </c>
      <c r="T300" s="106">
        <v>0.2</v>
      </c>
      <c r="U300" s="106" t="s">
        <v>3070</v>
      </c>
      <c r="V300" s="106">
        <v>1.5</v>
      </c>
      <c r="W300" s="106">
        <v>0.2</v>
      </c>
      <c r="X300" s="106"/>
      <c r="Y300" s="106">
        <v>2</v>
      </c>
      <c r="Z300" s="106">
        <v>0.2</v>
      </c>
      <c r="AA300" s="107" t="str">
        <f t="shared" si="156"/>
        <v>1:101,24,36,302,24,36,415,8,12,421,32,48,601,1.2,1.8,xxx</v>
      </c>
      <c r="AB300" s="108" t="str">
        <f t="shared" si="144"/>
        <v>1:101,24,36,302,24,36,415,8,12,421,32,48,601,1.2,1.8</v>
      </c>
      <c r="AC300" t="str">
        <f t="shared" si="142"/>
        <v>力量 {0}</v>
      </c>
      <c r="AD300" s="9" t="str">
        <f t="shared" ref="AD300:AD307" si="167">_xlfn.IFNA(L300&amp;" "&amp;IF(N300=0," + "&amp;M300*VLOOKUP(L300,$BE$8:$BH$260,4,FALSE)," + {"&amp;M$6&amp;"}"),"xxx")</f>
        <v>生命值%  + {1}</v>
      </c>
      <c r="AE300" s="9" t="str">
        <f t="shared" si="157"/>
        <v>持续时间%  + {2}</v>
      </c>
      <c r="AF300" s="9" t="str">
        <f t="shared" si="158"/>
        <v>金币获取%  + {3}</v>
      </c>
      <c r="AG300" s="9" t="str">
        <f t="shared" si="159"/>
        <v>击杀加伤害  + {4}</v>
      </c>
      <c r="AH300" s="9" t="str">
        <f t="shared" si="160"/>
        <v xml:space="preserve">  + {5}</v>
      </c>
      <c r="AI300" s="9" t="str">
        <f t="shared" si="161"/>
        <v xml:space="preserve">力量 {0}
</v>
      </c>
      <c r="AJ300" s="9" t="str">
        <f t="shared" si="162"/>
        <v xml:space="preserve">生命值  + {1}%
</v>
      </c>
      <c r="AK300" s="9" t="str">
        <f t="shared" si="163"/>
        <v xml:space="preserve">持续时间  + {2}%
</v>
      </c>
      <c r="AL300" s="9" t="str">
        <f t="shared" si="164"/>
        <v xml:space="preserve">金币获取  + {3}%
</v>
      </c>
      <c r="AM300" s="9" t="str">
        <f t="shared" si="165"/>
        <v xml:space="preserve">击杀加伤害  + {4}%
</v>
      </c>
      <c r="AN300" s="9" t="str">
        <f t="shared" si="166"/>
        <v>xxx</v>
      </c>
      <c r="AO300" s="9" t="str">
        <f t="shared" si="64"/>
        <v>力量 {0}
生命值  + {1}%
持续时间  + {2}%
金币获取  + {3}%
击杀加伤害  + {4}%
xxx</v>
      </c>
      <c r="AP300" s="9" t="str">
        <f t="shared" si="65"/>
        <v xml:space="preserve">力量 {0}
生命值  + {1}%
持续时间  + {2}%
金币获取  + {3}%
击杀加伤害  + {4}%
</v>
      </c>
      <c r="AQ300" s="9" t="s">
        <v>3826</v>
      </c>
      <c r="AR300" s="9" t="str">
        <f t="shared" si="66"/>
        <v xml:space="preserve">力量 {0}
生命值  + {1}%
持续时间  + {2}%
金币获取  + {3}%
击杀加伤害  + {4}%
</v>
      </c>
      <c r="AS300" s="109" t="str">
        <f t="shared" si="141"/>
        <v>力量 {0}
生命值  + {1}%
持续时间  + {2}%
金币获取  + {3}%
击杀加伤害  + {4}%</v>
      </c>
      <c r="AY300" s="94">
        <v>610077</v>
      </c>
    </row>
    <row r="301" spans="2:51" x14ac:dyDescent="0.2">
      <c r="B301" s="142"/>
      <c r="C301" s="104">
        <v>30053</v>
      </c>
      <c r="D301" s="104" t="s">
        <v>3719</v>
      </c>
      <c r="E301" s="104"/>
      <c r="F301" s="104" t="s">
        <v>40</v>
      </c>
      <c r="G301" s="104"/>
      <c r="H301" s="105">
        <f t="shared" si="143"/>
        <v>8</v>
      </c>
      <c r="I301" s="106" t="s">
        <v>2940</v>
      </c>
      <c r="J301" s="106">
        <v>3</v>
      </c>
      <c r="K301" s="106">
        <v>0.2</v>
      </c>
      <c r="L301" s="106" t="s">
        <v>3185</v>
      </c>
      <c r="M301" s="106">
        <v>3</v>
      </c>
      <c r="N301" s="106">
        <v>0.2</v>
      </c>
      <c r="O301" s="106" t="s">
        <v>3582</v>
      </c>
      <c r="P301" s="106">
        <v>2</v>
      </c>
      <c r="Q301" s="106">
        <v>0.2</v>
      </c>
      <c r="R301" s="106"/>
      <c r="S301" s="106"/>
      <c r="T301" s="106"/>
      <c r="U301" s="106"/>
      <c r="V301" s="106"/>
      <c r="W301" s="106"/>
      <c r="X301" s="106"/>
      <c r="Y301" s="106"/>
      <c r="Z301" s="106"/>
      <c r="AA301" s="107" t="str">
        <f t="shared" si="156"/>
        <v>1:412,24,36,407,48,72,501,3.2,4.8,xxxxxxxxx</v>
      </c>
      <c r="AB301" s="108" t="str">
        <f t="shared" si="144"/>
        <v>1:412,24,36,407,48,72,501,3.2,4.8</v>
      </c>
      <c r="AC301" t="str">
        <f t="shared" si="142"/>
        <v>移动速度% {0}</v>
      </c>
      <c r="AD301" s="9" t="str">
        <f t="shared" si="167"/>
        <v>拾取范围%  + {1}</v>
      </c>
      <c r="AE301" s="9" t="str">
        <f t="shared" si="157"/>
        <v>刷新次数  + {2}</v>
      </c>
      <c r="AF301" s="9" t="str">
        <f t="shared" si="158"/>
        <v>xxx</v>
      </c>
      <c r="AG301" s="9" t="str">
        <f t="shared" si="159"/>
        <v>xxx</v>
      </c>
      <c r="AH301" s="9" t="str">
        <f t="shared" si="160"/>
        <v>xxx</v>
      </c>
      <c r="AI301" s="9" t="str">
        <f t="shared" si="161"/>
        <v xml:space="preserve">移动速度 {0}%
</v>
      </c>
      <c r="AJ301" s="9" t="str">
        <f t="shared" si="162"/>
        <v xml:space="preserve">拾取范围  + {1}%
</v>
      </c>
      <c r="AK301" s="9" t="str">
        <f t="shared" si="163"/>
        <v xml:space="preserve">刷新次数  + {2}
</v>
      </c>
      <c r="AL301" s="9" t="str">
        <f t="shared" si="164"/>
        <v>xxx</v>
      </c>
      <c r="AM301" s="9" t="str">
        <f t="shared" si="165"/>
        <v>xxx</v>
      </c>
      <c r="AN301" s="9" t="str">
        <f t="shared" si="166"/>
        <v>xxx</v>
      </c>
      <c r="AO301" s="9" t="str">
        <f t="shared" si="64"/>
        <v>移动速度 {0}%
拾取范围  + {1}%
刷新次数  + {2}
xxxxxxxxx</v>
      </c>
      <c r="AP301" s="9" t="str">
        <f t="shared" si="65"/>
        <v xml:space="preserve">移动速度 {0}%
拾取范围  + {1}%
刷新次数  + {2}
</v>
      </c>
      <c r="AQ301" s="9" t="s">
        <v>3827</v>
      </c>
      <c r="AR301" s="9" t="str">
        <f t="shared" si="66"/>
        <v xml:space="preserve">移动速度 {0}%
拾取范围  + {1}%
刷新次数  + {2}
</v>
      </c>
      <c r="AS301" s="109" t="str">
        <f t="shared" si="141"/>
        <v>移动速度 {0}%
拾取范围  + {1}%
刷新次数  + {2}</v>
      </c>
      <c r="AY301" s="94">
        <v>610078</v>
      </c>
    </row>
    <row r="302" spans="2:51" x14ac:dyDescent="0.2">
      <c r="B302" s="141" t="s">
        <v>3728</v>
      </c>
      <c r="C302" s="104">
        <v>30054</v>
      </c>
      <c r="D302" s="104" t="s">
        <v>3720</v>
      </c>
      <c r="E302" s="104"/>
      <c r="F302" s="104" t="s">
        <v>37</v>
      </c>
      <c r="G302" s="104"/>
      <c r="H302" s="105">
        <f t="shared" si="143"/>
        <v>8</v>
      </c>
      <c r="I302" s="106" t="s">
        <v>3038</v>
      </c>
      <c r="J302" s="106">
        <v>3</v>
      </c>
      <c r="K302" s="106">
        <v>0.2</v>
      </c>
      <c r="L302" s="106" t="s">
        <v>3199</v>
      </c>
      <c r="M302" s="106">
        <v>3</v>
      </c>
      <c r="N302" s="106">
        <v>0.2</v>
      </c>
      <c r="O302" s="106" t="s">
        <v>3582</v>
      </c>
      <c r="P302" s="106">
        <v>2</v>
      </c>
      <c r="Q302" s="106">
        <v>0.2</v>
      </c>
      <c r="R302" s="106"/>
      <c r="S302" s="106"/>
      <c r="T302" s="106"/>
      <c r="U302" s="106"/>
      <c r="V302" s="106"/>
      <c r="W302" s="106"/>
      <c r="X302" s="106"/>
      <c r="Y302" s="106"/>
      <c r="Z302" s="106"/>
      <c r="AA302" s="107" t="str">
        <f t="shared" si="156"/>
        <v>1:421,48,72,104,24,36,501,3.2,4.8,xxxxxxxxx</v>
      </c>
      <c r="AB302" s="108" t="str">
        <f t="shared" si="144"/>
        <v>1:421,48,72,104,24,36,501,3.2,4.8</v>
      </c>
      <c r="AC302" t="str">
        <f t="shared" si="142"/>
        <v>金币获取% {0}</v>
      </c>
      <c r="AD302" s="9" t="str">
        <f t="shared" si="167"/>
        <v>幸运  + {1}</v>
      </c>
      <c r="AE302" s="9" t="str">
        <f t="shared" si="157"/>
        <v>刷新次数  + {2}</v>
      </c>
      <c r="AF302" s="9" t="str">
        <f t="shared" si="158"/>
        <v>xxx</v>
      </c>
      <c r="AG302" s="9" t="str">
        <f t="shared" si="159"/>
        <v>xxx</v>
      </c>
      <c r="AH302" s="9" t="str">
        <f t="shared" si="160"/>
        <v>xxx</v>
      </c>
      <c r="AI302" s="9" t="str">
        <f t="shared" si="161"/>
        <v xml:space="preserve">金币获取 {0}%
</v>
      </c>
      <c r="AJ302" s="9" t="str">
        <f t="shared" si="162"/>
        <v xml:space="preserve">幸运  + {1}
</v>
      </c>
      <c r="AK302" s="9" t="str">
        <f t="shared" si="163"/>
        <v xml:space="preserve">刷新次数  + {2}
</v>
      </c>
      <c r="AL302" s="9" t="str">
        <f t="shared" si="164"/>
        <v>xxx</v>
      </c>
      <c r="AM302" s="9" t="str">
        <f t="shared" si="165"/>
        <v>xxx</v>
      </c>
      <c r="AN302" s="9" t="str">
        <f t="shared" si="166"/>
        <v>xxx</v>
      </c>
      <c r="AO302" s="9" t="str">
        <f t="shared" si="64"/>
        <v>金币获取 {0}%
幸运  + {1}
刷新次数  + {2}
xxxxxxxxx</v>
      </c>
      <c r="AP302" s="9" t="str">
        <f t="shared" si="65"/>
        <v xml:space="preserve">金币获取 {0}%
幸运  + {1}
刷新次数  + {2}
</v>
      </c>
      <c r="AQ302" s="9" t="s">
        <v>3828</v>
      </c>
      <c r="AR302" s="9" t="str">
        <f t="shared" si="66"/>
        <v xml:space="preserve">金币获取 {0}%
幸运  + {1}
刷新次数  + {2}
</v>
      </c>
      <c r="AS302" s="109" t="str">
        <f t="shared" si="141"/>
        <v>金币获取 {0}%
幸运  + {1}
刷新次数  + {2}</v>
      </c>
      <c r="AY302" s="94">
        <v>610080</v>
      </c>
    </row>
    <row r="303" spans="2:51" x14ac:dyDescent="0.2">
      <c r="B303" s="142"/>
      <c r="C303" s="104">
        <v>30055</v>
      </c>
      <c r="D303" s="104" t="s">
        <v>3721</v>
      </c>
      <c r="E303" s="104"/>
      <c r="F303" s="104" t="s">
        <v>38</v>
      </c>
      <c r="G303" s="104"/>
      <c r="H303" s="105">
        <f t="shared" si="143"/>
        <v>10</v>
      </c>
      <c r="I303" s="106" t="s">
        <v>3217</v>
      </c>
      <c r="J303" s="106">
        <v>3</v>
      </c>
      <c r="K303" s="106">
        <v>0.2</v>
      </c>
      <c r="L303" s="106" t="s">
        <v>3782</v>
      </c>
      <c r="M303" s="106">
        <v>3</v>
      </c>
      <c r="N303" s="106">
        <v>0.2</v>
      </c>
      <c r="O303" s="106" t="s">
        <v>3184</v>
      </c>
      <c r="P303" s="106">
        <v>2</v>
      </c>
      <c r="Q303" s="106">
        <v>0.2</v>
      </c>
      <c r="R303" s="106" t="s">
        <v>3231</v>
      </c>
      <c r="S303" s="106">
        <v>2</v>
      </c>
      <c r="T303" s="106">
        <v>0.2</v>
      </c>
      <c r="U303" s="106"/>
      <c r="V303" s="106"/>
      <c r="W303" s="106"/>
      <c r="X303" s="106"/>
      <c r="Y303" s="106"/>
      <c r="Z303" s="106"/>
      <c r="AA303" s="107" t="str">
        <f t="shared" si="156"/>
        <v>1:302,24,36,402,24,36,403,16,24,101,16,24,xxxxxx</v>
      </c>
      <c r="AB303" s="108" t="str">
        <f t="shared" si="144"/>
        <v>1:302,24,36,402,24,36,403,16,24,101,16,24</v>
      </c>
      <c r="AC303" t="str">
        <f t="shared" si="142"/>
        <v>生命值% {0}</v>
      </c>
      <c r="AD303" s="9" t="str">
        <f t="shared" si="167"/>
        <v>物品掉落数量%  + {1}</v>
      </c>
      <c r="AE303" s="9" t="str">
        <f t="shared" si="157"/>
        <v>珍稀物品掉率%  + {2}</v>
      </c>
      <c r="AF303" s="9" t="str">
        <f t="shared" si="158"/>
        <v>力量  + {3}</v>
      </c>
      <c r="AG303" s="9" t="str">
        <f t="shared" si="159"/>
        <v>xxx</v>
      </c>
      <c r="AH303" s="9" t="str">
        <f t="shared" si="160"/>
        <v>xxx</v>
      </c>
      <c r="AI303" s="9" t="str">
        <f t="shared" si="161"/>
        <v xml:space="preserve">生命值 {0}%
</v>
      </c>
      <c r="AJ303" s="9" t="str">
        <f t="shared" si="162"/>
        <v xml:space="preserve">物品掉落数量  + {1}%
</v>
      </c>
      <c r="AK303" s="9" t="str">
        <f t="shared" si="163"/>
        <v xml:space="preserve">珍稀物品掉率  + {2}%
</v>
      </c>
      <c r="AL303" s="9" t="str">
        <f t="shared" si="164"/>
        <v xml:space="preserve">力量  + {3}
</v>
      </c>
      <c r="AM303" s="9" t="str">
        <f t="shared" si="165"/>
        <v>xxx</v>
      </c>
      <c r="AN303" s="9" t="str">
        <f t="shared" si="166"/>
        <v>xxx</v>
      </c>
      <c r="AO303" s="9" t="str">
        <f t="shared" si="64"/>
        <v>生命值 {0}%
物品掉落数量  + {1}%
珍稀物品掉率  + {2}%
力量  + {3}
xxxxxx</v>
      </c>
      <c r="AP303" s="9" t="str">
        <f t="shared" si="65"/>
        <v xml:space="preserve">生命值 {0}%
物品掉落数量  + {1}%
珍稀物品掉率  + {2}%
力量  + {3}
</v>
      </c>
      <c r="AQ303" s="9" t="s">
        <v>3829</v>
      </c>
      <c r="AR303" s="9" t="str">
        <f t="shared" si="66"/>
        <v xml:space="preserve">生命值 {0}%
物品掉落数量  + {1}%
珍稀物品掉率  + {2}%
力量  + {3}
</v>
      </c>
      <c r="AS303" s="109" t="str">
        <f t="shared" si="141"/>
        <v>生命值 {0}%
物品掉落数量  + {1}%
珍稀物品掉率  + {2}%
力量  + {3}</v>
      </c>
      <c r="AY303" s="94">
        <v>610081</v>
      </c>
    </row>
    <row r="304" spans="2:51" x14ac:dyDescent="0.2">
      <c r="B304" s="142"/>
      <c r="C304" s="104">
        <v>30056</v>
      </c>
      <c r="D304" s="104" t="s">
        <v>3722</v>
      </c>
      <c r="E304" s="104"/>
      <c r="F304" s="104" t="s">
        <v>40</v>
      </c>
      <c r="G304" s="104"/>
      <c r="H304" s="105">
        <f t="shared" si="143"/>
        <v>8</v>
      </c>
      <c r="I304" s="106" t="s">
        <v>2940</v>
      </c>
      <c r="J304" s="106">
        <v>3</v>
      </c>
      <c r="K304" s="106">
        <v>0.2</v>
      </c>
      <c r="L304" s="106" t="s">
        <v>3167</v>
      </c>
      <c r="M304" s="106">
        <v>3</v>
      </c>
      <c r="N304" s="106">
        <v>0.2</v>
      </c>
      <c r="O304" s="106" t="s">
        <v>3044</v>
      </c>
      <c r="P304" s="106">
        <v>2</v>
      </c>
      <c r="Q304" s="106">
        <v>0.2</v>
      </c>
      <c r="R304" s="106"/>
      <c r="S304" s="106"/>
      <c r="T304" s="106"/>
      <c r="U304" s="106"/>
      <c r="V304" s="106"/>
      <c r="W304" s="106"/>
      <c r="X304" s="106"/>
      <c r="Y304" s="106"/>
      <c r="Z304" s="106"/>
      <c r="AA304" s="107" t="str">
        <f t="shared" si="156"/>
        <v>1:412,24,36,102,24,36,428,32,48,xxxxxxxxx</v>
      </c>
      <c r="AB304" s="108" t="str">
        <f t="shared" si="144"/>
        <v>1:412,24,36,102,24,36,428,32,48</v>
      </c>
      <c r="AC304" t="str">
        <f t="shared" si="142"/>
        <v>移动速度% {0}</v>
      </c>
      <c r="AD304" s="9" t="str">
        <f t="shared" si="167"/>
        <v>敏捷  + {1}</v>
      </c>
      <c r="AE304" s="9" t="str">
        <f t="shared" si="157"/>
        <v>经验碎片加攻速移速  + {2}</v>
      </c>
      <c r="AF304" s="9" t="str">
        <f t="shared" si="158"/>
        <v>xxx</v>
      </c>
      <c r="AG304" s="9" t="str">
        <f t="shared" si="159"/>
        <v>xxx</v>
      </c>
      <c r="AH304" s="9" t="str">
        <f t="shared" si="160"/>
        <v>xxx</v>
      </c>
      <c r="AI304" s="9" t="str">
        <f t="shared" si="161"/>
        <v xml:space="preserve">移动速度 {0}%
</v>
      </c>
      <c r="AJ304" s="9" t="str">
        <f t="shared" si="162"/>
        <v xml:space="preserve">敏捷  + {1}
</v>
      </c>
      <c r="AK304" s="9" t="str">
        <f t="shared" si="163"/>
        <v xml:space="preserve">经验碎片加攻速移速  + {2}%
</v>
      </c>
      <c r="AL304" s="9" t="str">
        <f t="shared" si="164"/>
        <v>xxx</v>
      </c>
      <c r="AM304" s="9" t="str">
        <f t="shared" si="165"/>
        <v>xxx</v>
      </c>
      <c r="AN304" s="9" t="str">
        <f t="shared" si="166"/>
        <v>xxx</v>
      </c>
      <c r="AO304" s="9" t="str">
        <f t="shared" si="64"/>
        <v>移动速度 {0}%
敏捷  + {1}
经验碎片加攻速移速  + {2}%
xxxxxxxxx</v>
      </c>
      <c r="AP304" s="9" t="str">
        <f t="shared" si="65"/>
        <v xml:space="preserve">移动速度 {0}%
敏捷  + {1}
经验碎片加攻速移速  + {2}%
</v>
      </c>
      <c r="AQ304" s="9" t="s">
        <v>3830</v>
      </c>
      <c r="AR304" s="9" t="str">
        <f t="shared" si="66"/>
        <v xml:space="preserve">移动速度 {0}%
敏捷  + {1}
经验碎片加攻速移速  + {2}%
</v>
      </c>
      <c r="AS304" s="109" t="str">
        <f t="shared" si="141"/>
        <v>移动速度 {0}%
敏捷  + {1}
经验碎片加攻速移速  + {2}%</v>
      </c>
      <c r="AY304" s="94">
        <v>610082</v>
      </c>
    </row>
    <row r="305" spans="2:51" x14ac:dyDescent="0.2">
      <c r="B305" s="141" t="s">
        <v>3729</v>
      </c>
      <c r="C305" s="104">
        <v>30057</v>
      </c>
      <c r="D305" s="104" t="s">
        <v>3723</v>
      </c>
      <c r="E305" s="104"/>
      <c r="F305" s="104" t="s">
        <v>41</v>
      </c>
      <c r="G305" s="104"/>
      <c r="H305" s="105">
        <f t="shared" si="143"/>
        <v>11</v>
      </c>
      <c r="I305" s="106" t="s">
        <v>3038</v>
      </c>
      <c r="J305" s="106">
        <v>4</v>
      </c>
      <c r="K305" s="106">
        <v>0.2</v>
      </c>
      <c r="L305" s="106" t="s">
        <v>3183</v>
      </c>
      <c r="M305" s="106">
        <v>5</v>
      </c>
      <c r="N305" s="106">
        <v>0.2</v>
      </c>
      <c r="O305" s="106" t="s">
        <v>3782</v>
      </c>
      <c r="P305" s="106">
        <v>2</v>
      </c>
      <c r="Q305" s="106">
        <v>0.2</v>
      </c>
      <c r="R305" s="106"/>
      <c r="S305" s="106"/>
      <c r="T305" s="106"/>
      <c r="U305" s="106"/>
      <c r="V305" s="106"/>
      <c r="W305" s="106"/>
      <c r="X305" s="106"/>
      <c r="Y305" s="106"/>
      <c r="Z305" s="106"/>
      <c r="AA305" s="107" t="str">
        <f t="shared" si="156"/>
        <v>1:421,64,96,226,40,60,402,16,24,xxxxxxxxx</v>
      </c>
      <c r="AB305" s="108" t="str">
        <f t="shared" si="144"/>
        <v>1:421,64,96,226,40,60,402,16,24</v>
      </c>
      <c r="AC305" t="str">
        <f t="shared" si="142"/>
        <v>金币获取% {0}</v>
      </c>
      <c r="AD305" s="9" t="str">
        <f t="shared" si="167"/>
        <v>命中率%  + {1}</v>
      </c>
      <c r="AE305" s="9" t="str">
        <f t="shared" si="157"/>
        <v>物品掉落数量%  + {2}</v>
      </c>
      <c r="AF305" s="9" t="str">
        <f t="shared" si="158"/>
        <v>xxx</v>
      </c>
      <c r="AG305" s="9" t="str">
        <f t="shared" si="159"/>
        <v>xxx</v>
      </c>
      <c r="AH305" s="9" t="str">
        <f t="shared" si="160"/>
        <v>xxx</v>
      </c>
      <c r="AI305" s="9" t="str">
        <f t="shared" si="161"/>
        <v xml:space="preserve">金币获取 {0}%
</v>
      </c>
      <c r="AJ305" s="9" t="str">
        <f t="shared" si="162"/>
        <v xml:space="preserve">命中率  + {1}%
</v>
      </c>
      <c r="AK305" s="9" t="str">
        <f t="shared" si="163"/>
        <v xml:space="preserve">物品掉落数量  + {2}%
</v>
      </c>
      <c r="AL305" s="9" t="str">
        <f t="shared" si="164"/>
        <v>xxx</v>
      </c>
      <c r="AM305" s="9" t="str">
        <f t="shared" si="165"/>
        <v>xxx</v>
      </c>
      <c r="AN305" s="9" t="str">
        <f t="shared" si="166"/>
        <v>xxx</v>
      </c>
      <c r="AO305" s="9" t="str">
        <f t="shared" si="64"/>
        <v>金币获取 {0}%
命中率  + {1}%
物品掉落数量  + {2}%
xxxxxxxxx</v>
      </c>
      <c r="AP305" s="9" t="str">
        <f t="shared" si="65"/>
        <v xml:space="preserve">金币获取 {0}%
命中率  + {1}%
物品掉落数量  + {2}%
</v>
      </c>
      <c r="AQ305" s="9" t="s">
        <v>3831</v>
      </c>
      <c r="AR305" s="9" t="str">
        <f t="shared" si="66"/>
        <v xml:space="preserve">金币获取 {0}%
命中率  + {1}%
物品掉落数量  + {2}%
</v>
      </c>
      <c r="AS305" s="109" t="str">
        <f t="shared" si="141"/>
        <v>金币获取 {0}%
命中率  + {1}%
物品掉落数量  + {2}%</v>
      </c>
      <c r="AY305" s="94">
        <v>610084</v>
      </c>
    </row>
    <row r="306" spans="2:51" x14ac:dyDescent="0.2">
      <c r="B306" s="142"/>
      <c r="C306" s="104">
        <v>30058</v>
      </c>
      <c r="D306" s="104" t="s">
        <v>3724</v>
      </c>
      <c r="E306" s="104"/>
      <c r="F306" s="104" t="s">
        <v>39</v>
      </c>
      <c r="G306" s="104"/>
      <c r="H306" s="105">
        <f t="shared" si="143"/>
        <v>10</v>
      </c>
      <c r="I306" s="106" t="s">
        <v>3185</v>
      </c>
      <c r="J306" s="106">
        <v>3</v>
      </c>
      <c r="K306" s="106">
        <v>0.2</v>
      </c>
      <c r="L306" s="106" t="s">
        <v>3756</v>
      </c>
      <c r="M306" s="106">
        <v>4</v>
      </c>
      <c r="N306" s="106">
        <v>0.2</v>
      </c>
      <c r="O306" s="106" t="s">
        <v>3757</v>
      </c>
      <c r="P306" s="106">
        <v>3</v>
      </c>
      <c r="Q306" s="106">
        <v>0.2</v>
      </c>
      <c r="R306" s="106"/>
      <c r="S306" s="106"/>
      <c r="T306" s="106"/>
      <c r="U306" s="106"/>
      <c r="V306" s="106"/>
      <c r="W306" s="106"/>
      <c r="X306" s="106"/>
      <c r="Y306" s="106"/>
      <c r="Z306" s="106"/>
      <c r="AA306" s="107" t="str">
        <f t="shared" si="156"/>
        <v>1:407,48,72,219,32,48,220,48,72,xxxxxxxxx</v>
      </c>
      <c r="AB306" s="108" t="str">
        <f t="shared" si="144"/>
        <v>1:407,48,72,219,32,48,220,48,72</v>
      </c>
      <c r="AC306" t="str">
        <f t="shared" si="142"/>
        <v>拾取范围% {0}</v>
      </c>
      <c r="AD306" s="9" t="str">
        <f t="shared" si="167"/>
        <v>暴击几率%  + {1}</v>
      </c>
      <c r="AE306" s="9" t="str">
        <f t="shared" si="157"/>
        <v>暴击伤害%  + {2}</v>
      </c>
      <c r="AF306" s="9" t="str">
        <f t="shared" si="158"/>
        <v>xxx</v>
      </c>
      <c r="AG306" s="9" t="str">
        <f t="shared" si="159"/>
        <v>xxx</v>
      </c>
      <c r="AH306" s="9" t="str">
        <f t="shared" si="160"/>
        <v>xxx</v>
      </c>
      <c r="AI306" s="9" t="str">
        <f t="shared" si="161"/>
        <v xml:space="preserve">拾取范围 {0}%
</v>
      </c>
      <c r="AJ306" s="9" t="str">
        <f t="shared" si="162"/>
        <v xml:space="preserve">暴击几率  + {1}%
</v>
      </c>
      <c r="AK306" s="9" t="str">
        <f t="shared" si="163"/>
        <v xml:space="preserve">暴击伤害  + {2}%
</v>
      </c>
      <c r="AL306" s="9" t="str">
        <f t="shared" si="164"/>
        <v>xxx</v>
      </c>
      <c r="AM306" s="9" t="str">
        <f t="shared" si="165"/>
        <v>xxx</v>
      </c>
      <c r="AN306" s="9" t="str">
        <f t="shared" si="166"/>
        <v>xxx</v>
      </c>
      <c r="AO306" s="9" t="str">
        <f t="shared" si="64"/>
        <v>拾取范围 {0}%
暴击几率  + {1}%
暴击伤害  + {2}%
xxxxxxxxx</v>
      </c>
      <c r="AP306" s="9" t="str">
        <f t="shared" si="65"/>
        <v xml:space="preserve">拾取范围 {0}%
暴击几率  + {1}%
暴击伤害  + {2}%
</v>
      </c>
      <c r="AQ306" s="9" t="s">
        <v>3832</v>
      </c>
      <c r="AR306" s="9" t="str">
        <f t="shared" si="66"/>
        <v xml:space="preserve">拾取范围 {0}%
暴击几率  + {1}%
暴击伤害  + {2}%
</v>
      </c>
      <c r="AS306" s="109" t="str">
        <f t="shared" si="141"/>
        <v>拾取范围 {0}%
暴击几率  + {1}%
暴击伤害  + {2}%</v>
      </c>
      <c r="AY306" s="94">
        <v>610085</v>
      </c>
    </row>
    <row r="307" spans="2:51" x14ac:dyDescent="0.2">
      <c r="B307" s="142"/>
      <c r="C307" s="104">
        <v>30059</v>
      </c>
      <c r="D307" s="104" t="s">
        <v>3725</v>
      </c>
      <c r="E307" s="104"/>
      <c r="F307" s="104" t="s">
        <v>43</v>
      </c>
      <c r="G307" s="104"/>
      <c r="H307" s="105">
        <f t="shared" si="143"/>
        <v>9</v>
      </c>
      <c r="I307" s="106" t="s">
        <v>3024</v>
      </c>
      <c r="J307" s="106">
        <v>4</v>
      </c>
      <c r="K307" s="106">
        <v>0.2</v>
      </c>
      <c r="L307" s="106" t="s">
        <v>2940</v>
      </c>
      <c r="M307" s="106">
        <v>3</v>
      </c>
      <c r="N307" s="106">
        <v>0.2</v>
      </c>
      <c r="O307" s="106" t="s">
        <v>3199</v>
      </c>
      <c r="P307" s="106">
        <v>2</v>
      </c>
      <c r="Q307" s="106">
        <v>0.2</v>
      </c>
      <c r="R307" s="106"/>
      <c r="S307" s="106"/>
      <c r="T307" s="106"/>
      <c r="U307" s="106"/>
      <c r="V307" s="106"/>
      <c r="W307" s="106"/>
      <c r="X307" s="106"/>
      <c r="Y307" s="106"/>
      <c r="Z307" s="106"/>
      <c r="AA307" s="107" t="str">
        <f t="shared" si="156"/>
        <v>1:403,32,48,412,24,36,104,16,24,xxxxxxxxx</v>
      </c>
      <c r="AB307" s="108" t="str">
        <f t="shared" si="144"/>
        <v>1:403,32,48,412,24,36,104,16,24</v>
      </c>
      <c r="AC307" t="str">
        <f t="shared" si="142"/>
        <v>珍稀物品掉率% {0}</v>
      </c>
      <c r="AD307" s="9" t="str">
        <f t="shared" si="167"/>
        <v>移动速度%  + {1}</v>
      </c>
      <c r="AE307" s="9" t="str">
        <f t="shared" si="157"/>
        <v>幸运  + {2}</v>
      </c>
      <c r="AF307" s="9" t="str">
        <f t="shared" si="158"/>
        <v>xxx</v>
      </c>
      <c r="AG307" s="9" t="str">
        <f t="shared" si="159"/>
        <v>xxx</v>
      </c>
      <c r="AH307" s="9" t="str">
        <f t="shared" si="160"/>
        <v>xxx</v>
      </c>
      <c r="AI307" s="9" t="str">
        <f t="shared" si="161"/>
        <v xml:space="preserve">珍稀物品掉率 {0}%
</v>
      </c>
      <c r="AJ307" s="9" t="str">
        <f t="shared" si="162"/>
        <v xml:space="preserve">移动速度  + {1}%
</v>
      </c>
      <c r="AK307" s="9" t="str">
        <f t="shared" si="163"/>
        <v xml:space="preserve">幸运  + {2}
</v>
      </c>
      <c r="AL307" s="9" t="str">
        <f t="shared" si="164"/>
        <v>xxx</v>
      </c>
      <c r="AM307" s="9" t="str">
        <f t="shared" si="165"/>
        <v>xxx</v>
      </c>
      <c r="AN307" s="9" t="str">
        <f t="shared" si="166"/>
        <v>xxx</v>
      </c>
      <c r="AO307" s="9" t="str">
        <f t="shared" si="64"/>
        <v>珍稀物品掉率 {0}%
移动速度  + {1}%
幸运  + {2}
xxxxxxxxx</v>
      </c>
      <c r="AP307" s="9" t="str">
        <f>SUBSTITUTE(AO307,"xxx","")</f>
        <v xml:space="preserve">珍稀物品掉率 {0}%
移动速度  + {1}%
幸运  + {2}
</v>
      </c>
      <c r="AQ307" s="9" t="s">
        <v>3833</v>
      </c>
      <c r="AR307" s="9" t="str">
        <f t="shared" si="66"/>
        <v xml:space="preserve">珍稀物品掉率 {0}%
移动速度  + {1}%
幸运  + {2}
</v>
      </c>
      <c r="AS307" s="109" t="str">
        <f t="shared" si="141"/>
        <v>珍稀物品掉率 {0}%
移动速度  + {1}%
幸运  + {2}</v>
      </c>
      <c r="AY307" s="94">
        <v>610086</v>
      </c>
    </row>
    <row r="308" spans="2:51" x14ac:dyDescent="0.2">
      <c r="AP308" s="6"/>
      <c r="AQ308" s="80"/>
      <c r="AS308" s="81"/>
    </row>
    <row r="309" spans="2:51" x14ac:dyDescent="0.2">
      <c r="AP309" s="6"/>
      <c r="AQ309" s="80"/>
      <c r="AS309" s="81"/>
    </row>
    <row r="310" spans="2:51" x14ac:dyDescent="0.2">
      <c r="D310" t="s">
        <v>3748</v>
      </c>
      <c r="E310" t="s">
        <v>3749</v>
      </c>
      <c r="F310" t="s">
        <v>3750</v>
      </c>
      <c r="AP310" s="6"/>
      <c r="AS310" s="81"/>
    </row>
    <row r="311" spans="2:51" x14ac:dyDescent="0.2">
      <c r="AP311" s="6"/>
      <c r="AS311" s="81"/>
    </row>
    <row r="312" spans="2:51" x14ac:dyDescent="0.2">
      <c r="B312" s="101" t="s">
        <v>2747</v>
      </c>
      <c r="C312" s="101">
        <v>73</v>
      </c>
      <c r="D312" s="102">
        <f>C312/(15/18)</f>
        <v>87.6</v>
      </c>
      <c r="E312" s="103">
        <f>D312*2</f>
        <v>175.2</v>
      </c>
      <c r="F312">
        <f>E312*(15/18)</f>
        <v>146</v>
      </c>
      <c r="G312" s="103">
        <f>E312/(15/18)</f>
        <v>210.23999999999998</v>
      </c>
      <c r="AP312" s="6"/>
      <c r="AS312" s="81"/>
    </row>
    <row r="313" spans="2:51" x14ac:dyDescent="0.2">
      <c r="B313" s="101" t="s">
        <v>2746</v>
      </c>
      <c r="C313" s="101">
        <v>114</v>
      </c>
      <c r="D313" s="102">
        <f t="shared" ref="D313:D317" si="168">C313/(15/18)</f>
        <v>136.79999999999998</v>
      </c>
      <c r="E313" s="103">
        <f t="shared" ref="E313:E317" si="169">D313*2</f>
        <v>273.59999999999997</v>
      </c>
      <c r="F313">
        <f t="shared" ref="F313:F317" si="170">E313*(15/18)</f>
        <v>227.99999999999997</v>
      </c>
      <c r="G313" s="103">
        <f t="shared" ref="G313:G317" si="171">E313/(15/18)</f>
        <v>328.31999999999994</v>
      </c>
      <c r="AS313" s="81"/>
    </row>
    <row r="314" spans="2:51" x14ac:dyDescent="0.2">
      <c r="B314" s="101" t="s">
        <v>2748</v>
      </c>
      <c r="C314" s="101">
        <v>146</v>
      </c>
      <c r="D314" s="102">
        <f t="shared" si="168"/>
        <v>175.2</v>
      </c>
      <c r="E314" s="103">
        <f t="shared" si="169"/>
        <v>350.4</v>
      </c>
      <c r="F314">
        <f t="shared" si="170"/>
        <v>292</v>
      </c>
      <c r="G314" s="103">
        <f t="shared" si="171"/>
        <v>420.47999999999996</v>
      </c>
      <c r="AS314" s="81"/>
    </row>
    <row r="315" spans="2:51" x14ac:dyDescent="0.2">
      <c r="B315" s="101" t="s">
        <v>2750</v>
      </c>
      <c r="C315" s="101">
        <v>98</v>
      </c>
      <c r="D315" s="102">
        <f t="shared" si="168"/>
        <v>117.6</v>
      </c>
      <c r="E315" s="103">
        <f t="shared" si="169"/>
        <v>235.2</v>
      </c>
      <c r="F315">
        <f t="shared" si="170"/>
        <v>196</v>
      </c>
      <c r="G315" s="103">
        <f t="shared" si="171"/>
        <v>282.23999999999995</v>
      </c>
    </row>
    <row r="316" spans="2:51" x14ac:dyDescent="0.2">
      <c r="B316" s="101" t="s">
        <v>2749</v>
      </c>
      <c r="C316" s="101">
        <v>73</v>
      </c>
      <c r="D316" s="102">
        <f t="shared" si="168"/>
        <v>87.6</v>
      </c>
      <c r="E316" s="103">
        <f t="shared" si="169"/>
        <v>175.2</v>
      </c>
      <c r="F316">
        <f t="shared" si="170"/>
        <v>146</v>
      </c>
      <c r="G316" s="103">
        <f t="shared" si="171"/>
        <v>210.23999999999998</v>
      </c>
    </row>
    <row r="317" spans="2:51" x14ac:dyDescent="0.2">
      <c r="B317" s="101" t="s">
        <v>2751</v>
      </c>
      <c r="C317" s="101">
        <v>73</v>
      </c>
      <c r="D317" s="102">
        <f t="shared" si="168"/>
        <v>87.6</v>
      </c>
      <c r="E317" s="103">
        <f t="shared" si="169"/>
        <v>175.2</v>
      </c>
      <c r="F317">
        <f t="shared" si="170"/>
        <v>146</v>
      </c>
      <c r="G317" s="103">
        <f t="shared" si="171"/>
        <v>210.23999999999998</v>
      </c>
    </row>
  </sheetData>
  <mergeCells count="12">
    <mergeCell ref="B305:B307"/>
    <mergeCell ref="B249:B254"/>
    <mergeCell ref="B255:B260"/>
    <mergeCell ref="B261:B266"/>
    <mergeCell ref="B267:B272"/>
    <mergeCell ref="B273:B278"/>
    <mergeCell ref="B279:B284"/>
    <mergeCell ref="B285:B290"/>
    <mergeCell ref="B291:B296"/>
    <mergeCell ref="B297:B298"/>
    <mergeCell ref="B299:B301"/>
    <mergeCell ref="B302:B304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3ADC-5EFD-4190-8E8F-4BE3A1CB636A}">
  <sheetPr codeName="Sheet6"/>
  <dimension ref="E2:P174"/>
  <sheetViews>
    <sheetView topLeftCell="E31" workbookViewId="0">
      <selection activeCell="I24" sqref="I24"/>
    </sheetView>
  </sheetViews>
  <sheetFormatPr defaultRowHeight="14.25" x14ac:dyDescent="0.2"/>
  <cols>
    <col min="8" max="8" width="20.625" customWidth="1"/>
    <col min="9" max="9" width="25.125" customWidth="1"/>
    <col min="10" max="10" width="7.75" customWidth="1"/>
    <col min="12" max="12" width="16.375" customWidth="1"/>
    <col min="13" max="13" width="23.625" customWidth="1"/>
    <col min="14" max="14" width="13.75" bestFit="1" customWidth="1"/>
    <col min="15" max="15" width="14.125" bestFit="1" customWidth="1"/>
  </cols>
  <sheetData>
    <row r="2" spans="5:16" x14ac:dyDescent="0.2">
      <c r="H2" s="18">
        <v>1</v>
      </c>
      <c r="I2" s="18">
        <v>2</v>
      </c>
      <c r="J2" s="18">
        <v>3</v>
      </c>
      <c r="K2" s="18">
        <v>4</v>
      </c>
      <c r="L2" s="18">
        <v>5</v>
      </c>
      <c r="N2" s="18">
        <v>-1</v>
      </c>
      <c r="O2" s="18" t="s">
        <v>3713</v>
      </c>
      <c r="P2" t="e">
        <f ca="1">LEFT(SUBSTITUTE(_xlfn.CONCAT($M$3:$M$1244),"x",""),LEN(SUBSTITUTE(_xlfn.CONCAT($M$3:$M$1244),"x",""))-1)</f>
        <v>#NAME?</v>
      </c>
    </row>
    <row r="3" spans="5:16" x14ac:dyDescent="0.2">
      <c r="E3" s="18">
        <v>14694</v>
      </c>
      <c r="F3" s="18" t="s">
        <v>106</v>
      </c>
      <c r="G3" s="18">
        <v>5</v>
      </c>
      <c r="H3" s="18" t="str">
        <f>IF(装备表!$O7=0,"xxx",IFERROR(IF(INT(IF($G3=H$2,装备表!$E95,"xxx")/10000)=1,IF($G3=H$2,装备表!$E95,"xxx")&amp;":2,1,1,"&amp;装备表!$O95&amp;";","xxx"),"xxx"))</f>
        <v>xxx</v>
      </c>
      <c r="I3" s="18" t="str">
        <f>IF(装备表!$O7=0,"xxx",IFERROR(IF(INT(IF($G3=I$2,装备表!$E95,"xxx")/10000)=1,IF($G3=I$2,装备表!$E95,"xxx")&amp;":2,1,1,"&amp;装备表!$O95&amp;";","xxx"),"xxx"))</f>
        <v>xxx</v>
      </c>
      <c r="J3" s="18" t="str">
        <f>IF(装备表!$O7=0,"xxx",IFERROR(IF(INT(IF($G3=J$2,装备表!$E95,"xxx")/10000)=1,IF($G3=J$2,装备表!$E95,"xxx")&amp;":2,1,1,"&amp;装备表!$O95&amp;";","xxx"),"xxx"))</f>
        <v>xxx</v>
      </c>
      <c r="K3" s="18" t="str">
        <f>IF(装备表!$O7=0,"xxx",IFERROR(IF(INT(IF($G3=K$2,装备表!$E95,"xxx")/10000)=1,IF($G3=K$2,装备表!$E95,"xxx")&amp;":2,1,1,"&amp;装备表!$O95&amp;";","xxx"),"xxx"))</f>
        <v>xxx</v>
      </c>
      <c r="L3" s="18" t="str">
        <f>IF(装备表!$O7=0,"xxx",IFERROR(IF(INT(IF($G3=L$2,装备表!$E95,"xxx")/10000)=1,IF($G3=L$2,装备表!$E95,"xxx")&amp;":2,1,1,"&amp;装备表!$O95&amp;";","xxx"),"xxx"))</f>
        <v>14694:2,1,1,10;</v>
      </c>
      <c r="M3" s="18" t="str">
        <f>IF(装备表!$O7=0,"xxx",IFERROR(IF(INT(IF($G3=M$2,装备表!$E95,"xxx")/10000)=1,IF($G3=M$2,装备表!$E95,"xxx")&amp;":2,1,1,"&amp;装备表!$O95&amp;";","xxx"),"xxx"))</f>
        <v>xxx</v>
      </c>
      <c r="N3" s="18" t="str">
        <f>IF(装备表!$O7=0,"xxx",IFERROR(IF(INT(IF($G3=N$2,装备表!$E95,"xxx")/10000)=1,IF($G3=N$2,装备表!$E95,"xxx")&amp;":2,1,1,"&amp;装备表!$O95&amp;";","xxx"),"xxx"))</f>
        <v>xxx</v>
      </c>
      <c r="O3" s="18" t="s">
        <v>3709</v>
      </c>
      <c r="P3" t="e">
        <f ca="1">LEFT(SUBSTITUTE(_xlfn.CONCAT($H$3:$H$1244),"x",""),LEN(SUBSTITUTE(_xlfn.CONCAT($H$3:$H$1244),"x",""))-1)</f>
        <v>#NAME?</v>
      </c>
    </row>
    <row r="4" spans="5:16" x14ac:dyDescent="0.2">
      <c r="E4" s="18">
        <v>14695</v>
      </c>
      <c r="F4" s="18" t="s">
        <v>107</v>
      </c>
      <c r="G4" s="18">
        <v>6</v>
      </c>
      <c r="H4" s="18" t="str">
        <f>IF(装备表!$O8=0,"xxx",IFERROR(IF(INT(IF($G4=H$2,装备表!$E96,"xxx")/10000)=1,IF($G4=H$2,装备表!$E96,"xxx")&amp;":2,1,1,"&amp;装备表!$O96&amp;";","xxx"),"xxx"))</f>
        <v>xxx</v>
      </c>
      <c r="I4" s="18" t="str">
        <f>IF(装备表!$O8=0,"xxx",IFERROR(IF(INT(IF($G4=I$2,装备表!$E96,"xxx")/10000)=1,IF($G4=I$2,装备表!$E96,"xxx")&amp;":2,1,1,"&amp;装备表!$O96&amp;";","xxx"),"xxx"))</f>
        <v>xxx</v>
      </c>
      <c r="J4" s="18" t="str">
        <f>IF(装备表!$O8=0,"xxx",IFERROR(IF(INT(IF($G4=J$2,装备表!$E96,"xxx")/10000)=1,IF($G4=J$2,装备表!$E96,"xxx")&amp;":2,1,1,"&amp;装备表!$O96&amp;";","xxx"),"xxx"))</f>
        <v>xxx</v>
      </c>
      <c r="K4" s="18" t="str">
        <f>IF(装备表!$O8=0,"xxx",IFERROR(IF(INT(IF($G4=K$2,装备表!$E96,"xxx")/10000)=1,IF($G4=K$2,装备表!$E96,"xxx")&amp;":2,1,1,"&amp;装备表!$O96&amp;";","xxx"),"xxx"))</f>
        <v>xxx</v>
      </c>
      <c r="L4" s="18" t="str">
        <f>IF(装备表!$O8=0,"xxx",IFERROR(IF(INT(IF($G4=L$2,装备表!$E96,"xxx")/10000)=1,IF($G4=L$2,装备表!$E96,"xxx")&amp;":2,1,1,"&amp;装备表!$O96&amp;";","xxx"),"xxx"))</f>
        <v>xxx</v>
      </c>
      <c r="M4" s="18" t="str">
        <f>IF(装备表!$O8=0,"xxx",IFERROR(IF(INT(IF($G4=M$2,装备表!$E96,"xxx")/10000)=1,IF($G4=M$2,装备表!$E96,"xxx")&amp;":2,1,1,"&amp;装备表!$O96&amp;";","xxx"),"xxx"))</f>
        <v>xxx</v>
      </c>
      <c r="N4" s="18" t="str">
        <f>IF(装备表!$O8=0,"xxx",IFERROR(IF(INT(IF($G4=N$2,装备表!$E96,"xxx")/10000)=1,IF($G4=N$2,装备表!$E96,"xxx")&amp;":2,1,1,"&amp;装备表!$O96&amp;";","xxx"),"xxx"))</f>
        <v>xxx</v>
      </c>
      <c r="O4" s="18" t="s">
        <v>3708</v>
      </c>
      <c r="P4" t="e">
        <f ca="1">LEFT(SUBSTITUTE(_xlfn.CONCAT($I$3:$I$1244),"x",""),LEN(SUBSTITUTE(_xlfn.CONCAT($I$3:$I$1244),"x",""))-1)</f>
        <v>#NAME?</v>
      </c>
    </row>
    <row r="5" spans="5:16" x14ac:dyDescent="0.2">
      <c r="E5" s="18">
        <v>14696</v>
      </c>
      <c r="F5" s="18" t="s">
        <v>109</v>
      </c>
      <c r="G5" s="18">
        <v>-1</v>
      </c>
      <c r="H5" s="18" t="str">
        <f>IF(装备表!$O9=0,"xxx",IFERROR(IF(INT(IF($G5=H$2,装备表!$E97,"xxx")/10000)=1,IF($G5=H$2,装备表!$E97,"xxx")&amp;":2,1,1,"&amp;装备表!$O97&amp;";","xxx"),"xxx"))</f>
        <v>xxx</v>
      </c>
      <c r="I5" s="18" t="str">
        <f>IF(装备表!$O9=0,"xxx",IFERROR(IF(INT(IF($G5=I$2,装备表!$E97,"xxx")/10000)=1,IF($G5=I$2,装备表!$E97,"xxx")&amp;":2,1,1,"&amp;装备表!$O97&amp;";","xxx"),"xxx"))</f>
        <v>xxx</v>
      </c>
      <c r="J5" s="18" t="str">
        <f>IF(装备表!$O9=0,"xxx",IFERROR(IF(INT(IF($G5=J$2,装备表!$E97,"xxx")/10000)=1,IF($G5=J$2,装备表!$E97,"xxx")&amp;":2,1,1,"&amp;装备表!$O97&amp;";","xxx"),"xxx"))</f>
        <v>xxx</v>
      </c>
      <c r="K5" s="18" t="str">
        <f>IF(装备表!$O9=0,"xxx",IFERROR(IF(INT(IF($G5=K$2,装备表!$E97,"xxx")/10000)=1,IF($G5=K$2,装备表!$E97,"xxx")&amp;":2,1,1,"&amp;装备表!$O97&amp;";","xxx"),"xxx"))</f>
        <v>xxx</v>
      </c>
      <c r="L5" s="18" t="str">
        <f>IF(装备表!$O9=0,"xxx",IFERROR(IF(INT(IF($G5=L$2,装备表!$E97,"xxx")/10000)=1,IF($G5=L$2,装备表!$E97,"xxx")&amp;":2,1,1,"&amp;装备表!$O97&amp;";","xxx"),"xxx"))</f>
        <v>xxx</v>
      </c>
      <c r="M5" s="18" t="str">
        <f>IF(装备表!$O9=0,"xxx",IFERROR(IF(INT(IF($G5=M$2,装备表!$E97,"xxx")/10000)=1,IF($G5=M$2,装备表!$E97,"xxx")&amp;":2,1,1,"&amp;装备表!$O97&amp;";","xxx"),"xxx"))</f>
        <v>xxx</v>
      </c>
      <c r="N5" s="18" t="str">
        <f>IF(装备表!$O9=0,"xxx",IFERROR(IF(INT(IF($G5=N$2,装备表!$E97,"xxx")/10000)=1,IF($G5=N$2,装备表!$E97,"xxx")&amp;":2,1,1,"&amp;装备表!$O97&amp;";","xxx"),"xxx"))</f>
        <v>14696:2,1,1,10;</v>
      </c>
      <c r="O5" s="18" t="s">
        <v>3710</v>
      </c>
      <c r="P5" t="e">
        <f ca="1">LEFT(SUBSTITUTE(_xlfn.CONCAT($J$3:$J$1244),"x",""),LEN(SUBSTITUTE(_xlfn.CONCAT($J$3:$J$1244),"x",""))-1)</f>
        <v>#NAME?</v>
      </c>
    </row>
    <row r="6" spans="5:16" x14ac:dyDescent="0.2">
      <c r="E6" s="18">
        <v>14697</v>
      </c>
      <c r="F6" s="18" t="s">
        <v>111</v>
      </c>
      <c r="G6" s="18">
        <v>1</v>
      </c>
      <c r="H6" s="18" t="str">
        <f>IF(装备表!$O10=0,"xxx",IFERROR(IF(INT(IF($G6=H$2,装备表!$E98,"xxx")/10000)=1,IF($G6=H$2,装备表!$E98,"xxx")&amp;":2,1,1,"&amp;装备表!$O98&amp;";","xxx"),"xxx"))</f>
        <v>14697:2,1,1,10;</v>
      </c>
      <c r="I6" s="18" t="str">
        <f>IF(装备表!$O10=0,"xxx",IFERROR(IF(INT(IF($G6=I$2,装备表!$E98,"xxx")/10000)=1,IF($G6=I$2,装备表!$E98,"xxx")&amp;":2,1,1,"&amp;装备表!$O98&amp;";","xxx"),"xxx"))</f>
        <v>xxx</v>
      </c>
      <c r="J6" s="18" t="str">
        <f>IF(装备表!$O10=0,"xxx",IFERROR(IF(INT(IF($G6=J$2,装备表!$E98,"xxx")/10000)=1,IF($G6=J$2,装备表!$E98,"xxx")&amp;":2,1,1,"&amp;装备表!$O98&amp;";","xxx"),"xxx"))</f>
        <v>xxx</v>
      </c>
      <c r="K6" s="18" t="str">
        <f>IF(装备表!$O10=0,"xxx",IFERROR(IF(INT(IF($G6=K$2,装备表!$E98,"xxx")/10000)=1,IF($G6=K$2,装备表!$E98,"xxx")&amp;":2,1,1,"&amp;装备表!$O98&amp;";","xxx"),"xxx"))</f>
        <v>xxx</v>
      </c>
      <c r="L6" s="18" t="str">
        <f>IF(装备表!$O10=0,"xxx",IFERROR(IF(INT(IF($G6=L$2,装备表!$E98,"xxx")/10000)=1,IF($G6=L$2,装备表!$E98,"xxx")&amp;":2,1,1,"&amp;装备表!$O98&amp;";","xxx"),"xxx"))</f>
        <v>xxx</v>
      </c>
      <c r="M6" s="18" t="str">
        <f>IF(装备表!$O10=0,"xxx",IFERROR(IF(INT(IF($G6=M$2,装备表!$E98,"xxx")/10000)=1,IF($G6=M$2,装备表!$E98,"xxx")&amp;":2,1,1,"&amp;装备表!$O98&amp;";","xxx"),"xxx"))</f>
        <v>xxx</v>
      </c>
      <c r="N6" s="18" t="str">
        <f>IF(装备表!$O10=0,"xxx",IFERROR(IF(INT(IF($G6=N$2,装备表!$E98,"xxx")/10000)=1,IF($G6=N$2,装备表!$E98,"xxx")&amp;":2,1,1,"&amp;装备表!$O98&amp;";","xxx"),"xxx"))</f>
        <v>xxx</v>
      </c>
      <c r="O6" s="18" t="s">
        <v>3711</v>
      </c>
      <c r="P6" t="e">
        <f ca="1">LEFT(SUBSTITUTE(_xlfn.CONCAT($K$3:$K$1244),"x",""),LEN(SUBSTITUTE(_xlfn.CONCAT($K$3:$K$1244),"x",""))-1)</f>
        <v>#NAME?</v>
      </c>
    </row>
    <row r="7" spans="5:16" x14ac:dyDescent="0.2">
      <c r="E7" s="18">
        <v>14698</v>
      </c>
      <c r="F7" s="18" t="s">
        <v>113</v>
      </c>
      <c r="G7" s="18">
        <v>6</v>
      </c>
      <c r="H7" s="18" t="str">
        <f>IF(装备表!$O11=0,"xxx",IFERROR(IF(INT(IF($G7=H$2,装备表!$E99,"xxx")/10000)=1,IF($G7=H$2,装备表!$E99,"xxx")&amp;":2,1,1,"&amp;装备表!$O99&amp;";","xxx"),"xxx"))</f>
        <v>xxx</v>
      </c>
      <c r="I7" s="18" t="str">
        <f>IF(装备表!$O11=0,"xxx",IFERROR(IF(INT(IF($G7=I$2,装备表!$E99,"xxx")/10000)=1,IF($G7=I$2,装备表!$E99,"xxx")&amp;":2,1,1,"&amp;装备表!$O99&amp;";","xxx"),"xxx"))</f>
        <v>xxx</v>
      </c>
      <c r="J7" s="18" t="str">
        <f>IF(装备表!$O11=0,"xxx",IFERROR(IF(INT(IF($G7=J$2,装备表!$E99,"xxx")/10000)=1,IF($G7=J$2,装备表!$E99,"xxx")&amp;":2,1,1,"&amp;装备表!$O99&amp;";","xxx"),"xxx"))</f>
        <v>xxx</v>
      </c>
      <c r="K7" s="18" t="str">
        <f>IF(装备表!$O11=0,"xxx",IFERROR(IF(INT(IF($G7=K$2,装备表!$E99,"xxx")/10000)=1,IF($G7=K$2,装备表!$E99,"xxx")&amp;":2,1,1,"&amp;装备表!$O99&amp;";","xxx"),"xxx"))</f>
        <v>xxx</v>
      </c>
      <c r="L7" s="18" t="str">
        <f>IF(装备表!$O11=0,"xxx",IFERROR(IF(INT(IF($G7=L$2,装备表!$E99,"xxx")/10000)=1,IF($G7=L$2,装备表!$E99,"xxx")&amp;":2,1,1,"&amp;装备表!$O99&amp;";","xxx"),"xxx"))</f>
        <v>xxx</v>
      </c>
      <c r="M7" s="18" t="str">
        <f>IF(装备表!$O11=0,"xxx",IFERROR(IF(INT(IF($G7=M$2,装备表!$E99,"xxx")/10000)=1,IF($G7=M$2,装备表!$E99,"xxx")&amp;":2,1,1,"&amp;装备表!$O99&amp;";","xxx"),"xxx"))</f>
        <v>xxx</v>
      </c>
      <c r="N7" s="18" t="str">
        <f>IF(装备表!$O11=0,"xxx",IFERROR(IF(INT(IF($G7=N$2,装备表!$E99,"xxx")/10000)=1,IF($G7=N$2,装备表!$E99,"xxx")&amp;":2,1,1,"&amp;装备表!$O99&amp;";","xxx"),"xxx"))</f>
        <v>xxx</v>
      </c>
      <c r="O7" s="18" t="s">
        <v>3712</v>
      </c>
      <c r="P7" t="e">
        <f ca="1">LEFT(SUBSTITUTE(_xlfn.CONCAT($L$3:$L$1244),"x",""),LEN(SUBSTITUTE(_xlfn.CONCAT($L$3:$L$1244),"x",""))-1)</f>
        <v>#NAME?</v>
      </c>
    </row>
    <row r="8" spans="5:16" x14ac:dyDescent="0.2">
      <c r="E8" s="18">
        <v>14699</v>
      </c>
      <c r="F8" s="18" t="s">
        <v>115</v>
      </c>
      <c r="G8" s="18">
        <v>3</v>
      </c>
      <c r="H8" s="18" t="str">
        <f>IF(装备表!$O12=0,"xxx",IFERROR(IF(INT(IF($G8=H$2,装备表!$E100,"xxx")/10000)=1,IF($G8=H$2,装备表!$E100,"xxx")&amp;":2,1,1,"&amp;装备表!$O100&amp;";","xxx"),"xxx"))</f>
        <v>xxx</v>
      </c>
      <c r="I8" s="18" t="str">
        <f>IF(装备表!$O12=0,"xxx",IFERROR(IF(INT(IF($G8=I$2,装备表!$E100,"xxx")/10000)=1,IF($G8=I$2,装备表!$E100,"xxx")&amp;":2,1,1,"&amp;装备表!$O100&amp;";","xxx"),"xxx"))</f>
        <v>xxx</v>
      </c>
      <c r="J8" s="18" t="str">
        <f>IF(装备表!$O12=0,"xxx",IFERROR(IF(INT(IF($G8=J$2,装备表!$E100,"xxx")/10000)=1,IF($G8=J$2,装备表!$E100,"xxx")&amp;":2,1,1,"&amp;装备表!$O100&amp;";","xxx"),"xxx"))</f>
        <v>14699:2,1,1,10;</v>
      </c>
      <c r="K8" s="18" t="str">
        <f>IF(装备表!$O12=0,"xxx",IFERROR(IF(INT(IF($G8=K$2,装备表!$E100,"xxx")/10000)=1,IF($G8=K$2,装备表!$E100,"xxx")&amp;":2,1,1,"&amp;装备表!$O100&amp;";","xxx"),"xxx"))</f>
        <v>xxx</v>
      </c>
      <c r="L8" s="18" t="str">
        <f>IF(装备表!$O12=0,"xxx",IFERROR(IF(INT(IF($G8=L$2,装备表!$E100,"xxx")/10000)=1,IF($G8=L$2,装备表!$E100,"xxx")&amp;":2,1,1,"&amp;装备表!$O100&amp;";","xxx"),"xxx"))</f>
        <v>xxx</v>
      </c>
      <c r="M8" s="18" t="str">
        <f>IF(装备表!$O12=0,"xxx",IFERROR(IF(INT(IF($G8=M$2,装备表!$E100,"xxx")/10000)=1,IF($G8=M$2,装备表!$E100,"xxx")&amp;":2,1,1,"&amp;装备表!$O100&amp;";","xxx"),"xxx"))</f>
        <v>xxx</v>
      </c>
      <c r="N8" s="18" t="str">
        <f>IF(装备表!$O12=0,"xxx",IFERROR(IF(INT(IF($G8=N$2,装备表!$E100,"xxx")/10000)=1,IF($G8=N$2,装备表!$E100,"xxx")&amp;":2,1,1,"&amp;装备表!$O100&amp;";","xxx"),"xxx"))</f>
        <v>xxx</v>
      </c>
      <c r="O8" s="18" t="s">
        <v>3714</v>
      </c>
      <c r="P8" t="e">
        <f ca="1">LEFT(SUBSTITUTE(_xlfn.CONCAT($N$3:$N$1244),"x",""),LEN(SUBSTITUTE(_xlfn.CONCAT($N$3:$N$1244),"x",""))-1)</f>
        <v>#NAME?</v>
      </c>
    </row>
    <row r="9" spans="5:16" x14ac:dyDescent="0.2">
      <c r="E9" s="18">
        <v>14700</v>
      </c>
      <c r="F9" s="18" t="s">
        <v>117</v>
      </c>
      <c r="G9" s="18">
        <v>2</v>
      </c>
      <c r="H9" s="18" t="str">
        <f>IF(装备表!$O13=0,"xxx",IFERROR(IF(INT(IF($G9=H$2,装备表!$E101,"xxx")/10000)=1,IF($G9=H$2,装备表!$E101,"xxx")&amp;":2,1,1,"&amp;装备表!$O101&amp;";","xxx"),"xxx"))</f>
        <v>xxx</v>
      </c>
      <c r="I9" s="18" t="str">
        <f>IF(装备表!$O13=0,"xxx",IFERROR(IF(INT(IF($G9=I$2,装备表!$E101,"xxx")/10000)=1,IF($G9=I$2,装备表!$E101,"xxx")&amp;":2,1,1,"&amp;装备表!$O101&amp;";","xxx"),"xxx"))</f>
        <v>14700:2,1,1,10;</v>
      </c>
      <c r="J9" s="18" t="str">
        <f>IF(装备表!$O13=0,"xxx",IFERROR(IF(INT(IF($G9=J$2,装备表!$E101,"xxx")/10000)=1,IF($G9=J$2,装备表!$E101,"xxx")&amp;":2,1,1,"&amp;装备表!$O101&amp;";","xxx"),"xxx"))</f>
        <v>xxx</v>
      </c>
      <c r="K9" s="18" t="str">
        <f>IF(装备表!$O13=0,"xxx",IFERROR(IF(INT(IF($G9=K$2,装备表!$E101,"xxx")/10000)=1,IF($G9=K$2,装备表!$E101,"xxx")&amp;":2,1,1,"&amp;装备表!$O101&amp;";","xxx"),"xxx"))</f>
        <v>xxx</v>
      </c>
      <c r="L9" s="18" t="str">
        <f>IF(装备表!$O13=0,"xxx",IFERROR(IF(INT(IF($G9=L$2,装备表!$E101,"xxx")/10000)=1,IF($G9=L$2,装备表!$E101,"xxx")&amp;":2,1,1,"&amp;装备表!$O101&amp;";","xxx"),"xxx"))</f>
        <v>xxx</v>
      </c>
      <c r="M9" s="18" t="str">
        <f>IF(装备表!$O13=0,"xxx",IFERROR(IF(INT(IF($G9=M$2,装备表!$E101,"xxx")/10000)=1,IF($G9=M$2,装备表!$E101,"xxx")&amp;":2,1,1,"&amp;装备表!$O101&amp;";","xxx"),"xxx"))</f>
        <v>xxx</v>
      </c>
      <c r="N9" s="18" t="str">
        <f>IF(装备表!$O13=0,"xxx",IFERROR(IF(INT(IF($G9=N$2,装备表!$E101,"xxx")/10000)=1,IF($G9=N$2,装备表!$E101,"xxx")&amp;":2,1,1,"&amp;装备表!$O101&amp;";","xxx"),"xxx"))</f>
        <v>xxx</v>
      </c>
    </row>
    <row r="10" spans="5:16" x14ac:dyDescent="0.2">
      <c r="E10" s="18">
        <v>14701</v>
      </c>
      <c r="F10" s="18" t="s">
        <v>119</v>
      </c>
      <c r="G10" s="18">
        <v>4</v>
      </c>
      <c r="H10" s="18" t="str">
        <f>IF(装备表!$O14=0,"xxx",IFERROR(IF(INT(IF($G10=H$2,装备表!$E102,"xxx")/10000)=1,IF($G10=H$2,装备表!$E102,"xxx")&amp;":2,1,1,"&amp;装备表!$O102&amp;";","xxx"),"xxx"))</f>
        <v>xxx</v>
      </c>
      <c r="I10" s="18" t="str">
        <f>IF(装备表!$O14=0,"xxx",IFERROR(IF(INT(IF($G10=I$2,装备表!$E102,"xxx")/10000)=1,IF($G10=I$2,装备表!$E102,"xxx")&amp;":2,1,1,"&amp;装备表!$O102&amp;";","xxx"),"xxx"))</f>
        <v>xxx</v>
      </c>
      <c r="J10" s="18" t="str">
        <f>IF(装备表!$O14=0,"xxx",IFERROR(IF(INT(IF($G10=J$2,装备表!$E102,"xxx")/10000)=1,IF($G10=J$2,装备表!$E102,"xxx")&amp;":2,1,1,"&amp;装备表!$O102&amp;";","xxx"),"xxx"))</f>
        <v>xxx</v>
      </c>
      <c r="K10" s="18" t="str">
        <f>IF(装备表!$O14=0,"xxx",IFERROR(IF(INT(IF($G10=K$2,装备表!$E102,"xxx")/10000)=1,IF($G10=K$2,装备表!$E102,"xxx")&amp;":2,1,1,"&amp;装备表!$O102&amp;";","xxx"),"xxx"))</f>
        <v>14701:2,1,1,10;</v>
      </c>
      <c r="L10" s="18" t="str">
        <f>IF(装备表!$O14=0,"xxx",IFERROR(IF(INT(IF($G10=L$2,装备表!$E102,"xxx")/10000)=1,IF($G10=L$2,装备表!$E102,"xxx")&amp;":2,1,1,"&amp;装备表!$O102&amp;";","xxx"),"xxx"))</f>
        <v>xxx</v>
      </c>
      <c r="M10" s="18" t="str">
        <f>IF(装备表!$O14=0,"xxx",IFERROR(IF(INT(IF($G10=M$2,装备表!$E102,"xxx")/10000)=1,IF($G10=M$2,装备表!$E102,"xxx")&amp;":2,1,1,"&amp;装备表!$O102&amp;";","xxx"),"xxx"))</f>
        <v>xxx</v>
      </c>
      <c r="N10" s="18" t="str">
        <f>IF(装备表!$O14=0,"xxx",IFERROR(IF(INT(IF($G10=N$2,装备表!$E102,"xxx")/10000)=1,IF($G10=N$2,装备表!$E102,"xxx")&amp;":2,1,1,"&amp;装备表!$O102&amp;";","xxx"),"xxx"))</f>
        <v>xxx</v>
      </c>
    </row>
    <row r="11" spans="5:16" x14ac:dyDescent="0.2">
      <c r="E11" s="18">
        <v>14702</v>
      </c>
      <c r="F11" s="18" t="s">
        <v>121</v>
      </c>
      <c r="G11" s="18"/>
      <c r="H11" s="18" t="str">
        <f>IF(装备表!$O15=0,"xxx",IFERROR(IF(INT(IF($G11=H$2,装备表!$E103,"xxx")/10000)=1,IF($G11=H$2,装备表!$E103,"xxx")&amp;":2,1,1,"&amp;装备表!$O103&amp;";","xxx"),"xxx"))</f>
        <v>xxx</v>
      </c>
      <c r="I11" s="18" t="str">
        <f>IF(装备表!$O15=0,"xxx",IFERROR(IF(INT(IF($G11=I$2,装备表!$E103,"xxx")/10000)=1,IF($G11=I$2,装备表!$E103,"xxx")&amp;":2,1,1,"&amp;装备表!$O103&amp;";","xxx"),"xxx"))</f>
        <v>xxx</v>
      </c>
      <c r="J11" s="18" t="str">
        <f>IF(装备表!$O15=0,"xxx",IFERROR(IF(INT(IF($G11=J$2,装备表!$E103,"xxx")/10000)=1,IF($G11=J$2,装备表!$E103,"xxx")&amp;":2,1,1,"&amp;装备表!$O103&amp;";","xxx"),"xxx"))</f>
        <v>xxx</v>
      </c>
      <c r="K11" s="18" t="str">
        <f>IF(装备表!$O15=0,"xxx",IFERROR(IF(INT(IF($G11=K$2,装备表!$E103,"xxx")/10000)=1,IF($G11=K$2,装备表!$E103,"xxx")&amp;":2,1,1,"&amp;装备表!$O103&amp;";","xxx"),"xxx"))</f>
        <v>xxx</v>
      </c>
      <c r="L11" s="18" t="str">
        <f>IF(装备表!$O15=0,"xxx",IFERROR(IF(INT(IF($G11=L$2,装备表!$E103,"xxx")/10000)=1,IF($G11=L$2,装备表!$E103,"xxx")&amp;":2,1,1,"&amp;装备表!$O103&amp;";","xxx"),"xxx"))</f>
        <v>xxx</v>
      </c>
      <c r="M11" s="18" t="str">
        <f>IF(装备表!$O15=0,"xxx",IFERROR(IF(INT(IF($G11=M$2,装备表!$E103,"xxx")/10000)=1,IF($G11=M$2,装备表!$E103,"xxx")&amp;":2,1,1,"&amp;装备表!$O103&amp;";","xxx"),"xxx"))</f>
        <v>14702:2,1,1,10;</v>
      </c>
      <c r="N11" s="18" t="str">
        <f>IF(装备表!$O15=0,"xxx",IFERROR(IF(INT(IF($G11=N$2,装备表!$E103,"xxx")/10000)=1,IF($G11=N$2,装备表!$E103,"xxx")&amp;":2,1,1,"&amp;装备表!$O103&amp;";","xxx"),"xxx"))</f>
        <v>xxx</v>
      </c>
    </row>
    <row r="12" spans="5:16" x14ac:dyDescent="0.2">
      <c r="E12" s="18">
        <v>14703</v>
      </c>
      <c r="F12" s="18" t="s">
        <v>122</v>
      </c>
      <c r="G12" s="18">
        <v>3</v>
      </c>
      <c r="H12" s="18" t="str">
        <f>IF(装备表!$O16=0,"xxx",IFERROR(IF(INT(IF($G12=H$2,装备表!$E104,"xxx")/10000)=1,IF($G12=H$2,装备表!$E104,"xxx")&amp;":2,1,1,"&amp;装备表!$O104&amp;";","xxx"),"xxx"))</f>
        <v>xxx</v>
      </c>
      <c r="I12" s="18" t="str">
        <f>IF(装备表!$O16=0,"xxx",IFERROR(IF(INT(IF($G12=I$2,装备表!$E104,"xxx")/10000)=1,IF($G12=I$2,装备表!$E104,"xxx")&amp;":2,1,1,"&amp;装备表!$O104&amp;";","xxx"),"xxx"))</f>
        <v>xxx</v>
      </c>
      <c r="J12" s="18" t="str">
        <f>IF(装备表!$O16=0,"xxx",IFERROR(IF(INT(IF($G12=J$2,装备表!$E104,"xxx")/10000)=1,IF($G12=J$2,装备表!$E104,"xxx")&amp;":2,1,1,"&amp;装备表!$O104&amp;";","xxx"),"xxx"))</f>
        <v>14703:2,1,1,10;</v>
      </c>
      <c r="K12" s="18" t="str">
        <f>IF(装备表!$O16=0,"xxx",IFERROR(IF(INT(IF($G12=K$2,装备表!$E104,"xxx")/10000)=1,IF($G12=K$2,装备表!$E104,"xxx")&amp;":2,1,1,"&amp;装备表!$O104&amp;";","xxx"),"xxx"))</f>
        <v>xxx</v>
      </c>
      <c r="L12" s="18" t="str">
        <f>IF(装备表!$O16=0,"xxx",IFERROR(IF(INT(IF($G12=L$2,装备表!$E104,"xxx")/10000)=1,IF($G12=L$2,装备表!$E104,"xxx")&amp;":2,1,1,"&amp;装备表!$O104&amp;";","xxx"),"xxx"))</f>
        <v>xxx</v>
      </c>
      <c r="M12" s="18" t="str">
        <f>IF(装备表!$O16=0,"xxx",IFERROR(IF(INT(IF($G12=M$2,装备表!$E104,"xxx")/10000)=1,IF($G12=M$2,装备表!$E104,"xxx")&amp;":2,1,1,"&amp;装备表!$O104&amp;";","xxx"),"xxx"))</f>
        <v>xxx</v>
      </c>
      <c r="N12" s="18" t="str">
        <f>IF(装备表!$O16=0,"xxx",IFERROR(IF(INT(IF($G12=N$2,装备表!$E104,"xxx")/10000)=1,IF($G12=N$2,装备表!$E104,"xxx")&amp;":2,1,1,"&amp;装备表!$O104&amp;";","xxx"),"xxx"))</f>
        <v>xxx</v>
      </c>
    </row>
    <row r="13" spans="5:16" x14ac:dyDescent="0.2">
      <c r="E13" s="18">
        <v>14704</v>
      </c>
      <c r="F13" s="18" t="s">
        <v>124</v>
      </c>
      <c r="G13" s="18"/>
      <c r="H13" s="18" t="str">
        <f>IF(装备表!$O17=0,"xxx",IFERROR(IF(INT(IF($G13=H$2,装备表!$E105,"xxx")/10000)=1,IF($G13=H$2,装备表!$E105,"xxx")&amp;":2,1,1,"&amp;装备表!$O105&amp;";","xxx"),"xxx"))</f>
        <v>xxx</v>
      </c>
      <c r="I13" s="18" t="str">
        <f>IF(装备表!$O17=0,"xxx",IFERROR(IF(INT(IF($G13=I$2,装备表!$E105,"xxx")/10000)=1,IF($G13=I$2,装备表!$E105,"xxx")&amp;":2,1,1,"&amp;装备表!$O105&amp;";","xxx"),"xxx"))</f>
        <v>xxx</v>
      </c>
      <c r="J13" s="18" t="str">
        <f>IF(装备表!$O17=0,"xxx",IFERROR(IF(INT(IF($G13=J$2,装备表!$E105,"xxx")/10000)=1,IF($G13=J$2,装备表!$E105,"xxx")&amp;":2,1,1,"&amp;装备表!$O105&amp;";","xxx"),"xxx"))</f>
        <v>xxx</v>
      </c>
      <c r="K13" s="18" t="str">
        <f>IF(装备表!$O17=0,"xxx",IFERROR(IF(INT(IF($G13=K$2,装备表!$E105,"xxx")/10000)=1,IF($G13=K$2,装备表!$E105,"xxx")&amp;":2,1,1,"&amp;装备表!$O105&amp;";","xxx"),"xxx"))</f>
        <v>xxx</v>
      </c>
      <c r="L13" s="18" t="str">
        <f>IF(装备表!$O17=0,"xxx",IFERROR(IF(INT(IF($G13=L$2,装备表!$E105,"xxx")/10000)=1,IF($G13=L$2,装备表!$E105,"xxx")&amp;":2,1,1,"&amp;装备表!$O105&amp;";","xxx"),"xxx"))</f>
        <v>xxx</v>
      </c>
      <c r="M13" s="18" t="str">
        <f>IF(装备表!$O17=0,"xxx",IFERROR(IF(INT(IF($G13=M$2,装备表!$E105,"xxx")/10000)=1,IF($G13=M$2,装备表!$E105,"xxx")&amp;":2,1,1,"&amp;装备表!$O105&amp;";","xxx"),"xxx"))</f>
        <v>14704:2,1,1,10;</v>
      </c>
      <c r="N13" s="18" t="str">
        <f>IF(装备表!$O17=0,"xxx",IFERROR(IF(INT(IF($G13=N$2,装备表!$E105,"xxx")/10000)=1,IF($G13=N$2,装备表!$E105,"xxx")&amp;":2,1,1,"&amp;装备表!$O105&amp;";","xxx"),"xxx"))</f>
        <v>xxx</v>
      </c>
    </row>
    <row r="14" spans="5:16" x14ac:dyDescent="0.2">
      <c r="E14" s="18">
        <v>14705</v>
      </c>
      <c r="F14" s="18" t="s">
        <v>126</v>
      </c>
      <c r="G14" s="18">
        <v>2</v>
      </c>
      <c r="H14" s="18" t="str">
        <f>IF(装备表!$O18=0,"xxx",IFERROR(IF(INT(IF($G14=H$2,装备表!$E106,"xxx")/10000)=1,IF($G14=H$2,装备表!$E106,"xxx")&amp;":2,1,1,"&amp;装备表!$O106&amp;";","xxx"),"xxx"))</f>
        <v>xxx</v>
      </c>
      <c r="I14" s="18" t="str">
        <f>IF(装备表!$O18=0,"xxx",IFERROR(IF(INT(IF($G14=I$2,装备表!$E106,"xxx")/10000)=1,IF($G14=I$2,装备表!$E106,"xxx")&amp;":2,1,1,"&amp;装备表!$O106&amp;";","xxx"),"xxx"))</f>
        <v>14705:2,1,1,10;</v>
      </c>
      <c r="J14" s="18" t="str">
        <f>IF(装备表!$O18=0,"xxx",IFERROR(IF(INT(IF($G14=J$2,装备表!$E106,"xxx")/10000)=1,IF($G14=J$2,装备表!$E106,"xxx")&amp;":2,1,1,"&amp;装备表!$O106&amp;";","xxx"),"xxx"))</f>
        <v>xxx</v>
      </c>
      <c r="K14" s="18" t="str">
        <f>IF(装备表!$O18=0,"xxx",IFERROR(IF(INT(IF($G14=K$2,装备表!$E106,"xxx")/10000)=1,IF($G14=K$2,装备表!$E106,"xxx")&amp;":2,1,1,"&amp;装备表!$O106&amp;";","xxx"),"xxx"))</f>
        <v>xxx</v>
      </c>
      <c r="L14" s="18" t="str">
        <f>IF(装备表!$O18=0,"xxx",IFERROR(IF(INT(IF($G14=L$2,装备表!$E106,"xxx")/10000)=1,IF($G14=L$2,装备表!$E106,"xxx")&amp;":2,1,1,"&amp;装备表!$O106&amp;";","xxx"),"xxx"))</f>
        <v>xxx</v>
      </c>
      <c r="M14" s="18" t="str">
        <f>IF(装备表!$O18=0,"xxx",IFERROR(IF(INT(IF($G14=M$2,装备表!$E106,"xxx")/10000)=1,IF($G14=M$2,装备表!$E106,"xxx")&amp;":2,1,1,"&amp;装备表!$O106&amp;";","xxx"),"xxx"))</f>
        <v>xxx</v>
      </c>
      <c r="N14" s="18" t="str">
        <f>IF(装备表!$O18=0,"xxx",IFERROR(IF(INT(IF($G14=N$2,装备表!$E106,"xxx")/10000)=1,IF($G14=N$2,装备表!$E106,"xxx")&amp;":2,1,1,"&amp;装备表!$O106&amp;";","xxx"),"xxx"))</f>
        <v>xxx</v>
      </c>
    </row>
    <row r="15" spans="5:16" x14ac:dyDescent="0.2">
      <c r="E15" s="18">
        <v>14706</v>
      </c>
      <c r="F15" s="18" t="s">
        <v>128</v>
      </c>
      <c r="G15" s="18">
        <v>1</v>
      </c>
      <c r="H15" s="18" t="str">
        <f>IF(装备表!$O19=0,"xxx",IFERROR(IF(INT(IF($G15=H$2,装备表!$E107,"xxx")/10000)=1,IF($G15=H$2,装备表!$E107,"xxx")&amp;":2,1,1,"&amp;装备表!$O107&amp;";","xxx"),"xxx"))</f>
        <v>14706:2,1,1,10;</v>
      </c>
      <c r="I15" s="18" t="str">
        <f>IF(装备表!$O19=0,"xxx",IFERROR(IF(INT(IF($G15=I$2,装备表!$E107,"xxx")/10000)=1,IF($G15=I$2,装备表!$E107,"xxx")&amp;":2,1,1,"&amp;装备表!$O107&amp;";","xxx"),"xxx"))</f>
        <v>xxx</v>
      </c>
      <c r="J15" s="18" t="str">
        <f>IF(装备表!$O19=0,"xxx",IFERROR(IF(INT(IF($G15=J$2,装备表!$E107,"xxx")/10000)=1,IF($G15=J$2,装备表!$E107,"xxx")&amp;":2,1,1,"&amp;装备表!$O107&amp;";","xxx"),"xxx"))</f>
        <v>xxx</v>
      </c>
      <c r="K15" s="18" t="str">
        <f>IF(装备表!$O19=0,"xxx",IFERROR(IF(INT(IF($G15=K$2,装备表!$E107,"xxx")/10000)=1,IF($G15=K$2,装备表!$E107,"xxx")&amp;":2,1,1,"&amp;装备表!$O107&amp;";","xxx"),"xxx"))</f>
        <v>xxx</v>
      </c>
      <c r="L15" s="18" t="str">
        <f>IF(装备表!$O19=0,"xxx",IFERROR(IF(INT(IF($G15=L$2,装备表!$E107,"xxx")/10000)=1,IF($G15=L$2,装备表!$E107,"xxx")&amp;":2,1,1,"&amp;装备表!$O107&amp;";","xxx"),"xxx"))</f>
        <v>xxx</v>
      </c>
      <c r="M15" s="18" t="str">
        <f>IF(装备表!$O19=0,"xxx",IFERROR(IF(INT(IF($G15=M$2,装备表!$E107,"xxx")/10000)=1,IF($G15=M$2,装备表!$E107,"xxx")&amp;":2,1,1,"&amp;装备表!$O107&amp;";","xxx"),"xxx"))</f>
        <v>xxx</v>
      </c>
      <c r="N15" s="18" t="str">
        <f>IF(装备表!$O19=0,"xxx",IFERROR(IF(INT(IF($G15=N$2,装备表!$E107,"xxx")/10000)=1,IF($G15=N$2,装备表!$E107,"xxx")&amp;":2,1,1,"&amp;装备表!$O107&amp;";","xxx"),"xxx"))</f>
        <v>xxx</v>
      </c>
    </row>
    <row r="16" spans="5:16" x14ac:dyDescent="0.2">
      <c r="E16" s="18">
        <v>14707</v>
      </c>
      <c r="F16" s="18" t="s">
        <v>130</v>
      </c>
      <c r="G16" s="18"/>
      <c r="H16" s="18" t="str">
        <f>IF(装备表!$O20=0,"xxx",IFERROR(IF(INT(IF($G16=H$2,装备表!$E108,"xxx")/10000)=1,IF($G16=H$2,装备表!$E108,"xxx")&amp;":2,1,1,"&amp;装备表!$O108&amp;";","xxx"),"xxx"))</f>
        <v>xxx</v>
      </c>
      <c r="I16" s="18" t="str">
        <f>IF(装备表!$O20=0,"xxx",IFERROR(IF(INT(IF($G16=I$2,装备表!$E108,"xxx")/10000)=1,IF($G16=I$2,装备表!$E108,"xxx")&amp;":2,1,1,"&amp;装备表!$O108&amp;";","xxx"),"xxx"))</f>
        <v>xxx</v>
      </c>
      <c r="J16" s="18" t="str">
        <f>IF(装备表!$O20=0,"xxx",IFERROR(IF(INT(IF($G16=J$2,装备表!$E108,"xxx")/10000)=1,IF($G16=J$2,装备表!$E108,"xxx")&amp;":2,1,1,"&amp;装备表!$O108&amp;";","xxx"),"xxx"))</f>
        <v>xxx</v>
      </c>
      <c r="K16" s="18" t="str">
        <f>IF(装备表!$O20=0,"xxx",IFERROR(IF(INT(IF($G16=K$2,装备表!$E108,"xxx")/10000)=1,IF($G16=K$2,装备表!$E108,"xxx")&amp;":2,1,1,"&amp;装备表!$O108&amp;";","xxx"),"xxx"))</f>
        <v>xxx</v>
      </c>
      <c r="L16" s="18" t="str">
        <f>IF(装备表!$O20=0,"xxx",IFERROR(IF(INT(IF($G16=L$2,装备表!$E108,"xxx")/10000)=1,IF($G16=L$2,装备表!$E108,"xxx")&amp;":2,1,1,"&amp;装备表!$O108&amp;";","xxx"),"xxx"))</f>
        <v>xxx</v>
      </c>
      <c r="M16" s="18" t="str">
        <f>IF(装备表!$O20=0,"xxx",IFERROR(IF(INT(IF($G16=M$2,装备表!$E108,"xxx")/10000)=1,IF($G16=M$2,装备表!$E108,"xxx")&amp;":2,1,1,"&amp;装备表!$O108&amp;";","xxx"),"xxx"))</f>
        <v>14707:2,1,1,10;</v>
      </c>
      <c r="N16" s="18" t="str">
        <f>IF(装备表!$O20=0,"xxx",IFERROR(IF(INT(IF($G16=N$2,装备表!$E108,"xxx")/10000)=1,IF($G16=N$2,装备表!$E108,"xxx")&amp;":2,1,1,"&amp;装备表!$O108&amp;";","xxx"),"xxx"))</f>
        <v>xxx</v>
      </c>
    </row>
    <row r="17" spans="5:14" x14ac:dyDescent="0.2">
      <c r="E17" s="18">
        <v>14708</v>
      </c>
      <c r="F17" s="18" t="s">
        <v>132</v>
      </c>
      <c r="G17" s="18">
        <v>3</v>
      </c>
      <c r="H17" s="18" t="str">
        <f>IF(装备表!$O21=0,"xxx",IFERROR(IF(INT(IF($G17=H$2,装备表!$E109,"xxx")/10000)=1,IF($G17=H$2,装备表!$E109,"xxx")&amp;":2,1,1,"&amp;装备表!$O109&amp;";","xxx"),"xxx"))</f>
        <v>xxx</v>
      </c>
      <c r="I17" s="18" t="str">
        <f>IF(装备表!$O21=0,"xxx",IFERROR(IF(INT(IF($G17=I$2,装备表!$E109,"xxx")/10000)=1,IF($G17=I$2,装备表!$E109,"xxx")&amp;":2,1,1,"&amp;装备表!$O109&amp;";","xxx"),"xxx"))</f>
        <v>xxx</v>
      </c>
      <c r="J17" s="18" t="str">
        <f>IF(装备表!$O21=0,"xxx",IFERROR(IF(INT(IF($G17=J$2,装备表!$E109,"xxx")/10000)=1,IF($G17=J$2,装备表!$E109,"xxx")&amp;":2,1,1,"&amp;装备表!$O109&amp;";","xxx"),"xxx"))</f>
        <v>14708:2,1,1,10;</v>
      </c>
      <c r="K17" s="18" t="str">
        <f>IF(装备表!$O21=0,"xxx",IFERROR(IF(INT(IF($G17=K$2,装备表!$E109,"xxx")/10000)=1,IF($G17=K$2,装备表!$E109,"xxx")&amp;":2,1,1,"&amp;装备表!$O109&amp;";","xxx"),"xxx"))</f>
        <v>xxx</v>
      </c>
      <c r="L17" s="18" t="str">
        <f>IF(装备表!$O21=0,"xxx",IFERROR(IF(INT(IF($G17=L$2,装备表!$E109,"xxx")/10000)=1,IF($G17=L$2,装备表!$E109,"xxx")&amp;":2,1,1,"&amp;装备表!$O109&amp;";","xxx"),"xxx"))</f>
        <v>xxx</v>
      </c>
      <c r="M17" s="18" t="str">
        <f>IF(装备表!$O21=0,"xxx",IFERROR(IF(INT(IF($G17=M$2,装备表!$E109,"xxx")/10000)=1,IF($G17=M$2,装备表!$E109,"xxx")&amp;":2,1,1,"&amp;装备表!$O109&amp;";","xxx"),"xxx"))</f>
        <v>xxx</v>
      </c>
      <c r="N17" s="18" t="str">
        <f>IF(装备表!$O21=0,"xxx",IFERROR(IF(INT(IF($G17=N$2,装备表!$E109,"xxx")/10000)=1,IF($G17=N$2,装备表!$E109,"xxx")&amp;":2,1,1,"&amp;装备表!$O109&amp;";","xxx"),"xxx"))</f>
        <v>xxx</v>
      </c>
    </row>
    <row r="18" spans="5:14" x14ac:dyDescent="0.2">
      <c r="E18" s="18">
        <v>14709</v>
      </c>
      <c r="F18" s="18" t="s">
        <v>134</v>
      </c>
      <c r="G18" s="18">
        <v>5</v>
      </c>
      <c r="H18" s="18" t="str">
        <f>IF(装备表!$O22=0,"xxx",IFERROR(IF(INT(IF($G18=H$2,装备表!$E110,"xxx")/10000)=1,IF($G18=H$2,装备表!$E110,"xxx")&amp;":2,1,1,"&amp;装备表!$O110&amp;";","xxx"),"xxx"))</f>
        <v>xxx</v>
      </c>
      <c r="I18" s="18" t="str">
        <f>IF(装备表!$O22=0,"xxx",IFERROR(IF(INT(IF($G18=I$2,装备表!$E110,"xxx")/10000)=1,IF($G18=I$2,装备表!$E110,"xxx")&amp;":2,1,1,"&amp;装备表!$O110&amp;";","xxx"),"xxx"))</f>
        <v>xxx</v>
      </c>
      <c r="J18" s="18" t="str">
        <f>IF(装备表!$O22=0,"xxx",IFERROR(IF(INT(IF($G18=J$2,装备表!$E110,"xxx")/10000)=1,IF($G18=J$2,装备表!$E110,"xxx")&amp;":2,1,1,"&amp;装备表!$O110&amp;";","xxx"),"xxx"))</f>
        <v>xxx</v>
      </c>
      <c r="K18" s="18" t="str">
        <f>IF(装备表!$O22=0,"xxx",IFERROR(IF(INT(IF($G18=K$2,装备表!$E110,"xxx")/10000)=1,IF($G18=K$2,装备表!$E110,"xxx")&amp;":2,1,1,"&amp;装备表!$O110&amp;";","xxx"),"xxx"))</f>
        <v>xxx</v>
      </c>
      <c r="L18" s="18" t="str">
        <f>IF(装备表!$O22=0,"xxx",IFERROR(IF(INT(IF($G18=L$2,装备表!$E110,"xxx")/10000)=1,IF($G18=L$2,装备表!$E110,"xxx")&amp;":2,1,1,"&amp;装备表!$O110&amp;";","xxx"),"xxx"))</f>
        <v>14709:2,1,1,10;</v>
      </c>
      <c r="M18" s="18" t="str">
        <f>IF(装备表!$O22=0,"xxx",IFERROR(IF(INT(IF($G18=M$2,装备表!$E110,"xxx")/10000)=1,IF($G18=M$2,装备表!$E110,"xxx")&amp;":2,1,1,"&amp;装备表!$O110&amp;";","xxx"),"xxx"))</f>
        <v>xxx</v>
      </c>
      <c r="N18" s="18" t="str">
        <f>IF(装备表!$O22=0,"xxx",IFERROR(IF(INT(IF($G18=N$2,装备表!$E110,"xxx")/10000)=1,IF($G18=N$2,装备表!$E110,"xxx")&amp;":2,1,1,"&amp;装备表!$O110&amp;";","xxx"),"xxx"))</f>
        <v>xxx</v>
      </c>
    </row>
    <row r="19" spans="5:14" x14ac:dyDescent="0.2">
      <c r="E19" s="18">
        <v>14710</v>
      </c>
      <c r="F19" s="18" t="s">
        <v>136</v>
      </c>
      <c r="G19" s="18">
        <v>2</v>
      </c>
      <c r="H19" s="18" t="str">
        <f>IF(装备表!$O23=0,"xxx",IFERROR(IF(INT(IF($G19=H$2,装备表!$E111,"xxx")/10000)=1,IF($G19=H$2,装备表!$E111,"xxx")&amp;":2,1,1,"&amp;装备表!$O111&amp;";","xxx"),"xxx"))</f>
        <v>xxx</v>
      </c>
      <c r="I19" s="18" t="str">
        <f>IF(装备表!$O23=0,"xxx",IFERROR(IF(INT(IF($G19=I$2,装备表!$E111,"xxx")/10000)=1,IF($G19=I$2,装备表!$E111,"xxx")&amp;":2,1,1,"&amp;装备表!$O111&amp;";","xxx"),"xxx"))</f>
        <v>14710:2,1,1,10;</v>
      </c>
      <c r="J19" s="18" t="str">
        <f>IF(装备表!$O23=0,"xxx",IFERROR(IF(INT(IF($G19=J$2,装备表!$E111,"xxx")/10000)=1,IF($G19=J$2,装备表!$E111,"xxx")&amp;":2,1,1,"&amp;装备表!$O111&amp;";","xxx"),"xxx"))</f>
        <v>xxx</v>
      </c>
      <c r="K19" s="18" t="str">
        <f>IF(装备表!$O23=0,"xxx",IFERROR(IF(INT(IF($G19=K$2,装备表!$E111,"xxx")/10000)=1,IF($G19=K$2,装备表!$E111,"xxx")&amp;":2,1,1,"&amp;装备表!$O111&amp;";","xxx"),"xxx"))</f>
        <v>xxx</v>
      </c>
      <c r="L19" s="18" t="str">
        <f>IF(装备表!$O23=0,"xxx",IFERROR(IF(INT(IF($G19=L$2,装备表!$E111,"xxx")/10000)=1,IF($G19=L$2,装备表!$E111,"xxx")&amp;":2,1,1,"&amp;装备表!$O111&amp;";","xxx"),"xxx"))</f>
        <v>xxx</v>
      </c>
      <c r="M19" s="18" t="str">
        <f>IF(装备表!$O23=0,"xxx",IFERROR(IF(INT(IF($G19=M$2,装备表!$E111,"xxx")/10000)=1,IF($G19=M$2,装备表!$E111,"xxx")&amp;":2,1,1,"&amp;装备表!$O111&amp;";","xxx"),"xxx"))</f>
        <v>xxx</v>
      </c>
      <c r="N19" s="18" t="str">
        <f>IF(装备表!$O23=0,"xxx",IFERROR(IF(INT(IF($G19=N$2,装备表!$E111,"xxx")/10000)=1,IF($G19=N$2,装备表!$E111,"xxx")&amp;":2,1,1,"&amp;装备表!$O111&amp;";","xxx"),"xxx"))</f>
        <v>xxx</v>
      </c>
    </row>
    <row r="20" spans="5:14" x14ac:dyDescent="0.2">
      <c r="E20" s="18">
        <v>14711</v>
      </c>
      <c r="F20" s="18" t="s">
        <v>138</v>
      </c>
      <c r="G20" s="18">
        <v>-99</v>
      </c>
      <c r="H20" s="18" t="str">
        <f>IF(装备表!$O24=0,"xxx",IFERROR(IF(INT(IF($G20=H$2,装备表!#REF!,"xxx")/10000)=1,IF($G20=H$2,装备表!#REF!,"xxx")&amp;":2,1,1,"&amp;装备表!#REF!&amp;";","xxx"),"xxx"))</f>
        <v>xxx</v>
      </c>
      <c r="I20" s="18" t="str">
        <f>IF(装备表!$O24=0,"xxx",IFERROR(IF(INT(IF($G20=I$2,装备表!#REF!,"xxx")/10000)=1,IF($G20=I$2,装备表!#REF!,"xxx")&amp;":2,1,1,"&amp;装备表!#REF!&amp;";","xxx"),"xxx"))</f>
        <v>xxx</v>
      </c>
      <c r="J20" s="18" t="str">
        <f>IF(装备表!$O24=0,"xxx",IFERROR(IF(INT(IF($G20=J$2,装备表!#REF!,"xxx")/10000)=1,IF($G20=J$2,装备表!#REF!,"xxx")&amp;":2,1,1,"&amp;装备表!#REF!&amp;";","xxx"),"xxx"))</f>
        <v>xxx</v>
      </c>
      <c r="K20" s="18" t="str">
        <f>IF(装备表!$O24=0,"xxx",IFERROR(IF(INT(IF($G20=K$2,装备表!#REF!,"xxx")/10000)=1,IF($G20=K$2,装备表!#REF!,"xxx")&amp;":2,1,1,"&amp;装备表!#REF!&amp;";","xxx"),"xxx"))</f>
        <v>xxx</v>
      </c>
      <c r="L20" s="18" t="str">
        <f>IF(装备表!$O24=0,"xxx",IFERROR(IF(INT(IF($G20=L$2,装备表!#REF!,"xxx")/10000)=1,IF($G20=L$2,装备表!#REF!,"xxx")&amp;":2,1,1,"&amp;装备表!#REF!&amp;";","xxx"),"xxx"))</f>
        <v>xxx</v>
      </c>
      <c r="M20" s="18" t="str">
        <f>IF(装备表!$O24=0,"xxx",IFERROR(IF(INT(IF($G20=M$2,装备表!#REF!,"xxx")/10000)=1,IF($G20=M$2,装备表!#REF!,"xxx")&amp;":2,1,1,"&amp;装备表!#REF!&amp;";","xxx"),"xxx"))</f>
        <v>xxx</v>
      </c>
      <c r="N20" s="18" t="str">
        <f>IF(装备表!$O24=0,"xxx",IFERROR(IF(INT(IF($G20=N$2,装备表!#REF!,"xxx")/10000)=1,IF($G20=N$2,装备表!#REF!,"xxx")&amp;":2,1,1,"&amp;装备表!#REF!&amp;";","xxx"),"xxx"))</f>
        <v>xxx</v>
      </c>
    </row>
    <row r="21" spans="5:14" x14ac:dyDescent="0.2">
      <c r="E21" s="18">
        <v>14712</v>
      </c>
      <c r="F21" s="18" t="s">
        <v>139</v>
      </c>
      <c r="G21" s="18">
        <v>2</v>
      </c>
      <c r="H21" s="18" t="str">
        <f>IF(装备表!$O25=0,"xxx",IFERROR(IF(INT(IF($G21=H$2,装备表!$E112,"xxx")/10000)=1,IF($G21=H$2,装备表!$E112,"xxx")&amp;":2,1,1,"&amp;装备表!$O112&amp;";","xxx"),"xxx"))</f>
        <v>xxx</v>
      </c>
      <c r="I21" s="18" t="str">
        <f>IF(装备表!$O25=0,"xxx",IFERROR(IF(INT(IF($G21=I$2,装备表!$E112,"xxx")/10000)=1,IF($G21=I$2,装备表!$E112,"xxx")&amp;":2,1,1,"&amp;装备表!$O112&amp;";","xxx"),"xxx"))</f>
        <v>14712:2,1,1,10;</v>
      </c>
      <c r="J21" s="18" t="str">
        <f>IF(装备表!$O25=0,"xxx",IFERROR(IF(INT(IF($G21=J$2,装备表!$E112,"xxx")/10000)=1,IF($G21=J$2,装备表!$E112,"xxx")&amp;":2,1,1,"&amp;装备表!$O112&amp;";","xxx"),"xxx"))</f>
        <v>xxx</v>
      </c>
      <c r="K21" s="18" t="str">
        <f>IF(装备表!$O25=0,"xxx",IFERROR(IF(INT(IF($G21=K$2,装备表!$E112,"xxx")/10000)=1,IF($G21=K$2,装备表!$E112,"xxx")&amp;":2,1,1,"&amp;装备表!$O112&amp;";","xxx"),"xxx"))</f>
        <v>xxx</v>
      </c>
      <c r="L21" s="18" t="str">
        <f>IF(装备表!$O25=0,"xxx",IFERROR(IF(INT(IF($G21=L$2,装备表!$E112,"xxx")/10000)=1,IF($G21=L$2,装备表!$E112,"xxx")&amp;":2,1,1,"&amp;装备表!$O112&amp;";","xxx"),"xxx"))</f>
        <v>xxx</v>
      </c>
      <c r="M21" s="18" t="str">
        <f>IF(装备表!$O25=0,"xxx",IFERROR(IF(INT(IF($G21=M$2,装备表!$E112,"xxx")/10000)=1,IF($G21=M$2,装备表!$E112,"xxx")&amp;":2,1,1,"&amp;装备表!$O112&amp;";","xxx"),"xxx"))</f>
        <v>xxx</v>
      </c>
      <c r="N21" s="18" t="str">
        <f>IF(装备表!$O25=0,"xxx",IFERROR(IF(INT(IF($G21=N$2,装备表!$E112,"xxx")/10000)=1,IF($G21=N$2,装备表!$E112,"xxx")&amp;":2,1,1,"&amp;装备表!$O112&amp;";","xxx"),"xxx"))</f>
        <v>xxx</v>
      </c>
    </row>
    <row r="22" spans="5:14" x14ac:dyDescent="0.2">
      <c r="E22" s="18">
        <v>14713</v>
      </c>
      <c r="F22" s="18" t="s">
        <v>140</v>
      </c>
      <c r="G22" s="18"/>
      <c r="H22" s="18" t="str">
        <f>IF(装备表!$O26=0,"xxx",IFERROR(IF(INT(IF($G22=H$2,装备表!$E113,"xxx")/10000)=1,IF($G22=H$2,装备表!$E113,"xxx")&amp;":2,1,1,"&amp;装备表!$O113&amp;";","xxx"),"xxx"))</f>
        <v>xxx</v>
      </c>
      <c r="I22" s="18" t="str">
        <f>IF(装备表!$O26=0,"xxx",IFERROR(IF(INT(IF($G22=I$2,装备表!$E113,"xxx")/10000)=1,IF($G22=I$2,装备表!$E113,"xxx")&amp;":2,1,1,"&amp;装备表!$O113&amp;";","xxx"),"xxx"))</f>
        <v>xxx</v>
      </c>
      <c r="J22" s="18" t="str">
        <f>IF(装备表!$O26=0,"xxx",IFERROR(IF(INT(IF($G22=J$2,装备表!$E113,"xxx")/10000)=1,IF($G22=J$2,装备表!$E113,"xxx")&amp;":2,1,1,"&amp;装备表!$O113&amp;";","xxx"),"xxx"))</f>
        <v>xxx</v>
      </c>
      <c r="K22" s="18" t="str">
        <f>IF(装备表!$O26=0,"xxx",IFERROR(IF(INT(IF($G22=K$2,装备表!$E113,"xxx")/10000)=1,IF($G22=K$2,装备表!$E113,"xxx")&amp;":2,1,1,"&amp;装备表!$O113&amp;";","xxx"),"xxx"))</f>
        <v>xxx</v>
      </c>
      <c r="L22" s="18" t="str">
        <f>IF(装备表!$O26=0,"xxx",IFERROR(IF(INT(IF($G22=L$2,装备表!$E113,"xxx")/10000)=1,IF($G22=L$2,装备表!$E113,"xxx")&amp;":2,1,1,"&amp;装备表!$O113&amp;";","xxx"),"xxx"))</f>
        <v>xxx</v>
      </c>
      <c r="M22" s="18" t="str">
        <f>IF(装备表!$O26=0,"xxx",IFERROR(IF(INT(IF($G22=M$2,装备表!$E113,"xxx")/10000)=1,IF($G22=M$2,装备表!$E113,"xxx")&amp;":2,1,1,"&amp;装备表!$O113&amp;";","xxx"),"xxx"))</f>
        <v>14713:2,1,1,10;</v>
      </c>
      <c r="N22" s="18" t="str">
        <f>IF(装备表!$O26=0,"xxx",IFERROR(IF(INT(IF($G22=N$2,装备表!$E113,"xxx")/10000)=1,IF($G22=N$2,装备表!$E113,"xxx")&amp;":2,1,1,"&amp;装备表!$O113&amp;";","xxx"),"xxx"))</f>
        <v>xxx</v>
      </c>
    </row>
    <row r="23" spans="5:14" x14ac:dyDescent="0.2">
      <c r="E23" s="18">
        <v>14714</v>
      </c>
      <c r="F23" s="18" t="s">
        <v>141</v>
      </c>
      <c r="G23" s="18">
        <v>4</v>
      </c>
      <c r="H23" s="18" t="str">
        <f>IF(装备表!$O27=0,"xxx",IFERROR(IF(INT(IF($G23=H$2,装备表!$E114,"xxx")/10000)=1,IF($G23=H$2,装备表!$E114,"xxx")&amp;":2,1,1,"&amp;装备表!$O114&amp;";","xxx"),"xxx"))</f>
        <v>xxx</v>
      </c>
      <c r="I23" s="18" t="str">
        <f>IF(装备表!$O27=0,"xxx",IFERROR(IF(INT(IF($G23=I$2,装备表!$E114,"xxx")/10000)=1,IF($G23=I$2,装备表!$E114,"xxx")&amp;":2,1,1,"&amp;装备表!$O114&amp;";","xxx"),"xxx"))</f>
        <v>xxx</v>
      </c>
      <c r="J23" s="18" t="str">
        <f>IF(装备表!$O27=0,"xxx",IFERROR(IF(INT(IF($G23=J$2,装备表!$E114,"xxx")/10000)=1,IF($G23=J$2,装备表!$E114,"xxx")&amp;":2,1,1,"&amp;装备表!$O114&amp;";","xxx"),"xxx"))</f>
        <v>xxx</v>
      </c>
      <c r="K23" s="18" t="str">
        <f>IF(装备表!$O27=0,"xxx",IFERROR(IF(INT(IF($G23=K$2,装备表!$E114,"xxx")/10000)=1,IF($G23=K$2,装备表!$E114,"xxx")&amp;":2,1,1,"&amp;装备表!$O114&amp;";","xxx"),"xxx"))</f>
        <v>xxx</v>
      </c>
      <c r="L23" s="18" t="str">
        <f>IF(装备表!$O27=0,"xxx",IFERROR(IF(INT(IF($G23=L$2,装备表!$E114,"xxx")/10000)=1,IF($G23=L$2,装备表!$E114,"xxx")&amp;":2,1,1,"&amp;装备表!$O114&amp;";","xxx"),"xxx"))</f>
        <v>xxx</v>
      </c>
      <c r="M23" s="18" t="str">
        <f>IF(装备表!$O27=0,"xxx",IFERROR(IF(INT(IF($G23=M$2,装备表!$E114,"xxx")/10000)=1,IF($G23=M$2,装备表!$E114,"xxx")&amp;":2,1,1,"&amp;装备表!$O114&amp;";","xxx"),"xxx"))</f>
        <v>xxx</v>
      </c>
      <c r="N23" s="18" t="str">
        <f>IF(装备表!$O27=0,"xxx",IFERROR(IF(INT(IF($G23=N$2,装备表!$E114,"xxx")/10000)=1,IF($G23=N$2,装备表!$E114,"xxx")&amp;":2,1,1,"&amp;装备表!$O114&amp;";","xxx"),"xxx"))</f>
        <v>xxx</v>
      </c>
    </row>
    <row r="24" spans="5:14" x14ac:dyDescent="0.2">
      <c r="E24" s="18">
        <v>14715</v>
      </c>
      <c r="F24" s="18" t="s">
        <v>3692</v>
      </c>
      <c r="G24" s="18"/>
      <c r="H24" s="18" t="str">
        <f>IF(装备表!$O28=0,"xxx",IFERROR(IF(INT(IF($G24=H$2,装备表!$E115,"xxx")/10000)=1,IF($G24=H$2,装备表!$E115,"xxx")&amp;":2,1,1,"&amp;装备表!$O115&amp;";","xxx"),"xxx"))</f>
        <v>xxx</v>
      </c>
      <c r="I24" s="18" t="str">
        <f>IF(装备表!$O28=0,"xxx",IFERROR(IF(INT(IF($G24=I$2,装备表!$E115,"xxx")/10000)=1,IF($G24=I$2,装备表!$E115,"xxx")&amp;":2,1,1,"&amp;装备表!$O115&amp;";","xxx"),"xxx"))</f>
        <v>xxx</v>
      </c>
      <c r="J24" s="18" t="str">
        <f>IF(装备表!$O28=0,"xxx",IFERROR(IF(INT(IF($G24=J$2,装备表!$E115,"xxx")/10000)=1,IF($G24=J$2,装备表!$E115,"xxx")&amp;":2,1,1,"&amp;装备表!$O115&amp;";","xxx"),"xxx"))</f>
        <v>xxx</v>
      </c>
      <c r="K24" s="18" t="str">
        <f>IF(装备表!$O28=0,"xxx",IFERROR(IF(INT(IF($G24=K$2,装备表!$E115,"xxx")/10000)=1,IF($G24=K$2,装备表!$E115,"xxx")&amp;":2,1,1,"&amp;装备表!$O115&amp;";","xxx"),"xxx"))</f>
        <v>xxx</v>
      </c>
      <c r="L24" s="18" t="str">
        <f>IF(装备表!$O28=0,"xxx",IFERROR(IF(INT(IF($G24=L$2,装备表!$E115,"xxx")/10000)=1,IF($G24=L$2,装备表!$E115,"xxx")&amp;":2,1,1,"&amp;装备表!$O115&amp;";","xxx"),"xxx"))</f>
        <v>xxx</v>
      </c>
      <c r="M24" s="18" t="str">
        <f>IF(装备表!$O28=0,"xxx",IFERROR(IF(INT(IF($G24=M$2,装备表!$E115,"xxx")/10000)=1,IF($G24=M$2,装备表!$E115,"xxx")&amp;":2,1,1,"&amp;装备表!$O115&amp;";","xxx"),"xxx"))</f>
        <v>xxx</v>
      </c>
      <c r="N24" s="18" t="str">
        <f>IF(装备表!$O28=0,"xxx",IFERROR(IF(INT(IF($G24=N$2,装备表!$E115,"xxx")/10000)=1,IF($G24=N$2,装备表!$E115,"xxx")&amp;":2,1,1,"&amp;装备表!$O115&amp;";","xxx"),"xxx"))</f>
        <v>xxx</v>
      </c>
    </row>
    <row r="25" spans="5:14" x14ac:dyDescent="0.2">
      <c r="E25" s="18">
        <v>14716</v>
      </c>
      <c r="F25" s="18" t="s">
        <v>142</v>
      </c>
      <c r="G25" s="18"/>
      <c r="H25" s="18" t="str">
        <f>IF(装备表!$O29=0,"xxx",IFERROR(IF(INT(IF($G25=H$2,装备表!$E116,"xxx")/10000)=1,IF($G25=H$2,装备表!$E116,"xxx")&amp;":2,1,1,"&amp;装备表!$O116&amp;";","xxx"),"xxx"))</f>
        <v>xxx</v>
      </c>
      <c r="I25" s="18" t="str">
        <f>IF(装备表!$O29=0,"xxx",IFERROR(IF(INT(IF($G25=I$2,装备表!$E116,"xxx")/10000)=1,IF($G25=I$2,装备表!$E116,"xxx")&amp;":2,1,1,"&amp;装备表!$O116&amp;";","xxx"),"xxx"))</f>
        <v>xxx</v>
      </c>
      <c r="J25" s="18" t="str">
        <f>IF(装备表!$O29=0,"xxx",IFERROR(IF(INT(IF($G25=J$2,装备表!$E116,"xxx")/10000)=1,IF($G25=J$2,装备表!$E116,"xxx")&amp;":2,1,1,"&amp;装备表!$O116&amp;";","xxx"),"xxx"))</f>
        <v>xxx</v>
      </c>
      <c r="K25" s="18" t="str">
        <f>IF(装备表!$O29=0,"xxx",IFERROR(IF(INT(IF($G25=K$2,装备表!$E116,"xxx")/10000)=1,IF($G25=K$2,装备表!$E116,"xxx")&amp;":2,1,1,"&amp;装备表!$O116&amp;";","xxx"),"xxx"))</f>
        <v>xxx</v>
      </c>
      <c r="L25" s="18" t="str">
        <f>IF(装备表!$O29=0,"xxx",IFERROR(IF(INT(IF($G25=L$2,装备表!$E116,"xxx")/10000)=1,IF($G25=L$2,装备表!$E116,"xxx")&amp;":2,1,1,"&amp;装备表!$O116&amp;";","xxx"),"xxx"))</f>
        <v>xxx</v>
      </c>
      <c r="M25" s="18" t="str">
        <f>IF(装备表!$O29=0,"xxx",IFERROR(IF(INT(IF($G25=M$2,装备表!$E116,"xxx")/10000)=1,IF($G25=M$2,装备表!$E116,"xxx")&amp;":2,1,1,"&amp;装备表!$O116&amp;";","xxx"),"xxx"))</f>
        <v>14716:2,1,1,10;</v>
      </c>
      <c r="N25" s="18" t="str">
        <f>IF(装备表!$O29=0,"xxx",IFERROR(IF(INT(IF($G25=N$2,装备表!$E116,"xxx")/10000)=1,IF($G25=N$2,装备表!$E116,"xxx")&amp;":2,1,1,"&amp;装备表!$O116&amp;";","xxx"),"xxx"))</f>
        <v>xxx</v>
      </c>
    </row>
    <row r="26" spans="5:14" x14ac:dyDescent="0.2">
      <c r="E26" s="18">
        <v>14717</v>
      </c>
      <c r="F26" s="18" t="s">
        <v>143</v>
      </c>
      <c r="G26" s="18">
        <v>-1</v>
      </c>
      <c r="H26" s="18" t="str">
        <f>IF(装备表!$O30=0,"xxx",IFERROR(IF(INT(IF($G26=H$2,装备表!$E117,"xxx")/10000)=1,IF($G26=H$2,装备表!$E117,"xxx")&amp;":2,1,1,"&amp;装备表!$O117&amp;";","xxx"),"xxx"))</f>
        <v>xxx</v>
      </c>
      <c r="I26" s="18" t="str">
        <f>IF(装备表!$O30=0,"xxx",IFERROR(IF(INT(IF($G26=I$2,装备表!$E117,"xxx")/10000)=1,IF($G26=I$2,装备表!$E117,"xxx")&amp;":2,1,1,"&amp;装备表!$O117&amp;";","xxx"),"xxx"))</f>
        <v>xxx</v>
      </c>
      <c r="J26" s="18" t="str">
        <f>IF(装备表!$O30=0,"xxx",IFERROR(IF(INT(IF($G26=J$2,装备表!$E117,"xxx")/10000)=1,IF($G26=J$2,装备表!$E117,"xxx")&amp;":2,1,1,"&amp;装备表!$O117&amp;";","xxx"),"xxx"))</f>
        <v>xxx</v>
      </c>
      <c r="K26" s="18" t="str">
        <f>IF(装备表!$O30=0,"xxx",IFERROR(IF(INT(IF($G26=K$2,装备表!$E117,"xxx")/10000)=1,IF($G26=K$2,装备表!$E117,"xxx")&amp;":2,1,1,"&amp;装备表!$O117&amp;";","xxx"),"xxx"))</f>
        <v>xxx</v>
      </c>
      <c r="L26" s="18" t="str">
        <f>IF(装备表!$O30=0,"xxx",IFERROR(IF(INT(IF($G26=L$2,装备表!$E117,"xxx")/10000)=1,IF($G26=L$2,装备表!$E117,"xxx")&amp;":2,1,1,"&amp;装备表!$O117&amp;";","xxx"),"xxx"))</f>
        <v>xxx</v>
      </c>
      <c r="M26" s="18" t="str">
        <f>IF(装备表!$O30=0,"xxx",IFERROR(IF(INT(IF($G26=M$2,装备表!$E117,"xxx")/10000)=1,IF($G26=M$2,装备表!$E117,"xxx")&amp;":2,1,1,"&amp;装备表!$O117&amp;";","xxx"),"xxx"))</f>
        <v>xxx</v>
      </c>
      <c r="N26" s="18" t="str">
        <f>IF(装备表!$O30=0,"xxx",IFERROR(IF(INT(IF($G26=N$2,装备表!$E117,"xxx")/10000)=1,IF($G26=N$2,装备表!$E117,"xxx")&amp;":2,1,1,"&amp;装备表!$O117&amp;";","xxx"),"xxx"))</f>
        <v>14717:2,1,1,10;</v>
      </c>
    </row>
    <row r="27" spans="5:14" x14ac:dyDescent="0.2">
      <c r="E27" s="18">
        <v>14718</v>
      </c>
      <c r="F27" s="18" t="s">
        <v>3693</v>
      </c>
      <c r="G27" s="18"/>
      <c r="H27" s="18" t="str">
        <f>IF(装备表!$O31=0,"xxx",IFERROR(IF(INT(IF($G27=H$2,装备表!$E118,"xxx")/10000)=1,IF($G27=H$2,装备表!$E118,"xxx")&amp;":2,1,1,"&amp;装备表!$O118&amp;";","xxx"),"xxx"))</f>
        <v>xxx</v>
      </c>
      <c r="I27" s="18" t="str">
        <f>IF(装备表!$O31=0,"xxx",IFERROR(IF(INT(IF($G27=I$2,装备表!$E118,"xxx")/10000)=1,IF($G27=I$2,装备表!$E118,"xxx")&amp;":2,1,1,"&amp;装备表!$O118&amp;";","xxx"),"xxx"))</f>
        <v>xxx</v>
      </c>
      <c r="J27" s="18" t="str">
        <f>IF(装备表!$O31=0,"xxx",IFERROR(IF(INT(IF($G27=J$2,装备表!$E118,"xxx")/10000)=1,IF($G27=J$2,装备表!$E118,"xxx")&amp;":2,1,1,"&amp;装备表!$O118&amp;";","xxx"),"xxx"))</f>
        <v>xxx</v>
      </c>
      <c r="K27" s="18" t="str">
        <f>IF(装备表!$O31=0,"xxx",IFERROR(IF(INT(IF($G27=K$2,装备表!$E118,"xxx")/10000)=1,IF($G27=K$2,装备表!$E118,"xxx")&amp;":2,1,1,"&amp;装备表!$O118&amp;";","xxx"),"xxx"))</f>
        <v>xxx</v>
      </c>
      <c r="L27" s="18" t="str">
        <f>IF(装备表!$O31=0,"xxx",IFERROR(IF(INT(IF($G27=L$2,装备表!$E118,"xxx")/10000)=1,IF($G27=L$2,装备表!$E118,"xxx")&amp;":2,1,1,"&amp;装备表!$O118&amp;";","xxx"),"xxx"))</f>
        <v>xxx</v>
      </c>
      <c r="M27" s="18" t="str">
        <f>IF(装备表!$O31=0,"xxx",IFERROR(IF(INT(IF($G27=M$2,装备表!$E118,"xxx")/10000)=1,IF($G27=M$2,装备表!$E118,"xxx")&amp;":2,1,1,"&amp;装备表!$O118&amp;";","xxx"),"xxx"))</f>
        <v>14718:2,1,1,10;</v>
      </c>
      <c r="N27" s="18" t="str">
        <f>IF(装备表!$O31=0,"xxx",IFERROR(IF(INT(IF($G27=N$2,装备表!$E118,"xxx")/10000)=1,IF($G27=N$2,装备表!$E118,"xxx")&amp;":2,1,1,"&amp;装备表!$O118&amp;";","xxx"),"xxx"))</f>
        <v>xxx</v>
      </c>
    </row>
    <row r="28" spans="5:14" x14ac:dyDescent="0.2">
      <c r="E28" s="18">
        <v>14719</v>
      </c>
      <c r="F28" s="18" t="s">
        <v>145</v>
      </c>
      <c r="G28" s="18"/>
      <c r="H28" s="18" t="str">
        <f>IF(装备表!$O32=0,"xxx",IFERROR(IF(INT(IF($G28=H$2,装备表!$E119,"xxx")/10000)=1,IF($G28=H$2,装备表!$E119,"xxx")&amp;":2,1,1,"&amp;装备表!$O119&amp;";","xxx"),"xxx"))</f>
        <v>xxx</v>
      </c>
      <c r="I28" s="18" t="str">
        <f>IF(装备表!$O32=0,"xxx",IFERROR(IF(INT(IF($G28=I$2,装备表!$E119,"xxx")/10000)=1,IF($G28=I$2,装备表!$E119,"xxx")&amp;":2,1,1,"&amp;装备表!$O119&amp;";","xxx"),"xxx"))</f>
        <v>xxx</v>
      </c>
      <c r="J28" s="18" t="str">
        <f>IF(装备表!$O32=0,"xxx",IFERROR(IF(INT(IF($G28=J$2,装备表!$E119,"xxx")/10000)=1,IF($G28=J$2,装备表!$E119,"xxx")&amp;":2,1,1,"&amp;装备表!$O119&amp;";","xxx"),"xxx"))</f>
        <v>xxx</v>
      </c>
      <c r="K28" s="18" t="str">
        <f>IF(装备表!$O32=0,"xxx",IFERROR(IF(INT(IF($G28=K$2,装备表!$E119,"xxx")/10000)=1,IF($G28=K$2,装备表!$E119,"xxx")&amp;":2,1,1,"&amp;装备表!$O119&amp;";","xxx"),"xxx"))</f>
        <v>xxx</v>
      </c>
      <c r="L28" s="18" t="str">
        <f>IF(装备表!$O32=0,"xxx",IFERROR(IF(INT(IF($G28=L$2,装备表!$E119,"xxx")/10000)=1,IF($G28=L$2,装备表!$E119,"xxx")&amp;":2,1,1,"&amp;装备表!$O119&amp;";","xxx"),"xxx"))</f>
        <v>xxx</v>
      </c>
      <c r="M28" s="18" t="str">
        <f>IF(装备表!$O32=0,"xxx",IFERROR(IF(INT(IF($G28=M$2,装备表!$E119,"xxx")/10000)=1,IF($G28=M$2,装备表!$E119,"xxx")&amp;":2,1,1,"&amp;装备表!$O119&amp;";","xxx"),"xxx"))</f>
        <v>14719:2,1,1,10;</v>
      </c>
      <c r="N28" s="18" t="str">
        <f>IF(装备表!$O32=0,"xxx",IFERROR(IF(INT(IF($G28=N$2,装备表!$E119,"xxx")/10000)=1,IF($G28=N$2,装备表!$E119,"xxx")&amp;":2,1,1,"&amp;装备表!$O119&amp;";","xxx"),"xxx"))</f>
        <v>xxx</v>
      </c>
    </row>
    <row r="29" spans="5:14" x14ac:dyDescent="0.2">
      <c r="E29" s="18">
        <v>14720</v>
      </c>
      <c r="F29" s="18" t="s">
        <v>146</v>
      </c>
      <c r="G29" s="18">
        <v>3</v>
      </c>
      <c r="H29" s="18" t="str">
        <f>IF(装备表!$O33=0,"xxx",IFERROR(IF(INT(IF($G29=H$2,装备表!$E120,"xxx")/10000)=1,IF($G29=H$2,装备表!$E120,"xxx")&amp;":2,1,1,"&amp;装备表!$O120&amp;";","xxx"),"xxx"))</f>
        <v>xxx</v>
      </c>
      <c r="I29" s="18" t="str">
        <f>IF(装备表!$O33=0,"xxx",IFERROR(IF(INT(IF($G29=I$2,装备表!$E120,"xxx")/10000)=1,IF($G29=I$2,装备表!$E120,"xxx")&amp;":2,1,1,"&amp;装备表!$O120&amp;";","xxx"),"xxx"))</f>
        <v>xxx</v>
      </c>
      <c r="J29" s="18" t="str">
        <f>IF(装备表!$O33=0,"xxx",IFERROR(IF(INT(IF($G29=J$2,装备表!$E120,"xxx")/10000)=1,IF($G29=J$2,装备表!$E120,"xxx")&amp;":2,1,1,"&amp;装备表!$O120&amp;";","xxx"),"xxx"))</f>
        <v>14720:2,1,1,10;</v>
      </c>
      <c r="K29" s="18" t="str">
        <f>IF(装备表!$O33=0,"xxx",IFERROR(IF(INT(IF($G29=K$2,装备表!$E120,"xxx")/10000)=1,IF($G29=K$2,装备表!$E120,"xxx")&amp;":2,1,1,"&amp;装备表!$O120&amp;";","xxx"),"xxx"))</f>
        <v>xxx</v>
      </c>
      <c r="L29" s="18" t="str">
        <f>IF(装备表!$O33=0,"xxx",IFERROR(IF(INT(IF($G29=L$2,装备表!$E120,"xxx")/10000)=1,IF($G29=L$2,装备表!$E120,"xxx")&amp;":2,1,1,"&amp;装备表!$O120&amp;";","xxx"),"xxx"))</f>
        <v>xxx</v>
      </c>
      <c r="M29" s="18" t="str">
        <f>IF(装备表!$O33=0,"xxx",IFERROR(IF(INT(IF($G29=M$2,装备表!$E120,"xxx")/10000)=1,IF($G29=M$2,装备表!$E120,"xxx")&amp;":2,1,1,"&amp;装备表!$O120&amp;";","xxx"),"xxx"))</f>
        <v>xxx</v>
      </c>
      <c r="N29" s="18" t="str">
        <f>IF(装备表!$O33=0,"xxx",IFERROR(IF(INT(IF($G29=N$2,装备表!$E120,"xxx")/10000)=1,IF($G29=N$2,装备表!$E120,"xxx")&amp;":2,1,1,"&amp;装备表!$O120&amp;";","xxx"),"xxx"))</f>
        <v>xxx</v>
      </c>
    </row>
    <row r="30" spans="5:14" x14ac:dyDescent="0.2">
      <c r="E30" s="18">
        <v>14721</v>
      </c>
      <c r="F30" s="18" t="s">
        <v>147</v>
      </c>
      <c r="G30" s="18">
        <v>4</v>
      </c>
      <c r="H30" s="18" t="str">
        <f>IF(装备表!$O34=0,"xxx",IFERROR(IF(INT(IF($G30=H$2,装备表!$E121,"xxx")/10000)=1,IF($G30=H$2,装备表!$E121,"xxx")&amp;":2,1,1,"&amp;装备表!$O121&amp;";","xxx"),"xxx"))</f>
        <v>xxx</v>
      </c>
      <c r="I30" s="18" t="str">
        <f>IF(装备表!$O34=0,"xxx",IFERROR(IF(INT(IF($G30=I$2,装备表!$E121,"xxx")/10000)=1,IF($G30=I$2,装备表!$E121,"xxx")&amp;":2,1,1,"&amp;装备表!$O121&amp;";","xxx"),"xxx"))</f>
        <v>xxx</v>
      </c>
      <c r="J30" s="18" t="str">
        <f>IF(装备表!$O34=0,"xxx",IFERROR(IF(INT(IF($G30=J$2,装备表!$E121,"xxx")/10000)=1,IF($G30=J$2,装备表!$E121,"xxx")&amp;":2,1,1,"&amp;装备表!$O121&amp;";","xxx"),"xxx"))</f>
        <v>xxx</v>
      </c>
      <c r="K30" s="18" t="str">
        <f>IF(装备表!$O34=0,"xxx",IFERROR(IF(INT(IF($G30=K$2,装备表!$E121,"xxx")/10000)=1,IF($G30=K$2,装备表!$E121,"xxx")&amp;":2,1,1,"&amp;装备表!$O121&amp;";","xxx"),"xxx"))</f>
        <v>14721:2,1,1,10;</v>
      </c>
      <c r="L30" s="18" t="str">
        <f>IF(装备表!$O34=0,"xxx",IFERROR(IF(INT(IF($G30=L$2,装备表!$E121,"xxx")/10000)=1,IF($G30=L$2,装备表!$E121,"xxx")&amp;":2,1,1,"&amp;装备表!$O121&amp;";","xxx"),"xxx"))</f>
        <v>xxx</v>
      </c>
      <c r="M30" s="18" t="str">
        <f>IF(装备表!$O34=0,"xxx",IFERROR(IF(INT(IF($G30=M$2,装备表!$E121,"xxx")/10000)=1,IF($G30=M$2,装备表!$E121,"xxx")&amp;":2,1,1,"&amp;装备表!$O121&amp;";","xxx"),"xxx"))</f>
        <v>xxx</v>
      </c>
      <c r="N30" s="18" t="str">
        <f>IF(装备表!$O34=0,"xxx",IFERROR(IF(INT(IF($G30=N$2,装备表!$E121,"xxx")/10000)=1,IF($G30=N$2,装备表!$E121,"xxx")&amp;":2,1,1,"&amp;装备表!$O121&amp;";","xxx"),"xxx"))</f>
        <v>xxx</v>
      </c>
    </row>
    <row r="31" spans="5:14" x14ac:dyDescent="0.2">
      <c r="E31" s="18">
        <v>14722</v>
      </c>
      <c r="F31" s="18" t="s">
        <v>338</v>
      </c>
      <c r="G31" s="18">
        <v>1</v>
      </c>
      <c r="H31" s="18" t="str">
        <f>IF(装备表!$O35=0,"xxx",IFERROR(IF(INT(IF($G31=H$2,装备表!$E122,"xxx")/10000)=1,IF($G31=H$2,装备表!$E122,"xxx")&amp;":2,1,1,"&amp;装备表!$O122&amp;";","xxx"),"xxx"))</f>
        <v>14722:2,1,1,10;</v>
      </c>
      <c r="I31" s="18" t="str">
        <f>IF(装备表!$O35=0,"xxx",IFERROR(IF(INT(IF($G31=I$2,装备表!$E122,"xxx")/10000)=1,IF($G31=I$2,装备表!$E122,"xxx")&amp;":2,1,1,"&amp;装备表!$O122&amp;";","xxx"),"xxx"))</f>
        <v>xxx</v>
      </c>
      <c r="J31" s="18" t="str">
        <f>IF(装备表!$O35=0,"xxx",IFERROR(IF(INT(IF($G31=J$2,装备表!$E122,"xxx")/10000)=1,IF($G31=J$2,装备表!$E122,"xxx")&amp;":2,1,1,"&amp;装备表!$O122&amp;";","xxx"),"xxx"))</f>
        <v>xxx</v>
      </c>
      <c r="K31" s="18" t="str">
        <f>IF(装备表!$O35=0,"xxx",IFERROR(IF(INT(IF($G31=K$2,装备表!$E122,"xxx")/10000)=1,IF($G31=K$2,装备表!$E122,"xxx")&amp;":2,1,1,"&amp;装备表!$O122&amp;";","xxx"),"xxx"))</f>
        <v>xxx</v>
      </c>
      <c r="L31" s="18" t="str">
        <f>IF(装备表!$O35=0,"xxx",IFERROR(IF(INT(IF($G31=L$2,装备表!$E122,"xxx")/10000)=1,IF($G31=L$2,装备表!$E122,"xxx")&amp;":2,1,1,"&amp;装备表!$O122&amp;";","xxx"),"xxx"))</f>
        <v>xxx</v>
      </c>
      <c r="M31" s="18" t="str">
        <f>IF(装备表!$O35=0,"xxx",IFERROR(IF(INT(IF($G31=M$2,装备表!$E122,"xxx")/10000)=1,IF($G31=M$2,装备表!$E122,"xxx")&amp;":2,1,1,"&amp;装备表!$O122&amp;";","xxx"),"xxx"))</f>
        <v>xxx</v>
      </c>
      <c r="N31" s="18" t="str">
        <f>IF(装备表!$O35=0,"xxx",IFERROR(IF(INT(IF($G31=N$2,装备表!$E122,"xxx")/10000)=1,IF($G31=N$2,装备表!$E122,"xxx")&amp;":2,1,1,"&amp;装备表!$O122&amp;";","xxx"),"xxx"))</f>
        <v>xxx</v>
      </c>
    </row>
    <row r="32" spans="5:14" x14ac:dyDescent="0.2">
      <c r="E32" s="18">
        <v>14723</v>
      </c>
      <c r="F32" s="18" t="s">
        <v>340</v>
      </c>
      <c r="G32" s="18">
        <v>6</v>
      </c>
      <c r="H32" s="18" t="str">
        <f>IF(装备表!$O36=0,"xxx",IFERROR(IF(INT(IF($G32=H$2,装备表!$E123,"xxx")/10000)=1,IF($G32=H$2,装备表!$E123,"xxx")&amp;":2,1,1,"&amp;装备表!$O123&amp;";","xxx"),"xxx"))</f>
        <v>xxx</v>
      </c>
      <c r="I32" s="18" t="str">
        <f>IF(装备表!$O36=0,"xxx",IFERROR(IF(INT(IF($G32=I$2,装备表!$E123,"xxx")/10000)=1,IF($G32=I$2,装备表!$E123,"xxx")&amp;":2,1,1,"&amp;装备表!$O123&amp;";","xxx"),"xxx"))</f>
        <v>xxx</v>
      </c>
      <c r="J32" s="18" t="str">
        <f>IF(装备表!$O36=0,"xxx",IFERROR(IF(INT(IF($G32=J$2,装备表!$E123,"xxx")/10000)=1,IF($G32=J$2,装备表!$E123,"xxx")&amp;":2,1,1,"&amp;装备表!$O123&amp;";","xxx"),"xxx"))</f>
        <v>xxx</v>
      </c>
      <c r="K32" s="18" t="str">
        <f>IF(装备表!$O36=0,"xxx",IFERROR(IF(INT(IF($G32=K$2,装备表!$E123,"xxx")/10000)=1,IF($G32=K$2,装备表!$E123,"xxx")&amp;":2,1,1,"&amp;装备表!$O123&amp;";","xxx"),"xxx"))</f>
        <v>xxx</v>
      </c>
      <c r="L32" s="18" t="str">
        <f>IF(装备表!$O36=0,"xxx",IFERROR(IF(INT(IF($G32=L$2,装备表!$E123,"xxx")/10000)=1,IF($G32=L$2,装备表!$E123,"xxx")&amp;":2,1,1,"&amp;装备表!$O123&amp;";","xxx"),"xxx"))</f>
        <v>xxx</v>
      </c>
      <c r="M32" s="18" t="str">
        <f>IF(装备表!$O36=0,"xxx",IFERROR(IF(INT(IF($G32=M$2,装备表!$E123,"xxx")/10000)=1,IF($G32=M$2,装备表!$E123,"xxx")&amp;":2,1,1,"&amp;装备表!$O123&amp;";","xxx"),"xxx"))</f>
        <v>xxx</v>
      </c>
      <c r="N32" s="18" t="str">
        <f>IF(装备表!$O36=0,"xxx",IFERROR(IF(INT(IF($G32=N$2,装备表!$E123,"xxx")/10000)=1,IF($G32=N$2,装备表!$E123,"xxx")&amp;":2,1,1,"&amp;装备表!$O123&amp;";","xxx"),"xxx"))</f>
        <v>xxx</v>
      </c>
    </row>
    <row r="33" spans="5:14" x14ac:dyDescent="0.2">
      <c r="E33" s="18">
        <v>14724</v>
      </c>
      <c r="F33" s="18" t="s">
        <v>3694</v>
      </c>
      <c r="G33" s="18"/>
      <c r="H33" s="18" t="str">
        <f>IF(装备表!$O37=0,"xxx",IFERROR(IF(INT(IF($G33=H$2,装备表!$E124,"xxx")/10000)=1,IF($G33=H$2,装备表!$E124,"xxx")&amp;":2,1,1,"&amp;装备表!$O124&amp;";","xxx"),"xxx"))</f>
        <v>xxx</v>
      </c>
      <c r="I33" s="18" t="str">
        <f>IF(装备表!$O37=0,"xxx",IFERROR(IF(INT(IF($G33=I$2,装备表!$E124,"xxx")/10000)=1,IF($G33=I$2,装备表!$E124,"xxx")&amp;":2,1,1,"&amp;装备表!$O124&amp;";","xxx"),"xxx"))</f>
        <v>xxx</v>
      </c>
      <c r="J33" s="18" t="str">
        <f>IF(装备表!$O37=0,"xxx",IFERROR(IF(INT(IF($G33=J$2,装备表!$E124,"xxx")/10000)=1,IF($G33=J$2,装备表!$E124,"xxx")&amp;":2,1,1,"&amp;装备表!$O124&amp;";","xxx"),"xxx"))</f>
        <v>xxx</v>
      </c>
      <c r="K33" s="18" t="str">
        <f>IF(装备表!$O37=0,"xxx",IFERROR(IF(INT(IF($G33=K$2,装备表!$E124,"xxx")/10000)=1,IF($G33=K$2,装备表!$E124,"xxx")&amp;":2,1,1,"&amp;装备表!$O124&amp;";","xxx"),"xxx"))</f>
        <v>xxx</v>
      </c>
      <c r="L33" s="18" t="str">
        <f>IF(装备表!$O37=0,"xxx",IFERROR(IF(INT(IF($G33=L$2,装备表!$E124,"xxx")/10000)=1,IF($G33=L$2,装备表!$E124,"xxx")&amp;":2,1,1,"&amp;装备表!$O124&amp;";","xxx"),"xxx"))</f>
        <v>xxx</v>
      </c>
      <c r="M33" s="18" t="str">
        <f>IF(装备表!$O37=0,"xxx",IFERROR(IF(INT(IF($G33=M$2,装备表!$E124,"xxx")/10000)=1,IF($G33=M$2,装备表!$E124,"xxx")&amp;":2,1,1,"&amp;装备表!$O124&amp;";","xxx"),"xxx"))</f>
        <v>14724:2,1,1,10;</v>
      </c>
      <c r="N33" s="18" t="str">
        <f>IF(装备表!$O37=0,"xxx",IFERROR(IF(INT(IF($G33=N$2,装备表!$E124,"xxx")/10000)=1,IF($G33=N$2,装备表!$E124,"xxx")&amp;":2,1,1,"&amp;装备表!$O124&amp;";","xxx"),"xxx"))</f>
        <v>xxx</v>
      </c>
    </row>
    <row r="34" spans="5:14" x14ac:dyDescent="0.2">
      <c r="E34" s="18">
        <v>14725</v>
      </c>
      <c r="F34" s="18" t="s">
        <v>149</v>
      </c>
      <c r="G34" s="18"/>
      <c r="H34" s="18" t="str">
        <f>IF(装备表!$O38=0,"xxx",IFERROR(IF(INT(IF($G34=H$2,装备表!$E125,"xxx")/10000)=1,IF($G34=H$2,装备表!$E125,"xxx")&amp;":2,1,1,"&amp;装备表!$O125&amp;";","xxx"),"xxx"))</f>
        <v>xxx</v>
      </c>
      <c r="I34" s="18" t="str">
        <f>IF(装备表!$O38=0,"xxx",IFERROR(IF(INT(IF($G34=I$2,装备表!$E125,"xxx")/10000)=1,IF($G34=I$2,装备表!$E125,"xxx")&amp;":2,1,1,"&amp;装备表!$O125&amp;";","xxx"),"xxx"))</f>
        <v>xxx</v>
      </c>
      <c r="J34" s="18" t="str">
        <f>IF(装备表!$O38=0,"xxx",IFERROR(IF(INT(IF($G34=J$2,装备表!$E125,"xxx")/10000)=1,IF($G34=J$2,装备表!$E125,"xxx")&amp;":2,1,1,"&amp;装备表!$O125&amp;";","xxx"),"xxx"))</f>
        <v>xxx</v>
      </c>
      <c r="K34" s="18" t="str">
        <f>IF(装备表!$O38=0,"xxx",IFERROR(IF(INT(IF($G34=K$2,装备表!$E125,"xxx")/10000)=1,IF($G34=K$2,装备表!$E125,"xxx")&amp;":2,1,1,"&amp;装备表!$O125&amp;";","xxx"),"xxx"))</f>
        <v>xxx</v>
      </c>
      <c r="L34" s="18" t="str">
        <f>IF(装备表!$O38=0,"xxx",IFERROR(IF(INT(IF($G34=L$2,装备表!$E125,"xxx")/10000)=1,IF($G34=L$2,装备表!$E125,"xxx")&amp;":2,1,1,"&amp;装备表!$O125&amp;";","xxx"),"xxx"))</f>
        <v>xxx</v>
      </c>
      <c r="M34" s="18" t="str">
        <f>IF(装备表!$O38=0,"xxx",IFERROR(IF(INT(IF($G34=M$2,装备表!$E125,"xxx")/10000)=1,IF($G34=M$2,装备表!$E125,"xxx")&amp;":2,1,1,"&amp;装备表!$O125&amp;";","xxx"),"xxx"))</f>
        <v>14725:2,1,1,10;</v>
      </c>
      <c r="N34" s="18" t="str">
        <f>IF(装备表!$O38=0,"xxx",IFERROR(IF(INT(IF($G34=N$2,装备表!$E125,"xxx")/10000)=1,IF($G34=N$2,装备表!$E125,"xxx")&amp;":2,1,1,"&amp;装备表!$O125&amp;";","xxx"),"xxx"))</f>
        <v>xxx</v>
      </c>
    </row>
    <row r="35" spans="5:14" x14ac:dyDescent="0.2">
      <c r="E35" s="18">
        <v>14726</v>
      </c>
      <c r="F35" s="18" t="s">
        <v>150</v>
      </c>
      <c r="G35" s="18">
        <v>2</v>
      </c>
      <c r="H35" s="18" t="str">
        <f>IF(装备表!$O39=0,"xxx",IFERROR(IF(INT(IF($G35=H$2,装备表!$E126,"xxx")/10000)=1,IF($G35=H$2,装备表!$E126,"xxx")&amp;":2,1,1,"&amp;装备表!$O126&amp;";","xxx"),"xxx"))</f>
        <v>xxx</v>
      </c>
      <c r="I35" s="18" t="str">
        <f>IF(装备表!$O39=0,"xxx",IFERROR(IF(INT(IF($G35=I$2,装备表!$E126,"xxx")/10000)=1,IF($G35=I$2,装备表!$E126,"xxx")&amp;":2,1,1,"&amp;装备表!$O126&amp;";","xxx"),"xxx"))</f>
        <v>14726:2,1,1,10;</v>
      </c>
      <c r="J35" s="18" t="str">
        <f>IF(装备表!$O39=0,"xxx",IFERROR(IF(INT(IF($G35=J$2,装备表!$E126,"xxx")/10000)=1,IF($G35=J$2,装备表!$E126,"xxx")&amp;":2,1,1,"&amp;装备表!$O126&amp;";","xxx"),"xxx"))</f>
        <v>xxx</v>
      </c>
      <c r="K35" s="18" t="str">
        <f>IF(装备表!$O39=0,"xxx",IFERROR(IF(INT(IF($G35=K$2,装备表!$E126,"xxx")/10000)=1,IF($G35=K$2,装备表!$E126,"xxx")&amp;":2,1,1,"&amp;装备表!$O126&amp;";","xxx"),"xxx"))</f>
        <v>xxx</v>
      </c>
      <c r="L35" s="18" t="str">
        <f>IF(装备表!$O39=0,"xxx",IFERROR(IF(INT(IF($G35=L$2,装备表!$E126,"xxx")/10000)=1,IF($G35=L$2,装备表!$E126,"xxx")&amp;":2,1,1,"&amp;装备表!$O126&amp;";","xxx"),"xxx"))</f>
        <v>xxx</v>
      </c>
      <c r="M35" s="18" t="str">
        <f>IF(装备表!$O39=0,"xxx",IFERROR(IF(INT(IF($G35=M$2,装备表!$E126,"xxx")/10000)=1,IF($G35=M$2,装备表!$E126,"xxx")&amp;":2,1,1,"&amp;装备表!$O126&amp;";","xxx"),"xxx"))</f>
        <v>xxx</v>
      </c>
      <c r="N35" s="18" t="str">
        <f>IF(装备表!$O39=0,"xxx",IFERROR(IF(INT(IF($G35=N$2,装备表!$E126,"xxx")/10000)=1,IF($G35=N$2,装备表!$E126,"xxx")&amp;":2,1,1,"&amp;装备表!$O126&amp;";","xxx"),"xxx"))</f>
        <v>xxx</v>
      </c>
    </row>
    <row r="36" spans="5:14" x14ac:dyDescent="0.2">
      <c r="E36" s="18">
        <v>14727</v>
      </c>
      <c r="F36" s="18" t="s">
        <v>152</v>
      </c>
      <c r="G36" s="18"/>
      <c r="H36" s="18" t="str">
        <f>IF(装备表!$O40=0,"xxx",IFERROR(IF(INT(IF($G36=H$2,装备表!$E127,"xxx")/10000)=1,IF($G36=H$2,装备表!$E127,"xxx")&amp;":2,1,1,"&amp;装备表!$O127&amp;";","xxx"),"xxx"))</f>
        <v>xxx</v>
      </c>
      <c r="I36" s="18" t="str">
        <f>IF(装备表!$O40=0,"xxx",IFERROR(IF(INT(IF($G36=I$2,装备表!$E127,"xxx")/10000)=1,IF($G36=I$2,装备表!$E127,"xxx")&amp;":2,1,1,"&amp;装备表!$O127&amp;";","xxx"),"xxx"))</f>
        <v>xxx</v>
      </c>
      <c r="J36" s="18" t="str">
        <f>IF(装备表!$O40=0,"xxx",IFERROR(IF(INT(IF($G36=J$2,装备表!$E127,"xxx")/10000)=1,IF($G36=J$2,装备表!$E127,"xxx")&amp;":2,1,1,"&amp;装备表!$O127&amp;";","xxx"),"xxx"))</f>
        <v>xxx</v>
      </c>
      <c r="K36" s="18" t="str">
        <f>IF(装备表!$O40=0,"xxx",IFERROR(IF(INT(IF($G36=K$2,装备表!$E127,"xxx")/10000)=1,IF($G36=K$2,装备表!$E127,"xxx")&amp;":2,1,1,"&amp;装备表!$O127&amp;";","xxx"),"xxx"))</f>
        <v>xxx</v>
      </c>
      <c r="L36" s="18" t="str">
        <f>IF(装备表!$O40=0,"xxx",IFERROR(IF(INT(IF($G36=L$2,装备表!$E127,"xxx")/10000)=1,IF($G36=L$2,装备表!$E127,"xxx")&amp;":2,1,1,"&amp;装备表!$O127&amp;";","xxx"),"xxx"))</f>
        <v>xxx</v>
      </c>
      <c r="M36" s="18" t="str">
        <f>IF(装备表!$O40=0,"xxx",IFERROR(IF(INT(IF($G36=M$2,装备表!$E127,"xxx")/10000)=1,IF($G36=M$2,装备表!$E127,"xxx")&amp;":2,1,1,"&amp;装备表!$O127&amp;";","xxx"),"xxx"))</f>
        <v>14727:2,1,1,10;</v>
      </c>
      <c r="N36" s="18" t="str">
        <f>IF(装备表!$O40=0,"xxx",IFERROR(IF(INT(IF($G36=N$2,装备表!$E127,"xxx")/10000)=1,IF($G36=N$2,装备表!$E127,"xxx")&amp;":2,1,1,"&amp;装备表!$O127&amp;";","xxx"),"xxx"))</f>
        <v>xxx</v>
      </c>
    </row>
    <row r="37" spans="5:14" x14ac:dyDescent="0.2">
      <c r="E37" s="18">
        <v>14728</v>
      </c>
      <c r="F37" s="18" t="s">
        <v>154</v>
      </c>
      <c r="G37" s="18">
        <v>3</v>
      </c>
      <c r="H37" s="18" t="str">
        <f>IF(装备表!$O41=0,"xxx",IFERROR(IF(INT(IF($G37=H$2,装备表!$E128,"xxx")/10000)=1,IF($G37=H$2,装备表!$E128,"xxx")&amp;":2,1,1,"&amp;装备表!$O128&amp;";","xxx"),"xxx"))</f>
        <v>xxx</v>
      </c>
      <c r="I37" s="18" t="str">
        <f>IF(装备表!$O41=0,"xxx",IFERROR(IF(INT(IF($G37=I$2,装备表!$E128,"xxx")/10000)=1,IF($G37=I$2,装备表!$E128,"xxx")&amp;":2,1,1,"&amp;装备表!$O128&amp;";","xxx"),"xxx"))</f>
        <v>xxx</v>
      </c>
      <c r="J37" s="18" t="str">
        <f>IF(装备表!$O41=0,"xxx",IFERROR(IF(INT(IF($G37=J$2,装备表!$E128,"xxx")/10000)=1,IF($G37=J$2,装备表!$E128,"xxx")&amp;":2,1,1,"&amp;装备表!$O128&amp;";","xxx"),"xxx"))</f>
        <v>14728:2,1,1,10;</v>
      </c>
      <c r="K37" s="18" t="str">
        <f>IF(装备表!$O41=0,"xxx",IFERROR(IF(INT(IF($G37=K$2,装备表!$E128,"xxx")/10000)=1,IF($G37=K$2,装备表!$E128,"xxx")&amp;":2,1,1,"&amp;装备表!$O128&amp;";","xxx"),"xxx"))</f>
        <v>xxx</v>
      </c>
      <c r="L37" s="18" t="str">
        <f>IF(装备表!$O41=0,"xxx",IFERROR(IF(INT(IF($G37=L$2,装备表!$E128,"xxx")/10000)=1,IF($G37=L$2,装备表!$E128,"xxx")&amp;":2,1,1,"&amp;装备表!$O128&amp;";","xxx"),"xxx"))</f>
        <v>xxx</v>
      </c>
      <c r="M37" s="18" t="str">
        <f>IF(装备表!$O41=0,"xxx",IFERROR(IF(INT(IF($G37=M$2,装备表!$E128,"xxx")/10000)=1,IF($G37=M$2,装备表!$E128,"xxx")&amp;":2,1,1,"&amp;装备表!$O128&amp;";","xxx"),"xxx"))</f>
        <v>xxx</v>
      </c>
      <c r="N37" s="18" t="str">
        <f>IF(装备表!$O41=0,"xxx",IFERROR(IF(INT(IF($G37=N$2,装备表!$E128,"xxx")/10000)=1,IF($G37=N$2,装备表!$E128,"xxx")&amp;":2,1,1,"&amp;装备表!$O128&amp;";","xxx"),"xxx"))</f>
        <v>xxx</v>
      </c>
    </row>
    <row r="38" spans="5:14" x14ac:dyDescent="0.2">
      <c r="E38" s="18">
        <v>14729</v>
      </c>
      <c r="F38" s="18" t="s">
        <v>3695</v>
      </c>
      <c r="G38" s="18">
        <v>2</v>
      </c>
      <c r="H38" s="18" t="str">
        <f>IF(装备表!$O42=0,"xxx",IFERROR(IF(INT(IF($G38=H$2,装备表!$E129,"xxx")/10000)=1,IF($G38=H$2,装备表!$E129,"xxx")&amp;":2,1,1,"&amp;装备表!$O129&amp;";","xxx"),"xxx"))</f>
        <v>xxx</v>
      </c>
      <c r="I38" s="18" t="str">
        <f>IF(装备表!$O42=0,"xxx",IFERROR(IF(INT(IF($G38=I$2,装备表!$E129,"xxx")/10000)=1,IF($G38=I$2,装备表!$E129,"xxx")&amp;":2,1,1,"&amp;装备表!$O129&amp;";","xxx"),"xxx"))</f>
        <v>14729:2,1,1,10;</v>
      </c>
      <c r="J38" s="18" t="str">
        <f>IF(装备表!$O42=0,"xxx",IFERROR(IF(INT(IF($G38=J$2,装备表!$E129,"xxx")/10000)=1,IF($G38=J$2,装备表!$E129,"xxx")&amp;":2,1,1,"&amp;装备表!$O129&amp;";","xxx"),"xxx"))</f>
        <v>xxx</v>
      </c>
      <c r="K38" s="18" t="str">
        <f>IF(装备表!$O42=0,"xxx",IFERROR(IF(INT(IF($G38=K$2,装备表!$E129,"xxx")/10000)=1,IF($G38=K$2,装备表!$E129,"xxx")&amp;":2,1,1,"&amp;装备表!$O129&amp;";","xxx"),"xxx"))</f>
        <v>xxx</v>
      </c>
      <c r="L38" s="18" t="str">
        <f>IF(装备表!$O42=0,"xxx",IFERROR(IF(INT(IF($G38=L$2,装备表!$E129,"xxx")/10000)=1,IF($G38=L$2,装备表!$E129,"xxx")&amp;":2,1,1,"&amp;装备表!$O129&amp;";","xxx"),"xxx"))</f>
        <v>xxx</v>
      </c>
      <c r="M38" s="18" t="str">
        <f>IF(装备表!$O42=0,"xxx",IFERROR(IF(INT(IF($G38=M$2,装备表!$E129,"xxx")/10000)=1,IF($G38=M$2,装备表!$E129,"xxx")&amp;":2,1,1,"&amp;装备表!$O129&amp;";","xxx"),"xxx"))</f>
        <v>xxx</v>
      </c>
      <c r="N38" s="18" t="str">
        <f>IF(装备表!$O42=0,"xxx",IFERROR(IF(INT(IF($G38=N$2,装备表!$E129,"xxx")/10000)=1,IF($G38=N$2,装备表!$E129,"xxx")&amp;":2,1,1,"&amp;装备表!$O129&amp;";","xxx"),"xxx"))</f>
        <v>xxx</v>
      </c>
    </row>
    <row r="39" spans="5:14" x14ac:dyDescent="0.2">
      <c r="E39" s="18">
        <v>14730</v>
      </c>
      <c r="F39" s="18" t="s">
        <v>156</v>
      </c>
      <c r="G39" s="18">
        <v>5</v>
      </c>
      <c r="H39" s="18" t="str">
        <f>IF(装备表!$O43=0,"xxx",IFERROR(IF(INT(IF($G39=H$2,装备表!$E130,"xxx")/10000)=1,IF($G39=H$2,装备表!$E130,"xxx")&amp;":2,1,1,"&amp;装备表!$O130&amp;";","xxx"),"xxx"))</f>
        <v>xxx</v>
      </c>
      <c r="I39" s="18" t="str">
        <f>IF(装备表!$O43=0,"xxx",IFERROR(IF(INT(IF($G39=I$2,装备表!$E130,"xxx")/10000)=1,IF($G39=I$2,装备表!$E130,"xxx")&amp;":2,1,1,"&amp;装备表!$O130&amp;";","xxx"),"xxx"))</f>
        <v>xxx</v>
      </c>
      <c r="J39" s="18" t="str">
        <f>IF(装备表!$O43=0,"xxx",IFERROR(IF(INT(IF($G39=J$2,装备表!$E130,"xxx")/10000)=1,IF($G39=J$2,装备表!$E130,"xxx")&amp;":2,1,1,"&amp;装备表!$O130&amp;";","xxx"),"xxx"))</f>
        <v>xxx</v>
      </c>
      <c r="K39" s="18" t="str">
        <f>IF(装备表!$O43=0,"xxx",IFERROR(IF(INT(IF($G39=K$2,装备表!$E130,"xxx")/10000)=1,IF($G39=K$2,装备表!$E130,"xxx")&amp;":2,1,1,"&amp;装备表!$O130&amp;";","xxx"),"xxx"))</f>
        <v>xxx</v>
      </c>
      <c r="L39" s="18" t="str">
        <f>IF(装备表!$O43=0,"xxx",IFERROR(IF(INT(IF($G39=L$2,装备表!$E130,"xxx")/10000)=1,IF($G39=L$2,装备表!$E130,"xxx")&amp;":2,1,1,"&amp;装备表!$O130&amp;";","xxx"),"xxx"))</f>
        <v>14730:2,1,1,10;</v>
      </c>
      <c r="M39" s="18" t="str">
        <f>IF(装备表!$O43=0,"xxx",IFERROR(IF(INT(IF($G39=M$2,装备表!$E130,"xxx")/10000)=1,IF($G39=M$2,装备表!$E130,"xxx")&amp;":2,1,1,"&amp;装备表!$O130&amp;";","xxx"),"xxx"))</f>
        <v>xxx</v>
      </c>
      <c r="N39" s="18" t="str">
        <f>IF(装备表!$O43=0,"xxx",IFERROR(IF(INT(IF($G39=N$2,装备表!$E130,"xxx")/10000)=1,IF($G39=N$2,装备表!$E130,"xxx")&amp;":2,1,1,"&amp;装备表!$O130&amp;";","xxx"),"xxx"))</f>
        <v>xxx</v>
      </c>
    </row>
    <row r="40" spans="5:14" x14ac:dyDescent="0.2">
      <c r="E40" s="18">
        <v>14731</v>
      </c>
      <c r="F40" s="18" t="s">
        <v>158</v>
      </c>
      <c r="G40" s="18">
        <v>1</v>
      </c>
      <c r="H40" s="18" t="str">
        <f>IF(装备表!$O44=0,"xxx",IFERROR(IF(INT(IF($G40=H$2,装备表!$E131,"xxx")/10000)=1,IF($G40=H$2,装备表!$E131,"xxx")&amp;":2,1,1,"&amp;装备表!$O131&amp;";","xxx"),"xxx"))</f>
        <v>14731:2,1,1,10;</v>
      </c>
      <c r="I40" s="18" t="str">
        <f>IF(装备表!$O44=0,"xxx",IFERROR(IF(INT(IF($G40=I$2,装备表!$E131,"xxx")/10000)=1,IF($G40=I$2,装备表!$E131,"xxx")&amp;":2,1,1,"&amp;装备表!$O131&amp;";","xxx"),"xxx"))</f>
        <v>xxx</v>
      </c>
      <c r="J40" s="18" t="str">
        <f>IF(装备表!$O44=0,"xxx",IFERROR(IF(INT(IF($G40=J$2,装备表!$E131,"xxx")/10000)=1,IF($G40=J$2,装备表!$E131,"xxx")&amp;":2,1,1,"&amp;装备表!$O131&amp;";","xxx"),"xxx"))</f>
        <v>xxx</v>
      </c>
      <c r="K40" s="18" t="str">
        <f>IF(装备表!$O44=0,"xxx",IFERROR(IF(INT(IF($G40=K$2,装备表!$E131,"xxx")/10000)=1,IF($G40=K$2,装备表!$E131,"xxx")&amp;":2,1,1,"&amp;装备表!$O131&amp;";","xxx"),"xxx"))</f>
        <v>xxx</v>
      </c>
      <c r="L40" s="18" t="str">
        <f>IF(装备表!$O44=0,"xxx",IFERROR(IF(INT(IF($G40=L$2,装备表!$E131,"xxx")/10000)=1,IF($G40=L$2,装备表!$E131,"xxx")&amp;":2,1,1,"&amp;装备表!$O131&amp;";","xxx"),"xxx"))</f>
        <v>xxx</v>
      </c>
      <c r="M40" s="18" t="str">
        <f>IF(装备表!$O44=0,"xxx",IFERROR(IF(INT(IF($G40=M$2,装备表!$E131,"xxx")/10000)=1,IF($G40=M$2,装备表!$E131,"xxx")&amp;":2,1,1,"&amp;装备表!$O131&amp;";","xxx"),"xxx"))</f>
        <v>xxx</v>
      </c>
      <c r="N40" s="18" t="str">
        <f>IF(装备表!$O44=0,"xxx",IFERROR(IF(INT(IF($G40=N$2,装备表!$E131,"xxx")/10000)=1,IF($G40=N$2,装备表!$E131,"xxx")&amp;":2,1,1,"&amp;装备表!$O131&amp;";","xxx"),"xxx"))</f>
        <v>xxx</v>
      </c>
    </row>
    <row r="41" spans="5:14" x14ac:dyDescent="0.2">
      <c r="E41" s="18">
        <v>14732</v>
      </c>
      <c r="F41" s="18" t="s">
        <v>160</v>
      </c>
      <c r="G41" s="18"/>
      <c r="H41" s="18" t="str">
        <f>IF(装备表!$O45=0,"xxx",IFERROR(IF(INT(IF($G41=H$2,装备表!$E132,"xxx")/10000)=1,IF($G41=H$2,装备表!$E132,"xxx")&amp;":2,1,1,"&amp;装备表!$O132&amp;";","xxx"),"xxx"))</f>
        <v>xxx</v>
      </c>
      <c r="I41" s="18" t="str">
        <f>IF(装备表!$O45=0,"xxx",IFERROR(IF(INT(IF($G41=I$2,装备表!$E132,"xxx")/10000)=1,IF($G41=I$2,装备表!$E132,"xxx")&amp;":2,1,1,"&amp;装备表!$O132&amp;";","xxx"),"xxx"))</f>
        <v>xxx</v>
      </c>
      <c r="J41" s="18" t="str">
        <f>IF(装备表!$O45=0,"xxx",IFERROR(IF(INT(IF($G41=J$2,装备表!$E132,"xxx")/10000)=1,IF($G41=J$2,装备表!$E132,"xxx")&amp;":2,1,1,"&amp;装备表!$O132&amp;";","xxx"),"xxx"))</f>
        <v>xxx</v>
      </c>
      <c r="K41" s="18" t="str">
        <f>IF(装备表!$O45=0,"xxx",IFERROR(IF(INT(IF($G41=K$2,装备表!$E132,"xxx")/10000)=1,IF($G41=K$2,装备表!$E132,"xxx")&amp;":2,1,1,"&amp;装备表!$O132&amp;";","xxx"),"xxx"))</f>
        <v>xxx</v>
      </c>
      <c r="L41" s="18" t="str">
        <f>IF(装备表!$O45=0,"xxx",IFERROR(IF(INT(IF($G41=L$2,装备表!$E132,"xxx")/10000)=1,IF($G41=L$2,装备表!$E132,"xxx")&amp;":2,1,1,"&amp;装备表!$O132&amp;";","xxx"),"xxx"))</f>
        <v>xxx</v>
      </c>
      <c r="M41" s="18" t="str">
        <f>IF(装备表!$O45=0,"xxx",IFERROR(IF(INT(IF($G41=M$2,装备表!$E132,"xxx")/10000)=1,IF($G41=M$2,装备表!$E132,"xxx")&amp;":2,1,1,"&amp;装备表!$O132&amp;";","xxx"),"xxx"))</f>
        <v>14732:2,1,1,10;</v>
      </c>
      <c r="N41" s="18" t="str">
        <f>IF(装备表!$O45=0,"xxx",IFERROR(IF(INT(IF($G41=N$2,装备表!$E132,"xxx")/10000)=1,IF($G41=N$2,装备表!$E132,"xxx")&amp;":2,1,1,"&amp;装备表!$O132&amp;";","xxx"),"xxx"))</f>
        <v>xxx</v>
      </c>
    </row>
    <row r="42" spans="5:14" x14ac:dyDescent="0.2">
      <c r="E42" s="18">
        <v>14733</v>
      </c>
      <c r="F42" s="18" t="s">
        <v>162</v>
      </c>
      <c r="G42" s="18">
        <v>1</v>
      </c>
      <c r="H42" s="18" t="str">
        <f>IF(装备表!$O46=0,"xxx",IFERROR(IF(INT(IF($G42=H$2,装备表!$E133,"xxx")/10000)=1,IF($G42=H$2,装备表!$E133,"xxx")&amp;":2,1,1,"&amp;装备表!$O133&amp;";","xxx"),"xxx"))</f>
        <v>14733:2,1,1,10;</v>
      </c>
      <c r="I42" s="18" t="str">
        <f>IF(装备表!$O46=0,"xxx",IFERROR(IF(INT(IF($G42=I$2,装备表!$E133,"xxx")/10000)=1,IF($G42=I$2,装备表!$E133,"xxx")&amp;":2,1,1,"&amp;装备表!$O133&amp;";","xxx"),"xxx"))</f>
        <v>xxx</v>
      </c>
      <c r="J42" s="18" t="str">
        <f>IF(装备表!$O46=0,"xxx",IFERROR(IF(INT(IF($G42=J$2,装备表!$E133,"xxx")/10000)=1,IF($G42=J$2,装备表!$E133,"xxx")&amp;":2,1,1,"&amp;装备表!$O133&amp;";","xxx"),"xxx"))</f>
        <v>xxx</v>
      </c>
      <c r="K42" s="18" t="str">
        <f>IF(装备表!$O46=0,"xxx",IFERROR(IF(INT(IF($G42=K$2,装备表!$E133,"xxx")/10000)=1,IF($G42=K$2,装备表!$E133,"xxx")&amp;":2,1,1,"&amp;装备表!$O133&amp;";","xxx"),"xxx"))</f>
        <v>xxx</v>
      </c>
      <c r="L42" s="18" t="str">
        <f>IF(装备表!$O46=0,"xxx",IFERROR(IF(INT(IF($G42=L$2,装备表!$E133,"xxx")/10000)=1,IF($G42=L$2,装备表!$E133,"xxx")&amp;":2,1,1,"&amp;装备表!$O133&amp;";","xxx"),"xxx"))</f>
        <v>xxx</v>
      </c>
      <c r="M42" s="18" t="str">
        <f>IF(装备表!$O46=0,"xxx",IFERROR(IF(INT(IF($G42=M$2,装备表!$E133,"xxx")/10000)=1,IF($G42=M$2,装备表!$E133,"xxx")&amp;":2,1,1,"&amp;装备表!$O133&amp;";","xxx"),"xxx"))</f>
        <v>xxx</v>
      </c>
      <c r="N42" s="18" t="str">
        <f>IF(装备表!$O46=0,"xxx",IFERROR(IF(INT(IF($G42=N$2,装备表!$E133,"xxx")/10000)=1,IF($G42=N$2,装备表!$E133,"xxx")&amp;":2,1,1,"&amp;装备表!$O133&amp;";","xxx"),"xxx"))</f>
        <v>xxx</v>
      </c>
    </row>
    <row r="43" spans="5:14" x14ac:dyDescent="0.2">
      <c r="E43" s="18">
        <v>14734</v>
      </c>
      <c r="F43" s="18" t="s">
        <v>164</v>
      </c>
      <c r="G43" s="18">
        <v>2</v>
      </c>
      <c r="H43" s="18" t="str">
        <f>IF(装备表!$O47=0,"xxx",IFERROR(IF(INT(IF($G43=H$2,装备表!$E134,"xxx")/10000)=1,IF($G43=H$2,装备表!$E134,"xxx")&amp;":2,1,1,"&amp;装备表!$O134&amp;";","xxx"),"xxx"))</f>
        <v>xxx</v>
      </c>
      <c r="I43" s="18" t="str">
        <f>IF(装备表!$O47=0,"xxx",IFERROR(IF(INT(IF($G43=I$2,装备表!$E134,"xxx")/10000)=1,IF($G43=I$2,装备表!$E134,"xxx")&amp;":2,1,1,"&amp;装备表!$O134&amp;";","xxx"),"xxx"))</f>
        <v>14734:2,1,1,10;</v>
      </c>
      <c r="J43" s="18" t="str">
        <f>IF(装备表!$O47=0,"xxx",IFERROR(IF(INT(IF($G43=J$2,装备表!$E134,"xxx")/10000)=1,IF($G43=J$2,装备表!$E134,"xxx")&amp;":2,1,1,"&amp;装备表!$O134&amp;";","xxx"),"xxx"))</f>
        <v>xxx</v>
      </c>
      <c r="K43" s="18" t="str">
        <f>IF(装备表!$O47=0,"xxx",IFERROR(IF(INT(IF($G43=K$2,装备表!$E134,"xxx")/10000)=1,IF($G43=K$2,装备表!$E134,"xxx")&amp;":2,1,1,"&amp;装备表!$O134&amp;";","xxx"),"xxx"))</f>
        <v>xxx</v>
      </c>
      <c r="L43" s="18" t="str">
        <f>IF(装备表!$O47=0,"xxx",IFERROR(IF(INT(IF($G43=L$2,装备表!$E134,"xxx")/10000)=1,IF($G43=L$2,装备表!$E134,"xxx")&amp;":2,1,1,"&amp;装备表!$O134&amp;";","xxx"),"xxx"))</f>
        <v>xxx</v>
      </c>
      <c r="M43" s="18" t="str">
        <f>IF(装备表!$O47=0,"xxx",IFERROR(IF(INT(IF($G43=M$2,装备表!$E134,"xxx")/10000)=1,IF($G43=M$2,装备表!$E134,"xxx")&amp;":2,1,1,"&amp;装备表!$O134&amp;";","xxx"),"xxx"))</f>
        <v>xxx</v>
      </c>
      <c r="N43" s="18" t="str">
        <f>IF(装备表!$O47=0,"xxx",IFERROR(IF(INT(IF($G43=N$2,装备表!$E134,"xxx")/10000)=1,IF($G43=N$2,装备表!$E134,"xxx")&amp;":2,1,1,"&amp;装备表!$O134&amp;";","xxx"),"xxx"))</f>
        <v>xxx</v>
      </c>
    </row>
    <row r="44" spans="5:14" x14ac:dyDescent="0.2">
      <c r="E44" s="18">
        <v>14735</v>
      </c>
      <c r="F44" s="18" t="s">
        <v>166</v>
      </c>
      <c r="G44" s="18">
        <v>4</v>
      </c>
      <c r="H44" s="18" t="str">
        <f>IF(装备表!$O48=0,"xxx",IFERROR(IF(INT(IF($G44=H$2,装备表!$E135,"xxx")/10000)=1,IF($G44=H$2,装备表!$E135,"xxx")&amp;":2,1,1,"&amp;装备表!$O135&amp;";","xxx"),"xxx"))</f>
        <v>xxx</v>
      </c>
      <c r="I44" s="18" t="str">
        <f>IF(装备表!$O48=0,"xxx",IFERROR(IF(INT(IF($G44=I$2,装备表!$E135,"xxx")/10000)=1,IF($G44=I$2,装备表!$E135,"xxx")&amp;":2,1,1,"&amp;装备表!$O135&amp;";","xxx"),"xxx"))</f>
        <v>xxx</v>
      </c>
      <c r="J44" s="18" t="str">
        <f>IF(装备表!$O48=0,"xxx",IFERROR(IF(INT(IF($G44=J$2,装备表!$E135,"xxx")/10000)=1,IF($G44=J$2,装备表!$E135,"xxx")&amp;":2,1,1,"&amp;装备表!$O135&amp;";","xxx"),"xxx"))</f>
        <v>xxx</v>
      </c>
      <c r="K44" s="18" t="str">
        <f>IF(装备表!$O48=0,"xxx",IFERROR(IF(INT(IF($G44=K$2,装备表!$E135,"xxx")/10000)=1,IF($G44=K$2,装备表!$E135,"xxx")&amp;":2,1,1,"&amp;装备表!$O135&amp;";","xxx"),"xxx"))</f>
        <v>14735:2,1,1,10;</v>
      </c>
      <c r="L44" s="18" t="str">
        <f>IF(装备表!$O48=0,"xxx",IFERROR(IF(INT(IF($G44=L$2,装备表!$E135,"xxx")/10000)=1,IF($G44=L$2,装备表!$E135,"xxx")&amp;":2,1,1,"&amp;装备表!$O135&amp;";","xxx"),"xxx"))</f>
        <v>xxx</v>
      </c>
      <c r="M44" s="18" t="str">
        <f>IF(装备表!$O48=0,"xxx",IFERROR(IF(INT(IF($G44=M$2,装备表!$E135,"xxx")/10000)=1,IF($G44=M$2,装备表!$E135,"xxx")&amp;":2,1,1,"&amp;装备表!$O135&amp;";","xxx"),"xxx"))</f>
        <v>xxx</v>
      </c>
      <c r="N44" s="18" t="str">
        <f>IF(装备表!$O48=0,"xxx",IFERROR(IF(INT(IF($G44=N$2,装备表!$E135,"xxx")/10000)=1,IF($G44=N$2,装备表!$E135,"xxx")&amp;":2,1,1,"&amp;装备表!$O135&amp;";","xxx"),"xxx"))</f>
        <v>xxx</v>
      </c>
    </row>
    <row r="45" spans="5:14" x14ac:dyDescent="0.2">
      <c r="E45" s="18">
        <v>14736</v>
      </c>
      <c r="F45" s="18" t="s">
        <v>168</v>
      </c>
      <c r="G45" s="18"/>
      <c r="H45" s="18" t="str">
        <f>IF(装备表!$O49=0,"xxx",IFERROR(IF(INT(IF($G45=H$2,装备表!$E136,"xxx")/10000)=1,IF($G45=H$2,装备表!$E136,"xxx")&amp;":2,1,1,"&amp;装备表!$O136&amp;";","xxx"),"xxx"))</f>
        <v>xxx</v>
      </c>
      <c r="I45" s="18" t="str">
        <f>IF(装备表!$O49=0,"xxx",IFERROR(IF(INT(IF($G45=I$2,装备表!$E136,"xxx")/10000)=1,IF($G45=I$2,装备表!$E136,"xxx")&amp;":2,1,1,"&amp;装备表!$O136&amp;";","xxx"),"xxx"))</f>
        <v>xxx</v>
      </c>
      <c r="J45" s="18" t="str">
        <f>IF(装备表!$O49=0,"xxx",IFERROR(IF(INT(IF($G45=J$2,装备表!$E136,"xxx")/10000)=1,IF($G45=J$2,装备表!$E136,"xxx")&amp;":2,1,1,"&amp;装备表!$O136&amp;";","xxx"),"xxx"))</f>
        <v>xxx</v>
      </c>
      <c r="K45" s="18" t="str">
        <f>IF(装备表!$O49=0,"xxx",IFERROR(IF(INT(IF($G45=K$2,装备表!$E136,"xxx")/10000)=1,IF($G45=K$2,装备表!$E136,"xxx")&amp;":2,1,1,"&amp;装备表!$O136&amp;";","xxx"),"xxx"))</f>
        <v>xxx</v>
      </c>
      <c r="L45" s="18" t="str">
        <f>IF(装备表!$O49=0,"xxx",IFERROR(IF(INT(IF($G45=L$2,装备表!$E136,"xxx")/10000)=1,IF($G45=L$2,装备表!$E136,"xxx")&amp;":2,1,1,"&amp;装备表!$O136&amp;";","xxx"),"xxx"))</f>
        <v>xxx</v>
      </c>
      <c r="M45" s="18" t="str">
        <f>IF(装备表!$O49=0,"xxx",IFERROR(IF(INT(IF($G45=M$2,装备表!$E136,"xxx")/10000)=1,IF($G45=M$2,装备表!$E136,"xxx")&amp;":2,1,1,"&amp;装备表!$O136&amp;";","xxx"),"xxx"))</f>
        <v>14736:2,1,1,10;</v>
      </c>
      <c r="N45" s="18" t="str">
        <f>IF(装备表!$O49=0,"xxx",IFERROR(IF(INT(IF($G45=N$2,装备表!$E136,"xxx")/10000)=1,IF($G45=N$2,装备表!$E136,"xxx")&amp;":2,1,1,"&amp;装备表!$O136&amp;";","xxx"),"xxx"))</f>
        <v>xxx</v>
      </c>
    </row>
    <row r="46" spans="5:14" x14ac:dyDescent="0.2">
      <c r="E46" s="18">
        <v>14737</v>
      </c>
      <c r="F46" s="18" t="s">
        <v>169</v>
      </c>
      <c r="G46" s="18"/>
      <c r="H46" s="18" t="str">
        <f>IF(装备表!$O50=0,"xxx",IFERROR(IF(INT(IF($G46=H$2,装备表!$E137,"xxx")/10000)=1,IF($G46=H$2,装备表!$E137,"xxx")&amp;":2,1,1,"&amp;装备表!$O137&amp;";","xxx"),"xxx"))</f>
        <v>xxx</v>
      </c>
      <c r="I46" s="18" t="str">
        <f>IF(装备表!$O50=0,"xxx",IFERROR(IF(INT(IF($G46=I$2,装备表!$E137,"xxx")/10000)=1,IF($G46=I$2,装备表!$E137,"xxx")&amp;":2,1,1,"&amp;装备表!$O137&amp;";","xxx"),"xxx"))</f>
        <v>xxx</v>
      </c>
      <c r="J46" s="18" t="str">
        <f>IF(装备表!$O50=0,"xxx",IFERROR(IF(INT(IF($G46=J$2,装备表!$E137,"xxx")/10000)=1,IF($G46=J$2,装备表!$E137,"xxx")&amp;":2,1,1,"&amp;装备表!$O137&amp;";","xxx"),"xxx"))</f>
        <v>xxx</v>
      </c>
      <c r="K46" s="18" t="str">
        <f>IF(装备表!$O50=0,"xxx",IFERROR(IF(INT(IF($G46=K$2,装备表!$E137,"xxx")/10000)=1,IF($G46=K$2,装备表!$E137,"xxx")&amp;":2,1,1,"&amp;装备表!$O137&amp;";","xxx"),"xxx"))</f>
        <v>xxx</v>
      </c>
      <c r="L46" s="18" t="str">
        <f>IF(装备表!$O50=0,"xxx",IFERROR(IF(INT(IF($G46=L$2,装备表!$E137,"xxx")/10000)=1,IF($G46=L$2,装备表!$E137,"xxx")&amp;":2,1,1,"&amp;装备表!$O137&amp;";","xxx"),"xxx"))</f>
        <v>xxx</v>
      </c>
      <c r="M46" s="18" t="str">
        <f>IF(装备表!$O50=0,"xxx",IFERROR(IF(INT(IF($G46=M$2,装备表!$E137,"xxx")/10000)=1,IF($G46=M$2,装备表!$E137,"xxx")&amp;":2,1,1,"&amp;装备表!$O137&amp;";","xxx"),"xxx"))</f>
        <v>14737:2,1,1,10;</v>
      </c>
      <c r="N46" s="18" t="str">
        <f>IF(装备表!$O50=0,"xxx",IFERROR(IF(INT(IF($G46=N$2,装备表!$E137,"xxx")/10000)=1,IF($G46=N$2,装备表!$E137,"xxx")&amp;":2,1,1,"&amp;装备表!$O137&amp;";","xxx"),"xxx"))</f>
        <v>xxx</v>
      </c>
    </row>
    <row r="47" spans="5:14" x14ac:dyDescent="0.2">
      <c r="E47" s="18">
        <v>14738</v>
      </c>
      <c r="F47" s="18" t="s">
        <v>171</v>
      </c>
      <c r="G47" s="18"/>
      <c r="H47" s="18" t="str">
        <f>IF(装备表!$O51=0,"xxx",IFERROR(IF(INT(IF($G47=H$2,装备表!$E138,"xxx")/10000)=1,IF($G47=H$2,装备表!$E138,"xxx")&amp;":2,1,1,"&amp;装备表!$O138&amp;";","xxx"),"xxx"))</f>
        <v>xxx</v>
      </c>
      <c r="I47" s="18" t="str">
        <f>IF(装备表!$O51=0,"xxx",IFERROR(IF(INT(IF($G47=I$2,装备表!$E138,"xxx")/10000)=1,IF($G47=I$2,装备表!$E138,"xxx")&amp;":2,1,1,"&amp;装备表!$O138&amp;";","xxx"),"xxx"))</f>
        <v>xxx</v>
      </c>
      <c r="J47" s="18" t="str">
        <f>IF(装备表!$O51=0,"xxx",IFERROR(IF(INT(IF($G47=J$2,装备表!$E138,"xxx")/10000)=1,IF($G47=J$2,装备表!$E138,"xxx")&amp;":2,1,1,"&amp;装备表!$O138&amp;";","xxx"),"xxx"))</f>
        <v>xxx</v>
      </c>
      <c r="K47" s="18" t="str">
        <f>IF(装备表!$O51=0,"xxx",IFERROR(IF(INT(IF($G47=K$2,装备表!$E138,"xxx")/10000)=1,IF($G47=K$2,装备表!$E138,"xxx")&amp;":2,1,1,"&amp;装备表!$O138&amp;";","xxx"),"xxx"))</f>
        <v>xxx</v>
      </c>
      <c r="L47" s="18" t="str">
        <f>IF(装备表!$O51=0,"xxx",IFERROR(IF(INT(IF($G47=L$2,装备表!$E138,"xxx")/10000)=1,IF($G47=L$2,装备表!$E138,"xxx")&amp;":2,1,1,"&amp;装备表!$O138&amp;";","xxx"),"xxx"))</f>
        <v>xxx</v>
      </c>
      <c r="M47" s="18" t="str">
        <f>IF(装备表!$O51=0,"xxx",IFERROR(IF(INT(IF($G47=M$2,装备表!$E138,"xxx")/10000)=1,IF($G47=M$2,装备表!$E138,"xxx")&amp;":2,1,1,"&amp;装备表!$O138&amp;";","xxx"),"xxx"))</f>
        <v>14738:2,1,1,10;</v>
      </c>
      <c r="N47" s="18" t="str">
        <f>IF(装备表!$O51=0,"xxx",IFERROR(IF(INT(IF($G47=N$2,装备表!$E138,"xxx")/10000)=1,IF($G47=N$2,装备表!$E138,"xxx")&amp;":2,1,1,"&amp;装备表!$O138&amp;";","xxx"),"xxx"))</f>
        <v>xxx</v>
      </c>
    </row>
    <row r="48" spans="5:14" x14ac:dyDescent="0.2">
      <c r="E48" s="18">
        <v>14739</v>
      </c>
      <c r="F48" s="18" t="s">
        <v>173</v>
      </c>
      <c r="G48" s="18">
        <v>4</v>
      </c>
      <c r="H48" s="18" t="str">
        <f>IF(装备表!$O52=0,"xxx",IFERROR(IF(INT(IF($G48=H$2,装备表!$E139,"xxx")/10000)=1,IF($G48=H$2,装备表!$E139,"xxx")&amp;":2,1,1,"&amp;装备表!$O139&amp;";","xxx"),"xxx"))</f>
        <v>xxx</v>
      </c>
      <c r="I48" s="18" t="str">
        <f>IF(装备表!$O52=0,"xxx",IFERROR(IF(INT(IF($G48=I$2,装备表!$E139,"xxx")/10000)=1,IF($G48=I$2,装备表!$E139,"xxx")&amp;":2,1,1,"&amp;装备表!$O139&amp;";","xxx"),"xxx"))</f>
        <v>xxx</v>
      </c>
      <c r="J48" s="18" t="str">
        <f>IF(装备表!$O52=0,"xxx",IFERROR(IF(INT(IF($G48=J$2,装备表!$E139,"xxx")/10000)=1,IF($G48=J$2,装备表!$E139,"xxx")&amp;":2,1,1,"&amp;装备表!$O139&amp;";","xxx"),"xxx"))</f>
        <v>xxx</v>
      </c>
      <c r="K48" s="18" t="str">
        <f>IF(装备表!$O52=0,"xxx",IFERROR(IF(INT(IF($G48=K$2,装备表!$E139,"xxx")/10000)=1,IF($G48=K$2,装备表!$E139,"xxx")&amp;":2,1,1,"&amp;装备表!$O139&amp;";","xxx"),"xxx"))</f>
        <v>14739:2,1,1,10;</v>
      </c>
      <c r="L48" s="18" t="str">
        <f>IF(装备表!$O52=0,"xxx",IFERROR(IF(INT(IF($G48=L$2,装备表!$E139,"xxx")/10000)=1,IF($G48=L$2,装备表!$E139,"xxx")&amp;":2,1,1,"&amp;装备表!$O139&amp;";","xxx"),"xxx"))</f>
        <v>xxx</v>
      </c>
      <c r="M48" s="18" t="str">
        <f>IF(装备表!$O52=0,"xxx",IFERROR(IF(INT(IF($G48=M$2,装备表!$E139,"xxx")/10000)=1,IF($G48=M$2,装备表!$E139,"xxx")&amp;":2,1,1,"&amp;装备表!$O139&amp;";","xxx"),"xxx"))</f>
        <v>xxx</v>
      </c>
      <c r="N48" s="18" t="str">
        <f>IF(装备表!$O52=0,"xxx",IFERROR(IF(INT(IF($G48=N$2,装备表!$E139,"xxx")/10000)=1,IF($G48=N$2,装备表!$E139,"xxx")&amp;":2,1,1,"&amp;装备表!$O139&amp;";","xxx"),"xxx"))</f>
        <v>xxx</v>
      </c>
    </row>
    <row r="49" spans="5:14" x14ac:dyDescent="0.2">
      <c r="E49" s="18">
        <v>14740</v>
      </c>
      <c r="F49" s="18" t="s">
        <v>175</v>
      </c>
      <c r="G49" s="18">
        <v>3</v>
      </c>
      <c r="H49" s="18" t="str">
        <f>IF(装备表!$O53=0,"xxx",IFERROR(IF(INT(IF($G49=H$2,装备表!$E140,"xxx")/10000)=1,IF($G49=H$2,装备表!$E140,"xxx")&amp;":2,1,1,"&amp;装备表!$O140&amp;";","xxx"),"xxx"))</f>
        <v>xxx</v>
      </c>
      <c r="I49" s="18" t="str">
        <f>IF(装备表!$O53=0,"xxx",IFERROR(IF(INT(IF($G49=I$2,装备表!$E140,"xxx")/10000)=1,IF($G49=I$2,装备表!$E140,"xxx")&amp;":2,1,1,"&amp;装备表!$O140&amp;";","xxx"),"xxx"))</f>
        <v>xxx</v>
      </c>
      <c r="J49" s="18" t="str">
        <f>IF(装备表!$O53=0,"xxx",IFERROR(IF(INT(IF($G49=J$2,装备表!$E140,"xxx")/10000)=1,IF($G49=J$2,装备表!$E140,"xxx")&amp;":2,1,1,"&amp;装备表!$O140&amp;";","xxx"),"xxx"))</f>
        <v>14740:2,1,1,10;</v>
      </c>
      <c r="K49" s="18" t="str">
        <f>IF(装备表!$O53=0,"xxx",IFERROR(IF(INT(IF($G49=K$2,装备表!$E140,"xxx")/10000)=1,IF($G49=K$2,装备表!$E140,"xxx")&amp;":2,1,1,"&amp;装备表!$O140&amp;";","xxx"),"xxx"))</f>
        <v>xxx</v>
      </c>
      <c r="L49" s="18" t="str">
        <f>IF(装备表!$O53=0,"xxx",IFERROR(IF(INT(IF($G49=L$2,装备表!$E140,"xxx")/10000)=1,IF($G49=L$2,装备表!$E140,"xxx")&amp;":2,1,1,"&amp;装备表!$O140&amp;";","xxx"),"xxx"))</f>
        <v>xxx</v>
      </c>
      <c r="M49" s="18" t="str">
        <f>IF(装备表!$O53=0,"xxx",IFERROR(IF(INT(IF($G49=M$2,装备表!$E140,"xxx")/10000)=1,IF($G49=M$2,装备表!$E140,"xxx")&amp;":2,1,1,"&amp;装备表!$O140&amp;";","xxx"),"xxx"))</f>
        <v>xxx</v>
      </c>
      <c r="N49" s="18" t="str">
        <f>IF(装备表!$O53=0,"xxx",IFERROR(IF(INT(IF($G49=N$2,装备表!$E140,"xxx")/10000)=1,IF($G49=N$2,装备表!$E140,"xxx")&amp;":2,1,1,"&amp;装备表!$O140&amp;";","xxx"),"xxx"))</f>
        <v>xxx</v>
      </c>
    </row>
    <row r="50" spans="5:14" x14ac:dyDescent="0.2">
      <c r="E50" s="18">
        <v>14741</v>
      </c>
      <c r="F50" s="18" t="s">
        <v>177</v>
      </c>
      <c r="G50" s="18"/>
      <c r="H50" s="18" t="str">
        <f>IF(装备表!$O54=0,"xxx",IFERROR(IF(INT(IF($G50=H$2,装备表!$E141,"xxx")/10000)=1,IF($G50=H$2,装备表!$E141,"xxx")&amp;":2,1,1,"&amp;装备表!$O141&amp;";","xxx"),"xxx"))</f>
        <v>xxx</v>
      </c>
      <c r="I50" s="18" t="str">
        <f>IF(装备表!$O54=0,"xxx",IFERROR(IF(INT(IF($G50=I$2,装备表!$E141,"xxx")/10000)=1,IF($G50=I$2,装备表!$E141,"xxx")&amp;":2,1,1,"&amp;装备表!$O141&amp;";","xxx"),"xxx"))</f>
        <v>xxx</v>
      </c>
      <c r="J50" s="18" t="str">
        <f>IF(装备表!$O54=0,"xxx",IFERROR(IF(INT(IF($G50=J$2,装备表!$E141,"xxx")/10000)=1,IF($G50=J$2,装备表!$E141,"xxx")&amp;":2,1,1,"&amp;装备表!$O141&amp;";","xxx"),"xxx"))</f>
        <v>xxx</v>
      </c>
      <c r="K50" s="18" t="str">
        <f>IF(装备表!$O54=0,"xxx",IFERROR(IF(INT(IF($G50=K$2,装备表!$E141,"xxx")/10000)=1,IF($G50=K$2,装备表!$E141,"xxx")&amp;":2,1,1,"&amp;装备表!$O141&amp;";","xxx"),"xxx"))</f>
        <v>xxx</v>
      </c>
      <c r="L50" s="18" t="str">
        <f>IF(装备表!$O54=0,"xxx",IFERROR(IF(INT(IF($G50=L$2,装备表!$E141,"xxx")/10000)=1,IF($G50=L$2,装备表!$E141,"xxx")&amp;":2,1,1,"&amp;装备表!$O141&amp;";","xxx"),"xxx"))</f>
        <v>xxx</v>
      </c>
      <c r="M50" s="18" t="str">
        <f>IF(装备表!$O54=0,"xxx",IFERROR(IF(INT(IF($G50=M$2,装备表!$E141,"xxx")/10000)=1,IF($G50=M$2,装备表!$E141,"xxx")&amp;":2,1,1,"&amp;装备表!$O141&amp;";","xxx"),"xxx"))</f>
        <v>14741:2,1,1,10;</v>
      </c>
      <c r="N50" s="18" t="str">
        <f>IF(装备表!$O54=0,"xxx",IFERROR(IF(INT(IF($G50=N$2,装备表!$E141,"xxx")/10000)=1,IF($G50=N$2,装备表!$E141,"xxx")&amp;":2,1,1,"&amp;装备表!$O141&amp;";","xxx"),"xxx"))</f>
        <v>xxx</v>
      </c>
    </row>
    <row r="51" spans="5:14" x14ac:dyDescent="0.2">
      <c r="E51" s="18">
        <v>14742</v>
      </c>
      <c r="F51" s="18" t="s">
        <v>179</v>
      </c>
      <c r="G51" s="18">
        <v>5</v>
      </c>
      <c r="H51" s="18" t="str">
        <f>IF(装备表!$O55=0,"xxx",IFERROR(IF(INT(IF($G51=H$2,装备表!$E142,"xxx")/10000)=1,IF($G51=H$2,装备表!$E142,"xxx")&amp;":2,1,1,"&amp;装备表!$O142&amp;";","xxx"),"xxx"))</f>
        <v>xxx</v>
      </c>
      <c r="I51" s="18" t="str">
        <f>IF(装备表!$O55=0,"xxx",IFERROR(IF(INT(IF($G51=I$2,装备表!$E142,"xxx")/10000)=1,IF($G51=I$2,装备表!$E142,"xxx")&amp;":2,1,1,"&amp;装备表!$O142&amp;";","xxx"),"xxx"))</f>
        <v>xxx</v>
      </c>
      <c r="J51" s="18" t="str">
        <f>IF(装备表!$O55=0,"xxx",IFERROR(IF(INT(IF($G51=J$2,装备表!$E142,"xxx")/10000)=1,IF($G51=J$2,装备表!$E142,"xxx")&amp;":2,1,1,"&amp;装备表!$O142&amp;";","xxx"),"xxx"))</f>
        <v>xxx</v>
      </c>
      <c r="K51" s="18" t="str">
        <f>IF(装备表!$O55=0,"xxx",IFERROR(IF(INT(IF($G51=K$2,装备表!$E142,"xxx")/10000)=1,IF($G51=K$2,装备表!$E142,"xxx")&amp;":2,1,1,"&amp;装备表!$O142&amp;";","xxx"),"xxx"))</f>
        <v>xxx</v>
      </c>
      <c r="L51" s="18" t="str">
        <f>IF(装备表!$O55=0,"xxx",IFERROR(IF(INT(IF($G51=L$2,装备表!$E142,"xxx")/10000)=1,IF($G51=L$2,装备表!$E142,"xxx")&amp;":2,1,1,"&amp;装备表!$O142&amp;";","xxx"),"xxx"))</f>
        <v>14742:2,1,1,0;</v>
      </c>
      <c r="M51" s="18" t="str">
        <f>IF(装备表!$O55=0,"xxx",IFERROR(IF(INT(IF($G51=M$2,装备表!$E142,"xxx")/10000)=1,IF($G51=M$2,装备表!$E142,"xxx")&amp;":2,1,1,"&amp;装备表!$O142&amp;";","xxx"),"xxx"))</f>
        <v>xxx</v>
      </c>
      <c r="N51" s="18" t="str">
        <f>IF(装备表!$O55=0,"xxx",IFERROR(IF(INT(IF($G51=N$2,装备表!$E142,"xxx")/10000)=1,IF($G51=N$2,装备表!$E142,"xxx")&amp;":2,1,1,"&amp;装备表!$O142&amp;";","xxx"),"xxx"))</f>
        <v>xxx</v>
      </c>
    </row>
    <row r="52" spans="5:14" x14ac:dyDescent="0.2">
      <c r="E52" s="18">
        <v>14743</v>
      </c>
      <c r="F52" s="18" t="s">
        <v>181</v>
      </c>
      <c r="G52" s="18"/>
      <c r="H52" s="18" t="str">
        <f>IF(装备表!$O56=0,"xxx",IFERROR(IF(INT(IF($G52=H$2,装备表!$E143,"xxx")/10000)=1,IF($G52=H$2,装备表!$E143,"xxx")&amp;":2,1,1,"&amp;装备表!$O143&amp;";","xxx"),"xxx"))</f>
        <v>xxx</v>
      </c>
      <c r="I52" s="18" t="str">
        <f>IF(装备表!$O56=0,"xxx",IFERROR(IF(INT(IF($G52=I$2,装备表!$E143,"xxx")/10000)=1,IF($G52=I$2,装备表!$E143,"xxx")&amp;":2,1,1,"&amp;装备表!$O143&amp;";","xxx"),"xxx"))</f>
        <v>xxx</v>
      </c>
      <c r="J52" s="18" t="str">
        <f>IF(装备表!$O56=0,"xxx",IFERROR(IF(INT(IF($G52=J$2,装备表!$E143,"xxx")/10000)=1,IF($G52=J$2,装备表!$E143,"xxx")&amp;":2,1,1,"&amp;装备表!$O143&amp;";","xxx"),"xxx"))</f>
        <v>xxx</v>
      </c>
      <c r="K52" s="18" t="str">
        <f>IF(装备表!$O56=0,"xxx",IFERROR(IF(INT(IF($G52=K$2,装备表!$E143,"xxx")/10000)=1,IF($G52=K$2,装备表!$E143,"xxx")&amp;":2,1,1,"&amp;装备表!$O143&amp;";","xxx"),"xxx"))</f>
        <v>xxx</v>
      </c>
      <c r="L52" s="18" t="str">
        <f>IF(装备表!$O56=0,"xxx",IFERROR(IF(INT(IF($G52=L$2,装备表!$E143,"xxx")/10000)=1,IF($G52=L$2,装备表!$E143,"xxx")&amp;":2,1,1,"&amp;装备表!$O143&amp;";","xxx"),"xxx"))</f>
        <v>xxx</v>
      </c>
      <c r="M52" s="18" t="str">
        <f>IF(装备表!$O56=0,"xxx",IFERROR(IF(INT(IF($G52=M$2,装备表!$E143,"xxx")/10000)=1,IF($G52=M$2,装备表!$E143,"xxx")&amp;":2,1,1,"&amp;装备表!$O143&amp;";","xxx"),"xxx"))</f>
        <v>14743:2,1,1,10;</v>
      </c>
      <c r="N52" s="18" t="str">
        <f>IF(装备表!$O56=0,"xxx",IFERROR(IF(INT(IF($G52=N$2,装备表!$E143,"xxx")/10000)=1,IF($G52=N$2,装备表!$E143,"xxx")&amp;":2,1,1,"&amp;装备表!$O143&amp;";","xxx"),"xxx"))</f>
        <v>xxx</v>
      </c>
    </row>
    <row r="53" spans="5:14" x14ac:dyDescent="0.2">
      <c r="E53" s="18">
        <v>14744</v>
      </c>
      <c r="F53" s="18" t="s">
        <v>183</v>
      </c>
      <c r="G53" s="18"/>
      <c r="H53" s="18" t="str">
        <f>IF(装备表!$O57=0,"xxx",IFERROR(IF(INT(IF($G53=H$2,装备表!$E144,"xxx")/10000)=1,IF($G53=H$2,装备表!$E144,"xxx")&amp;":2,1,1,"&amp;装备表!$O144&amp;";","xxx"),"xxx"))</f>
        <v>xxx</v>
      </c>
      <c r="I53" s="18" t="str">
        <f>IF(装备表!$O57=0,"xxx",IFERROR(IF(INT(IF($G53=I$2,装备表!$E144,"xxx")/10000)=1,IF($G53=I$2,装备表!$E144,"xxx")&amp;":2,1,1,"&amp;装备表!$O144&amp;";","xxx"),"xxx"))</f>
        <v>xxx</v>
      </c>
      <c r="J53" s="18" t="str">
        <f>IF(装备表!$O57=0,"xxx",IFERROR(IF(INT(IF($G53=J$2,装备表!$E144,"xxx")/10000)=1,IF($G53=J$2,装备表!$E144,"xxx")&amp;":2,1,1,"&amp;装备表!$O144&amp;";","xxx"),"xxx"))</f>
        <v>xxx</v>
      </c>
      <c r="K53" s="18" t="str">
        <f>IF(装备表!$O57=0,"xxx",IFERROR(IF(INT(IF($G53=K$2,装备表!$E144,"xxx")/10000)=1,IF($G53=K$2,装备表!$E144,"xxx")&amp;":2,1,1,"&amp;装备表!$O144&amp;";","xxx"),"xxx"))</f>
        <v>xxx</v>
      </c>
      <c r="L53" s="18" t="str">
        <f>IF(装备表!$O57=0,"xxx",IFERROR(IF(INT(IF($G53=L$2,装备表!$E144,"xxx")/10000)=1,IF($G53=L$2,装备表!$E144,"xxx")&amp;":2,1,1,"&amp;装备表!$O144&amp;";","xxx"),"xxx"))</f>
        <v>xxx</v>
      </c>
      <c r="M53" s="18" t="str">
        <f>IF(装备表!$O57=0,"xxx",IFERROR(IF(INT(IF($G53=M$2,装备表!$E144,"xxx")/10000)=1,IF($G53=M$2,装备表!$E144,"xxx")&amp;":2,1,1,"&amp;装备表!$O144&amp;";","xxx"),"xxx"))</f>
        <v>14744:2,1,1,10;</v>
      </c>
      <c r="N53" s="18" t="str">
        <f>IF(装备表!$O57=0,"xxx",IFERROR(IF(INT(IF($G53=N$2,装备表!$E144,"xxx")/10000)=1,IF($G53=N$2,装备表!$E144,"xxx")&amp;":2,1,1,"&amp;装备表!$O144&amp;";","xxx"),"xxx"))</f>
        <v>xxx</v>
      </c>
    </row>
    <row r="54" spans="5:14" x14ac:dyDescent="0.2">
      <c r="E54" s="18">
        <v>14745</v>
      </c>
      <c r="F54" s="18" t="s">
        <v>185</v>
      </c>
      <c r="G54" s="18"/>
      <c r="H54" s="18" t="str">
        <f>IF(装备表!$O58=0,"xxx",IFERROR(IF(INT(IF($G54=H$2,装备表!$E145,"xxx")/10000)=1,IF($G54=H$2,装备表!$E145,"xxx")&amp;":2,1,1,"&amp;装备表!$O145&amp;";","xxx"),"xxx"))</f>
        <v>xxx</v>
      </c>
      <c r="I54" s="18" t="str">
        <f>IF(装备表!$O58=0,"xxx",IFERROR(IF(INT(IF($G54=I$2,装备表!$E145,"xxx")/10000)=1,IF($G54=I$2,装备表!$E145,"xxx")&amp;":2,1,1,"&amp;装备表!$O145&amp;";","xxx"),"xxx"))</f>
        <v>xxx</v>
      </c>
      <c r="J54" s="18" t="str">
        <f>IF(装备表!$O58=0,"xxx",IFERROR(IF(INT(IF($G54=J$2,装备表!$E145,"xxx")/10000)=1,IF($G54=J$2,装备表!$E145,"xxx")&amp;":2,1,1,"&amp;装备表!$O145&amp;";","xxx"),"xxx"))</f>
        <v>xxx</v>
      </c>
      <c r="K54" s="18" t="str">
        <f>IF(装备表!$O58=0,"xxx",IFERROR(IF(INT(IF($G54=K$2,装备表!$E145,"xxx")/10000)=1,IF($G54=K$2,装备表!$E145,"xxx")&amp;":2,1,1,"&amp;装备表!$O145&amp;";","xxx"),"xxx"))</f>
        <v>xxx</v>
      </c>
      <c r="L54" s="18" t="str">
        <f>IF(装备表!$O58=0,"xxx",IFERROR(IF(INT(IF($G54=L$2,装备表!$E145,"xxx")/10000)=1,IF($G54=L$2,装备表!$E145,"xxx")&amp;":2,1,1,"&amp;装备表!$O145&amp;";","xxx"),"xxx"))</f>
        <v>xxx</v>
      </c>
      <c r="M54" s="18" t="str">
        <f>IF(装备表!$O58=0,"xxx",IFERROR(IF(INT(IF($G54=M$2,装备表!$E145,"xxx")/10000)=1,IF($G54=M$2,装备表!$E145,"xxx")&amp;":2,1,1,"&amp;装备表!$O145&amp;";","xxx"),"xxx"))</f>
        <v>14745:2,1,1,10;</v>
      </c>
      <c r="N54" s="18" t="str">
        <f>IF(装备表!$O58=0,"xxx",IFERROR(IF(INT(IF($G54=N$2,装备表!$E145,"xxx")/10000)=1,IF($G54=N$2,装备表!$E145,"xxx")&amp;":2,1,1,"&amp;装备表!$O145&amp;";","xxx"),"xxx"))</f>
        <v>xxx</v>
      </c>
    </row>
    <row r="55" spans="5:14" x14ac:dyDescent="0.2">
      <c r="E55" s="18">
        <v>14746</v>
      </c>
      <c r="F55" s="18" t="s">
        <v>187</v>
      </c>
      <c r="G55" s="18">
        <v>1</v>
      </c>
      <c r="H55" s="18" t="str">
        <f>IF(装备表!$O59=0,"xxx",IFERROR(IF(INT(IF($G55=H$2,装备表!$E146,"xxx")/10000)=1,IF($G55=H$2,装备表!$E146,"xxx")&amp;":2,1,1,"&amp;装备表!$O146&amp;";","xxx"),"xxx"))</f>
        <v>14746:2,1,1,10;</v>
      </c>
      <c r="I55" s="18" t="str">
        <f>IF(装备表!$O59=0,"xxx",IFERROR(IF(INT(IF($G55=I$2,装备表!$E146,"xxx")/10000)=1,IF($G55=I$2,装备表!$E146,"xxx")&amp;":2,1,1,"&amp;装备表!$O146&amp;";","xxx"),"xxx"))</f>
        <v>xxx</v>
      </c>
      <c r="J55" s="18" t="str">
        <f>IF(装备表!$O59=0,"xxx",IFERROR(IF(INT(IF($G55=J$2,装备表!$E146,"xxx")/10000)=1,IF($G55=J$2,装备表!$E146,"xxx")&amp;":2,1,1,"&amp;装备表!$O146&amp;";","xxx"),"xxx"))</f>
        <v>xxx</v>
      </c>
      <c r="K55" s="18" t="str">
        <f>IF(装备表!$O59=0,"xxx",IFERROR(IF(INT(IF($G55=K$2,装备表!$E146,"xxx")/10000)=1,IF($G55=K$2,装备表!$E146,"xxx")&amp;":2,1,1,"&amp;装备表!$O146&amp;";","xxx"),"xxx"))</f>
        <v>xxx</v>
      </c>
      <c r="L55" s="18" t="str">
        <f>IF(装备表!$O59=0,"xxx",IFERROR(IF(INT(IF($G55=L$2,装备表!$E146,"xxx")/10000)=1,IF($G55=L$2,装备表!$E146,"xxx")&amp;":2,1,1,"&amp;装备表!$O146&amp;";","xxx"),"xxx"))</f>
        <v>xxx</v>
      </c>
      <c r="M55" s="18" t="str">
        <f>IF(装备表!$O59=0,"xxx",IFERROR(IF(INT(IF($G55=M$2,装备表!$E146,"xxx")/10000)=1,IF($G55=M$2,装备表!$E146,"xxx")&amp;":2,1,1,"&amp;装备表!$O146&amp;";","xxx"),"xxx"))</f>
        <v>xxx</v>
      </c>
      <c r="N55" s="18" t="str">
        <f>IF(装备表!$O59=0,"xxx",IFERROR(IF(INT(IF($G55=N$2,装备表!$E146,"xxx")/10000)=1,IF($G55=N$2,装备表!$E146,"xxx")&amp;":2,1,1,"&amp;装备表!$O146&amp;";","xxx"),"xxx"))</f>
        <v>xxx</v>
      </c>
    </row>
    <row r="56" spans="5:14" x14ac:dyDescent="0.2">
      <c r="E56" s="18">
        <v>14747</v>
      </c>
      <c r="F56" s="18" t="s">
        <v>189</v>
      </c>
      <c r="G56" s="18"/>
      <c r="H56" s="18" t="str">
        <f>IF(装备表!$O60=0,"xxx",IFERROR(IF(INT(IF($G56=H$2,装备表!$E147,"xxx")/10000)=1,IF($G56=H$2,装备表!$E147,"xxx")&amp;":2,1,1,"&amp;装备表!$O147&amp;";","xxx"),"xxx"))</f>
        <v>xxx</v>
      </c>
      <c r="I56" s="18" t="str">
        <f>IF(装备表!$O60=0,"xxx",IFERROR(IF(INT(IF($G56=I$2,装备表!$E147,"xxx")/10000)=1,IF($G56=I$2,装备表!$E147,"xxx")&amp;":2,1,1,"&amp;装备表!$O147&amp;";","xxx"),"xxx"))</f>
        <v>xxx</v>
      </c>
      <c r="J56" s="18" t="str">
        <f>IF(装备表!$O60=0,"xxx",IFERROR(IF(INT(IF($G56=J$2,装备表!$E147,"xxx")/10000)=1,IF($G56=J$2,装备表!$E147,"xxx")&amp;":2,1,1,"&amp;装备表!$O147&amp;";","xxx"),"xxx"))</f>
        <v>xxx</v>
      </c>
      <c r="K56" s="18" t="str">
        <f>IF(装备表!$O60=0,"xxx",IFERROR(IF(INT(IF($G56=K$2,装备表!$E147,"xxx")/10000)=1,IF($G56=K$2,装备表!$E147,"xxx")&amp;":2,1,1,"&amp;装备表!$O147&amp;";","xxx"),"xxx"))</f>
        <v>xxx</v>
      </c>
      <c r="L56" s="18" t="str">
        <f>IF(装备表!$O60=0,"xxx",IFERROR(IF(INT(IF($G56=L$2,装备表!$E147,"xxx")/10000)=1,IF($G56=L$2,装备表!$E147,"xxx")&amp;":2,1,1,"&amp;装备表!$O147&amp;";","xxx"),"xxx"))</f>
        <v>xxx</v>
      </c>
      <c r="M56" s="18" t="str">
        <f>IF(装备表!$O60=0,"xxx",IFERROR(IF(INT(IF($G56=M$2,装备表!$E147,"xxx")/10000)=1,IF($G56=M$2,装备表!$E147,"xxx")&amp;":2,1,1,"&amp;装备表!$O147&amp;";","xxx"),"xxx"))</f>
        <v>14747:2,1,1,10;</v>
      </c>
      <c r="N56" s="18" t="str">
        <f>IF(装备表!$O60=0,"xxx",IFERROR(IF(INT(IF($G56=N$2,装备表!$E147,"xxx")/10000)=1,IF($G56=N$2,装备表!$E147,"xxx")&amp;":2,1,1,"&amp;装备表!$O147&amp;";","xxx"),"xxx"))</f>
        <v>xxx</v>
      </c>
    </row>
    <row r="57" spans="5:14" x14ac:dyDescent="0.2">
      <c r="E57" s="18">
        <v>14748</v>
      </c>
      <c r="F57" s="18" t="s">
        <v>190</v>
      </c>
      <c r="G57" s="18"/>
      <c r="H57" s="18" t="str">
        <f>IF(装备表!$O61=0,"xxx",IFERROR(IF(INT(IF($G57=H$2,装备表!$E148,"xxx")/10000)=1,IF($G57=H$2,装备表!$E148,"xxx")&amp;":2,1,1,"&amp;装备表!$O148&amp;";","xxx"),"xxx"))</f>
        <v>xxx</v>
      </c>
      <c r="I57" s="18" t="str">
        <f>IF(装备表!$O61=0,"xxx",IFERROR(IF(INT(IF($G57=I$2,装备表!$E148,"xxx")/10000)=1,IF($G57=I$2,装备表!$E148,"xxx")&amp;":2,1,1,"&amp;装备表!$O148&amp;";","xxx"),"xxx"))</f>
        <v>xxx</v>
      </c>
      <c r="J57" s="18" t="str">
        <f>IF(装备表!$O61=0,"xxx",IFERROR(IF(INT(IF($G57=J$2,装备表!$E148,"xxx")/10000)=1,IF($G57=J$2,装备表!$E148,"xxx")&amp;":2,1,1,"&amp;装备表!$O148&amp;";","xxx"),"xxx"))</f>
        <v>xxx</v>
      </c>
      <c r="K57" s="18" t="str">
        <f>IF(装备表!$O61=0,"xxx",IFERROR(IF(INT(IF($G57=K$2,装备表!$E148,"xxx")/10000)=1,IF($G57=K$2,装备表!$E148,"xxx")&amp;":2,1,1,"&amp;装备表!$O148&amp;";","xxx"),"xxx"))</f>
        <v>xxx</v>
      </c>
      <c r="L57" s="18" t="str">
        <f>IF(装备表!$O61=0,"xxx",IFERROR(IF(INT(IF($G57=L$2,装备表!$E148,"xxx")/10000)=1,IF($G57=L$2,装备表!$E148,"xxx")&amp;":2,1,1,"&amp;装备表!$O148&amp;";","xxx"),"xxx"))</f>
        <v>xxx</v>
      </c>
      <c r="M57" s="18" t="str">
        <f>IF(装备表!$O61=0,"xxx",IFERROR(IF(INT(IF($G57=M$2,装备表!$E148,"xxx")/10000)=1,IF($G57=M$2,装备表!$E148,"xxx")&amp;":2,1,1,"&amp;装备表!$O148&amp;";","xxx"),"xxx"))</f>
        <v>14748:2,1,1,10;</v>
      </c>
      <c r="N57" s="18" t="str">
        <f>IF(装备表!$O61=0,"xxx",IFERROR(IF(INT(IF($G57=N$2,装备表!$E148,"xxx")/10000)=1,IF($G57=N$2,装备表!$E148,"xxx")&amp;":2,1,1,"&amp;装备表!$O148&amp;";","xxx"),"xxx"))</f>
        <v>xxx</v>
      </c>
    </row>
    <row r="58" spans="5:14" x14ac:dyDescent="0.2">
      <c r="E58" s="18">
        <v>14749</v>
      </c>
      <c r="F58" s="18" t="s">
        <v>191</v>
      </c>
      <c r="G58" s="18">
        <v>1</v>
      </c>
      <c r="H58" s="18" t="str">
        <f>IF(装备表!$O62=0,"xxx",IFERROR(IF(INT(IF($G58=H$2,装备表!$E149,"xxx")/10000)=1,IF($G58=H$2,装备表!$E149,"xxx")&amp;":2,1,1,"&amp;装备表!$O149&amp;";","xxx"),"xxx"))</f>
        <v>14749:2,1,1,10;</v>
      </c>
      <c r="I58" s="18" t="str">
        <f>IF(装备表!$O62=0,"xxx",IFERROR(IF(INT(IF($G58=I$2,装备表!$E149,"xxx")/10000)=1,IF($G58=I$2,装备表!$E149,"xxx")&amp;":2,1,1,"&amp;装备表!$O149&amp;";","xxx"),"xxx"))</f>
        <v>xxx</v>
      </c>
      <c r="J58" s="18" t="str">
        <f>IF(装备表!$O62=0,"xxx",IFERROR(IF(INT(IF($G58=J$2,装备表!$E149,"xxx")/10000)=1,IF($G58=J$2,装备表!$E149,"xxx")&amp;":2,1,1,"&amp;装备表!$O149&amp;";","xxx"),"xxx"))</f>
        <v>xxx</v>
      </c>
      <c r="K58" s="18" t="str">
        <f>IF(装备表!$O62=0,"xxx",IFERROR(IF(INT(IF($G58=K$2,装备表!$E149,"xxx")/10000)=1,IF($G58=K$2,装备表!$E149,"xxx")&amp;":2,1,1,"&amp;装备表!$O149&amp;";","xxx"),"xxx"))</f>
        <v>xxx</v>
      </c>
      <c r="L58" s="18" t="str">
        <f>IF(装备表!$O62=0,"xxx",IFERROR(IF(INT(IF($G58=L$2,装备表!$E149,"xxx")/10000)=1,IF($G58=L$2,装备表!$E149,"xxx")&amp;":2,1,1,"&amp;装备表!$O149&amp;";","xxx"),"xxx"))</f>
        <v>xxx</v>
      </c>
      <c r="M58" s="18" t="str">
        <f>IF(装备表!$O62=0,"xxx",IFERROR(IF(INT(IF($G58=M$2,装备表!$E149,"xxx")/10000)=1,IF($G58=M$2,装备表!$E149,"xxx")&amp;":2,1,1,"&amp;装备表!$O149&amp;";","xxx"),"xxx"))</f>
        <v>xxx</v>
      </c>
      <c r="N58" s="18" t="str">
        <f>IF(装备表!$O62=0,"xxx",IFERROR(IF(INT(IF($G58=N$2,装备表!$E149,"xxx")/10000)=1,IF($G58=N$2,装备表!$E149,"xxx")&amp;":2,1,1,"&amp;装备表!$O149&amp;";","xxx"),"xxx"))</f>
        <v>xxx</v>
      </c>
    </row>
    <row r="59" spans="5:14" x14ac:dyDescent="0.2">
      <c r="E59" s="18">
        <v>14750</v>
      </c>
      <c r="F59" s="18" t="s">
        <v>193</v>
      </c>
      <c r="G59" s="18"/>
      <c r="H59" s="18" t="str">
        <f>IF(装备表!$O63=0,"xxx",IFERROR(IF(INT(IF($G59=H$2,装备表!$E150,"xxx")/10000)=1,IF($G59=H$2,装备表!$E150,"xxx")&amp;":2,1,1,"&amp;装备表!$O150&amp;";","xxx"),"xxx"))</f>
        <v>xxx</v>
      </c>
      <c r="I59" s="18" t="str">
        <f>IF(装备表!$O63=0,"xxx",IFERROR(IF(INT(IF($G59=I$2,装备表!$E150,"xxx")/10000)=1,IF($G59=I$2,装备表!$E150,"xxx")&amp;":2,1,1,"&amp;装备表!$O150&amp;";","xxx"),"xxx"))</f>
        <v>xxx</v>
      </c>
      <c r="J59" s="18" t="str">
        <f>IF(装备表!$O63=0,"xxx",IFERROR(IF(INT(IF($G59=J$2,装备表!$E150,"xxx")/10000)=1,IF($G59=J$2,装备表!$E150,"xxx")&amp;":2,1,1,"&amp;装备表!$O150&amp;";","xxx"),"xxx"))</f>
        <v>xxx</v>
      </c>
      <c r="K59" s="18" t="str">
        <f>IF(装备表!$O63=0,"xxx",IFERROR(IF(INT(IF($G59=K$2,装备表!$E150,"xxx")/10000)=1,IF($G59=K$2,装备表!$E150,"xxx")&amp;":2,1,1,"&amp;装备表!$O150&amp;";","xxx"),"xxx"))</f>
        <v>xxx</v>
      </c>
      <c r="L59" s="18" t="str">
        <f>IF(装备表!$O63=0,"xxx",IFERROR(IF(INT(IF($G59=L$2,装备表!$E150,"xxx")/10000)=1,IF($G59=L$2,装备表!$E150,"xxx")&amp;":2,1,1,"&amp;装备表!$O150&amp;";","xxx"),"xxx"))</f>
        <v>xxx</v>
      </c>
      <c r="M59" s="18" t="str">
        <f>IF(装备表!$O63=0,"xxx",IFERROR(IF(INT(IF($G59=M$2,装备表!$E150,"xxx")/10000)=1,IF($G59=M$2,装备表!$E150,"xxx")&amp;":2,1,1,"&amp;装备表!$O150&amp;";","xxx"),"xxx"))</f>
        <v>14750:2,1,1,10;</v>
      </c>
      <c r="N59" s="18" t="str">
        <f>IF(装备表!$O63=0,"xxx",IFERROR(IF(INT(IF($G59=N$2,装备表!$E150,"xxx")/10000)=1,IF($G59=N$2,装备表!$E150,"xxx")&amp;":2,1,1,"&amp;装备表!$O150&amp;";","xxx"),"xxx"))</f>
        <v>xxx</v>
      </c>
    </row>
    <row r="60" spans="5:14" x14ac:dyDescent="0.2">
      <c r="E60" s="18">
        <v>14751</v>
      </c>
      <c r="F60" s="18" t="s">
        <v>194</v>
      </c>
      <c r="G60" s="18">
        <v>-1</v>
      </c>
      <c r="H60" s="18" t="str">
        <f>IF(装备表!$O64=0,"xxx",IFERROR(IF(INT(IF($G60=H$2,装备表!$E151,"xxx")/10000)=1,IF($G60=H$2,装备表!$E151,"xxx")&amp;":2,1,1,"&amp;装备表!$O151&amp;";","xxx"),"xxx"))</f>
        <v>xxx</v>
      </c>
      <c r="I60" s="18" t="str">
        <f>IF(装备表!$O64=0,"xxx",IFERROR(IF(INT(IF($G60=I$2,装备表!$E151,"xxx")/10000)=1,IF($G60=I$2,装备表!$E151,"xxx")&amp;":2,1,1,"&amp;装备表!$O151&amp;";","xxx"),"xxx"))</f>
        <v>xxx</v>
      </c>
      <c r="J60" s="18" t="str">
        <f>IF(装备表!$O64=0,"xxx",IFERROR(IF(INT(IF($G60=J$2,装备表!$E151,"xxx")/10000)=1,IF($G60=J$2,装备表!$E151,"xxx")&amp;":2,1,1,"&amp;装备表!$O151&amp;";","xxx"),"xxx"))</f>
        <v>xxx</v>
      </c>
      <c r="K60" s="18" t="str">
        <f>IF(装备表!$O64=0,"xxx",IFERROR(IF(INT(IF($G60=K$2,装备表!$E151,"xxx")/10000)=1,IF($G60=K$2,装备表!$E151,"xxx")&amp;":2,1,1,"&amp;装备表!$O151&amp;";","xxx"),"xxx"))</f>
        <v>xxx</v>
      </c>
      <c r="L60" s="18" t="str">
        <f>IF(装备表!$O64=0,"xxx",IFERROR(IF(INT(IF($G60=L$2,装备表!$E151,"xxx")/10000)=1,IF($G60=L$2,装备表!$E151,"xxx")&amp;":2,1,1,"&amp;装备表!$O151&amp;";","xxx"),"xxx"))</f>
        <v>xxx</v>
      </c>
      <c r="M60" s="18" t="str">
        <f>IF(装备表!$O64=0,"xxx",IFERROR(IF(INT(IF($G60=M$2,装备表!$E151,"xxx")/10000)=1,IF($G60=M$2,装备表!$E151,"xxx")&amp;":2,1,1,"&amp;装备表!$O151&amp;";","xxx"),"xxx"))</f>
        <v>xxx</v>
      </c>
      <c r="N60" s="18" t="str">
        <f>IF(装备表!$O64=0,"xxx",IFERROR(IF(INT(IF($G60=N$2,装备表!$E151,"xxx")/10000)=1,IF($G60=N$2,装备表!$E151,"xxx")&amp;":2,1,1,"&amp;装备表!$O151&amp;";","xxx"),"xxx"))</f>
        <v>14751:2,1,1,10;</v>
      </c>
    </row>
    <row r="61" spans="5:14" x14ac:dyDescent="0.2">
      <c r="E61" s="18">
        <v>14752</v>
      </c>
      <c r="F61" s="18" t="s">
        <v>195</v>
      </c>
      <c r="G61" s="18"/>
      <c r="H61" s="18" t="str">
        <f>IF(装备表!$O65=0,"xxx",IFERROR(IF(INT(IF($G61=H$2,装备表!$E152,"xxx")/10000)=1,IF($G61=H$2,装备表!$E152,"xxx")&amp;":2,1,1,"&amp;装备表!$O152&amp;";","xxx"),"xxx"))</f>
        <v>xxx</v>
      </c>
      <c r="I61" s="18" t="str">
        <f>IF(装备表!$O65=0,"xxx",IFERROR(IF(INT(IF($G61=I$2,装备表!$E152,"xxx")/10000)=1,IF($G61=I$2,装备表!$E152,"xxx")&amp;":2,1,1,"&amp;装备表!$O152&amp;";","xxx"),"xxx"))</f>
        <v>xxx</v>
      </c>
      <c r="J61" s="18" t="str">
        <f>IF(装备表!$O65=0,"xxx",IFERROR(IF(INT(IF($G61=J$2,装备表!$E152,"xxx")/10000)=1,IF($G61=J$2,装备表!$E152,"xxx")&amp;":2,1,1,"&amp;装备表!$O152&amp;";","xxx"),"xxx"))</f>
        <v>xxx</v>
      </c>
      <c r="K61" s="18" t="str">
        <f>IF(装备表!$O65=0,"xxx",IFERROR(IF(INT(IF($G61=K$2,装备表!$E152,"xxx")/10000)=1,IF($G61=K$2,装备表!$E152,"xxx")&amp;":2,1,1,"&amp;装备表!$O152&amp;";","xxx"),"xxx"))</f>
        <v>xxx</v>
      </c>
      <c r="L61" s="18" t="str">
        <f>IF(装备表!$O65=0,"xxx",IFERROR(IF(INT(IF($G61=L$2,装备表!$E152,"xxx")/10000)=1,IF($G61=L$2,装备表!$E152,"xxx")&amp;":2,1,1,"&amp;装备表!$O152&amp;";","xxx"),"xxx"))</f>
        <v>xxx</v>
      </c>
      <c r="M61" s="18" t="str">
        <f>IF(装备表!$O65=0,"xxx",IFERROR(IF(INT(IF($G61=M$2,装备表!$E152,"xxx")/10000)=1,IF($G61=M$2,装备表!$E152,"xxx")&amp;":2,1,1,"&amp;装备表!$O152&amp;";","xxx"),"xxx"))</f>
        <v>14752:2,1,1,10;</v>
      </c>
      <c r="N61" s="18" t="str">
        <f>IF(装备表!$O65=0,"xxx",IFERROR(IF(INT(IF($G61=N$2,装备表!$E152,"xxx")/10000)=1,IF($G61=N$2,装备表!$E152,"xxx")&amp;":2,1,1,"&amp;装备表!$O152&amp;";","xxx"),"xxx"))</f>
        <v>xxx</v>
      </c>
    </row>
    <row r="62" spans="5:14" x14ac:dyDescent="0.2">
      <c r="E62" s="18">
        <v>14753</v>
      </c>
      <c r="F62" s="18" t="s">
        <v>196</v>
      </c>
      <c r="G62" s="18"/>
      <c r="H62" s="18" t="str">
        <f>IF(装备表!$O66=0,"xxx",IFERROR(IF(INT(IF($G62=H$2,装备表!$E153,"xxx")/10000)=1,IF($G62=H$2,装备表!$E153,"xxx")&amp;":2,1,1,"&amp;装备表!$O153&amp;";","xxx"),"xxx"))</f>
        <v>xxx</v>
      </c>
      <c r="I62" s="18" t="str">
        <f>IF(装备表!$O66=0,"xxx",IFERROR(IF(INT(IF($G62=I$2,装备表!$E153,"xxx")/10000)=1,IF($G62=I$2,装备表!$E153,"xxx")&amp;":2,1,1,"&amp;装备表!$O153&amp;";","xxx"),"xxx"))</f>
        <v>xxx</v>
      </c>
      <c r="J62" s="18" t="str">
        <f>IF(装备表!$O66=0,"xxx",IFERROR(IF(INT(IF($G62=J$2,装备表!$E153,"xxx")/10000)=1,IF($G62=J$2,装备表!$E153,"xxx")&amp;":2,1,1,"&amp;装备表!$O153&amp;";","xxx"),"xxx"))</f>
        <v>xxx</v>
      </c>
      <c r="K62" s="18" t="str">
        <f>IF(装备表!$O66=0,"xxx",IFERROR(IF(INT(IF($G62=K$2,装备表!$E153,"xxx")/10000)=1,IF($G62=K$2,装备表!$E153,"xxx")&amp;":2,1,1,"&amp;装备表!$O153&amp;";","xxx"),"xxx"))</f>
        <v>xxx</v>
      </c>
      <c r="L62" s="18" t="str">
        <f>IF(装备表!$O66=0,"xxx",IFERROR(IF(INT(IF($G62=L$2,装备表!$E153,"xxx")/10000)=1,IF($G62=L$2,装备表!$E153,"xxx")&amp;":2,1,1,"&amp;装备表!$O153&amp;";","xxx"),"xxx"))</f>
        <v>xxx</v>
      </c>
      <c r="M62" s="18" t="str">
        <f>IF(装备表!$O66=0,"xxx",IFERROR(IF(INT(IF($G62=M$2,装备表!$E153,"xxx")/10000)=1,IF($G62=M$2,装备表!$E153,"xxx")&amp;":2,1,1,"&amp;装备表!$O153&amp;";","xxx"),"xxx"))</f>
        <v>14753:2,1,1,10;</v>
      </c>
      <c r="N62" s="18" t="str">
        <f>IF(装备表!$O66=0,"xxx",IFERROR(IF(INT(IF($G62=N$2,装备表!$E153,"xxx")/10000)=1,IF($G62=N$2,装备表!$E153,"xxx")&amp;":2,1,1,"&amp;装备表!$O153&amp;";","xxx"),"xxx"))</f>
        <v>xxx</v>
      </c>
    </row>
    <row r="63" spans="5:14" x14ac:dyDescent="0.2">
      <c r="E63" s="18">
        <v>14754</v>
      </c>
      <c r="F63" s="18" t="s">
        <v>197</v>
      </c>
      <c r="G63" s="18"/>
      <c r="H63" s="18" t="str">
        <f>IF(装备表!$O67=0,"xxx",IFERROR(IF(INT(IF($G63=H$2,装备表!$E154,"xxx")/10000)=1,IF($G63=H$2,装备表!$E154,"xxx")&amp;":2,1,1,"&amp;装备表!$O154&amp;";","xxx"),"xxx"))</f>
        <v>xxx</v>
      </c>
      <c r="I63" s="18" t="str">
        <f>IF(装备表!$O67=0,"xxx",IFERROR(IF(INT(IF($G63=I$2,装备表!$E154,"xxx")/10000)=1,IF($G63=I$2,装备表!$E154,"xxx")&amp;":2,1,1,"&amp;装备表!$O154&amp;";","xxx"),"xxx"))</f>
        <v>xxx</v>
      </c>
      <c r="J63" s="18" t="str">
        <f>IF(装备表!$O67=0,"xxx",IFERROR(IF(INT(IF($G63=J$2,装备表!$E154,"xxx")/10000)=1,IF($G63=J$2,装备表!$E154,"xxx")&amp;":2,1,1,"&amp;装备表!$O154&amp;";","xxx"),"xxx"))</f>
        <v>xxx</v>
      </c>
      <c r="K63" s="18" t="str">
        <f>IF(装备表!$O67=0,"xxx",IFERROR(IF(INT(IF($G63=K$2,装备表!$E154,"xxx")/10000)=1,IF($G63=K$2,装备表!$E154,"xxx")&amp;":2,1,1,"&amp;装备表!$O154&amp;";","xxx"),"xxx"))</f>
        <v>xxx</v>
      </c>
      <c r="L63" s="18" t="str">
        <f>IF(装备表!$O67=0,"xxx",IFERROR(IF(INT(IF($G63=L$2,装备表!$E154,"xxx")/10000)=1,IF($G63=L$2,装备表!$E154,"xxx")&amp;":2,1,1,"&amp;装备表!$O154&amp;";","xxx"),"xxx"))</f>
        <v>xxx</v>
      </c>
      <c r="M63" s="18" t="str">
        <f>IF(装备表!$O67=0,"xxx",IFERROR(IF(INT(IF($G63=M$2,装备表!$E154,"xxx")/10000)=1,IF($G63=M$2,装备表!$E154,"xxx")&amp;":2,1,1,"&amp;装备表!$O154&amp;";","xxx"),"xxx"))</f>
        <v>14754:2,1,1,10;</v>
      </c>
      <c r="N63" s="18" t="str">
        <f>IF(装备表!$O67=0,"xxx",IFERROR(IF(INT(IF($G63=N$2,装备表!$E154,"xxx")/10000)=1,IF($G63=N$2,装备表!$E154,"xxx")&amp;":2,1,1,"&amp;装备表!$O154&amp;";","xxx"),"xxx"))</f>
        <v>xxx</v>
      </c>
    </row>
    <row r="64" spans="5:14" x14ac:dyDescent="0.2">
      <c r="E64" s="18">
        <v>14755</v>
      </c>
      <c r="F64" s="18" t="s">
        <v>199</v>
      </c>
      <c r="G64" s="18">
        <v>1</v>
      </c>
      <c r="H64" s="18" t="str">
        <f>IF(装备表!$O68=0,"xxx",IFERROR(IF(INT(IF($G64=H$2,装备表!$E155,"xxx")/10000)=1,IF($G64=H$2,装备表!$E155,"xxx")&amp;":2,1,1,"&amp;装备表!$O155&amp;";","xxx"),"xxx"))</f>
        <v>14755:2,1,1,10;</v>
      </c>
      <c r="I64" s="18" t="str">
        <f>IF(装备表!$O68=0,"xxx",IFERROR(IF(INT(IF($G64=I$2,装备表!$E155,"xxx")/10000)=1,IF($G64=I$2,装备表!$E155,"xxx")&amp;":2,1,1,"&amp;装备表!$O155&amp;";","xxx"),"xxx"))</f>
        <v>xxx</v>
      </c>
      <c r="J64" s="18" t="str">
        <f>IF(装备表!$O68=0,"xxx",IFERROR(IF(INT(IF($G64=J$2,装备表!$E155,"xxx")/10000)=1,IF($G64=J$2,装备表!$E155,"xxx")&amp;":2,1,1,"&amp;装备表!$O155&amp;";","xxx"),"xxx"))</f>
        <v>xxx</v>
      </c>
      <c r="K64" s="18" t="str">
        <f>IF(装备表!$O68=0,"xxx",IFERROR(IF(INT(IF($G64=K$2,装备表!$E155,"xxx")/10000)=1,IF($G64=K$2,装备表!$E155,"xxx")&amp;":2,1,1,"&amp;装备表!$O155&amp;";","xxx"),"xxx"))</f>
        <v>xxx</v>
      </c>
      <c r="L64" s="18" t="str">
        <f>IF(装备表!$O68=0,"xxx",IFERROR(IF(INT(IF($G64=L$2,装备表!$E155,"xxx")/10000)=1,IF($G64=L$2,装备表!$E155,"xxx")&amp;":2,1,1,"&amp;装备表!$O155&amp;";","xxx"),"xxx"))</f>
        <v>xxx</v>
      </c>
      <c r="M64" s="18" t="str">
        <f>IF(装备表!$O68=0,"xxx",IFERROR(IF(INT(IF($G64=M$2,装备表!$E155,"xxx")/10000)=1,IF($G64=M$2,装备表!$E155,"xxx")&amp;":2,1,1,"&amp;装备表!$O155&amp;";","xxx"),"xxx"))</f>
        <v>xxx</v>
      </c>
      <c r="N64" s="18" t="str">
        <f>IF(装备表!$O68=0,"xxx",IFERROR(IF(INT(IF($G64=N$2,装备表!$E155,"xxx")/10000)=1,IF($G64=N$2,装备表!$E155,"xxx")&amp;":2,1,1,"&amp;装备表!$O155&amp;";","xxx"),"xxx"))</f>
        <v>xxx</v>
      </c>
    </row>
    <row r="65" spans="5:14" x14ac:dyDescent="0.2">
      <c r="E65" s="18">
        <v>14756</v>
      </c>
      <c r="F65" s="18" t="s">
        <v>201</v>
      </c>
      <c r="G65" s="18"/>
      <c r="H65" s="18" t="str">
        <f>IF(装备表!$O69=0,"xxx",IFERROR(IF(INT(IF($G65=H$2,装备表!$E156,"xxx")/10000)=1,IF($G65=H$2,装备表!$E156,"xxx")&amp;":2,1,1,"&amp;装备表!$O156&amp;";","xxx"),"xxx"))</f>
        <v>xxx</v>
      </c>
      <c r="I65" s="18" t="str">
        <f>IF(装备表!$O69=0,"xxx",IFERROR(IF(INT(IF($G65=I$2,装备表!$E156,"xxx")/10000)=1,IF($G65=I$2,装备表!$E156,"xxx")&amp;":2,1,1,"&amp;装备表!$O156&amp;";","xxx"),"xxx"))</f>
        <v>xxx</v>
      </c>
      <c r="J65" s="18" t="str">
        <f>IF(装备表!$O69=0,"xxx",IFERROR(IF(INT(IF($G65=J$2,装备表!$E156,"xxx")/10000)=1,IF($G65=J$2,装备表!$E156,"xxx")&amp;":2,1,1,"&amp;装备表!$O156&amp;";","xxx"),"xxx"))</f>
        <v>xxx</v>
      </c>
      <c r="K65" s="18" t="str">
        <f>IF(装备表!$O69=0,"xxx",IFERROR(IF(INT(IF($G65=K$2,装备表!$E156,"xxx")/10000)=1,IF($G65=K$2,装备表!$E156,"xxx")&amp;":2,1,1,"&amp;装备表!$O156&amp;";","xxx"),"xxx"))</f>
        <v>xxx</v>
      </c>
      <c r="L65" s="18" t="str">
        <f>IF(装备表!$O69=0,"xxx",IFERROR(IF(INT(IF($G65=L$2,装备表!$E156,"xxx")/10000)=1,IF($G65=L$2,装备表!$E156,"xxx")&amp;":2,1,1,"&amp;装备表!$O156&amp;";","xxx"),"xxx"))</f>
        <v>xxx</v>
      </c>
      <c r="M65" s="18" t="str">
        <f>IF(装备表!$O69=0,"xxx",IFERROR(IF(INT(IF($G65=M$2,装备表!$E156,"xxx")/10000)=1,IF($G65=M$2,装备表!$E156,"xxx")&amp;":2,1,1,"&amp;装备表!$O156&amp;";","xxx"),"xxx"))</f>
        <v>14756:2,1,1,10;</v>
      </c>
      <c r="N65" s="18" t="str">
        <f>IF(装备表!$O69=0,"xxx",IFERROR(IF(INT(IF($G65=N$2,装备表!$E156,"xxx")/10000)=1,IF($G65=N$2,装备表!$E156,"xxx")&amp;":2,1,1,"&amp;装备表!$O156&amp;";","xxx"),"xxx"))</f>
        <v>xxx</v>
      </c>
    </row>
    <row r="66" spans="5:14" x14ac:dyDescent="0.2">
      <c r="E66" s="18">
        <v>14757</v>
      </c>
      <c r="F66" s="18" t="s">
        <v>203</v>
      </c>
      <c r="G66" s="18">
        <v>5</v>
      </c>
      <c r="H66" s="18" t="str">
        <f>IF(装备表!$O70=0,"xxx",IFERROR(IF(INT(IF($G66=H$2,装备表!$E157,"xxx")/10000)=1,IF($G66=H$2,装备表!$E157,"xxx")&amp;":2,1,1,"&amp;装备表!$O157&amp;";","xxx"),"xxx"))</f>
        <v>xxx</v>
      </c>
      <c r="I66" s="18" t="str">
        <f>IF(装备表!$O70=0,"xxx",IFERROR(IF(INT(IF($G66=I$2,装备表!$E157,"xxx")/10000)=1,IF($G66=I$2,装备表!$E157,"xxx")&amp;":2,1,1,"&amp;装备表!$O157&amp;";","xxx"),"xxx"))</f>
        <v>xxx</v>
      </c>
      <c r="J66" s="18" t="str">
        <f>IF(装备表!$O70=0,"xxx",IFERROR(IF(INT(IF($G66=J$2,装备表!$E157,"xxx")/10000)=1,IF($G66=J$2,装备表!$E157,"xxx")&amp;":2,1,1,"&amp;装备表!$O157&amp;";","xxx"),"xxx"))</f>
        <v>xxx</v>
      </c>
      <c r="K66" s="18" t="str">
        <f>IF(装备表!$O70=0,"xxx",IFERROR(IF(INT(IF($G66=K$2,装备表!$E157,"xxx")/10000)=1,IF($G66=K$2,装备表!$E157,"xxx")&amp;":2,1,1,"&amp;装备表!$O157&amp;";","xxx"),"xxx"))</f>
        <v>xxx</v>
      </c>
      <c r="L66" s="18" t="str">
        <f>IF(装备表!$O70=0,"xxx",IFERROR(IF(INT(IF($G66=L$2,装备表!$E157,"xxx")/10000)=1,IF($G66=L$2,装备表!$E157,"xxx")&amp;":2,1,1,"&amp;装备表!$O157&amp;";","xxx"),"xxx"))</f>
        <v>14757:2,1,1,10;</v>
      </c>
      <c r="M66" s="18" t="str">
        <f>IF(装备表!$O70=0,"xxx",IFERROR(IF(INT(IF($G66=M$2,装备表!$E157,"xxx")/10000)=1,IF($G66=M$2,装备表!$E157,"xxx")&amp;":2,1,1,"&amp;装备表!$O157&amp;";","xxx"),"xxx"))</f>
        <v>xxx</v>
      </c>
      <c r="N66" s="18" t="str">
        <f>IF(装备表!$O70=0,"xxx",IFERROR(IF(INT(IF($G66=N$2,装备表!$E157,"xxx")/10000)=1,IF($G66=N$2,装备表!$E157,"xxx")&amp;":2,1,1,"&amp;装备表!$O157&amp;";","xxx"),"xxx"))</f>
        <v>xxx</v>
      </c>
    </row>
    <row r="67" spans="5:14" x14ac:dyDescent="0.2">
      <c r="E67" s="18">
        <v>14758</v>
      </c>
      <c r="F67" s="18" t="s">
        <v>204</v>
      </c>
      <c r="G67" s="18">
        <v>4</v>
      </c>
      <c r="H67" s="18" t="str">
        <f>IF(装备表!$O71=0,"xxx",IFERROR(IF(INT(IF($G67=H$2,装备表!$E158,"xxx")/10000)=1,IF($G67=H$2,装备表!$E158,"xxx")&amp;":2,1,1,"&amp;装备表!$O158&amp;";","xxx"),"xxx"))</f>
        <v>xxx</v>
      </c>
      <c r="I67" s="18" t="str">
        <f>IF(装备表!$O71=0,"xxx",IFERROR(IF(INT(IF($G67=I$2,装备表!$E158,"xxx")/10000)=1,IF($G67=I$2,装备表!$E158,"xxx")&amp;":2,1,1,"&amp;装备表!$O158&amp;";","xxx"),"xxx"))</f>
        <v>xxx</v>
      </c>
      <c r="J67" s="18" t="str">
        <f>IF(装备表!$O71=0,"xxx",IFERROR(IF(INT(IF($G67=J$2,装备表!$E158,"xxx")/10000)=1,IF($G67=J$2,装备表!$E158,"xxx")&amp;":2,1,1,"&amp;装备表!$O158&amp;";","xxx"),"xxx"))</f>
        <v>xxx</v>
      </c>
      <c r="K67" s="18" t="str">
        <f>IF(装备表!$O71=0,"xxx",IFERROR(IF(INT(IF($G67=K$2,装备表!$E158,"xxx")/10000)=1,IF($G67=K$2,装备表!$E158,"xxx")&amp;":2,1,1,"&amp;装备表!$O158&amp;";","xxx"),"xxx"))</f>
        <v>14758:2,1,1,10;</v>
      </c>
      <c r="L67" s="18" t="str">
        <f>IF(装备表!$O71=0,"xxx",IFERROR(IF(INT(IF($G67=L$2,装备表!$E158,"xxx")/10000)=1,IF($G67=L$2,装备表!$E158,"xxx")&amp;":2,1,1,"&amp;装备表!$O158&amp;";","xxx"),"xxx"))</f>
        <v>xxx</v>
      </c>
      <c r="M67" s="18" t="str">
        <f>IF(装备表!$O71=0,"xxx",IFERROR(IF(INT(IF($G67=M$2,装备表!$E158,"xxx")/10000)=1,IF($G67=M$2,装备表!$E158,"xxx")&amp;":2,1,1,"&amp;装备表!$O158&amp;";","xxx"),"xxx"))</f>
        <v>xxx</v>
      </c>
      <c r="N67" s="18" t="str">
        <f>IF(装备表!$O71=0,"xxx",IFERROR(IF(INT(IF($G67=N$2,装备表!$E158,"xxx")/10000)=1,IF($G67=N$2,装备表!$E158,"xxx")&amp;":2,1,1,"&amp;装备表!$O158&amp;";","xxx"),"xxx"))</f>
        <v>xxx</v>
      </c>
    </row>
    <row r="68" spans="5:14" x14ac:dyDescent="0.2">
      <c r="E68" s="18">
        <v>14759</v>
      </c>
      <c r="F68" s="18" t="s">
        <v>206</v>
      </c>
      <c r="G68" s="18">
        <v>3</v>
      </c>
      <c r="H68" s="18" t="str">
        <f>IF(装备表!$O72=0,"xxx",IFERROR(IF(INT(IF($G68=H$2,装备表!$E159,"xxx")/10000)=1,IF($G68=H$2,装备表!$E159,"xxx")&amp;":2,1,1,"&amp;装备表!$O159&amp;";","xxx"),"xxx"))</f>
        <v>xxx</v>
      </c>
      <c r="I68" s="18" t="str">
        <f>IF(装备表!$O72=0,"xxx",IFERROR(IF(INT(IF($G68=I$2,装备表!$E159,"xxx")/10000)=1,IF($G68=I$2,装备表!$E159,"xxx")&amp;":2,1,1,"&amp;装备表!$O159&amp;";","xxx"),"xxx"))</f>
        <v>xxx</v>
      </c>
      <c r="J68" s="18" t="str">
        <f>IF(装备表!$O72=0,"xxx",IFERROR(IF(INT(IF($G68=J$2,装备表!$E159,"xxx")/10000)=1,IF($G68=J$2,装备表!$E159,"xxx")&amp;":2,1,1,"&amp;装备表!$O159&amp;";","xxx"),"xxx"))</f>
        <v>14759:2,1,1,10;</v>
      </c>
      <c r="K68" s="18" t="str">
        <f>IF(装备表!$O72=0,"xxx",IFERROR(IF(INT(IF($G68=K$2,装备表!$E159,"xxx")/10000)=1,IF($G68=K$2,装备表!$E159,"xxx")&amp;":2,1,1,"&amp;装备表!$O159&amp;";","xxx"),"xxx"))</f>
        <v>xxx</v>
      </c>
      <c r="L68" s="18" t="str">
        <f>IF(装备表!$O72=0,"xxx",IFERROR(IF(INT(IF($G68=L$2,装备表!$E159,"xxx")/10000)=1,IF($G68=L$2,装备表!$E159,"xxx")&amp;":2,1,1,"&amp;装备表!$O159&amp;";","xxx"),"xxx"))</f>
        <v>xxx</v>
      </c>
      <c r="M68" s="18" t="str">
        <f>IF(装备表!$O72=0,"xxx",IFERROR(IF(INT(IF($G68=M$2,装备表!$E159,"xxx")/10000)=1,IF($G68=M$2,装备表!$E159,"xxx")&amp;":2,1,1,"&amp;装备表!$O159&amp;";","xxx"),"xxx"))</f>
        <v>xxx</v>
      </c>
      <c r="N68" s="18" t="str">
        <f>IF(装备表!$O72=0,"xxx",IFERROR(IF(INT(IF($G68=N$2,装备表!$E159,"xxx")/10000)=1,IF($G68=N$2,装备表!$E159,"xxx")&amp;":2,1,1,"&amp;装备表!$O159&amp;";","xxx"),"xxx"))</f>
        <v>xxx</v>
      </c>
    </row>
    <row r="69" spans="5:14" x14ac:dyDescent="0.2">
      <c r="E69" s="18">
        <v>14760</v>
      </c>
      <c r="F69" s="18" t="s">
        <v>208</v>
      </c>
      <c r="G69" s="18"/>
      <c r="H69" s="18" t="str">
        <f>IF(装备表!$O73=0,"xxx",IFERROR(IF(INT(IF($G69=H$2,装备表!$E160,"xxx")/10000)=1,IF($G69=H$2,装备表!$E160,"xxx")&amp;":2,1,1,"&amp;装备表!$O160&amp;";","xxx"),"xxx"))</f>
        <v>xxx</v>
      </c>
      <c r="I69" s="18" t="str">
        <f>IF(装备表!$O73=0,"xxx",IFERROR(IF(INT(IF($G69=I$2,装备表!$E160,"xxx")/10000)=1,IF($G69=I$2,装备表!$E160,"xxx")&amp;":2,1,1,"&amp;装备表!$O160&amp;";","xxx"),"xxx"))</f>
        <v>xxx</v>
      </c>
      <c r="J69" s="18" t="str">
        <f>IF(装备表!$O73=0,"xxx",IFERROR(IF(INT(IF($G69=J$2,装备表!$E160,"xxx")/10000)=1,IF($G69=J$2,装备表!$E160,"xxx")&amp;":2,1,1,"&amp;装备表!$O160&amp;";","xxx"),"xxx"))</f>
        <v>xxx</v>
      </c>
      <c r="K69" s="18" t="str">
        <f>IF(装备表!$O73=0,"xxx",IFERROR(IF(INT(IF($G69=K$2,装备表!$E160,"xxx")/10000)=1,IF($G69=K$2,装备表!$E160,"xxx")&amp;":2,1,1,"&amp;装备表!$O160&amp;";","xxx"),"xxx"))</f>
        <v>xxx</v>
      </c>
      <c r="L69" s="18" t="str">
        <f>IF(装备表!$O73=0,"xxx",IFERROR(IF(INT(IF($G69=L$2,装备表!$E160,"xxx")/10000)=1,IF($G69=L$2,装备表!$E160,"xxx")&amp;":2,1,1,"&amp;装备表!$O160&amp;";","xxx"),"xxx"))</f>
        <v>xxx</v>
      </c>
      <c r="M69" s="18" t="str">
        <f>IF(装备表!$O73=0,"xxx",IFERROR(IF(INT(IF($G69=M$2,装备表!$E160,"xxx")/10000)=1,IF($G69=M$2,装备表!$E160,"xxx")&amp;":2,1,1,"&amp;装备表!$O160&amp;";","xxx"),"xxx"))</f>
        <v>14760:2,1,1,10;</v>
      </c>
      <c r="N69" s="18" t="str">
        <f>IF(装备表!$O73=0,"xxx",IFERROR(IF(INT(IF($G69=N$2,装备表!$E160,"xxx")/10000)=1,IF($G69=N$2,装备表!$E160,"xxx")&amp;":2,1,1,"&amp;装备表!$O160&amp;";","xxx"),"xxx"))</f>
        <v>xxx</v>
      </c>
    </row>
    <row r="70" spans="5:14" x14ac:dyDescent="0.2">
      <c r="E70" s="18">
        <v>14761</v>
      </c>
      <c r="F70" s="18" t="s">
        <v>210</v>
      </c>
      <c r="G70" s="18"/>
      <c r="H70" s="18" t="str">
        <f>IF(装备表!$O74=0,"xxx",IFERROR(IF(INT(IF($G70=H$2,装备表!$E161,"xxx")/10000)=1,IF($G70=H$2,装备表!$E161,"xxx")&amp;":2,1,1,"&amp;装备表!$O161&amp;";","xxx"),"xxx"))</f>
        <v>xxx</v>
      </c>
      <c r="I70" s="18" t="str">
        <f>IF(装备表!$O74=0,"xxx",IFERROR(IF(INT(IF($G70=I$2,装备表!$E161,"xxx")/10000)=1,IF($G70=I$2,装备表!$E161,"xxx")&amp;":2,1,1,"&amp;装备表!$O161&amp;";","xxx"),"xxx"))</f>
        <v>xxx</v>
      </c>
      <c r="J70" s="18" t="str">
        <f>IF(装备表!$O74=0,"xxx",IFERROR(IF(INT(IF($G70=J$2,装备表!$E161,"xxx")/10000)=1,IF($G70=J$2,装备表!$E161,"xxx")&amp;":2,1,1,"&amp;装备表!$O161&amp;";","xxx"),"xxx"))</f>
        <v>xxx</v>
      </c>
      <c r="K70" s="18" t="str">
        <f>IF(装备表!$O74=0,"xxx",IFERROR(IF(INT(IF($G70=K$2,装备表!$E161,"xxx")/10000)=1,IF($G70=K$2,装备表!$E161,"xxx")&amp;":2,1,1,"&amp;装备表!$O161&amp;";","xxx"),"xxx"))</f>
        <v>xxx</v>
      </c>
      <c r="L70" s="18" t="str">
        <f>IF(装备表!$O74=0,"xxx",IFERROR(IF(INT(IF($G70=L$2,装备表!$E161,"xxx")/10000)=1,IF($G70=L$2,装备表!$E161,"xxx")&amp;":2,1,1,"&amp;装备表!$O161&amp;";","xxx"),"xxx"))</f>
        <v>xxx</v>
      </c>
      <c r="M70" s="18" t="str">
        <f>IF(装备表!$O74=0,"xxx",IFERROR(IF(INT(IF($G70=M$2,装备表!$E161,"xxx")/10000)=1,IF($G70=M$2,装备表!$E161,"xxx")&amp;":2,1,1,"&amp;装备表!$O161&amp;";","xxx"),"xxx"))</f>
        <v>14761:2,1,1,10;</v>
      </c>
      <c r="N70" s="18" t="str">
        <f>IF(装备表!$O74=0,"xxx",IFERROR(IF(INT(IF($G70=N$2,装备表!$E161,"xxx")/10000)=1,IF($G70=N$2,装备表!$E161,"xxx")&amp;":2,1,1,"&amp;装备表!$O161&amp;";","xxx"),"xxx"))</f>
        <v>xxx</v>
      </c>
    </row>
    <row r="71" spans="5:14" x14ac:dyDescent="0.2">
      <c r="E71" s="18">
        <v>14762</v>
      </c>
      <c r="F71" s="18" t="s">
        <v>212</v>
      </c>
      <c r="G71" s="18">
        <v>2</v>
      </c>
      <c r="H71" s="18" t="str">
        <f>IF(装备表!$O75=0,"xxx",IFERROR(IF(INT(IF($G71=H$2,装备表!$E162,"xxx")/10000)=1,IF($G71=H$2,装备表!$E162,"xxx")&amp;":2,1,1,"&amp;装备表!$O162&amp;";","xxx"),"xxx"))</f>
        <v>xxx</v>
      </c>
      <c r="I71" s="18" t="str">
        <f>IF(装备表!$O75=0,"xxx",IFERROR(IF(INT(IF($G71=I$2,装备表!$E162,"xxx")/10000)=1,IF($G71=I$2,装备表!$E162,"xxx")&amp;":2,1,1,"&amp;装备表!$O162&amp;";","xxx"),"xxx"))</f>
        <v>14762:2,1,1,10;</v>
      </c>
      <c r="J71" s="18" t="str">
        <f>IF(装备表!$O75=0,"xxx",IFERROR(IF(INT(IF($G71=J$2,装备表!$E162,"xxx")/10000)=1,IF($G71=J$2,装备表!$E162,"xxx")&amp;":2,1,1,"&amp;装备表!$O162&amp;";","xxx"),"xxx"))</f>
        <v>xxx</v>
      </c>
      <c r="K71" s="18" t="str">
        <f>IF(装备表!$O75=0,"xxx",IFERROR(IF(INT(IF($G71=K$2,装备表!$E162,"xxx")/10000)=1,IF($G71=K$2,装备表!$E162,"xxx")&amp;":2,1,1,"&amp;装备表!$O162&amp;";","xxx"),"xxx"))</f>
        <v>xxx</v>
      </c>
      <c r="L71" s="18" t="str">
        <f>IF(装备表!$O75=0,"xxx",IFERROR(IF(INT(IF($G71=L$2,装备表!$E162,"xxx")/10000)=1,IF($G71=L$2,装备表!$E162,"xxx")&amp;":2,1,1,"&amp;装备表!$O162&amp;";","xxx"),"xxx"))</f>
        <v>xxx</v>
      </c>
      <c r="M71" s="18" t="str">
        <f>IF(装备表!$O75=0,"xxx",IFERROR(IF(INT(IF($G71=M$2,装备表!$E162,"xxx")/10000)=1,IF($G71=M$2,装备表!$E162,"xxx")&amp;":2,1,1,"&amp;装备表!$O162&amp;";","xxx"),"xxx"))</f>
        <v>xxx</v>
      </c>
      <c r="N71" s="18" t="str">
        <f>IF(装备表!$O75=0,"xxx",IFERROR(IF(INT(IF($G71=N$2,装备表!$E162,"xxx")/10000)=1,IF($G71=N$2,装备表!$E162,"xxx")&amp;":2,1,1,"&amp;装备表!$O162&amp;";","xxx"),"xxx"))</f>
        <v>xxx</v>
      </c>
    </row>
    <row r="72" spans="5:14" x14ac:dyDescent="0.2">
      <c r="E72" s="18">
        <v>14763</v>
      </c>
      <c r="F72" s="18" t="s">
        <v>213</v>
      </c>
      <c r="G72" s="18"/>
      <c r="H72" s="18" t="str">
        <f>IF(装备表!$O76=0,"xxx",IFERROR(IF(INT(IF($G72=H$2,装备表!$E163,"xxx")/10000)=1,IF($G72=H$2,装备表!$E163,"xxx")&amp;":2,1,1,"&amp;装备表!$O163&amp;";","xxx"),"xxx"))</f>
        <v>xxx</v>
      </c>
      <c r="I72" s="18" t="str">
        <f>IF(装备表!$O76=0,"xxx",IFERROR(IF(INT(IF($G72=I$2,装备表!$E163,"xxx")/10000)=1,IF($G72=I$2,装备表!$E163,"xxx")&amp;":2,1,1,"&amp;装备表!$O163&amp;";","xxx"),"xxx"))</f>
        <v>xxx</v>
      </c>
      <c r="J72" s="18" t="str">
        <f>IF(装备表!$O76=0,"xxx",IFERROR(IF(INT(IF($G72=J$2,装备表!$E163,"xxx")/10000)=1,IF($G72=J$2,装备表!$E163,"xxx")&amp;":2,1,1,"&amp;装备表!$O163&amp;";","xxx"),"xxx"))</f>
        <v>xxx</v>
      </c>
      <c r="K72" s="18" t="str">
        <f>IF(装备表!$O76=0,"xxx",IFERROR(IF(INT(IF($G72=K$2,装备表!$E163,"xxx")/10000)=1,IF($G72=K$2,装备表!$E163,"xxx")&amp;":2,1,1,"&amp;装备表!$O163&amp;";","xxx"),"xxx"))</f>
        <v>xxx</v>
      </c>
      <c r="L72" s="18" t="str">
        <f>IF(装备表!$O76=0,"xxx",IFERROR(IF(INT(IF($G72=L$2,装备表!$E163,"xxx")/10000)=1,IF($G72=L$2,装备表!$E163,"xxx")&amp;":2,1,1,"&amp;装备表!$O163&amp;";","xxx"),"xxx"))</f>
        <v>xxx</v>
      </c>
      <c r="M72" s="18" t="str">
        <f>IF(装备表!$O76=0,"xxx",IFERROR(IF(INT(IF($G72=M$2,装备表!$E163,"xxx")/10000)=1,IF($G72=M$2,装备表!$E163,"xxx")&amp;":2,1,1,"&amp;装备表!$O163&amp;";","xxx"),"xxx"))</f>
        <v>14763:2,1,1,10;</v>
      </c>
      <c r="N72" s="18" t="str">
        <f>IF(装备表!$O76=0,"xxx",IFERROR(IF(INT(IF($G72=N$2,装备表!$E163,"xxx")/10000)=1,IF($G72=N$2,装备表!$E163,"xxx")&amp;":2,1,1,"&amp;装备表!$O163&amp;";","xxx"),"xxx"))</f>
        <v>xxx</v>
      </c>
    </row>
    <row r="73" spans="5:14" x14ac:dyDescent="0.2">
      <c r="E73" s="18">
        <v>14764</v>
      </c>
      <c r="F73" s="18" t="s">
        <v>215</v>
      </c>
      <c r="G73" s="18"/>
      <c r="H73" s="18" t="str">
        <f>IF(装备表!$O77=0,"xxx",IFERROR(IF(INT(IF($G73=H$2,装备表!$E164,"xxx")/10000)=1,IF($G73=H$2,装备表!$E164,"xxx")&amp;":2,1,1,"&amp;装备表!$O164&amp;";","xxx"),"xxx"))</f>
        <v>xxx</v>
      </c>
      <c r="I73" s="18" t="str">
        <f>IF(装备表!$O77=0,"xxx",IFERROR(IF(INT(IF($G73=I$2,装备表!$E164,"xxx")/10000)=1,IF($G73=I$2,装备表!$E164,"xxx")&amp;":2,1,1,"&amp;装备表!$O164&amp;";","xxx"),"xxx"))</f>
        <v>xxx</v>
      </c>
      <c r="J73" s="18" t="str">
        <f>IF(装备表!$O77=0,"xxx",IFERROR(IF(INT(IF($G73=J$2,装备表!$E164,"xxx")/10000)=1,IF($G73=J$2,装备表!$E164,"xxx")&amp;":2,1,1,"&amp;装备表!$O164&amp;";","xxx"),"xxx"))</f>
        <v>xxx</v>
      </c>
      <c r="K73" s="18" t="str">
        <f>IF(装备表!$O77=0,"xxx",IFERROR(IF(INT(IF($G73=K$2,装备表!$E164,"xxx")/10000)=1,IF($G73=K$2,装备表!$E164,"xxx")&amp;":2,1,1,"&amp;装备表!$O164&amp;";","xxx"),"xxx"))</f>
        <v>xxx</v>
      </c>
      <c r="L73" s="18" t="str">
        <f>IF(装备表!$O77=0,"xxx",IFERROR(IF(INT(IF($G73=L$2,装备表!$E164,"xxx")/10000)=1,IF($G73=L$2,装备表!$E164,"xxx")&amp;":2,1,1,"&amp;装备表!$O164&amp;";","xxx"),"xxx"))</f>
        <v>xxx</v>
      </c>
      <c r="M73" s="18" t="str">
        <f>IF(装备表!$O77=0,"xxx",IFERROR(IF(INT(IF($G73=M$2,装备表!$E164,"xxx")/10000)=1,IF($G73=M$2,装备表!$E164,"xxx")&amp;":2,1,1,"&amp;装备表!$O164&amp;";","xxx"),"xxx"))</f>
        <v>14764:2,1,1,10;</v>
      </c>
      <c r="N73" s="18" t="str">
        <f>IF(装备表!$O77=0,"xxx",IFERROR(IF(INT(IF($G73=N$2,装备表!$E164,"xxx")/10000)=1,IF($G73=N$2,装备表!$E164,"xxx")&amp;":2,1,1,"&amp;装备表!$O164&amp;";","xxx"),"xxx"))</f>
        <v>xxx</v>
      </c>
    </row>
    <row r="74" spans="5:14" x14ac:dyDescent="0.2">
      <c r="E74" s="18">
        <v>14765</v>
      </c>
      <c r="F74" s="18" t="s">
        <v>217</v>
      </c>
      <c r="G74" s="18"/>
      <c r="H74" s="18" t="str">
        <f>IF(装备表!$O78=0,"xxx",IFERROR(IF(INT(IF($G74=H$2,装备表!$E165,"xxx")/10000)=1,IF($G74=H$2,装备表!$E165,"xxx")&amp;":2,1,1,"&amp;装备表!$O165&amp;";","xxx"),"xxx"))</f>
        <v>xxx</v>
      </c>
      <c r="I74" s="18" t="str">
        <f>IF(装备表!$O78=0,"xxx",IFERROR(IF(INT(IF($G74=I$2,装备表!$E165,"xxx")/10000)=1,IF($G74=I$2,装备表!$E165,"xxx")&amp;":2,1,1,"&amp;装备表!$O165&amp;";","xxx"),"xxx"))</f>
        <v>xxx</v>
      </c>
      <c r="J74" s="18" t="str">
        <f>IF(装备表!$O78=0,"xxx",IFERROR(IF(INT(IF($G74=J$2,装备表!$E165,"xxx")/10000)=1,IF($G74=J$2,装备表!$E165,"xxx")&amp;":2,1,1,"&amp;装备表!$O165&amp;";","xxx"),"xxx"))</f>
        <v>xxx</v>
      </c>
      <c r="K74" s="18" t="str">
        <f>IF(装备表!$O78=0,"xxx",IFERROR(IF(INT(IF($G74=K$2,装备表!$E165,"xxx")/10000)=1,IF($G74=K$2,装备表!$E165,"xxx")&amp;":2,1,1,"&amp;装备表!$O165&amp;";","xxx"),"xxx"))</f>
        <v>xxx</v>
      </c>
      <c r="L74" s="18" t="str">
        <f>IF(装备表!$O78=0,"xxx",IFERROR(IF(INT(IF($G74=L$2,装备表!$E165,"xxx")/10000)=1,IF($G74=L$2,装备表!$E165,"xxx")&amp;":2,1,1,"&amp;装备表!$O165&amp;";","xxx"),"xxx"))</f>
        <v>xxx</v>
      </c>
      <c r="M74" s="18" t="str">
        <f>IF(装备表!$O78=0,"xxx",IFERROR(IF(INT(IF($G74=M$2,装备表!$E165,"xxx")/10000)=1,IF($G74=M$2,装备表!$E165,"xxx")&amp;":2,1,1,"&amp;装备表!$O165&amp;";","xxx"),"xxx"))</f>
        <v>14765:2,1,1,10;</v>
      </c>
      <c r="N74" s="18" t="str">
        <f>IF(装备表!$O78=0,"xxx",IFERROR(IF(INT(IF($G74=N$2,装备表!$E165,"xxx")/10000)=1,IF($G74=N$2,装备表!$E165,"xxx")&amp;":2,1,1,"&amp;装备表!$O165&amp;";","xxx"),"xxx"))</f>
        <v>xxx</v>
      </c>
    </row>
    <row r="75" spans="5:14" x14ac:dyDescent="0.2">
      <c r="E75" s="18">
        <v>14766</v>
      </c>
      <c r="F75" s="18" t="s">
        <v>219</v>
      </c>
      <c r="G75" s="18">
        <v>-1</v>
      </c>
      <c r="H75" s="18" t="str">
        <f>IF(装备表!$O79=0,"xxx",IFERROR(IF(INT(IF($G75=H$2,装备表!$E166,"xxx")/10000)=1,IF($G75=H$2,装备表!$E166,"xxx")&amp;":2,1,1,"&amp;装备表!$O166&amp;";","xxx"),"xxx"))</f>
        <v>xxx</v>
      </c>
      <c r="I75" s="18" t="str">
        <f>IF(装备表!$O79=0,"xxx",IFERROR(IF(INT(IF($G75=I$2,装备表!$E166,"xxx")/10000)=1,IF($G75=I$2,装备表!$E166,"xxx")&amp;":2,1,1,"&amp;装备表!$O166&amp;";","xxx"),"xxx"))</f>
        <v>xxx</v>
      </c>
      <c r="J75" s="18" t="str">
        <f>IF(装备表!$O79=0,"xxx",IFERROR(IF(INT(IF($G75=J$2,装备表!$E166,"xxx")/10000)=1,IF($G75=J$2,装备表!$E166,"xxx")&amp;":2,1,1,"&amp;装备表!$O166&amp;";","xxx"),"xxx"))</f>
        <v>xxx</v>
      </c>
      <c r="K75" s="18" t="str">
        <f>IF(装备表!$O79=0,"xxx",IFERROR(IF(INT(IF($G75=K$2,装备表!$E166,"xxx")/10000)=1,IF($G75=K$2,装备表!$E166,"xxx")&amp;":2,1,1,"&amp;装备表!$O166&amp;";","xxx"),"xxx"))</f>
        <v>xxx</v>
      </c>
      <c r="L75" s="18" t="str">
        <f>IF(装备表!$O79=0,"xxx",IFERROR(IF(INT(IF($G75=L$2,装备表!$E166,"xxx")/10000)=1,IF($G75=L$2,装备表!$E166,"xxx")&amp;":2,1,1,"&amp;装备表!$O166&amp;";","xxx"),"xxx"))</f>
        <v>xxx</v>
      </c>
      <c r="M75" s="18" t="str">
        <f>IF(装备表!$O79=0,"xxx",IFERROR(IF(INT(IF($G75=M$2,装备表!$E166,"xxx")/10000)=1,IF($G75=M$2,装备表!$E166,"xxx")&amp;":2,1,1,"&amp;装备表!$O166&amp;";","xxx"),"xxx"))</f>
        <v>xxx</v>
      </c>
      <c r="N75" s="18" t="str">
        <f>IF(装备表!$O79=0,"xxx",IFERROR(IF(INT(IF($G75=N$2,装备表!$E166,"xxx")/10000)=1,IF($G75=N$2,装备表!$E166,"xxx")&amp;":2,1,1,"&amp;装备表!$O166&amp;";","xxx"),"xxx"))</f>
        <v>14766:2,1,1,10;</v>
      </c>
    </row>
    <row r="76" spans="5:14" x14ac:dyDescent="0.2">
      <c r="E76" s="18">
        <v>14767</v>
      </c>
      <c r="F76" s="18" t="s">
        <v>221</v>
      </c>
      <c r="G76" s="18">
        <v>6</v>
      </c>
      <c r="H76" s="18" t="str">
        <f>IF(装备表!$O80=0,"xxx",IFERROR(IF(INT(IF($G76=H$2,装备表!$E167,"xxx")/10000)=1,IF($G76=H$2,装备表!$E167,"xxx")&amp;":2,1,1,"&amp;装备表!$O167&amp;";","xxx"),"xxx"))</f>
        <v>xxx</v>
      </c>
      <c r="I76" s="18" t="str">
        <f>IF(装备表!$O80=0,"xxx",IFERROR(IF(INT(IF($G76=I$2,装备表!$E167,"xxx")/10000)=1,IF($G76=I$2,装备表!$E167,"xxx")&amp;":2,1,1,"&amp;装备表!$O167&amp;";","xxx"),"xxx"))</f>
        <v>xxx</v>
      </c>
      <c r="J76" s="18" t="str">
        <f>IF(装备表!$O80=0,"xxx",IFERROR(IF(INT(IF($G76=J$2,装备表!$E167,"xxx")/10000)=1,IF($G76=J$2,装备表!$E167,"xxx")&amp;":2,1,1,"&amp;装备表!$O167&amp;";","xxx"),"xxx"))</f>
        <v>xxx</v>
      </c>
      <c r="K76" s="18" t="str">
        <f>IF(装备表!$O80=0,"xxx",IFERROR(IF(INT(IF($G76=K$2,装备表!$E167,"xxx")/10000)=1,IF($G76=K$2,装备表!$E167,"xxx")&amp;":2,1,1,"&amp;装备表!$O167&amp;";","xxx"),"xxx"))</f>
        <v>xxx</v>
      </c>
      <c r="L76" s="18" t="str">
        <f>IF(装备表!$O80=0,"xxx",IFERROR(IF(INT(IF($G76=L$2,装备表!$E167,"xxx")/10000)=1,IF($G76=L$2,装备表!$E167,"xxx")&amp;":2,1,1,"&amp;装备表!$O167&amp;";","xxx"),"xxx"))</f>
        <v>xxx</v>
      </c>
      <c r="M76" s="18" t="str">
        <f>IF(装备表!$O80=0,"xxx",IFERROR(IF(INT(IF($G76=M$2,装备表!$E167,"xxx")/10000)=1,IF($G76=M$2,装备表!$E167,"xxx")&amp;":2,1,1,"&amp;装备表!$O167&amp;";","xxx"),"xxx"))</f>
        <v>xxx</v>
      </c>
      <c r="N76" s="18" t="str">
        <f>IF(装备表!$O80=0,"xxx",IFERROR(IF(INT(IF($G76=N$2,装备表!$E167,"xxx")/10000)=1,IF($G76=N$2,装备表!$E167,"xxx")&amp;":2,1,1,"&amp;装备表!$O167&amp;";","xxx"),"xxx"))</f>
        <v>xxx</v>
      </c>
    </row>
    <row r="77" spans="5:14" x14ac:dyDescent="0.2">
      <c r="E77" s="18">
        <v>14768</v>
      </c>
      <c r="F77" s="18" t="s">
        <v>222</v>
      </c>
      <c r="G77" s="18"/>
      <c r="H77" s="18" t="str">
        <f>IF(装备表!$O81=0,"xxx",IFERROR(IF(INT(IF($G77=H$2,装备表!$E168,"xxx")/10000)=1,IF($G77=H$2,装备表!$E168,"xxx")&amp;":2,1,1,"&amp;装备表!$O168&amp;";","xxx"),"xxx"))</f>
        <v>xxx</v>
      </c>
      <c r="I77" s="18" t="str">
        <f>IF(装备表!$O81=0,"xxx",IFERROR(IF(INT(IF($G77=I$2,装备表!$E168,"xxx")/10000)=1,IF($G77=I$2,装备表!$E168,"xxx")&amp;":2,1,1,"&amp;装备表!$O168&amp;";","xxx"),"xxx"))</f>
        <v>xxx</v>
      </c>
      <c r="J77" s="18" t="str">
        <f>IF(装备表!$O81=0,"xxx",IFERROR(IF(INT(IF($G77=J$2,装备表!$E168,"xxx")/10000)=1,IF($G77=J$2,装备表!$E168,"xxx")&amp;":2,1,1,"&amp;装备表!$O168&amp;";","xxx"),"xxx"))</f>
        <v>xxx</v>
      </c>
      <c r="K77" s="18" t="str">
        <f>IF(装备表!$O81=0,"xxx",IFERROR(IF(INT(IF($G77=K$2,装备表!$E168,"xxx")/10000)=1,IF($G77=K$2,装备表!$E168,"xxx")&amp;":2,1,1,"&amp;装备表!$O168&amp;";","xxx"),"xxx"))</f>
        <v>xxx</v>
      </c>
      <c r="L77" s="18" t="str">
        <f>IF(装备表!$O81=0,"xxx",IFERROR(IF(INT(IF($G77=L$2,装备表!$E168,"xxx")/10000)=1,IF($G77=L$2,装备表!$E168,"xxx")&amp;":2,1,1,"&amp;装备表!$O168&amp;";","xxx"),"xxx"))</f>
        <v>xxx</v>
      </c>
      <c r="M77" s="18" t="str">
        <f>IF(装备表!$O81=0,"xxx",IFERROR(IF(INT(IF($G77=M$2,装备表!$E168,"xxx")/10000)=1,IF($G77=M$2,装备表!$E168,"xxx")&amp;":2,1,1,"&amp;装备表!$O168&amp;";","xxx"),"xxx"))</f>
        <v>14768:2,1,1,10;</v>
      </c>
      <c r="N77" s="18" t="str">
        <f>IF(装备表!$O81=0,"xxx",IFERROR(IF(INT(IF($G77=N$2,装备表!$E168,"xxx")/10000)=1,IF($G77=N$2,装备表!$E168,"xxx")&amp;":2,1,1,"&amp;装备表!$O168&amp;";","xxx"),"xxx"))</f>
        <v>xxx</v>
      </c>
    </row>
    <row r="78" spans="5:14" x14ac:dyDescent="0.2">
      <c r="E78" s="18">
        <v>14769</v>
      </c>
      <c r="F78" s="18" t="s">
        <v>224</v>
      </c>
      <c r="G78" s="18">
        <v>1</v>
      </c>
      <c r="H78" s="18" t="str">
        <f>IF(装备表!$O82=0,"xxx",IFERROR(IF(INT(IF($G78=H$2,装备表!$E169,"xxx")/10000)=1,IF($G78=H$2,装备表!$E169,"xxx")&amp;":2,1,1,"&amp;装备表!$O169&amp;";","xxx"),"xxx"))</f>
        <v>14769:2,1,1,10;</v>
      </c>
      <c r="I78" s="18" t="str">
        <f>IF(装备表!$O82=0,"xxx",IFERROR(IF(INT(IF($G78=I$2,装备表!$E169,"xxx")/10000)=1,IF($G78=I$2,装备表!$E169,"xxx")&amp;":2,1,1,"&amp;装备表!$O169&amp;";","xxx"),"xxx"))</f>
        <v>xxx</v>
      </c>
      <c r="J78" s="18" t="str">
        <f>IF(装备表!$O82=0,"xxx",IFERROR(IF(INT(IF($G78=J$2,装备表!$E169,"xxx")/10000)=1,IF($G78=J$2,装备表!$E169,"xxx")&amp;":2,1,1,"&amp;装备表!$O169&amp;";","xxx"),"xxx"))</f>
        <v>xxx</v>
      </c>
      <c r="K78" s="18" t="str">
        <f>IF(装备表!$O82=0,"xxx",IFERROR(IF(INT(IF($G78=K$2,装备表!$E169,"xxx")/10000)=1,IF($G78=K$2,装备表!$E169,"xxx")&amp;":2,1,1,"&amp;装备表!$O169&amp;";","xxx"),"xxx"))</f>
        <v>xxx</v>
      </c>
      <c r="L78" s="18" t="str">
        <f>IF(装备表!$O82=0,"xxx",IFERROR(IF(INT(IF($G78=L$2,装备表!$E169,"xxx")/10000)=1,IF($G78=L$2,装备表!$E169,"xxx")&amp;":2,1,1,"&amp;装备表!$O169&amp;";","xxx"),"xxx"))</f>
        <v>xxx</v>
      </c>
      <c r="M78" s="18" t="str">
        <f>IF(装备表!$O82=0,"xxx",IFERROR(IF(INT(IF($G78=M$2,装备表!$E169,"xxx")/10000)=1,IF($G78=M$2,装备表!$E169,"xxx")&amp;":2,1,1,"&amp;装备表!$O169&amp;";","xxx"),"xxx"))</f>
        <v>xxx</v>
      </c>
      <c r="N78" s="18" t="str">
        <f>IF(装备表!$O82=0,"xxx",IFERROR(IF(INT(IF($G78=N$2,装备表!$E169,"xxx")/10000)=1,IF($G78=N$2,装备表!$E169,"xxx")&amp;":2,1,1,"&amp;装备表!$O169&amp;";","xxx"),"xxx"))</f>
        <v>xxx</v>
      </c>
    </row>
    <row r="79" spans="5:14" x14ac:dyDescent="0.2">
      <c r="E79" s="18">
        <v>14770</v>
      </c>
      <c r="F79" s="18" t="s">
        <v>225</v>
      </c>
      <c r="G79" s="18"/>
      <c r="H79" s="18" t="str">
        <f>IF(装备表!$O83=0,"xxx",IFERROR(IF(INT(IF($G79=H$2,装备表!$E170,"xxx")/10000)=1,IF($G79=H$2,装备表!$E170,"xxx")&amp;":2,1,1,"&amp;装备表!$O170&amp;";","xxx"),"xxx"))</f>
        <v>xxx</v>
      </c>
      <c r="I79" s="18" t="str">
        <f>IF(装备表!$O83=0,"xxx",IFERROR(IF(INT(IF($G79=I$2,装备表!$E170,"xxx")/10000)=1,IF($G79=I$2,装备表!$E170,"xxx")&amp;":2,1,1,"&amp;装备表!$O170&amp;";","xxx"),"xxx"))</f>
        <v>xxx</v>
      </c>
      <c r="J79" s="18" t="str">
        <f>IF(装备表!$O83=0,"xxx",IFERROR(IF(INT(IF($G79=J$2,装备表!$E170,"xxx")/10000)=1,IF($G79=J$2,装备表!$E170,"xxx")&amp;":2,1,1,"&amp;装备表!$O170&amp;";","xxx"),"xxx"))</f>
        <v>xxx</v>
      </c>
      <c r="K79" s="18" t="str">
        <f>IF(装备表!$O83=0,"xxx",IFERROR(IF(INT(IF($G79=K$2,装备表!$E170,"xxx")/10000)=1,IF($G79=K$2,装备表!$E170,"xxx")&amp;":2,1,1,"&amp;装备表!$O170&amp;";","xxx"),"xxx"))</f>
        <v>xxx</v>
      </c>
      <c r="L79" s="18" t="str">
        <f>IF(装备表!$O83=0,"xxx",IFERROR(IF(INT(IF($G79=L$2,装备表!$E170,"xxx")/10000)=1,IF($G79=L$2,装备表!$E170,"xxx")&amp;":2,1,1,"&amp;装备表!$O170&amp;";","xxx"),"xxx"))</f>
        <v>xxx</v>
      </c>
      <c r="M79" s="18" t="str">
        <f>IF(装备表!$O83=0,"xxx",IFERROR(IF(INT(IF($G79=M$2,装备表!$E170,"xxx")/10000)=1,IF($G79=M$2,装备表!$E170,"xxx")&amp;":2,1,1,"&amp;装备表!$O170&amp;";","xxx"),"xxx"))</f>
        <v>14770:2,1,1,10;</v>
      </c>
      <c r="N79" s="18" t="str">
        <f>IF(装备表!$O83=0,"xxx",IFERROR(IF(INT(IF($G79=N$2,装备表!$E170,"xxx")/10000)=1,IF($G79=N$2,装备表!$E170,"xxx")&amp;":2,1,1,"&amp;装备表!$O170&amp;";","xxx"),"xxx"))</f>
        <v>xxx</v>
      </c>
    </row>
    <row r="80" spans="5:14" x14ac:dyDescent="0.2">
      <c r="E80" s="18">
        <v>14771</v>
      </c>
      <c r="F80" s="18" t="s">
        <v>227</v>
      </c>
      <c r="G80" s="18"/>
      <c r="H80" s="18" t="str">
        <f>IF(装备表!$O84=0,"xxx",IFERROR(IF(INT(IF($G80=H$2,装备表!$E171,"xxx")/10000)=1,IF($G80=H$2,装备表!$E171,"xxx")&amp;":2,1,1,"&amp;装备表!$O171&amp;";","xxx"),"xxx"))</f>
        <v>xxx</v>
      </c>
      <c r="I80" s="18" t="str">
        <f>IF(装备表!$O84=0,"xxx",IFERROR(IF(INT(IF($G80=I$2,装备表!$E171,"xxx")/10000)=1,IF($G80=I$2,装备表!$E171,"xxx")&amp;":2,1,1,"&amp;装备表!$O171&amp;";","xxx"),"xxx"))</f>
        <v>xxx</v>
      </c>
      <c r="J80" s="18" t="str">
        <f>IF(装备表!$O84=0,"xxx",IFERROR(IF(INT(IF($G80=J$2,装备表!$E171,"xxx")/10000)=1,IF($G80=J$2,装备表!$E171,"xxx")&amp;":2,1,1,"&amp;装备表!$O171&amp;";","xxx"),"xxx"))</f>
        <v>xxx</v>
      </c>
      <c r="K80" s="18" t="str">
        <f>IF(装备表!$O84=0,"xxx",IFERROR(IF(INT(IF($G80=K$2,装备表!$E171,"xxx")/10000)=1,IF($G80=K$2,装备表!$E171,"xxx")&amp;":2,1,1,"&amp;装备表!$O171&amp;";","xxx"),"xxx"))</f>
        <v>xxx</v>
      </c>
      <c r="L80" s="18" t="str">
        <f>IF(装备表!$O84=0,"xxx",IFERROR(IF(INT(IF($G80=L$2,装备表!$E171,"xxx")/10000)=1,IF($G80=L$2,装备表!$E171,"xxx")&amp;":2,1,1,"&amp;装备表!$O171&amp;";","xxx"),"xxx"))</f>
        <v>xxx</v>
      </c>
      <c r="M80" s="18" t="str">
        <f>IF(装备表!$O84=0,"xxx",IFERROR(IF(INT(IF($G80=M$2,装备表!$E171,"xxx")/10000)=1,IF($G80=M$2,装备表!$E171,"xxx")&amp;":2,1,1,"&amp;装备表!$O171&amp;";","xxx"),"xxx"))</f>
        <v>14771:2,1,1,10;</v>
      </c>
      <c r="N80" s="18" t="str">
        <f>IF(装备表!$O84=0,"xxx",IFERROR(IF(INT(IF($G80=N$2,装备表!$E171,"xxx")/10000)=1,IF($G80=N$2,装备表!$E171,"xxx")&amp;":2,1,1,"&amp;装备表!$O171&amp;";","xxx"),"xxx"))</f>
        <v>xxx</v>
      </c>
    </row>
    <row r="81" spans="5:14" x14ac:dyDescent="0.2">
      <c r="E81" s="18">
        <v>14772</v>
      </c>
      <c r="F81" s="18" t="s">
        <v>229</v>
      </c>
      <c r="G81" s="18"/>
      <c r="H81" s="18" t="str">
        <f>IF(装备表!$O85=0,"xxx",IFERROR(IF(INT(IF($G81=H$2,装备表!$E172,"xxx")/10000)=1,IF($G81=H$2,装备表!$E172,"xxx")&amp;":2,1,1,"&amp;装备表!$O172&amp;";","xxx"),"xxx"))</f>
        <v>xxx</v>
      </c>
      <c r="I81" s="18" t="str">
        <f>IF(装备表!$O85=0,"xxx",IFERROR(IF(INT(IF($G81=I$2,装备表!$E172,"xxx")/10000)=1,IF($G81=I$2,装备表!$E172,"xxx")&amp;":2,1,1,"&amp;装备表!$O172&amp;";","xxx"),"xxx"))</f>
        <v>xxx</v>
      </c>
      <c r="J81" s="18" t="str">
        <f>IF(装备表!$O85=0,"xxx",IFERROR(IF(INT(IF($G81=J$2,装备表!$E172,"xxx")/10000)=1,IF($G81=J$2,装备表!$E172,"xxx")&amp;":2,1,1,"&amp;装备表!$O172&amp;";","xxx"),"xxx"))</f>
        <v>xxx</v>
      </c>
      <c r="K81" s="18" t="str">
        <f>IF(装备表!$O85=0,"xxx",IFERROR(IF(INT(IF($G81=K$2,装备表!$E172,"xxx")/10000)=1,IF($G81=K$2,装备表!$E172,"xxx")&amp;":2,1,1,"&amp;装备表!$O172&amp;";","xxx"),"xxx"))</f>
        <v>xxx</v>
      </c>
      <c r="L81" s="18" t="str">
        <f>IF(装备表!$O85=0,"xxx",IFERROR(IF(INT(IF($G81=L$2,装备表!$E172,"xxx")/10000)=1,IF($G81=L$2,装备表!$E172,"xxx")&amp;":2,1,1,"&amp;装备表!$O172&amp;";","xxx"),"xxx"))</f>
        <v>xxx</v>
      </c>
      <c r="M81" s="18" t="str">
        <f>IF(装备表!$O85=0,"xxx",IFERROR(IF(INT(IF($G81=M$2,装备表!$E172,"xxx")/10000)=1,IF($G81=M$2,装备表!$E172,"xxx")&amp;":2,1,1,"&amp;装备表!$O172&amp;";","xxx"),"xxx"))</f>
        <v>14772:2,1,1,10;</v>
      </c>
      <c r="N81" s="18" t="str">
        <f>IF(装备表!$O85=0,"xxx",IFERROR(IF(INT(IF($G81=N$2,装备表!$E172,"xxx")/10000)=1,IF($G81=N$2,装备表!$E172,"xxx")&amp;":2,1,1,"&amp;装备表!$O172&amp;";","xxx"),"xxx"))</f>
        <v>xxx</v>
      </c>
    </row>
    <row r="82" spans="5:14" x14ac:dyDescent="0.2">
      <c r="E82" s="18">
        <v>14773</v>
      </c>
      <c r="F82" s="18" t="s">
        <v>231</v>
      </c>
      <c r="G82" s="18">
        <v>2</v>
      </c>
      <c r="H82" s="18" t="str">
        <f>IF(装备表!$O86=0,"xxx",IFERROR(IF(INT(IF($G82=H$2,装备表!$E173,"xxx")/10000)=1,IF($G82=H$2,装备表!$E173,"xxx")&amp;":2,1,1,"&amp;装备表!$O173&amp;";","xxx"),"xxx"))</f>
        <v>xxx</v>
      </c>
      <c r="I82" s="18" t="str">
        <f>IF(装备表!$O86=0,"xxx",IFERROR(IF(INT(IF($G82=I$2,装备表!$E173,"xxx")/10000)=1,IF($G82=I$2,装备表!$E173,"xxx")&amp;":2,1,1,"&amp;装备表!$O173&amp;";","xxx"),"xxx"))</f>
        <v>14773:2,1,1,10;</v>
      </c>
      <c r="J82" s="18" t="str">
        <f>IF(装备表!$O86=0,"xxx",IFERROR(IF(INT(IF($G82=J$2,装备表!$E173,"xxx")/10000)=1,IF($G82=J$2,装备表!$E173,"xxx")&amp;":2,1,1,"&amp;装备表!$O173&amp;";","xxx"),"xxx"))</f>
        <v>xxx</v>
      </c>
      <c r="K82" s="18" t="str">
        <f>IF(装备表!$O86=0,"xxx",IFERROR(IF(INT(IF($G82=K$2,装备表!$E173,"xxx")/10000)=1,IF($G82=K$2,装备表!$E173,"xxx")&amp;":2,1,1,"&amp;装备表!$O173&amp;";","xxx"),"xxx"))</f>
        <v>xxx</v>
      </c>
      <c r="L82" s="18" t="str">
        <f>IF(装备表!$O86=0,"xxx",IFERROR(IF(INT(IF($G82=L$2,装备表!$E173,"xxx")/10000)=1,IF($G82=L$2,装备表!$E173,"xxx")&amp;":2,1,1,"&amp;装备表!$O173&amp;";","xxx"),"xxx"))</f>
        <v>xxx</v>
      </c>
      <c r="M82" s="18" t="str">
        <f>IF(装备表!$O86=0,"xxx",IFERROR(IF(INT(IF($G82=M$2,装备表!$E173,"xxx")/10000)=1,IF($G82=M$2,装备表!$E173,"xxx")&amp;":2,1,1,"&amp;装备表!$O173&amp;";","xxx"),"xxx"))</f>
        <v>xxx</v>
      </c>
      <c r="N82" s="18" t="str">
        <f>IF(装备表!$O86=0,"xxx",IFERROR(IF(INT(IF($G82=N$2,装备表!$E173,"xxx")/10000)=1,IF($G82=N$2,装备表!$E173,"xxx")&amp;":2,1,1,"&amp;装备表!$O173&amp;";","xxx"),"xxx"))</f>
        <v>xxx</v>
      </c>
    </row>
    <row r="83" spans="5:14" x14ac:dyDescent="0.2">
      <c r="E83" s="18">
        <v>14774</v>
      </c>
      <c r="F83" s="18" t="s">
        <v>232</v>
      </c>
      <c r="G83" s="18">
        <v>3</v>
      </c>
      <c r="H83" s="18" t="str">
        <f>IF(装备表!$O87=0,"xxx",IFERROR(IF(INT(IF($G83=H$2,装备表!$E174,"xxx")/10000)=1,IF($G83=H$2,装备表!$E174,"xxx")&amp;":2,1,1,"&amp;装备表!$O174&amp;";","xxx"),"xxx"))</f>
        <v>xxx</v>
      </c>
      <c r="I83" s="18" t="str">
        <f>IF(装备表!$O87=0,"xxx",IFERROR(IF(INT(IF($G83=I$2,装备表!$E174,"xxx")/10000)=1,IF($G83=I$2,装备表!$E174,"xxx")&amp;":2,1,1,"&amp;装备表!$O174&amp;";","xxx"),"xxx"))</f>
        <v>xxx</v>
      </c>
      <c r="J83" s="18" t="str">
        <f>IF(装备表!$O87=0,"xxx",IFERROR(IF(INT(IF($G83=J$2,装备表!$E174,"xxx")/10000)=1,IF($G83=J$2,装备表!$E174,"xxx")&amp;":2,1,1,"&amp;装备表!$O174&amp;";","xxx"),"xxx"))</f>
        <v>14774:2,1,1,10;</v>
      </c>
      <c r="K83" s="18" t="str">
        <f>IF(装备表!$O87=0,"xxx",IFERROR(IF(INT(IF($G83=K$2,装备表!$E174,"xxx")/10000)=1,IF($G83=K$2,装备表!$E174,"xxx")&amp;":2,1,1,"&amp;装备表!$O174&amp;";","xxx"),"xxx"))</f>
        <v>xxx</v>
      </c>
      <c r="L83" s="18" t="str">
        <f>IF(装备表!$O87=0,"xxx",IFERROR(IF(INT(IF($G83=L$2,装备表!$E174,"xxx")/10000)=1,IF($G83=L$2,装备表!$E174,"xxx")&amp;":2,1,1,"&amp;装备表!$O174&amp;";","xxx"),"xxx"))</f>
        <v>xxx</v>
      </c>
      <c r="M83" s="18" t="str">
        <f>IF(装备表!$O87=0,"xxx",IFERROR(IF(INT(IF($G83=M$2,装备表!$E174,"xxx")/10000)=1,IF($G83=M$2,装备表!$E174,"xxx")&amp;":2,1,1,"&amp;装备表!$O174&amp;";","xxx"),"xxx"))</f>
        <v>xxx</v>
      </c>
      <c r="N83" s="18" t="str">
        <f>IF(装备表!$O87=0,"xxx",IFERROR(IF(INT(IF($G83=N$2,装备表!$E174,"xxx")/10000)=1,IF($G83=N$2,装备表!$E174,"xxx")&amp;":2,1,1,"&amp;装备表!$O174&amp;";","xxx"),"xxx"))</f>
        <v>xxx</v>
      </c>
    </row>
    <row r="84" spans="5:14" x14ac:dyDescent="0.2">
      <c r="E84" s="18">
        <v>14775</v>
      </c>
      <c r="F84" s="18" t="s">
        <v>234</v>
      </c>
      <c r="G84" s="18">
        <v>1</v>
      </c>
      <c r="H84" s="18" t="str">
        <f>IF(装备表!$O88=0,"xxx",IFERROR(IF(INT(IF($G84=H$2,装备表!$E175,"xxx")/10000)=1,IF($G84=H$2,装备表!$E175,"xxx")&amp;":2,1,1,"&amp;装备表!$O175&amp;";","xxx"),"xxx"))</f>
        <v>14775:2,1,1,10;</v>
      </c>
      <c r="I84" s="18" t="str">
        <f>IF(装备表!$O88=0,"xxx",IFERROR(IF(INT(IF($G84=I$2,装备表!$E175,"xxx")/10000)=1,IF($G84=I$2,装备表!$E175,"xxx")&amp;":2,1,1,"&amp;装备表!$O175&amp;";","xxx"),"xxx"))</f>
        <v>xxx</v>
      </c>
      <c r="J84" s="18" t="str">
        <f>IF(装备表!$O88=0,"xxx",IFERROR(IF(INT(IF($G84=J$2,装备表!$E175,"xxx")/10000)=1,IF($G84=J$2,装备表!$E175,"xxx")&amp;":2,1,1,"&amp;装备表!$O175&amp;";","xxx"),"xxx"))</f>
        <v>xxx</v>
      </c>
      <c r="K84" s="18" t="str">
        <f>IF(装备表!$O88=0,"xxx",IFERROR(IF(INT(IF($G84=K$2,装备表!$E175,"xxx")/10000)=1,IF($G84=K$2,装备表!$E175,"xxx")&amp;":2,1,1,"&amp;装备表!$O175&amp;";","xxx"),"xxx"))</f>
        <v>xxx</v>
      </c>
      <c r="L84" s="18" t="str">
        <f>IF(装备表!$O88=0,"xxx",IFERROR(IF(INT(IF($G84=L$2,装备表!$E175,"xxx")/10000)=1,IF($G84=L$2,装备表!$E175,"xxx")&amp;":2,1,1,"&amp;装备表!$O175&amp;";","xxx"),"xxx"))</f>
        <v>xxx</v>
      </c>
      <c r="M84" s="18" t="str">
        <f>IF(装备表!$O88=0,"xxx",IFERROR(IF(INT(IF($G84=M$2,装备表!$E175,"xxx")/10000)=1,IF($G84=M$2,装备表!$E175,"xxx")&amp;":2,1,1,"&amp;装备表!$O175&amp;";","xxx"),"xxx"))</f>
        <v>xxx</v>
      </c>
      <c r="N84" s="18" t="str">
        <f>IF(装备表!$O88=0,"xxx",IFERROR(IF(INT(IF($G84=N$2,装备表!$E175,"xxx")/10000)=1,IF($G84=N$2,装备表!$E175,"xxx")&amp;":2,1,1,"&amp;装备表!$O175&amp;";","xxx"),"xxx"))</f>
        <v>xxx</v>
      </c>
    </row>
    <row r="85" spans="5:14" x14ac:dyDescent="0.2">
      <c r="E85" s="18">
        <v>14776</v>
      </c>
      <c r="F85" s="18" t="s">
        <v>236</v>
      </c>
      <c r="G85" s="18">
        <v>1</v>
      </c>
      <c r="H85" s="18" t="str">
        <f>IF(装备表!$O89=0,"xxx",IFERROR(IF(INT(IF($G85=H$2,装备表!$E176,"xxx")/10000)=1,IF($G85=H$2,装备表!$E176,"xxx")&amp;":2,1,1,"&amp;装备表!$O176&amp;";","xxx"),"xxx"))</f>
        <v>14776:2,1,1,10;</v>
      </c>
      <c r="I85" s="18" t="str">
        <f>IF(装备表!$O89=0,"xxx",IFERROR(IF(INT(IF($G85=I$2,装备表!$E176,"xxx")/10000)=1,IF($G85=I$2,装备表!$E176,"xxx")&amp;":2,1,1,"&amp;装备表!$O176&amp;";","xxx"),"xxx"))</f>
        <v>xxx</v>
      </c>
      <c r="J85" s="18" t="str">
        <f>IF(装备表!$O89=0,"xxx",IFERROR(IF(INT(IF($G85=J$2,装备表!$E176,"xxx")/10000)=1,IF($G85=J$2,装备表!$E176,"xxx")&amp;":2,1,1,"&amp;装备表!$O176&amp;";","xxx"),"xxx"))</f>
        <v>xxx</v>
      </c>
      <c r="K85" s="18" t="str">
        <f>IF(装备表!$O89=0,"xxx",IFERROR(IF(INT(IF($G85=K$2,装备表!$E176,"xxx")/10000)=1,IF($G85=K$2,装备表!$E176,"xxx")&amp;":2,1,1,"&amp;装备表!$O176&amp;";","xxx"),"xxx"))</f>
        <v>xxx</v>
      </c>
      <c r="L85" s="18" t="str">
        <f>IF(装备表!$O89=0,"xxx",IFERROR(IF(INT(IF($G85=L$2,装备表!$E176,"xxx")/10000)=1,IF($G85=L$2,装备表!$E176,"xxx")&amp;":2,1,1,"&amp;装备表!$O176&amp;";","xxx"),"xxx"))</f>
        <v>xxx</v>
      </c>
      <c r="M85" s="18" t="str">
        <f>IF(装备表!$O89=0,"xxx",IFERROR(IF(INT(IF($G85=M$2,装备表!$E176,"xxx")/10000)=1,IF($G85=M$2,装备表!$E176,"xxx")&amp;":2,1,1,"&amp;装备表!$O176&amp;";","xxx"),"xxx"))</f>
        <v>xxx</v>
      </c>
      <c r="N85" s="18" t="str">
        <f>IF(装备表!$O89=0,"xxx",IFERROR(IF(INT(IF($G85=N$2,装备表!$E176,"xxx")/10000)=1,IF($G85=N$2,装备表!$E176,"xxx")&amp;":2,1,1,"&amp;装备表!$O176&amp;";","xxx"),"xxx"))</f>
        <v>xxx</v>
      </c>
    </row>
    <row r="86" spans="5:14" x14ac:dyDescent="0.2">
      <c r="E86" s="18">
        <v>14777</v>
      </c>
      <c r="F86" s="18" t="s">
        <v>238</v>
      </c>
      <c r="G86" s="18">
        <v>1</v>
      </c>
      <c r="H86" s="18" t="str">
        <f>IF(装备表!$O90=0,"xxx",IFERROR(IF(INT(IF($G86=H$2,装备表!$E177,"xxx")/10000)=1,IF($G86=H$2,装备表!$E177,"xxx")&amp;":2,1,1,"&amp;装备表!$O177&amp;";","xxx"),"xxx"))</f>
        <v>14777:2,1,1,10;</v>
      </c>
      <c r="I86" s="18" t="str">
        <f>IF(装备表!$O90=0,"xxx",IFERROR(IF(INT(IF($G86=I$2,装备表!$E177,"xxx")/10000)=1,IF($G86=I$2,装备表!$E177,"xxx")&amp;":2,1,1,"&amp;装备表!$O177&amp;";","xxx"),"xxx"))</f>
        <v>xxx</v>
      </c>
      <c r="J86" s="18" t="str">
        <f>IF(装备表!$O90=0,"xxx",IFERROR(IF(INT(IF($G86=J$2,装备表!$E177,"xxx")/10000)=1,IF($G86=J$2,装备表!$E177,"xxx")&amp;":2,1,1,"&amp;装备表!$O177&amp;";","xxx"),"xxx"))</f>
        <v>xxx</v>
      </c>
      <c r="K86" s="18" t="str">
        <f>IF(装备表!$O90=0,"xxx",IFERROR(IF(INT(IF($G86=K$2,装备表!$E177,"xxx")/10000)=1,IF($G86=K$2,装备表!$E177,"xxx")&amp;":2,1,1,"&amp;装备表!$O177&amp;";","xxx"),"xxx"))</f>
        <v>xxx</v>
      </c>
      <c r="L86" s="18" t="str">
        <f>IF(装备表!$O90=0,"xxx",IFERROR(IF(INT(IF($G86=L$2,装备表!$E177,"xxx")/10000)=1,IF($G86=L$2,装备表!$E177,"xxx")&amp;":2,1,1,"&amp;装备表!$O177&amp;";","xxx"),"xxx"))</f>
        <v>xxx</v>
      </c>
      <c r="M86" s="18" t="str">
        <f>IF(装备表!$O90=0,"xxx",IFERROR(IF(INT(IF($G86=M$2,装备表!$E177,"xxx")/10000)=1,IF($G86=M$2,装备表!$E177,"xxx")&amp;":2,1,1,"&amp;装备表!$O177&amp;";","xxx"),"xxx"))</f>
        <v>xxx</v>
      </c>
      <c r="N86" s="18" t="str">
        <f>IF(装备表!$O90=0,"xxx",IFERROR(IF(INT(IF($G86=N$2,装备表!$E177,"xxx")/10000)=1,IF($G86=N$2,装备表!$E177,"xxx")&amp;":2,1,1,"&amp;装备表!$O177&amp;";","xxx"),"xxx"))</f>
        <v>xxx</v>
      </c>
    </row>
    <row r="87" spans="5:14" x14ac:dyDescent="0.2">
      <c r="E87" s="18">
        <v>14778</v>
      </c>
      <c r="F87" s="18" t="s">
        <v>240</v>
      </c>
      <c r="G87" s="18"/>
      <c r="H87" s="18" t="str">
        <f>IF(装备表!$O91=0,"xxx",IFERROR(IF(INT(IF($G87=H$2,装备表!$E178,"xxx")/10000)=1,IF($G87=H$2,装备表!$E178,"xxx")&amp;":2,1,1,"&amp;装备表!$O178&amp;";","xxx"),"xxx"))</f>
        <v>xxx</v>
      </c>
      <c r="I87" s="18" t="str">
        <f>IF(装备表!$O91=0,"xxx",IFERROR(IF(INT(IF($G87=I$2,装备表!$E178,"xxx")/10000)=1,IF($G87=I$2,装备表!$E178,"xxx")&amp;":2,1,1,"&amp;装备表!$O178&amp;";","xxx"),"xxx"))</f>
        <v>xxx</v>
      </c>
      <c r="J87" s="18" t="str">
        <f>IF(装备表!$O91=0,"xxx",IFERROR(IF(INT(IF($G87=J$2,装备表!$E178,"xxx")/10000)=1,IF($G87=J$2,装备表!$E178,"xxx")&amp;":2,1,1,"&amp;装备表!$O178&amp;";","xxx"),"xxx"))</f>
        <v>xxx</v>
      </c>
      <c r="K87" s="18" t="str">
        <f>IF(装备表!$O91=0,"xxx",IFERROR(IF(INT(IF($G87=K$2,装备表!$E178,"xxx")/10000)=1,IF($G87=K$2,装备表!$E178,"xxx")&amp;":2,1,1,"&amp;装备表!$O178&amp;";","xxx"),"xxx"))</f>
        <v>xxx</v>
      </c>
      <c r="L87" s="18" t="str">
        <f>IF(装备表!$O91=0,"xxx",IFERROR(IF(INT(IF($G87=L$2,装备表!$E178,"xxx")/10000)=1,IF($G87=L$2,装备表!$E178,"xxx")&amp;":2,1,1,"&amp;装备表!$O178&amp;";","xxx"),"xxx"))</f>
        <v>xxx</v>
      </c>
      <c r="M87" s="18" t="str">
        <f>IF(装备表!$O91=0,"xxx",IFERROR(IF(INT(IF($G87=M$2,装备表!$E178,"xxx")/10000)=1,IF($G87=M$2,装备表!$E178,"xxx")&amp;":2,1,1,"&amp;装备表!$O178&amp;";","xxx"),"xxx"))</f>
        <v>14778:2,1,1,0;</v>
      </c>
      <c r="N87" s="18" t="str">
        <f>IF(装备表!$O91=0,"xxx",IFERROR(IF(INT(IF($G87=N$2,装备表!$E178,"xxx")/10000)=1,IF($G87=N$2,装备表!$E178,"xxx")&amp;":2,1,1,"&amp;装备表!$O178&amp;";","xxx"),"xxx"))</f>
        <v>xxx</v>
      </c>
    </row>
    <row r="88" spans="5:14" x14ac:dyDescent="0.2">
      <c r="E88" s="18">
        <v>14779</v>
      </c>
      <c r="F88" s="18" t="s">
        <v>242</v>
      </c>
      <c r="G88" s="18"/>
      <c r="H88" s="18" t="str">
        <f>IF(装备表!$O92=0,"xxx",IFERROR(IF(INT(IF($G88=H$2,装备表!$E179,"xxx")/10000)=1,IF($G88=H$2,装备表!$E179,"xxx")&amp;":2,1,1,"&amp;装备表!$O179&amp;";","xxx"),"xxx"))</f>
        <v>xxx</v>
      </c>
      <c r="I88" s="18" t="str">
        <f>IF(装备表!$O92=0,"xxx",IFERROR(IF(INT(IF($G88=I$2,装备表!$E179,"xxx")/10000)=1,IF($G88=I$2,装备表!$E179,"xxx")&amp;":2,1,1,"&amp;装备表!$O179&amp;";","xxx"),"xxx"))</f>
        <v>xxx</v>
      </c>
      <c r="J88" s="18" t="str">
        <f>IF(装备表!$O92=0,"xxx",IFERROR(IF(INT(IF($G88=J$2,装备表!$E179,"xxx")/10000)=1,IF($G88=J$2,装备表!$E179,"xxx")&amp;":2,1,1,"&amp;装备表!$O179&amp;";","xxx"),"xxx"))</f>
        <v>xxx</v>
      </c>
      <c r="K88" s="18" t="str">
        <f>IF(装备表!$O92=0,"xxx",IFERROR(IF(INT(IF($G88=K$2,装备表!$E179,"xxx")/10000)=1,IF($G88=K$2,装备表!$E179,"xxx")&amp;":2,1,1,"&amp;装备表!$O179&amp;";","xxx"),"xxx"))</f>
        <v>xxx</v>
      </c>
      <c r="L88" s="18" t="str">
        <f>IF(装备表!$O92=0,"xxx",IFERROR(IF(INT(IF($G88=L$2,装备表!$E179,"xxx")/10000)=1,IF($G88=L$2,装备表!$E179,"xxx")&amp;":2,1,1,"&amp;装备表!$O179&amp;";","xxx"),"xxx"))</f>
        <v>xxx</v>
      </c>
      <c r="M88" s="18" t="str">
        <f>IF(装备表!$O92=0,"xxx",IFERROR(IF(INT(IF($G88=M$2,装备表!$E179,"xxx")/10000)=1,IF($G88=M$2,装备表!$E179,"xxx")&amp;":2,1,1,"&amp;装备表!$O179&amp;";","xxx"),"xxx"))</f>
        <v>14779:2,1,1,10;</v>
      </c>
      <c r="N88" s="18" t="str">
        <f>IF(装备表!$O92=0,"xxx",IFERROR(IF(INT(IF($G88=N$2,装备表!$E179,"xxx")/10000)=1,IF($G88=N$2,装备表!$E179,"xxx")&amp;":2,1,1,"&amp;装备表!$O179&amp;";","xxx"),"xxx"))</f>
        <v>xxx</v>
      </c>
    </row>
    <row r="89" spans="5:14" x14ac:dyDescent="0.2">
      <c r="E89" s="18">
        <v>14780</v>
      </c>
      <c r="F89" s="18" t="s">
        <v>244</v>
      </c>
      <c r="G89" s="18"/>
      <c r="H89" s="18" t="str">
        <f>IF(装备表!$O93=0,"xxx",IFERROR(IF(INT(IF($G89=H$2,装备表!$E180,"xxx")/10000)=1,IF($G89=H$2,装备表!$E180,"xxx")&amp;":2,1,1,"&amp;装备表!$O180&amp;";","xxx"),"xxx"))</f>
        <v>xxx</v>
      </c>
      <c r="I89" s="18" t="str">
        <f>IF(装备表!$O93=0,"xxx",IFERROR(IF(INT(IF($G89=I$2,装备表!$E180,"xxx")/10000)=1,IF($G89=I$2,装备表!$E180,"xxx")&amp;":2,1,1,"&amp;装备表!$O180&amp;";","xxx"),"xxx"))</f>
        <v>xxx</v>
      </c>
      <c r="J89" s="18" t="str">
        <f>IF(装备表!$O93=0,"xxx",IFERROR(IF(INT(IF($G89=J$2,装备表!$E180,"xxx")/10000)=1,IF($G89=J$2,装备表!$E180,"xxx")&amp;":2,1,1,"&amp;装备表!$O180&amp;";","xxx"),"xxx"))</f>
        <v>xxx</v>
      </c>
      <c r="K89" s="18" t="str">
        <f>IF(装备表!$O93=0,"xxx",IFERROR(IF(INT(IF($G89=K$2,装备表!$E180,"xxx")/10000)=1,IF($G89=K$2,装备表!$E180,"xxx")&amp;":2,1,1,"&amp;装备表!$O180&amp;";","xxx"),"xxx"))</f>
        <v>xxx</v>
      </c>
      <c r="L89" s="18" t="str">
        <f>IF(装备表!$O93=0,"xxx",IFERROR(IF(INT(IF($G89=L$2,装备表!$E180,"xxx")/10000)=1,IF($G89=L$2,装备表!$E180,"xxx")&amp;":2,1,1,"&amp;装备表!$O180&amp;";","xxx"),"xxx"))</f>
        <v>xxx</v>
      </c>
      <c r="M89" s="18" t="str">
        <f>IF(装备表!$O93=0,"xxx",IFERROR(IF(INT(IF($G89=M$2,装备表!$E180,"xxx")/10000)=1,IF($G89=M$2,装备表!$E180,"xxx")&amp;":2,1,1,"&amp;装备表!$O180&amp;";","xxx"),"xxx"))</f>
        <v>14780:2,1,1,10;</v>
      </c>
      <c r="N89" s="18" t="str">
        <f>IF(装备表!$O93=0,"xxx",IFERROR(IF(INT(IF($G89=N$2,装备表!$E180,"xxx")/10000)=1,IF($G89=N$2,装备表!$E180,"xxx")&amp;":2,1,1,"&amp;装备表!$O180&amp;";","xxx"),"xxx"))</f>
        <v>xxx</v>
      </c>
    </row>
    <row r="90" spans="5:14" x14ac:dyDescent="0.2">
      <c r="E90" s="18">
        <v>14781</v>
      </c>
      <c r="F90" s="18" t="s">
        <v>246</v>
      </c>
      <c r="G90" s="18">
        <v>2</v>
      </c>
      <c r="H90" s="18" t="str">
        <f>IF(装备表!$O94=0,"xxx",IFERROR(IF(INT(IF($G90=H$2,装备表!$E181,"xxx")/10000)=1,IF($G90=H$2,装备表!$E181,"xxx")&amp;":2,1,1,"&amp;装备表!$O181&amp;";","xxx"),"xxx"))</f>
        <v>xxx</v>
      </c>
      <c r="I90" s="18" t="str">
        <f>IF(装备表!$O94=0,"xxx",IFERROR(IF(INT(IF($G90=I$2,装备表!$E181,"xxx")/10000)=1,IF($G90=I$2,装备表!$E181,"xxx")&amp;":2,1,1,"&amp;装备表!$O181&amp;";","xxx"),"xxx"))</f>
        <v>14781:2,1,1,10;</v>
      </c>
      <c r="J90" s="18" t="str">
        <f>IF(装备表!$O94=0,"xxx",IFERROR(IF(INT(IF($G90=J$2,装备表!$E181,"xxx")/10000)=1,IF($G90=J$2,装备表!$E181,"xxx")&amp;":2,1,1,"&amp;装备表!$O181&amp;";","xxx"),"xxx"))</f>
        <v>xxx</v>
      </c>
      <c r="K90" s="18" t="str">
        <f>IF(装备表!$O94=0,"xxx",IFERROR(IF(INT(IF($G90=K$2,装备表!$E181,"xxx")/10000)=1,IF($G90=K$2,装备表!$E181,"xxx")&amp;":2,1,1,"&amp;装备表!$O181&amp;";","xxx"),"xxx"))</f>
        <v>xxx</v>
      </c>
      <c r="L90" s="18" t="str">
        <f>IF(装备表!$O94=0,"xxx",IFERROR(IF(INT(IF($G90=L$2,装备表!$E181,"xxx")/10000)=1,IF($G90=L$2,装备表!$E181,"xxx")&amp;":2,1,1,"&amp;装备表!$O181&amp;";","xxx"),"xxx"))</f>
        <v>xxx</v>
      </c>
      <c r="M90" s="18" t="str">
        <f>IF(装备表!$O94=0,"xxx",IFERROR(IF(INT(IF($G90=M$2,装备表!$E181,"xxx")/10000)=1,IF($G90=M$2,装备表!$E181,"xxx")&amp;":2,1,1,"&amp;装备表!$O181&amp;";","xxx"),"xxx"))</f>
        <v>xxx</v>
      </c>
      <c r="N90" s="18" t="str">
        <f>IF(装备表!$O94=0,"xxx",IFERROR(IF(INT(IF($G90=N$2,装备表!$E181,"xxx")/10000)=1,IF($G90=N$2,装备表!$E181,"xxx")&amp;":2,1,1,"&amp;装备表!$O181&amp;";","xxx"),"xxx"))</f>
        <v>xxx</v>
      </c>
    </row>
    <row r="91" spans="5:14" x14ac:dyDescent="0.2">
      <c r="E91" s="18">
        <v>14782</v>
      </c>
      <c r="F91" s="18" t="s">
        <v>248</v>
      </c>
      <c r="G91" s="18"/>
      <c r="H91" s="18" t="str">
        <f>IF(装备表!$O95=0,"xxx",IFERROR(IF(INT(IF($G91=H$2,装备表!$E182,"xxx")/10000)=1,IF($G91=H$2,装备表!$E182,"xxx")&amp;":2,1,1,"&amp;装备表!$O182&amp;";","xxx"),"xxx"))</f>
        <v>xxx</v>
      </c>
      <c r="I91" s="18" t="str">
        <f>IF(装备表!$O95=0,"xxx",IFERROR(IF(INT(IF($G91=I$2,装备表!$E182,"xxx")/10000)=1,IF($G91=I$2,装备表!$E182,"xxx")&amp;":2,1,1,"&amp;装备表!$O182&amp;";","xxx"),"xxx"))</f>
        <v>xxx</v>
      </c>
      <c r="J91" s="18" t="str">
        <f>IF(装备表!$O95=0,"xxx",IFERROR(IF(INT(IF($G91=J$2,装备表!$E182,"xxx")/10000)=1,IF($G91=J$2,装备表!$E182,"xxx")&amp;":2,1,1,"&amp;装备表!$O182&amp;";","xxx"),"xxx"))</f>
        <v>xxx</v>
      </c>
      <c r="K91" s="18" t="str">
        <f>IF(装备表!$O95=0,"xxx",IFERROR(IF(INT(IF($G91=K$2,装备表!$E182,"xxx")/10000)=1,IF($G91=K$2,装备表!$E182,"xxx")&amp;":2,1,1,"&amp;装备表!$O182&amp;";","xxx"),"xxx"))</f>
        <v>xxx</v>
      </c>
      <c r="L91" s="18" t="str">
        <f>IF(装备表!$O95=0,"xxx",IFERROR(IF(INT(IF($G91=L$2,装备表!$E182,"xxx")/10000)=1,IF($G91=L$2,装备表!$E182,"xxx")&amp;":2,1,1,"&amp;装备表!$O182&amp;";","xxx"),"xxx"))</f>
        <v>xxx</v>
      </c>
      <c r="M91" s="18" t="str">
        <f>IF(装备表!$O95=0,"xxx",IFERROR(IF(INT(IF($G91=M$2,装备表!$E182,"xxx")/10000)=1,IF($G91=M$2,装备表!$E182,"xxx")&amp;":2,1,1,"&amp;装备表!$O182&amp;";","xxx"),"xxx"))</f>
        <v>14782:2,1,1,10;</v>
      </c>
      <c r="N91" s="18" t="str">
        <f>IF(装备表!$O95=0,"xxx",IFERROR(IF(INT(IF($G91=N$2,装备表!$E182,"xxx")/10000)=1,IF($G91=N$2,装备表!$E182,"xxx")&amp;":2,1,1,"&amp;装备表!$O182&amp;";","xxx"),"xxx"))</f>
        <v>xxx</v>
      </c>
    </row>
    <row r="92" spans="5:14" x14ac:dyDescent="0.2">
      <c r="E92" s="18">
        <v>14783</v>
      </c>
      <c r="F92" s="18" t="s">
        <v>250</v>
      </c>
      <c r="G92" s="18"/>
      <c r="H92" s="18" t="str">
        <f>IF(装备表!$O96=0,"xxx",IFERROR(IF(INT(IF($G92=H$2,装备表!$E183,"xxx")/10000)=1,IF($G92=H$2,装备表!$E183,"xxx")&amp;":2,1,1,"&amp;装备表!$O183&amp;";","xxx"),"xxx"))</f>
        <v>xxx</v>
      </c>
      <c r="I92" s="18" t="str">
        <f>IF(装备表!$O96=0,"xxx",IFERROR(IF(INT(IF($G92=I$2,装备表!$E183,"xxx")/10000)=1,IF($G92=I$2,装备表!$E183,"xxx")&amp;":2,1,1,"&amp;装备表!$O183&amp;";","xxx"),"xxx"))</f>
        <v>xxx</v>
      </c>
      <c r="J92" s="18" t="str">
        <f>IF(装备表!$O96=0,"xxx",IFERROR(IF(INT(IF($G92=J$2,装备表!$E183,"xxx")/10000)=1,IF($G92=J$2,装备表!$E183,"xxx")&amp;":2,1,1,"&amp;装备表!$O183&amp;";","xxx"),"xxx"))</f>
        <v>xxx</v>
      </c>
      <c r="K92" s="18" t="str">
        <f>IF(装备表!$O96=0,"xxx",IFERROR(IF(INT(IF($G92=K$2,装备表!$E183,"xxx")/10000)=1,IF($G92=K$2,装备表!$E183,"xxx")&amp;":2,1,1,"&amp;装备表!$O183&amp;";","xxx"),"xxx"))</f>
        <v>xxx</v>
      </c>
      <c r="L92" s="18" t="str">
        <f>IF(装备表!$O96=0,"xxx",IFERROR(IF(INT(IF($G92=L$2,装备表!$E183,"xxx")/10000)=1,IF($G92=L$2,装备表!$E183,"xxx")&amp;":2,1,1,"&amp;装备表!$O183&amp;";","xxx"),"xxx"))</f>
        <v>xxx</v>
      </c>
      <c r="M92" s="18" t="str">
        <f>IF(装备表!$O96=0,"xxx",IFERROR(IF(INT(IF($G92=M$2,装备表!$E183,"xxx")/10000)=1,IF($G92=M$2,装备表!$E183,"xxx")&amp;":2,1,1,"&amp;装备表!$O183&amp;";","xxx"),"xxx"))</f>
        <v>xxx</v>
      </c>
      <c r="N92" s="18" t="str">
        <f>IF(装备表!$O96=0,"xxx",IFERROR(IF(INT(IF($G92=N$2,装备表!$E183,"xxx")/10000)=1,IF($G92=N$2,装备表!$E183,"xxx")&amp;":2,1,1,"&amp;装备表!$O183&amp;";","xxx"),"xxx"))</f>
        <v>xxx</v>
      </c>
    </row>
    <row r="93" spans="5:14" x14ac:dyDescent="0.2">
      <c r="E93" s="18">
        <v>14784</v>
      </c>
      <c r="F93" s="18" t="s">
        <v>252</v>
      </c>
      <c r="G93" s="18"/>
      <c r="H93" s="18" t="str">
        <f>IF(装备表!$O97=0,"xxx",IFERROR(IF(INT(IF($G93=H$2,装备表!$E184,"xxx")/10000)=1,IF($G93=H$2,装备表!$E184,"xxx")&amp;":2,1,1,"&amp;装备表!$O184&amp;";","xxx"),"xxx"))</f>
        <v>xxx</v>
      </c>
      <c r="I93" s="18" t="str">
        <f>IF(装备表!$O97=0,"xxx",IFERROR(IF(INT(IF($G93=I$2,装备表!$E184,"xxx")/10000)=1,IF($G93=I$2,装备表!$E184,"xxx")&amp;":2,1,1,"&amp;装备表!$O184&amp;";","xxx"),"xxx"))</f>
        <v>xxx</v>
      </c>
      <c r="J93" s="18" t="str">
        <f>IF(装备表!$O97=0,"xxx",IFERROR(IF(INT(IF($G93=J$2,装备表!$E184,"xxx")/10000)=1,IF($G93=J$2,装备表!$E184,"xxx")&amp;":2,1,1,"&amp;装备表!$O184&amp;";","xxx"),"xxx"))</f>
        <v>xxx</v>
      </c>
      <c r="K93" s="18" t="str">
        <f>IF(装备表!$O97=0,"xxx",IFERROR(IF(INT(IF($G93=K$2,装备表!$E184,"xxx")/10000)=1,IF($G93=K$2,装备表!$E184,"xxx")&amp;":2,1,1,"&amp;装备表!$O184&amp;";","xxx"),"xxx"))</f>
        <v>xxx</v>
      </c>
      <c r="L93" s="18" t="str">
        <f>IF(装备表!$O97=0,"xxx",IFERROR(IF(INT(IF($G93=L$2,装备表!$E184,"xxx")/10000)=1,IF($G93=L$2,装备表!$E184,"xxx")&amp;":2,1,1,"&amp;装备表!$O184&amp;";","xxx"),"xxx"))</f>
        <v>xxx</v>
      </c>
      <c r="M93" s="18" t="str">
        <f>IF(装备表!$O97=0,"xxx",IFERROR(IF(INT(IF($G93=M$2,装备表!$E184,"xxx")/10000)=1,IF($G93=M$2,装备表!$E184,"xxx")&amp;":2,1,1,"&amp;装备表!$O184&amp;";","xxx"),"xxx"))</f>
        <v>14784:2,1,1,10;</v>
      </c>
      <c r="N93" s="18" t="str">
        <f>IF(装备表!$O97=0,"xxx",IFERROR(IF(INT(IF($G93=N$2,装备表!$E184,"xxx")/10000)=1,IF($G93=N$2,装备表!$E184,"xxx")&amp;":2,1,1,"&amp;装备表!$O184&amp;";","xxx"),"xxx"))</f>
        <v>xxx</v>
      </c>
    </row>
    <row r="94" spans="5:14" x14ac:dyDescent="0.2">
      <c r="E94" s="18">
        <v>14785</v>
      </c>
      <c r="F94" s="18" t="s">
        <v>3696</v>
      </c>
      <c r="G94" s="18">
        <v>2</v>
      </c>
      <c r="H94" s="18" t="str">
        <f>IF(装备表!$O98=0,"xxx",IFERROR(IF(INT(IF($G94=H$2,装备表!$E185,"xxx")/10000)=1,IF($G94=H$2,装备表!$E185,"xxx")&amp;":2,1,1,"&amp;装备表!$O185&amp;";","xxx"),"xxx"))</f>
        <v>xxx</v>
      </c>
      <c r="I94" s="18" t="str">
        <f>IF(装备表!$O98=0,"xxx",IFERROR(IF(INT(IF($G94=I$2,装备表!$E185,"xxx")/10000)=1,IF($G94=I$2,装备表!$E185,"xxx")&amp;":2,1,1,"&amp;装备表!$O185&amp;";","xxx"),"xxx"))</f>
        <v>14785:2,1,1,10;</v>
      </c>
      <c r="J94" s="18" t="str">
        <f>IF(装备表!$O98=0,"xxx",IFERROR(IF(INT(IF($G94=J$2,装备表!$E185,"xxx")/10000)=1,IF($G94=J$2,装备表!$E185,"xxx")&amp;":2,1,1,"&amp;装备表!$O185&amp;";","xxx"),"xxx"))</f>
        <v>xxx</v>
      </c>
      <c r="K94" s="18" t="str">
        <f>IF(装备表!$O98=0,"xxx",IFERROR(IF(INT(IF($G94=K$2,装备表!$E185,"xxx")/10000)=1,IF($G94=K$2,装备表!$E185,"xxx")&amp;":2,1,1,"&amp;装备表!$O185&amp;";","xxx"),"xxx"))</f>
        <v>xxx</v>
      </c>
      <c r="L94" s="18" t="str">
        <f>IF(装备表!$O98=0,"xxx",IFERROR(IF(INT(IF($G94=L$2,装备表!$E185,"xxx")/10000)=1,IF($G94=L$2,装备表!$E185,"xxx")&amp;":2,1,1,"&amp;装备表!$O185&amp;";","xxx"),"xxx"))</f>
        <v>xxx</v>
      </c>
      <c r="M94" s="18" t="str">
        <f>IF(装备表!$O98=0,"xxx",IFERROR(IF(INT(IF($G94=M$2,装备表!$E185,"xxx")/10000)=1,IF($G94=M$2,装备表!$E185,"xxx")&amp;":2,1,1,"&amp;装备表!$O185&amp;";","xxx"),"xxx"))</f>
        <v>xxx</v>
      </c>
      <c r="N94" s="18" t="str">
        <f>IF(装备表!$O98=0,"xxx",IFERROR(IF(INT(IF($G94=N$2,装备表!$E185,"xxx")/10000)=1,IF($G94=N$2,装备表!$E185,"xxx")&amp;":2,1,1,"&amp;装备表!$O185&amp;";","xxx"),"xxx"))</f>
        <v>xxx</v>
      </c>
    </row>
    <row r="95" spans="5:14" x14ac:dyDescent="0.2">
      <c r="E95" s="18">
        <v>14786</v>
      </c>
      <c r="F95" s="18" t="s">
        <v>255</v>
      </c>
      <c r="G95" s="18">
        <v>5</v>
      </c>
      <c r="H95" s="18" t="str">
        <f>IF(装备表!$O99=0,"xxx",IFERROR(IF(INT(IF($G95=H$2,装备表!$E186,"xxx")/10000)=1,IF($G95=H$2,装备表!$E186,"xxx")&amp;":2,1,1,"&amp;装备表!$O186&amp;";","xxx"),"xxx"))</f>
        <v>xxx</v>
      </c>
      <c r="I95" s="18" t="str">
        <f>IF(装备表!$O99=0,"xxx",IFERROR(IF(INT(IF($G95=I$2,装备表!$E186,"xxx")/10000)=1,IF($G95=I$2,装备表!$E186,"xxx")&amp;":2,1,1,"&amp;装备表!$O186&amp;";","xxx"),"xxx"))</f>
        <v>xxx</v>
      </c>
      <c r="J95" s="18" t="str">
        <f>IF(装备表!$O99=0,"xxx",IFERROR(IF(INT(IF($G95=J$2,装备表!$E186,"xxx")/10000)=1,IF($G95=J$2,装备表!$E186,"xxx")&amp;":2,1,1,"&amp;装备表!$O186&amp;";","xxx"),"xxx"))</f>
        <v>xxx</v>
      </c>
      <c r="K95" s="18" t="str">
        <f>IF(装备表!$O99=0,"xxx",IFERROR(IF(INT(IF($G95=K$2,装备表!$E186,"xxx")/10000)=1,IF($G95=K$2,装备表!$E186,"xxx")&amp;":2,1,1,"&amp;装备表!$O186&amp;";","xxx"),"xxx"))</f>
        <v>xxx</v>
      </c>
      <c r="L95" s="18" t="str">
        <f>IF(装备表!$O99=0,"xxx",IFERROR(IF(INT(IF($G95=L$2,装备表!$E186,"xxx")/10000)=1,IF($G95=L$2,装备表!$E186,"xxx")&amp;":2,1,1,"&amp;装备表!$O186&amp;";","xxx"),"xxx"))</f>
        <v>xxx</v>
      </c>
      <c r="M95" s="18" t="str">
        <f>IF(装备表!$O99=0,"xxx",IFERROR(IF(INT(IF($G95=M$2,装备表!$E186,"xxx")/10000)=1,IF($G95=M$2,装备表!$E186,"xxx")&amp;":2,1,1,"&amp;装备表!$O186&amp;";","xxx"),"xxx"))</f>
        <v>xxx</v>
      </c>
      <c r="N95" s="18" t="str">
        <f>IF(装备表!$O99=0,"xxx",IFERROR(IF(INT(IF($G95=N$2,装备表!$E186,"xxx")/10000)=1,IF($G95=N$2,装备表!$E186,"xxx")&amp;":2,1,1,"&amp;装备表!$O186&amp;";","xxx"),"xxx"))</f>
        <v>xxx</v>
      </c>
    </row>
    <row r="96" spans="5:14" x14ac:dyDescent="0.2">
      <c r="E96" s="18">
        <v>14787</v>
      </c>
      <c r="F96" s="18" t="s">
        <v>3697</v>
      </c>
      <c r="G96" s="18">
        <v>2</v>
      </c>
      <c r="H96" s="18" t="str">
        <f>IF(装备表!$O100=0,"xxx",IFERROR(IF(INT(IF($G96=H$2,装备表!$E187,"xxx")/10000)=1,IF($G96=H$2,装备表!$E187,"xxx")&amp;":2,1,1,"&amp;装备表!$O187&amp;";","xxx"),"xxx"))</f>
        <v>xxx</v>
      </c>
      <c r="I96" s="18" t="str">
        <f>IF(装备表!$O100=0,"xxx",IFERROR(IF(INT(IF($G96=I$2,装备表!$E187,"xxx")/10000)=1,IF($G96=I$2,装备表!$E187,"xxx")&amp;":2,1,1,"&amp;装备表!$O187&amp;";","xxx"),"xxx"))</f>
        <v>14787:2,1,1,10;</v>
      </c>
      <c r="J96" s="18" t="str">
        <f>IF(装备表!$O100=0,"xxx",IFERROR(IF(INT(IF($G96=J$2,装备表!$E187,"xxx")/10000)=1,IF($G96=J$2,装备表!$E187,"xxx")&amp;":2,1,1,"&amp;装备表!$O187&amp;";","xxx"),"xxx"))</f>
        <v>xxx</v>
      </c>
      <c r="K96" s="18" t="str">
        <f>IF(装备表!$O100=0,"xxx",IFERROR(IF(INT(IF($G96=K$2,装备表!$E187,"xxx")/10000)=1,IF($G96=K$2,装备表!$E187,"xxx")&amp;":2,1,1,"&amp;装备表!$O187&amp;";","xxx"),"xxx"))</f>
        <v>xxx</v>
      </c>
      <c r="L96" s="18" t="str">
        <f>IF(装备表!$O100=0,"xxx",IFERROR(IF(INT(IF($G96=L$2,装备表!$E187,"xxx")/10000)=1,IF($G96=L$2,装备表!$E187,"xxx")&amp;":2,1,1,"&amp;装备表!$O187&amp;";","xxx"),"xxx"))</f>
        <v>xxx</v>
      </c>
      <c r="M96" s="18" t="str">
        <f>IF(装备表!$O100=0,"xxx",IFERROR(IF(INT(IF($G96=M$2,装备表!$E187,"xxx")/10000)=1,IF($G96=M$2,装备表!$E187,"xxx")&amp;":2,1,1,"&amp;装备表!$O187&amp;";","xxx"),"xxx"))</f>
        <v>xxx</v>
      </c>
      <c r="N96" s="18" t="str">
        <f>IF(装备表!$O100=0,"xxx",IFERROR(IF(INT(IF($G96=N$2,装备表!$E187,"xxx")/10000)=1,IF($G96=N$2,装备表!$E187,"xxx")&amp;":2,1,1,"&amp;装备表!$O187&amp;";","xxx"),"xxx"))</f>
        <v>xxx</v>
      </c>
    </row>
    <row r="97" spans="5:14" x14ac:dyDescent="0.2">
      <c r="E97" s="18">
        <v>14788</v>
      </c>
      <c r="F97" s="18" t="s">
        <v>258</v>
      </c>
      <c r="G97" s="18">
        <v>3</v>
      </c>
      <c r="H97" s="18" t="str">
        <f>IF(装备表!$O101=0,"xxx",IFERROR(IF(INT(IF($G97=H$2,装备表!$E188,"xxx")/10000)=1,IF($G97=H$2,装备表!$E188,"xxx")&amp;":2,1,1,"&amp;装备表!$O188&amp;";","xxx"),"xxx"))</f>
        <v>xxx</v>
      </c>
      <c r="I97" s="18" t="str">
        <f>IF(装备表!$O101=0,"xxx",IFERROR(IF(INT(IF($G97=I$2,装备表!$E188,"xxx")/10000)=1,IF($G97=I$2,装备表!$E188,"xxx")&amp;":2,1,1,"&amp;装备表!$O188&amp;";","xxx"),"xxx"))</f>
        <v>xxx</v>
      </c>
      <c r="J97" s="18" t="str">
        <f>IF(装备表!$O101=0,"xxx",IFERROR(IF(INT(IF($G97=J$2,装备表!$E188,"xxx")/10000)=1,IF($G97=J$2,装备表!$E188,"xxx")&amp;":2,1,1,"&amp;装备表!$O188&amp;";","xxx"),"xxx"))</f>
        <v>14788:2,1,1,10;</v>
      </c>
      <c r="K97" s="18" t="str">
        <f>IF(装备表!$O101=0,"xxx",IFERROR(IF(INT(IF($G97=K$2,装备表!$E188,"xxx")/10000)=1,IF($G97=K$2,装备表!$E188,"xxx")&amp;":2,1,1,"&amp;装备表!$O188&amp;";","xxx"),"xxx"))</f>
        <v>xxx</v>
      </c>
      <c r="L97" s="18" t="str">
        <f>IF(装备表!$O101=0,"xxx",IFERROR(IF(INT(IF($G97=L$2,装备表!$E188,"xxx")/10000)=1,IF($G97=L$2,装备表!$E188,"xxx")&amp;":2,1,1,"&amp;装备表!$O188&amp;";","xxx"),"xxx"))</f>
        <v>xxx</v>
      </c>
      <c r="M97" s="18" t="str">
        <f>IF(装备表!$O101=0,"xxx",IFERROR(IF(INT(IF($G97=M$2,装备表!$E188,"xxx")/10000)=1,IF($G97=M$2,装备表!$E188,"xxx")&amp;":2,1,1,"&amp;装备表!$O188&amp;";","xxx"),"xxx"))</f>
        <v>xxx</v>
      </c>
      <c r="N97" s="18" t="str">
        <f>IF(装备表!$O101=0,"xxx",IFERROR(IF(INT(IF($G97=N$2,装备表!$E188,"xxx")/10000)=1,IF($G97=N$2,装备表!$E188,"xxx")&amp;":2,1,1,"&amp;装备表!$O188&amp;";","xxx"),"xxx"))</f>
        <v>xxx</v>
      </c>
    </row>
    <row r="98" spans="5:14" x14ac:dyDescent="0.2">
      <c r="E98" s="18">
        <v>14789</v>
      </c>
      <c r="F98" s="18" t="s">
        <v>260</v>
      </c>
      <c r="G98" s="18"/>
      <c r="H98" s="18" t="str">
        <f>IF(装备表!$O102=0,"xxx",IFERROR(IF(INT(IF($G98=H$2,装备表!$E189,"xxx")/10000)=1,IF($G98=H$2,装备表!$E189,"xxx")&amp;":2,1,1,"&amp;装备表!$O189&amp;";","xxx"),"xxx"))</f>
        <v>xxx</v>
      </c>
      <c r="I98" s="18" t="str">
        <f>IF(装备表!$O102=0,"xxx",IFERROR(IF(INT(IF($G98=I$2,装备表!$E189,"xxx")/10000)=1,IF($G98=I$2,装备表!$E189,"xxx")&amp;":2,1,1,"&amp;装备表!$O189&amp;";","xxx"),"xxx"))</f>
        <v>xxx</v>
      </c>
      <c r="J98" s="18" t="str">
        <f>IF(装备表!$O102=0,"xxx",IFERROR(IF(INT(IF($G98=J$2,装备表!$E189,"xxx")/10000)=1,IF($G98=J$2,装备表!$E189,"xxx")&amp;":2,1,1,"&amp;装备表!$O189&amp;";","xxx"),"xxx"))</f>
        <v>xxx</v>
      </c>
      <c r="K98" s="18" t="str">
        <f>IF(装备表!$O102=0,"xxx",IFERROR(IF(INT(IF($G98=K$2,装备表!$E189,"xxx")/10000)=1,IF($G98=K$2,装备表!$E189,"xxx")&amp;":2,1,1,"&amp;装备表!$O189&amp;";","xxx"),"xxx"))</f>
        <v>xxx</v>
      </c>
      <c r="L98" s="18" t="str">
        <f>IF(装备表!$O102=0,"xxx",IFERROR(IF(INT(IF($G98=L$2,装备表!$E189,"xxx")/10000)=1,IF($G98=L$2,装备表!$E189,"xxx")&amp;":2,1,1,"&amp;装备表!$O189&amp;";","xxx"),"xxx"))</f>
        <v>xxx</v>
      </c>
      <c r="M98" s="18" t="str">
        <f>IF(装备表!$O102=0,"xxx",IFERROR(IF(INT(IF($G98=M$2,装备表!$E189,"xxx")/10000)=1,IF($G98=M$2,装备表!$E189,"xxx")&amp;":2,1,1,"&amp;装备表!$O189&amp;";","xxx"),"xxx"))</f>
        <v>14789:2,1,1,10;</v>
      </c>
      <c r="N98" s="18" t="str">
        <f>IF(装备表!$O102=0,"xxx",IFERROR(IF(INT(IF($G98=N$2,装备表!$E189,"xxx")/10000)=1,IF($G98=N$2,装备表!$E189,"xxx")&amp;":2,1,1,"&amp;装备表!$O189&amp;";","xxx"),"xxx"))</f>
        <v>xxx</v>
      </c>
    </row>
    <row r="99" spans="5:14" x14ac:dyDescent="0.2">
      <c r="E99" s="18">
        <v>14790</v>
      </c>
      <c r="F99" s="18" t="s">
        <v>3698</v>
      </c>
      <c r="G99" s="18"/>
      <c r="H99" s="18" t="str">
        <f>IF(装备表!$O103=0,"xxx",IFERROR(IF(INT(IF($G99=H$2,装备表!$E190,"xxx")/10000)=1,IF($G99=H$2,装备表!$E190,"xxx")&amp;":2,1,1,"&amp;装备表!$O190&amp;";","xxx"),"xxx"))</f>
        <v>xxx</v>
      </c>
      <c r="I99" s="18" t="str">
        <f>IF(装备表!$O103=0,"xxx",IFERROR(IF(INT(IF($G99=I$2,装备表!$E190,"xxx")/10000)=1,IF($G99=I$2,装备表!$E190,"xxx")&amp;":2,1,1,"&amp;装备表!$O190&amp;";","xxx"),"xxx"))</f>
        <v>xxx</v>
      </c>
      <c r="J99" s="18" t="str">
        <f>IF(装备表!$O103=0,"xxx",IFERROR(IF(INT(IF($G99=J$2,装备表!$E190,"xxx")/10000)=1,IF($G99=J$2,装备表!$E190,"xxx")&amp;":2,1,1,"&amp;装备表!$O190&amp;";","xxx"),"xxx"))</f>
        <v>xxx</v>
      </c>
      <c r="K99" s="18" t="str">
        <f>IF(装备表!$O103=0,"xxx",IFERROR(IF(INT(IF($G99=K$2,装备表!$E190,"xxx")/10000)=1,IF($G99=K$2,装备表!$E190,"xxx")&amp;":2,1,1,"&amp;装备表!$O190&amp;";","xxx"),"xxx"))</f>
        <v>xxx</v>
      </c>
      <c r="L99" s="18" t="str">
        <f>IF(装备表!$O103=0,"xxx",IFERROR(IF(INT(IF($G99=L$2,装备表!$E190,"xxx")/10000)=1,IF($G99=L$2,装备表!$E190,"xxx")&amp;":2,1,1,"&amp;装备表!$O190&amp;";","xxx"),"xxx"))</f>
        <v>xxx</v>
      </c>
      <c r="M99" s="18" t="str">
        <f>IF(装备表!$O103=0,"xxx",IFERROR(IF(INT(IF($G99=M$2,装备表!$E190,"xxx")/10000)=1,IF($G99=M$2,装备表!$E190,"xxx")&amp;":2,1,1,"&amp;装备表!$O190&amp;";","xxx"),"xxx"))</f>
        <v>14790:2,1,1,10;</v>
      </c>
      <c r="N99" s="18" t="str">
        <f>IF(装备表!$O103=0,"xxx",IFERROR(IF(INT(IF($G99=N$2,装备表!$E190,"xxx")/10000)=1,IF($G99=N$2,装备表!$E190,"xxx")&amp;":2,1,1,"&amp;装备表!$O190&amp;";","xxx"),"xxx"))</f>
        <v>xxx</v>
      </c>
    </row>
    <row r="100" spans="5:14" x14ac:dyDescent="0.2">
      <c r="E100" s="18">
        <v>14791</v>
      </c>
      <c r="F100" s="18" t="s">
        <v>3699</v>
      </c>
      <c r="G100" s="18"/>
      <c r="H100" s="18" t="str">
        <f>IF(装备表!$O104=0,"xxx",IFERROR(IF(INT(IF($G100=H$2,装备表!$E191,"xxx")/10000)=1,IF($G100=H$2,装备表!$E191,"xxx")&amp;":2,1,1,"&amp;装备表!$O191&amp;";","xxx"),"xxx"))</f>
        <v>xxx</v>
      </c>
      <c r="I100" s="18" t="str">
        <f>IF(装备表!$O104=0,"xxx",IFERROR(IF(INT(IF($G100=I$2,装备表!$E191,"xxx")/10000)=1,IF($G100=I$2,装备表!$E191,"xxx")&amp;":2,1,1,"&amp;装备表!$O191&amp;";","xxx"),"xxx"))</f>
        <v>xxx</v>
      </c>
      <c r="J100" s="18" t="str">
        <f>IF(装备表!$O104=0,"xxx",IFERROR(IF(INT(IF($G100=J$2,装备表!$E191,"xxx")/10000)=1,IF($G100=J$2,装备表!$E191,"xxx")&amp;":2,1,1,"&amp;装备表!$O191&amp;";","xxx"),"xxx"))</f>
        <v>xxx</v>
      </c>
      <c r="K100" s="18" t="str">
        <f>IF(装备表!$O104=0,"xxx",IFERROR(IF(INT(IF($G100=K$2,装备表!$E191,"xxx")/10000)=1,IF($G100=K$2,装备表!$E191,"xxx")&amp;":2,1,1,"&amp;装备表!$O191&amp;";","xxx"),"xxx"))</f>
        <v>xxx</v>
      </c>
      <c r="L100" s="18" t="str">
        <f>IF(装备表!$O104=0,"xxx",IFERROR(IF(INT(IF($G100=L$2,装备表!$E191,"xxx")/10000)=1,IF($G100=L$2,装备表!$E191,"xxx")&amp;":2,1,1,"&amp;装备表!$O191&amp;";","xxx"),"xxx"))</f>
        <v>xxx</v>
      </c>
      <c r="M100" s="18" t="str">
        <f>IF(装备表!$O104=0,"xxx",IFERROR(IF(INT(IF($G100=M$2,装备表!$E191,"xxx")/10000)=1,IF($G100=M$2,装备表!$E191,"xxx")&amp;":2,1,1,"&amp;装备表!$O191&amp;";","xxx"),"xxx"))</f>
        <v>14791:2,1,1,10;</v>
      </c>
      <c r="N100" s="18" t="str">
        <f>IF(装备表!$O104=0,"xxx",IFERROR(IF(INT(IF($G100=N$2,装备表!$E191,"xxx")/10000)=1,IF($G100=N$2,装备表!$E191,"xxx")&amp;":2,1,1,"&amp;装备表!$O191&amp;";","xxx"),"xxx"))</f>
        <v>xxx</v>
      </c>
    </row>
    <row r="101" spans="5:14" x14ac:dyDescent="0.2">
      <c r="E101" s="18">
        <v>14792</v>
      </c>
      <c r="F101" s="18" t="s">
        <v>262</v>
      </c>
      <c r="G101" s="18"/>
      <c r="H101" s="18" t="str">
        <f>IF(装备表!$O105=0,"xxx",IFERROR(IF(INT(IF($G101=H$2,装备表!$E192,"xxx")/10000)=1,IF($G101=H$2,装备表!$E192,"xxx")&amp;":2,1,1,"&amp;装备表!$O192&amp;";","xxx"),"xxx"))</f>
        <v>xxx</v>
      </c>
      <c r="I101" s="18" t="str">
        <f>IF(装备表!$O105=0,"xxx",IFERROR(IF(INT(IF($G101=I$2,装备表!$E192,"xxx")/10000)=1,IF($G101=I$2,装备表!$E192,"xxx")&amp;":2,1,1,"&amp;装备表!$O192&amp;";","xxx"),"xxx"))</f>
        <v>xxx</v>
      </c>
      <c r="J101" s="18" t="str">
        <f>IF(装备表!$O105=0,"xxx",IFERROR(IF(INT(IF($G101=J$2,装备表!$E192,"xxx")/10000)=1,IF($G101=J$2,装备表!$E192,"xxx")&amp;":2,1,1,"&amp;装备表!$O192&amp;";","xxx"),"xxx"))</f>
        <v>xxx</v>
      </c>
      <c r="K101" s="18" t="str">
        <f>IF(装备表!$O105=0,"xxx",IFERROR(IF(INT(IF($G101=K$2,装备表!$E192,"xxx")/10000)=1,IF($G101=K$2,装备表!$E192,"xxx")&amp;":2,1,1,"&amp;装备表!$O192&amp;";","xxx"),"xxx"))</f>
        <v>xxx</v>
      </c>
      <c r="L101" s="18" t="str">
        <f>IF(装备表!$O105=0,"xxx",IFERROR(IF(INT(IF($G101=L$2,装备表!$E192,"xxx")/10000)=1,IF($G101=L$2,装备表!$E192,"xxx")&amp;":2,1,1,"&amp;装备表!$O192&amp;";","xxx"),"xxx"))</f>
        <v>xxx</v>
      </c>
      <c r="M101" s="18" t="str">
        <f>IF(装备表!$O105=0,"xxx",IFERROR(IF(INT(IF($G101=M$2,装备表!$E192,"xxx")/10000)=1,IF($G101=M$2,装备表!$E192,"xxx")&amp;":2,1,1,"&amp;装备表!$O192&amp;";","xxx"),"xxx"))</f>
        <v>14792:2,1,1,10;</v>
      </c>
      <c r="N101" s="18" t="str">
        <f>IF(装备表!$O105=0,"xxx",IFERROR(IF(INT(IF($G101=N$2,装备表!$E192,"xxx")/10000)=1,IF($G101=N$2,装备表!$E192,"xxx")&amp;":2,1,1,"&amp;装备表!$O192&amp;";","xxx"),"xxx"))</f>
        <v>xxx</v>
      </c>
    </row>
    <row r="102" spans="5:14" x14ac:dyDescent="0.2">
      <c r="E102" s="18">
        <v>14793</v>
      </c>
      <c r="F102" s="18" t="s">
        <v>264</v>
      </c>
      <c r="G102" s="18"/>
      <c r="H102" s="18" t="str">
        <f>IF(装备表!$O106=0,"xxx",IFERROR(IF(INT(IF($G102=H$2,装备表!$E193,"xxx")/10000)=1,IF($G102=H$2,装备表!$E193,"xxx")&amp;":2,1,1,"&amp;装备表!$O193&amp;";","xxx"),"xxx"))</f>
        <v>xxx</v>
      </c>
      <c r="I102" s="18" t="str">
        <f>IF(装备表!$O106=0,"xxx",IFERROR(IF(INT(IF($G102=I$2,装备表!$E193,"xxx")/10000)=1,IF($G102=I$2,装备表!$E193,"xxx")&amp;":2,1,1,"&amp;装备表!$O193&amp;";","xxx"),"xxx"))</f>
        <v>xxx</v>
      </c>
      <c r="J102" s="18" t="str">
        <f>IF(装备表!$O106=0,"xxx",IFERROR(IF(INT(IF($G102=J$2,装备表!$E193,"xxx")/10000)=1,IF($G102=J$2,装备表!$E193,"xxx")&amp;":2,1,1,"&amp;装备表!$O193&amp;";","xxx"),"xxx"))</f>
        <v>xxx</v>
      </c>
      <c r="K102" s="18" t="str">
        <f>IF(装备表!$O106=0,"xxx",IFERROR(IF(INT(IF($G102=K$2,装备表!$E193,"xxx")/10000)=1,IF($G102=K$2,装备表!$E193,"xxx")&amp;":2,1,1,"&amp;装备表!$O193&amp;";","xxx"),"xxx"))</f>
        <v>xxx</v>
      </c>
      <c r="L102" s="18" t="str">
        <f>IF(装备表!$O106=0,"xxx",IFERROR(IF(INT(IF($G102=L$2,装备表!$E193,"xxx")/10000)=1,IF($G102=L$2,装备表!$E193,"xxx")&amp;":2,1,1,"&amp;装备表!$O193&amp;";","xxx"),"xxx"))</f>
        <v>xxx</v>
      </c>
      <c r="M102" s="18" t="str">
        <f>IF(装备表!$O106=0,"xxx",IFERROR(IF(INT(IF($G102=M$2,装备表!$E193,"xxx")/10000)=1,IF($G102=M$2,装备表!$E193,"xxx")&amp;":2,1,1,"&amp;装备表!$O193&amp;";","xxx"),"xxx"))</f>
        <v>14793:2,1,1,10;</v>
      </c>
      <c r="N102" s="18" t="str">
        <f>IF(装备表!$O106=0,"xxx",IFERROR(IF(INT(IF($G102=N$2,装备表!$E193,"xxx")/10000)=1,IF($G102=N$2,装备表!$E193,"xxx")&amp;":2,1,1,"&amp;装备表!$O193&amp;";","xxx"),"xxx"))</f>
        <v>xxx</v>
      </c>
    </row>
    <row r="103" spans="5:14" x14ac:dyDescent="0.2">
      <c r="E103" s="18">
        <v>14794</v>
      </c>
      <c r="F103" s="18" t="s">
        <v>266</v>
      </c>
      <c r="G103" s="18">
        <v>5</v>
      </c>
      <c r="H103" s="18" t="str">
        <f>IF(装备表!$O107=0,"xxx",IFERROR(IF(INT(IF($G103=H$2,装备表!$E194,"xxx")/10000)=1,IF($G103=H$2,装备表!$E194,"xxx")&amp;":2,1,1,"&amp;装备表!$O194&amp;";","xxx"),"xxx"))</f>
        <v>xxx</v>
      </c>
      <c r="I103" s="18" t="str">
        <f>IF(装备表!$O107=0,"xxx",IFERROR(IF(INT(IF($G103=I$2,装备表!$E194,"xxx")/10000)=1,IF($G103=I$2,装备表!$E194,"xxx")&amp;":2,1,1,"&amp;装备表!$O194&amp;";","xxx"),"xxx"))</f>
        <v>xxx</v>
      </c>
      <c r="J103" s="18" t="str">
        <f>IF(装备表!$O107=0,"xxx",IFERROR(IF(INT(IF($G103=J$2,装备表!$E194,"xxx")/10000)=1,IF($G103=J$2,装备表!$E194,"xxx")&amp;":2,1,1,"&amp;装备表!$O194&amp;";","xxx"),"xxx"))</f>
        <v>xxx</v>
      </c>
      <c r="K103" s="18" t="str">
        <f>IF(装备表!$O107=0,"xxx",IFERROR(IF(INT(IF($G103=K$2,装备表!$E194,"xxx")/10000)=1,IF($G103=K$2,装备表!$E194,"xxx")&amp;":2,1,1,"&amp;装备表!$O194&amp;";","xxx"),"xxx"))</f>
        <v>xxx</v>
      </c>
      <c r="L103" s="18" t="str">
        <f>IF(装备表!$O107=0,"xxx",IFERROR(IF(INT(IF($G103=L$2,装备表!$E194,"xxx")/10000)=1,IF($G103=L$2,装备表!$E194,"xxx")&amp;":2,1,1,"&amp;装备表!$O194&amp;";","xxx"),"xxx"))</f>
        <v>14794:2,1,1,10;</v>
      </c>
      <c r="M103" s="18" t="str">
        <f>IF(装备表!$O107=0,"xxx",IFERROR(IF(INT(IF($G103=M$2,装备表!$E194,"xxx")/10000)=1,IF($G103=M$2,装备表!$E194,"xxx")&amp;":2,1,1,"&amp;装备表!$O194&amp;";","xxx"),"xxx"))</f>
        <v>xxx</v>
      </c>
      <c r="N103" s="18" t="str">
        <f>IF(装备表!$O107=0,"xxx",IFERROR(IF(INT(IF($G103=N$2,装备表!$E194,"xxx")/10000)=1,IF($G103=N$2,装备表!$E194,"xxx")&amp;":2,1,1,"&amp;装备表!$O194&amp;";","xxx"),"xxx"))</f>
        <v>xxx</v>
      </c>
    </row>
    <row r="104" spans="5:14" x14ac:dyDescent="0.2">
      <c r="E104" s="18">
        <v>14795</v>
      </c>
      <c r="F104" s="18" t="s">
        <v>268</v>
      </c>
      <c r="G104" s="18">
        <v>3</v>
      </c>
      <c r="H104" s="18" t="str">
        <f>IF(装备表!$O108=0,"xxx",IFERROR(IF(INT(IF($G104=H$2,装备表!$E195,"xxx")/10000)=1,IF($G104=H$2,装备表!$E195,"xxx")&amp;":2,1,1,"&amp;装备表!$O195&amp;";","xxx"),"xxx"))</f>
        <v>xxx</v>
      </c>
      <c r="I104" s="18" t="str">
        <f>IF(装备表!$O108=0,"xxx",IFERROR(IF(INT(IF($G104=I$2,装备表!$E195,"xxx")/10000)=1,IF($G104=I$2,装备表!$E195,"xxx")&amp;":2,1,1,"&amp;装备表!$O195&amp;";","xxx"),"xxx"))</f>
        <v>xxx</v>
      </c>
      <c r="J104" s="18" t="str">
        <f>IF(装备表!$O108=0,"xxx",IFERROR(IF(INT(IF($G104=J$2,装备表!$E195,"xxx")/10000)=1,IF($G104=J$2,装备表!$E195,"xxx")&amp;":2,1,1,"&amp;装备表!$O195&amp;";","xxx"),"xxx"))</f>
        <v>14795:2,1,1,10;</v>
      </c>
      <c r="K104" s="18" t="str">
        <f>IF(装备表!$O108=0,"xxx",IFERROR(IF(INT(IF($G104=K$2,装备表!$E195,"xxx")/10000)=1,IF($G104=K$2,装备表!$E195,"xxx")&amp;":2,1,1,"&amp;装备表!$O195&amp;";","xxx"),"xxx"))</f>
        <v>xxx</v>
      </c>
      <c r="L104" s="18" t="str">
        <f>IF(装备表!$O108=0,"xxx",IFERROR(IF(INT(IF($G104=L$2,装备表!$E195,"xxx")/10000)=1,IF($G104=L$2,装备表!$E195,"xxx")&amp;":2,1,1,"&amp;装备表!$O195&amp;";","xxx"),"xxx"))</f>
        <v>xxx</v>
      </c>
      <c r="M104" s="18" t="str">
        <f>IF(装备表!$O108=0,"xxx",IFERROR(IF(INT(IF($G104=M$2,装备表!$E195,"xxx")/10000)=1,IF($G104=M$2,装备表!$E195,"xxx")&amp;":2,1,1,"&amp;装备表!$O195&amp;";","xxx"),"xxx"))</f>
        <v>xxx</v>
      </c>
      <c r="N104" s="18" t="str">
        <f>IF(装备表!$O108=0,"xxx",IFERROR(IF(INT(IF($G104=N$2,装备表!$E195,"xxx")/10000)=1,IF($G104=N$2,装备表!$E195,"xxx")&amp;":2,1,1,"&amp;装备表!$O195&amp;";","xxx"),"xxx"))</f>
        <v>xxx</v>
      </c>
    </row>
    <row r="105" spans="5:14" x14ac:dyDescent="0.2">
      <c r="E105" s="18">
        <v>14796</v>
      </c>
      <c r="F105" s="18" t="s">
        <v>270</v>
      </c>
      <c r="G105" s="18"/>
      <c r="H105" s="18" t="str">
        <f>IF(装备表!$O109=0,"xxx",IFERROR(IF(INT(IF($G105=H$2,装备表!$E196,"xxx")/10000)=1,IF($G105=H$2,装备表!$E196,"xxx")&amp;":2,1,1,"&amp;装备表!$O196&amp;";","xxx"),"xxx"))</f>
        <v>xxx</v>
      </c>
      <c r="I105" s="18" t="str">
        <f>IF(装备表!$O109=0,"xxx",IFERROR(IF(INT(IF($G105=I$2,装备表!$E196,"xxx")/10000)=1,IF($G105=I$2,装备表!$E196,"xxx")&amp;":2,1,1,"&amp;装备表!$O196&amp;";","xxx"),"xxx"))</f>
        <v>xxx</v>
      </c>
      <c r="J105" s="18" t="str">
        <f>IF(装备表!$O109=0,"xxx",IFERROR(IF(INT(IF($G105=J$2,装备表!$E196,"xxx")/10000)=1,IF($G105=J$2,装备表!$E196,"xxx")&amp;":2,1,1,"&amp;装备表!$O196&amp;";","xxx"),"xxx"))</f>
        <v>xxx</v>
      </c>
      <c r="K105" s="18" t="str">
        <f>IF(装备表!$O109=0,"xxx",IFERROR(IF(INT(IF($G105=K$2,装备表!$E196,"xxx")/10000)=1,IF($G105=K$2,装备表!$E196,"xxx")&amp;":2,1,1,"&amp;装备表!$O196&amp;";","xxx"),"xxx"))</f>
        <v>xxx</v>
      </c>
      <c r="L105" s="18" t="str">
        <f>IF(装备表!$O109=0,"xxx",IFERROR(IF(INT(IF($G105=L$2,装备表!$E196,"xxx")/10000)=1,IF($G105=L$2,装备表!$E196,"xxx")&amp;":2,1,1,"&amp;装备表!$O196&amp;";","xxx"),"xxx"))</f>
        <v>xxx</v>
      </c>
      <c r="M105" s="18" t="str">
        <f>IF(装备表!$O109=0,"xxx",IFERROR(IF(INT(IF($G105=M$2,装备表!$E196,"xxx")/10000)=1,IF($G105=M$2,装备表!$E196,"xxx")&amp;":2,1,1,"&amp;装备表!$O196&amp;";","xxx"),"xxx"))</f>
        <v>14796:2,1,1,10;</v>
      </c>
      <c r="N105" s="18" t="str">
        <f>IF(装备表!$O109=0,"xxx",IFERROR(IF(INT(IF($G105=N$2,装备表!$E196,"xxx")/10000)=1,IF($G105=N$2,装备表!$E196,"xxx")&amp;":2,1,1,"&amp;装备表!$O196&amp;";","xxx"),"xxx"))</f>
        <v>xxx</v>
      </c>
    </row>
    <row r="106" spans="5:14" x14ac:dyDescent="0.2">
      <c r="E106" s="18">
        <v>14797</v>
      </c>
      <c r="F106" s="18" t="s">
        <v>272</v>
      </c>
      <c r="G106" s="18">
        <v>-99</v>
      </c>
      <c r="H106" s="18" t="str">
        <f>IF(装备表!$O110=0,"xxx",IFERROR(IF(INT(IF($G106=H$2,装备表!#REF!,"xxx")/10000)=1,IF($G106=H$2,装备表!#REF!,"xxx")&amp;":2,1,1,"&amp;装备表!#REF!&amp;";","xxx"),"xxx"))</f>
        <v>xxx</v>
      </c>
      <c r="I106" s="18" t="str">
        <f>IF(装备表!$O110=0,"xxx",IFERROR(IF(INT(IF($G106=I$2,装备表!#REF!,"xxx")/10000)=1,IF($G106=I$2,装备表!#REF!,"xxx")&amp;":2,1,1,"&amp;装备表!#REF!&amp;";","xxx"),"xxx"))</f>
        <v>xxx</v>
      </c>
      <c r="J106" s="18" t="str">
        <f>IF(装备表!$O110=0,"xxx",IFERROR(IF(INT(IF($G106=J$2,装备表!#REF!,"xxx")/10000)=1,IF($G106=J$2,装备表!#REF!,"xxx")&amp;":2,1,1,"&amp;装备表!#REF!&amp;";","xxx"),"xxx"))</f>
        <v>xxx</v>
      </c>
      <c r="K106" s="18" t="str">
        <f>IF(装备表!$O110=0,"xxx",IFERROR(IF(INT(IF($G106=K$2,装备表!#REF!,"xxx")/10000)=1,IF($G106=K$2,装备表!#REF!,"xxx")&amp;":2,1,1,"&amp;装备表!#REF!&amp;";","xxx"),"xxx"))</f>
        <v>xxx</v>
      </c>
      <c r="L106" s="18" t="str">
        <f>IF(装备表!$O110=0,"xxx",IFERROR(IF(INT(IF($G106=L$2,装备表!#REF!,"xxx")/10000)=1,IF($G106=L$2,装备表!#REF!,"xxx")&amp;":2,1,1,"&amp;装备表!#REF!&amp;";","xxx"),"xxx"))</f>
        <v>xxx</v>
      </c>
      <c r="M106" s="18" t="str">
        <f>IF(装备表!$O110=0,"xxx",IFERROR(IF(INT(IF($G106=M$2,装备表!#REF!,"xxx")/10000)=1,IF($G106=M$2,装备表!#REF!,"xxx")&amp;":2,1,1,"&amp;装备表!#REF!&amp;";","xxx"),"xxx"))</f>
        <v>xxx</v>
      </c>
      <c r="N106" s="18" t="str">
        <f>IF(装备表!$O110=0,"xxx",IFERROR(IF(INT(IF($G106=N$2,装备表!#REF!,"xxx")/10000)=1,IF($G106=N$2,装备表!#REF!,"xxx")&amp;":2,1,1,"&amp;装备表!#REF!&amp;";","xxx"),"xxx"))</f>
        <v>xxx</v>
      </c>
    </row>
    <row r="107" spans="5:14" x14ac:dyDescent="0.2">
      <c r="E107" s="18">
        <v>14798</v>
      </c>
      <c r="F107" s="18" t="s">
        <v>273</v>
      </c>
      <c r="G107" s="18"/>
      <c r="H107" s="18" t="str">
        <f>IF(装备表!$O111=0,"xxx",IFERROR(IF(INT(IF($G107=H$2,装备表!$E197,"xxx")/10000)=1,IF($G107=H$2,装备表!$E197,"xxx")&amp;":2,1,1,"&amp;装备表!$O197&amp;";","xxx"),"xxx"))</f>
        <v>xxx</v>
      </c>
      <c r="I107" s="18" t="str">
        <f>IF(装备表!$O111=0,"xxx",IFERROR(IF(INT(IF($G107=I$2,装备表!$E197,"xxx")/10000)=1,IF($G107=I$2,装备表!$E197,"xxx")&amp;":2,1,1,"&amp;装备表!$O197&amp;";","xxx"),"xxx"))</f>
        <v>xxx</v>
      </c>
      <c r="J107" s="18" t="str">
        <f>IF(装备表!$O111=0,"xxx",IFERROR(IF(INT(IF($G107=J$2,装备表!$E197,"xxx")/10000)=1,IF($G107=J$2,装备表!$E197,"xxx")&amp;":2,1,1,"&amp;装备表!$O197&amp;";","xxx"),"xxx"))</f>
        <v>xxx</v>
      </c>
      <c r="K107" s="18" t="str">
        <f>IF(装备表!$O111=0,"xxx",IFERROR(IF(INT(IF($G107=K$2,装备表!$E197,"xxx")/10000)=1,IF($G107=K$2,装备表!$E197,"xxx")&amp;":2,1,1,"&amp;装备表!$O197&amp;";","xxx"),"xxx"))</f>
        <v>xxx</v>
      </c>
      <c r="L107" s="18" t="str">
        <f>IF(装备表!$O111=0,"xxx",IFERROR(IF(INT(IF($G107=L$2,装备表!$E197,"xxx")/10000)=1,IF($G107=L$2,装备表!$E197,"xxx")&amp;":2,1,1,"&amp;装备表!$O197&amp;";","xxx"),"xxx"))</f>
        <v>xxx</v>
      </c>
      <c r="M107" s="18" t="str">
        <f>IF(装备表!$O111=0,"xxx",IFERROR(IF(INT(IF($G107=M$2,装备表!$E197,"xxx")/10000)=1,IF($G107=M$2,装备表!$E197,"xxx")&amp;":2,1,1,"&amp;装备表!$O197&amp;";","xxx"),"xxx"))</f>
        <v>14798:2,1,1,10;</v>
      </c>
      <c r="N107" s="18" t="str">
        <f>IF(装备表!$O111=0,"xxx",IFERROR(IF(INT(IF($G107=N$2,装备表!$E197,"xxx")/10000)=1,IF($G107=N$2,装备表!$E197,"xxx")&amp;":2,1,1,"&amp;装备表!$O197&amp;";","xxx"),"xxx"))</f>
        <v>xxx</v>
      </c>
    </row>
    <row r="108" spans="5:14" x14ac:dyDescent="0.2">
      <c r="E108" s="18">
        <v>14799</v>
      </c>
      <c r="F108" s="18" t="s">
        <v>3700</v>
      </c>
      <c r="G108" s="18"/>
      <c r="H108" s="18" t="e">
        <f>IF(装备表!#REF!=0,"xxx",IFERROR(IF(INT(IF($G108=H$2,装备表!$E198,"xxx")/10000)=1,IF($G108=H$2,装备表!$E198,"xxx")&amp;":2,1,1,"&amp;装备表!$O198&amp;";","xxx"),"xxx"))</f>
        <v>#REF!</v>
      </c>
      <c r="I108" s="18" t="e">
        <f>IF(装备表!#REF!=0,"xxx",IFERROR(IF(INT(IF($G108=I$2,装备表!$E198,"xxx")/10000)=1,IF($G108=I$2,装备表!$E198,"xxx")&amp;":2,1,1,"&amp;装备表!$O198&amp;";","xxx"),"xxx"))</f>
        <v>#REF!</v>
      </c>
      <c r="J108" s="18" t="e">
        <f>IF(装备表!#REF!=0,"xxx",IFERROR(IF(INT(IF($G108=J$2,装备表!$E198,"xxx")/10000)=1,IF($G108=J$2,装备表!$E198,"xxx")&amp;":2,1,1,"&amp;装备表!$O198&amp;";","xxx"),"xxx"))</f>
        <v>#REF!</v>
      </c>
      <c r="K108" s="18" t="e">
        <f>IF(装备表!#REF!=0,"xxx",IFERROR(IF(INT(IF($G108=K$2,装备表!$E198,"xxx")/10000)=1,IF($G108=K$2,装备表!$E198,"xxx")&amp;":2,1,1,"&amp;装备表!$O198&amp;";","xxx"),"xxx"))</f>
        <v>#REF!</v>
      </c>
      <c r="L108" s="18" t="e">
        <f>IF(装备表!#REF!=0,"xxx",IFERROR(IF(INT(IF($G108=L$2,装备表!$E198,"xxx")/10000)=1,IF($G108=L$2,装备表!$E198,"xxx")&amp;":2,1,1,"&amp;装备表!$O198&amp;";","xxx"),"xxx"))</f>
        <v>#REF!</v>
      </c>
      <c r="M108" s="18" t="e">
        <f>IF(装备表!#REF!=0,"xxx",IFERROR(IF(INT(IF($G108=M$2,装备表!$E198,"xxx")/10000)=1,IF($G108=M$2,装备表!$E198,"xxx")&amp;":2,1,1,"&amp;装备表!$O198&amp;";","xxx"),"xxx"))</f>
        <v>#REF!</v>
      </c>
      <c r="N108" s="18" t="e">
        <f>IF(装备表!#REF!=0,"xxx",IFERROR(IF(INT(IF($G108=N$2,装备表!$E198,"xxx")/10000)=1,IF($G108=N$2,装备表!$E198,"xxx")&amp;":2,1,1,"&amp;装备表!$O198&amp;";","xxx"),"xxx"))</f>
        <v>#REF!</v>
      </c>
    </row>
    <row r="109" spans="5:14" x14ac:dyDescent="0.2">
      <c r="E109" s="18">
        <v>14800</v>
      </c>
      <c r="F109" s="18" t="s">
        <v>276</v>
      </c>
      <c r="G109" s="18">
        <v>5</v>
      </c>
      <c r="H109" s="18" t="str">
        <f>IF(装备表!$O112=0,"xxx",IFERROR(IF(INT(IF($G109=H$2,装备表!$E199,"xxx")/10000)=1,IF($G109=H$2,装备表!$E199,"xxx")&amp;":2,1,1,"&amp;装备表!$O199&amp;";","xxx"),"xxx"))</f>
        <v>xxx</v>
      </c>
      <c r="I109" s="18" t="str">
        <f>IF(装备表!$O112=0,"xxx",IFERROR(IF(INT(IF($G109=I$2,装备表!$E199,"xxx")/10000)=1,IF($G109=I$2,装备表!$E199,"xxx")&amp;":2,1,1,"&amp;装备表!$O199&amp;";","xxx"),"xxx"))</f>
        <v>xxx</v>
      </c>
      <c r="J109" s="18" t="str">
        <f>IF(装备表!$O112=0,"xxx",IFERROR(IF(INT(IF($G109=J$2,装备表!$E199,"xxx")/10000)=1,IF($G109=J$2,装备表!$E199,"xxx")&amp;":2,1,1,"&amp;装备表!$O199&amp;";","xxx"),"xxx"))</f>
        <v>xxx</v>
      </c>
      <c r="K109" s="18" t="str">
        <f>IF(装备表!$O112=0,"xxx",IFERROR(IF(INT(IF($G109=K$2,装备表!$E199,"xxx")/10000)=1,IF($G109=K$2,装备表!$E199,"xxx")&amp;":2,1,1,"&amp;装备表!$O199&amp;";","xxx"),"xxx"))</f>
        <v>xxx</v>
      </c>
      <c r="L109" s="18" t="str">
        <f>IF(装备表!$O112=0,"xxx",IFERROR(IF(INT(IF($G109=L$2,装备表!$E199,"xxx")/10000)=1,IF($G109=L$2,装备表!$E199,"xxx")&amp;":2,1,1,"&amp;装备表!$O199&amp;";","xxx"),"xxx"))</f>
        <v>14800:2,1,1,10;</v>
      </c>
      <c r="M109" s="18" t="str">
        <f>IF(装备表!$O112=0,"xxx",IFERROR(IF(INT(IF($G109=M$2,装备表!$E199,"xxx")/10000)=1,IF($G109=M$2,装备表!$E199,"xxx")&amp;":2,1,1,"&amp;装备表!$O199&amp;";","xxx"),"xxx"))</f>
        <v>xxx</v>
      </c>
      <c r="N109" s="18" t="str">
        <f>IF(装备表!$O112=0,"xxx",IFERROR(IF(INT(IF($G109=N$2,装备表!$E199,"xxx")/10000)=1,IF($G109=N$2,装备表!$E199,"xxx")&amp;":2,1,1,"&amp;装备表!$O199&amp;";","xxx"),"xxx"))</f>
        <v>xxx</v>
      </c>
    </row>
    <row r="110" spans="5:14" x14ac:dyDescent="0.2">
      <c r="E110" s="18">
        <v>14801</v>
      </c>
      <c r="F110" s="18" t="s">
        <v>3701</v>
      </c>
      <c r="G110" s="18"/>
      <c r="H110" s="18" t="str">
        <f>IF(装备表!$O113=0,"xxx",IFERROR(IF(INT(IF($G110=H$2,装备表!$E200,"xxx")/10000)=1,IF($G110=H$2,装备表!$E200,"xxx")&amp;":2,1,1,"&amp;装备表!$O200&amp;";","xxx"),"xxx"))</f>
        <v>xxx</v>
      </c>
      <c r="I110" s="18" t="str">
        <f>IF(装备表!$O113=0,"xxx",IFERROR(IF(INT(IF($G110=I$2,装备表!$E200,"xxx")/10000)=1,IF($G110=I$2,装备表!$E200,"xxx")&amp;":2,1,1,"&amp;装备表!$O200&amp;";","xxx"),"xxx"))</f>
        <v>xxx</v>
      </c>
      <c r="J110" s="18" t="str">
        <f>IF(装备表!$O113=0,"xxx",IFERROR(IF(INT(IF($G110=J$2,装备表!$E200,"xxx")/10000)=1,IF($G110=J$2,装备表!$E200,"xxx")&amp;":2,1,1,"&amp;装备表!$O200&amp;";","xxx"),"xxx"))</f>
        <v>xxx</v>
      </c>
      <c r="K110" s="18" t="str">
        <f>IF(装备表!$O113=0,"xxx",IFERROR(IF(INT(IF($G110=K$2,装备表!$E200,"xxx")/10000)=1,IF($G110=K$2,装备表!$E200,"xxx")&amp;":2,1,1,"&amp;装备表!$O200&amp;";","xxx"),"xxx"))</f>
        <v>xxx</v>
      </c>
      <c r="L110" s="18" t="str">
        <f>IF(装备表!$O113=0,"xxx",IFERROR(IF(INT(IF($G110=L$2,装备表!$E200,"xxx")/10000)=1,IF($G110=L$2,装备表!$E200,"xxx")&amp;":2,1,1,"&amp;装备表!$O200&amp;";","xxx"),"xxx"))</f>
        <v>xxx</v>
      </c>
      <c r="M110" s="18" t="str">
        <f>IF(装备表!$O113=0,"xxx",IFERROR(IF(INT(IF($G110=M$2,装备表!$E200,"xxx")/10000)=1,IF($G110=M$2,装备表!$E200,"xxx")&amp;":2,1,1,"&amp;装备表!$O200&amp;";","xxx"),"xxx"))</f>
        <v>14801:2,1,1,10;</v>
      </c>
      <c r="N110" s="18" t="str">
        <f>IF(装备表!$O113=0,"xxx",IFERROR(IF(INT(IF($G110=N$2,装备表!$E200,"xxx")/10000)=1,IF($G110=N$2,装备表!$E200,"xxx")&amp;":2,1,1,"&amp;装备表!$O200&amp;";","xxx"),"xxx"))</f>
        <v>xxx</v>
      </c>
    </row>
    <row r="111" spans="5:14" x14ac:dyDescent="0.2">
      <c r="E111" s="18">
        <v>14802</v>
      </c>
      <c r="F111" s="18" t="s">
        <v>3702</v>
      </c>
      <c r="G111" s="18"/>
      <c r="H111" s="18" t="str">
        <f>IF(装备表!$O114=0,"xxx",IFERROR(IF(INT(IF($G111=H$2,装备表!$E201,"xxx")/10000)=1,IF($G111=H$2,装备表!$E201,"xxx")&amp;":2,1,1,"&amp;装备表!$O201&amp;";","xxx"),"xxx"))</f>
        <v>xxx</v>
      </c>
      <c r="I111" s="18" t="str">
        <f>IF(装备表!$O114=0,"xxx",IFERROR(IF(INT(IF($G111=I$2,装备表!$E201,"xxx")/10000)=1,IF($G111=I$2,装备表!$E201,"xxx")&amp;":2,1,1,"&amp;装备表!$O201&amp;";","xxx"),"xxx"))</f>
        <v>xxx</v>
      </c>
      <c r="J111" s="18" t="str">
        <f>IF(装备表!$O114=0,"xxx",IFERROR(IF(INT(IF($G111=J$2,装备表!$E201,"xxx")/10000)=1,IF($G111=J$2,装备表!$E201,"xxx")&amp;":2,1,1,"&amp;装备表!$O201&amp;";","xxx"),"xxx"))</f>
        <v>xxx</v>
      </c>
      <c r="K111" s="18" t="str">
        <f>IF(装备表!$O114=0,"xxx",IFERROR(IF(INT(IF($G111=K$2,装备表!$E201,"xxx")/10000)=1,IF($G111=K$2,装备表!$E201,"xxx")&amp;":2,1,1,"&amp;装备表!$O201&amp;";","xxx"),"xxx"))</f>
        <v>xxx</v>
      </c>
      <c r="L111" s="18" t="str">
        <f>IF(装备表!$O114=0,"xxx",IFERROR(IF(INT(IF($G111=L$2,装备表!$E201,"xxx")/10000)=1,IF($G111=L$2,装备表!$E201,"xxx")&amp;":2,1,1,"&amp;装备表!$O201&amp;";","xxx"),"xxx"))</f>
        <v>xxx</v>
      </c>
      <c r="M111" s="18" t="str">
        <f>IF(装备表!$O114=0,"xxx",IFERROR(IF(INT(IF($G111=M$2,装备表!$E201,"xxx")/10000)=1,IF($G111=M$2,装备表!$E201,"xxx")&amp;":2,1,1,"&amp;装备表!$O201&amp;";","xxx"),"xxx"))</f>
        <v>14802:2,1,1,10;</v>
      </c>
      <c r="N111" s="18" t="str">
        <f>IF(装备表!$O114=0,"xxx",IFERROR(IF(INT(IF($G111=N$2,装备表!$E201,"xxx")/10000)=1,IF($G111=N$2,装备表!$E201,"xxx")&amp;":2,1,1,"&amp;装备表!$O201&amp;";","xxx"),"xxx"))</f>
        <v>xxx</v>
      </c>
    </row>
    <row r="112" spans="5:14" x14ac:dyDescent="0.2">
      <c r="E112" s="18">
        <v>14803</v>
      </c>
      <c r="F112" s="18" t="s">
        <v>280</v>
      </c>
      <c r="G112" s="18"/>
      <c r="H112" s="18" t="str">
        <f>IF(装备表!$O115=0,"xxx",IFERROR(IF(INT(IF($G112=H$2,装备表!$E202,"xxx")/10000)=1,IF($G112=H$2,装备表!$E202,"xxx")&amp;":2,1,1,"&amp;装备表!$O202&amp;";","xxx"),"xxx"))</f>
        <v>xxx</v>
      </c>
      <c r="I112" s="18" t="str">
        <f>IF(装备表!$O115=0,"xxx",IFERROR(IF(INT(IF($G112=I$2,装备表!$E202,"xxx")/10000)=1,IF($G112=I$2,装备表!$E202,"xxx")&amp;":2,1,1,"&amp;装备表!$O202&amp;";","xxx"),"xxx"))</f>
        <v>xxx</v>
      </c>
      <c r="J112" s="18" t="str">
        <f>IF(装备表!$O115=0,"xxx",IFERROR(IF(INT(IF($G112=J$2,装备表!$E202,"xxx")/10000)=1,IF($G112=J$2,装备表!$E202,"xxx")&amp;":2,1,1,"&amp;装备表!$O202&amp;";","xxx"),"xxx"))</f>
        <v>xxx</v>
      </c>
      <c r="K112" s="18" t="str">
        <f>IF(装备表!$O115=0,"xxx",IFERROR(IF(INT(IF($G112=K$2,装备表!$E202,"xxx")/10000)=1,IF($G112=K$2,装备表!$E202,"xxx")&amp;":2,1,1,"&amp;装备表!$O202&amp;";","xxx"),"xxx"))</f>
        <v>xxx</v>
      </c>
      <c r="L112" s="18" t="str">
        <f>IF(装备表!$O115=0,"xxx",IFERROR(IF(INT(IF($G112=L$2,装备表!$E202,"xxx")/10000)=1,IF($G112=L$2,装备表!$E202,"xxx")&amp;":2,1,1,"&amp;装备表!$O202&amp;";","xxx"),"xxx"))</f>
        <v>xxx</v>
      </c>
      <c r="M112" s="18" t="str">
        <f>IF(装备表!$O115=0,"xxx",IFERROR(IF(INT(IF($G112=M$2,装备表!$E202,"xxx")/10000)=1,IF($G112=M$2,装备表!$E202,"xxx")&amp;":2,1,1,"&amp;装备表!$O202&amp;";","xxx"),"xxx"))</f>
        <v>14803:2,1,1,10;</v>
      </c>
      <c r="N112" s="18" t="str">
        <f>IF(装备表!$O115=0,"xxx",IFERROR(IF(INT(IF($G112=N$2,装备表!$E202,"xxx")/10000)=1,IF($G112=N$2,装备表!$E202,"xxx")&amp;":2,1,1,"&amp;装备表!$O202&amp;";","xxx"),"xxx"))</f>
        <v>xxx</v>
      </c>
    </row>
    <row r="113" spans="5:14" x14ac:dyDescent="0.2">
      <c r="E113" s="18">
        <v>14804</v>
      </c>
      <c r="F113" s="18" t="s">
        <v>281</v>
      </c>
      <c r="G113" s="18"/>
      <c r="H113" s="18" t="str">
        <f>IF(装备表!$O116=0,"xxx",IFERROR(IF(INT(IF($G113=H$2,装备表!$E203,"xxx")/10000)=1,IF($G113=H$2,装备表!$E203,"xxx")&amp;":2,1,1,"&amp;装备表!$O203&amp;";","xxx"),"xxx"))</f>
        <v>xxx</v>
      </c>
      <c r="I113" s="18" t="str">
        <f>IF(装备表!$O116=0,"xxx",IFERROR(IF(INT(IF($G113=I$2,装备表!$E203,"xxx")/10000)=1,IF($G113=I$2,装备表!$E203,"xxx")&amp;":2,1,1,"&amp;装备表!$O203&amp;";","xxx"),"xxx"))</f>
        <v>xxx</v>
      </c>
      <c r="J113" s="18" t="str">
        <f>IF(装备表!$O116=0,"xxx",IFERROR(IF(INT(IF($G113=J$2,装备表!$E203,"xxx")/10000)=1,IF($G113=J$2,装备表!$E203,"xxx")&amp;":2,1,1,"&amp;装备表!$O203&amp;";","xxx"),"xxx"))</f>
        <v>xxx</v>
      </c>
      <c r="K113" s="18" t="str">
        <f>IF(装备表!$O116=0,"xxx",IFERROR(IF(INT(IF($G113=K$2,装备表!$E203,"xxx")/10000)=1,IF($G113=K$2,装备表!$E203,"xxx")&amp;":2,1,1,"&amp;装备表!$O203&amp;";","xxx"),"xxx"))</f>
        <v>xxx</v>
      </c>
      <c r="L113" s="18" t="str">
        <f>IF(装备表!$O116=0,"xxx",IFERROR(IF(INT(IF($G113=L$2,装备表!$E203,"xxx")/10000)=1,IF($G113=L$2,装备表!$E203,"xxx")&amp;":2,1,1,"&amp;装备表!$O203&amp;";","xxx"),"xxx"))</f>
        <v>xxx</v>
      </c>
      <c r="M113" s="18" t="str">
        <f>IF(装备表!$O116=0,"xxx",IFERROR(IF(INT(IF($G113=M$2,装备表!$E203,"xxx")/10000)=1,IF($G113=M$2,装备表!$E203,"xxx")&amp;":2,1,1,"&amp;装备表!$O203&amp;";","xxx"),"xxx"))</f>
        <v>14804:2,1,1,0;</v>
      </c>
      <c r="N113" s="18" t="str">
        <f>IF(装备表!$O116=0,"xxx",IFERROR(IF(INT(IF($G113=N$2,装备表!$E203,"xxx")/10000)=1,IF($G113=N$2,装备表!$E203,"xxx")&amp;":2,1,1,"&amp;装备表!$O203&amp;";","xxx"),"xxx"))</f>
        <v>xxx</v>
      </c>
    </row>
    <row r="114" spans="5:14" x14ac:dyDescent="0.2">
      <c r="E114" s="18">
        <v>14805</v>
      </c>
      <c r="F114" s="18" t="s">
        <v>282</v>
      </c>
      <c r="G114" s="18"/>
      <c r="H114" s="18" t="str">
        <f>IF(装备表!$O117=0,"xxx",IFERROR(IF(INT(IF($G114=H$2,装备表!$E204,"xxx")/10000)=1,IF($G114=H$2,装备表!$E204,"xxx")&amp;":2,1,1,"&amp;装备表!$O204&amp;";","xxx"),"xxx"))</f>
        <v>xxx</v>
      </c>
      <c r="I114" s="18" t="str">
        <f>IF(装备表!$O117=0,"xxx",IFERROR(IF(INT(IF($G114=I$2,装备表!$E204,"xxx")/10000)=1,IF($G114=I$2,装备表!$E204,"xxx")&amp;":2,1,1,"&amp;装备表!$O204&amp;";","xxx"),"xxx"))</f>
        <v>xxx</v>
      </c>
      <c r="J114" s="18" t="str">
        <f>IF(装备表!$O117=0,"xxx",IFERROR(IF(INT(IF($G114=J$2,装备表!$E204,"xxx")/10000)=1,IF($G114=J$2,装备表!$E204,"xxx")&amp;":2,1,1,"&amp;装备表!$O204&amp;";","xxx"),"xxx"))</f>
        <v>xxx</v>
      </c>
      <c r="K114" s="18" t="str">
        <f>IF(装备表!$O117=0,"xxx",IFERROR(IF(INT(IF($G114=K$2,装备表!$E204,"xxx")/10000)=1,IF($G114=K$2,装备表!$E204,"xxx")&amp;":2,1,1,"&amp;装备表!$O204&amp;";","xxx"),"xxx"))</f>
        <v>xxx</v>
      </c>
      <c r="L114" s="18" t="str">
        <f>IF(装备表!$O117=0,"xxx",IFERROR(IF(INT(IF($G114=L$2,装备表!$E204,"xxx")/10000)=1,IF($G114=L$2,装备表!$E204,"xxx")&amp;":2,1,1,"&amp;装备表!$O204&amp;";","xxx"),"xxx"))</f>
        <v>xxx</v>
      </c>
      <c r="M114" s="18" t="str">
        <f>IF(装备表!$O117=0,"xxx",IFERROR(IF(INT(IF($G114=M$2,装备表!$E204,"xxx")/10000)=1,IF($G114=M$2,装备表!$E204,"xxx")&amp;":2,1,1,"&amp;装备表!$O204&amp;";","xxx"),"xxx"))</f>
        <v>14805:2,1,1,10;</v>
      </c>
      <c r="N114" s="18" t="str">
        <f>IF(装备表!$O117=0,"xxx",IFERROR(IF(INT(IF($G114=N$2,装备表!$E204,"xxx")/10000)=1,IF($G114=N$2,装备表!$E204,"xxx")&amp;":2,1,1,"&amp;装备表!$O204&amp;";","xxx"),"xxx"))</f>
        <v>xxx</v>
      </c>
    </row>
    <row r="115" spans="5:14" x14ac:dyDescent="0.2">
      <c r="E115" s="18">
        <v>14806</v>
      </c>
      <c r="F115" s="18" t="s">
        <v>284</v>
      </c>
      <c r="G115" s="18"/>
      <c r="H115" s="18" t="str">
        <f>IF(装备表!$O118=0,"xxx",IFERROR(IF(INT(IF($G115=H$2,装备表!$E205,"xxx")/10000)=1,IF($G115=H$2,装备表!$E205,"xxx")&amp;":2,1,1,"&amp;装备表!$O205&amp;";","xxx"),"xxx"))</f>
        <v>xxx</v>
      </c>
      <c r="I115" s="18" t="str">
        <f>IF(装备表!$O118=0,"xxx",IFERROR(IF(INT(IF($G115=I$2,装备表!$E205,"xxx")/10000)=1,IF($G115=I$2,装备表!$E205,"xxx")&amp;":2,1,1,"&amp;装备表!$O205&amp;";","xxx"),"xxx"))</f>
        <v>xxx</v>
      </c>
      <c r="J115" s="18" t="str">
        <f>IF(装备表!$O118=0,"xxx",IFERROR(IF(INT(IF($G115=J$2,装备表!$E205,"xxx")/10000)=1,IF($G115=J$2,装备表!$E205,"xxx")&amp;":2,1,1,"&amp;装备表!$O205&amp;";","xxx"),"xxx"))</f>
        <v>xxx</v>
      </c>
      <c r="K115" s="18" t="str">
        <f>IF(装备表!$O118=0,"xxx",IFERROR(IF(INT(IF($G115=K$2,装备表!$E205,"xxx")/10000)=1,IF($G115=K$2,装备表!$E205,"xxx")&amp;":2,1,1,"&amp;装备表!$O205&amp;";","xxx"),"xxx"))</f>
        <v>xxx</v>
      </c>
      <c r="L115" s="18" t="str">
        <f>IF(装备表!$O118=0,"xxx",IFERROR(IF(INT(IF($G115=L$2,装备表!$E205,"xxx")/10000)=1,IF($G115=L$2,装备表!$E205,"xxx")&amp;":2,1,1,"&amp;装备表!$O205&amp;";","xxx"),"xxx"))</f>
        <v>xxx</v>
      </c>
      <c r="M115" s="18" t="str">
        <f>IF(装备表!$O118=0,"xxx",IFERROR(IF(INT(IF($G115=M$2,装备表!$E205,"xxx")/10000)=1,IF($G115=M$2,装备表!$E205,"xxx")&amp;":2,1,1,"&amp;装备表!$O205&amp;";","xxx"),"xxx"))</f>
        <v>14806:2,1,1,10;</v>
      </c>
      <c r="N115" s="18" t="str">
        <f>IF(装备表!$O118=0,"xxx",IFERROR(IF(INT(IF($G115=N$2,装备表!$E205,"xxx")/10000)=1,IF($G115=N$2,装备表!$E205,"xxx")&amp;":2,1,1,"&amp;装备表!$O205&amp;";","xxx"),"xxx"))</f>
        <v>xxx</v>
      </c>
    </row>
    <row r="116" spans="5:14" x14ac:dyDescent="0.2">
      <c r="E116" s="18">
        <v>14807</v>
      </c>
      <c r="F116" s="18" t="s">
        <v>285</v>
      </c>
      <c r="G116" s="18">
        <v>-1</v>
      </c>
      <c r="H116" s="18" t="str">
        <f>IF(装备表!$O119=0,"xxx",IFERROR(IF(INT(IF($G116=H$2,装备表!$E206,"xxx")/10000)=1,IF($G116=H$2,装备表!$E206,"xxx")&amp;":2,1,1,"&amp;装备表!$O206&amp;";","xxx"),"xxx"))</f>
        <v>xxx</v>
      </c>
      <c r="I116" s="18" t="str">
        <f>IF(装备表!$O119=0,"xxx",IFERROR(IF(INT(IF($G116=I$2,装备表!$E206,"xxx")/10000)=1,IF($G116=I$2,装备表!$E206,"xxx")&amp;":2,1,1,"&amp;装备表!$O206&amp;";","xxx"),"xxx"))</f>
        <v>xxx</v>
      </c>
      <c r="J116" s="18" t="str">
        <f>IF(装备表!$O119=0,"xxx",IFERROR(IF(INT(IF($G116=J$2,装备表!$E206,"xxx")/10000)=1,IF($G116=J$2,装备表!$E206,"xxx")&amp;":2,1,1,"&amp;装备表!$O206&amp;";","xxx"),"xxx"))</f>
        <v>xxx</v>
      </c>
      <c r="K116" s="18" t="str">
        <f>IF(装备表!$O119=0,"xxx",IFERROR(IF(INT(IF($G116=K$2,装备表!$E206,"xxx")/10000)=1,IF($G116=K$2,装备表!$E206,"xxx")&amp;":2,1,1,"&amp;装备表!$O206&amp;";","xxx"),"xxx"))</f>
        <v>xxx</v>
      </c>
      <c r="L116" s="18" t="str">
        <f>IF(装备表!$O119=0,"xxx",IFERROR(IF(INT(IF($G116=L$2,装备表!$E206,"xxx")/10000)=1,IF($G116=L$2,装备表!$E206,"xxx")&amp;":2,1,1,"&amp;装备表!$O206&amp;";","xxx"),"xxx"))</f>
        <v>xxx</v>
      </c>
      <c r="M116" s="18" t="str">
        <f>IF(装备表!$O119=0,"xxx",IFERROR(IF(INT(IF($G116=M$2,装备表!$E206,"xxx")/10000)=1,IF($G116=M$2,装备表!$E206,"xxx")&amp;":2,1,1,"&amp;装备表!$O206&amp;";","xxx"),"xxx"))</f>
        <v>xxx</v>
      </c>
      <c r="N116" s="18" t="str">
        <f>IF(装备表!$O119=0,"xxx",IFERROR(IF(INT(IF($G116=N$2,装备表!$E206,"xxx")/10000)=1,IF($G116=N$2,装备表!$E206,"xxx")&amp;":2,1,1,"&amp;装备表!$O206&amp;";","xxx"),"xxx"))</f>
        <v>14807:2,1,1,10;</v>
      </c>
    </row>
    <row r="117" spans="5:14" x14ac:dyDescent="0.2">
      <c r="E117" s="18">
        <v>14808</v>
      </c>
      <c r="F117" s="18" t="s">
        <v>287</v>
      </c>
      <c r="G117" s="18">
        <v>-99</v>
      </c>
      <c r="H117" s="18" t="str">
        <f>IF(装备表!$O120=0,"xxx",IFERROR(IF(INT(IF($G117=H$2,装备表!#REF!,"xxx")/10000)=1,IF($G117=H$2,装备表!#REF!,"xxx")&amp;":2,1,1,"&amp;装备表!#REF!&amp;";","xxx"),"xxx"))</f>
        <v>xxx</v>
      </c>
      <c r="I117" s="18" t="str">
        <f>IF(装备表!$O120=0,"xxx",IFERROR(IF(INT(IF($G117=I$2,装备表!#REF!,"xxx")/10000)=1,IF($G117=I$2,装备表!#REF!,"xxx")&amp;":2,1,1,"&amp;装备表!#REF!&amp;";","xxx"),"xxx"))</f>
        <v>xxx</v>
      </c>
      <c r="J117" s="18" t="str">
        <f>IF(装备表!$O120=0,"xxx",IFERROR(IF(INT(IF($G117=J$2,装备表!#REF!,"xxx")/10000)=1,IF($G117=J$2,装备表!#REF!,"xxx")&amp;":2,1,1,"&amp;装备表!#REF!&amp;";","xxx"),"xxx"))</f>
        <v>xxx</v>
      </c>
      <c r="K117" s="18" t="str">
        <f>IF(装备表!$O120=0,"xxx",IFERROR(IF(INT(IF($G117=K$2,装备表!#REF!,"xxx")/10000)=1,IF($G117=K$2,装备表!#REF!,"xxx")&amp;":2,1,1,"&amp;装备表!#REF!&amp;";","xxx"),"xxx"))</f>
        <v>xxx</v>
      </c>
      <c r="L117" s="18" t="str">
        <f>IF(装备表!$O120=0,"xxx",IFERROR(IF(INT(IF($G117=L$2,装备表!#REF!,"xxx")/10000)=1,IF($G117=L$2,装备表!#REF!,"xxx")&amp;":2,1,1,"&amp;装备表!#REF!&amp;";","xxx"),"xxx"))</f>
        <v>xxx</v>
      </c>
      <c r="M117" s="18" t="str">
        <f>IF(装备表!$O120=0,"xxx",IFERROR(IF(INT(IF($G117=M$2,装备表!#REF!,"xxx")/10000)=1,IF($G117=M$2,装备表!#REF!,"xxx")&amp;":2,1,1,"&amp;装备表!#REF!&amp;";","xxx"),"xxx"))</f>
        <v>xxx</v>
      </c>
      <c r="N117" s="18" t="str">
        <f>IF(装备表!$O120=0,"xxx",IFERROR(IF(INT(IF($G117=N$2,装备表!#REF!,"xxx")/10000)=1,IF($G117=N$2,装备表!#REF!,"xxx")&amp;":2,1,1,"&amp;装备表!#REF!&amp;";","xxx"),"xxx"))</f>
        <v>xxx</v>
      </c>
    </row>
    <row r="118" spans="5:14" x14ac:dyDescent="0.2">
      <c r="E118" s="18">
        <v>14809</v>
      </c>
      <c r="F118" s="18" t="s">
        <v>288</v>
      </c>
      <c r="G118" s="18"/>
      <c r="H118" s="18" t="str">
        <f>IF(装备表!$O121=0,"xxx",IFERROR(IF(INT(IF($G118=H$2,装备表!$E207,"xxx")/10000)=1,IF($G118=H$2,装备表!$E207,"xxx")&amp;":2,1,1,"&amp;装备表!$O207&amp;";","xxx"),"xxx"))</f>
        <v>xxx</v>
      </c>
      <c r="I118" s="18" t="str">
        <f>IF(装备表!$O121=0,"xxx",IFERROR(IF(INT(IF($G118=I$2,装备表!$E207,"xxx")/10000)=1,IF($G118=I$2,装备表!$E207,"xxx")&amp;":2,1,1,"&amp;装备表!$O207&amp;";","xxx"),"xxx"))</f>
        <v>xxx</v>
      </c>
      <c r="J118" s="18" t="str">
        <f>IF(装备表!$O121=0,"xxx",IFERROR(IF(INT(IF($G118=J$2,装备表!$E207,"xxx")/10000)=1,IF($G118=J$2,装备表!$E207,"xxx")&amp;":2,1,1,"&amp;装备表!$O207&amp;";","xxx"),"xxx"))</f>
        <v>xxx</v>
      </c>
      <c r="K118" s="18" t="str">
        <f>IF(装备表!$O121=0,"xxx",IFERROR(IF(INT(IF($G118=K$2,装备表!$E207,"xxx")/10000)=1,IF($G118=K$2,装备表!$E207,"xxx")&amp;":2,1,1,"&amp;装备表!$O207&amp;";","xxx"),"xxx"))</f>
        <v>xxx</v>
      </c>
      <c r="L118" s="18" t="str">
        <f>IF(装备表!$O121=0,"xxx",IFERROR(IF(INT(IF($G118=L$2,装备表!$E207,"xxx")/10000)=1,IF($G118=L$2,装备表!$E207,"xxx")&amp;":2,1,1,"&amp;装备表!$O207&amp;";","xxx"),"xxx"))</f>
        <v>xxx</v>
      </c>
      <c r="M118" s="18" t="str">
        <f>IF(装备表!$O121=0,"xxx",IFERROR(IF(INT(IF($G118=M$2,装备表!$E207,"xxx")/10000)=1,IF($G118=M$2,装备表!$E207,"xxx")&amp;":2,1,1,"&amp;装备表!$O207&amp;";","xxx"),"xxx"))</f>
        <v>14809:2,1,1,10;</v>
      </c>
      <c r="N118" s="18" t="str">
        <f>IF(装备表!$O121=0,"xxx",IFERROR(IF(INT(IF($G118=N$2,装备表!$E207,"xxx")/10000)=1,IF($G118=N$2,装备表!$E207,"xxx")&amp;":2,1,1,"&amp;装备表!$O207&amp;";","xxx"),"xxx"))</f>
        <v>xxx</v>
      </c>
    </row>
    <row r="119" spans="5:14" x14ac:dyDescent="0.2">
      <c r="E119" s="18">
        <v>14810</v>
      </c>
      <c r="F119" s="18" t="s">
        <v>3703</v>
      </c>
      <c r="G119" s="18"/>
      <c r="H119" s="18" t="str">
        <f>IF(装备表!$O122=0,"xxx",IFERROR(IF(INT(IF($G119=H$2,装备表!$E208,"xxx")/10000)=1,IF($G119=H$2,装备表!$E208,"xxx")&amp;":2,1,1,"&amp;装备表!$O208&amp;";","xxx"),"xxx"))</f>
        <v>xxx</v>
      </c>
      <c r="I119" s="18" t="str">
        <f>IF(装备表!$O122=0,"xxx",IFERROR(IF(INT(IF($G119=I$2,装备表!$E208,"xxx")/10000)=1,IF($G119=I$2,装备表!$E208,"xxx")&amp;":2,1,1,"&amp;装备表!$O208&amp;";","xxx"),"xxx"))</f>
        <v>xxx</v>
      </c>
      <c r="J119" s="18" t="str">
        <f>IF(装备表!$O122=0,"xxx",IFERROR(IF(INT(IF($G119=J$2,装备表!$E208,"xxx")/10000)=1,IF($G119=J$2,装备表!$E208,"xxx")&amp;":2,1,1,"&amp;装备表!$O208&amp;";","xxx"),"xxx"))</f>
        <v>xxx</v>
      </c>
      <c r="K119" s="18" t="str">
        <f>IF(装备表!$O122=0,"xxx",IFERROR(IF(INT(IF($G119=K$2,装备表!$E208,"xxx")/10000)=1,IF($G119=K$2,装备表!$E208,"xxx")&amp;":2,1,1,"&amp;装备表!$O208&amp;";","xxx"),"xxx"))</f>
        <v>xxx</v>
      </c>
      <c r="L119" s="18" t="str">
        <f>IF(装备表!$O122=0,"xxx",IFERROR(IF(INT(IF($G119=L$2,装备表!$E208,"xxx")/10000)=1,IF($G119=L$2,装备表!$E208,"xxx")&amp;":2,1,1,"&amp;装备表!$O208&amp;";","xxx"),"xxx"))</f>
        <v>xxx</v>
      </c>
      <c r="M119" s="18" t="str">
        <f>IF(装备表!$O122=0,"xxx",IFERROR(IF(INT(IF($G119=M$2,装备表!$E208,"xxx")/10000)=1,IF($G119=M$2,装备表!$E208,"xxx")&amp;":2,1,1,"&amp;装备表!$O208&amp;";","xxx"),"xxx"))</f>
        <v>14810:2,1,1,10;</v>
      </c>
      <c r="N119" s="18" t="str">
        <f>IF(装备表!$O122=0,"xxx",IFERROR(IF(INT(IF($G119=N$2,装备表!$E208,"xxx")/10000)=1,IF($G119=N$2,装备表!$E208,"xxx")&amp;":2,1,1,"&amp;装备表!$O208&amp;";","xxx"),"xxx"))</f>
        <v>xxx</v>
      </c>
    </row>
    <row r="120" spans="5:14" x14ac:dyDescent="0.2">
      <c r="E120" s="18">
        <v>14811</v>
      </c>
      <c r="F120" s="18" t="s">
        <v>291</v>
      </c>
      <c r="G120" s="18"/>
      <c r="H120" s="18" t="str">
        <f>IF(装备表!$O123=0,"xxx",IFERROR(IF(INT(IF($G120=H$2,装备表!$E209,"xxx")/10000)=1,IF($G120=H$2,装备表!$E209,"xxx")&amp;":2,1,1,"&amp;装备表!$O209&amp;";","xxx"),"xxx"))</f>
        <v>xxx</v>
      </c>
      <c r="I120" s="18" t="str">
        <f>IF(装备表!$O123=0,"xxx",IFERROR(IF(INT(IF($G120=I$2,装备表!$E209,"xxx")/10000)=1,IF($G120=I$2,装备表!$E209,"xxx")&amp;":2,1,1,"&amp;装备表!$O209&amp;";","xxx"),"xxx"))</f>
        <v>xxx</v>
      </c>
      <c r="J120" s="18" t="str">
        <f>IF(装备表!$O123=0,"xxx",IFERROR(IF(INT(IF($G120=J$2,装备表!$E209,"xxx")/10000)=1,IF($G120=J$2,装备表!$E209,"xxx")&amp;":2,1,1,"&amp;装备表!$O209&amp;";","xxx"),"xxx"))</f>
        <v>xxx</v>
      </c>
      <c r="K120" s="18" t="str">
        <f>IF(装备表!$O123=0,"xxx",IFERROR(IF(INT(IF($G120=K$2,装备表!$E209,"xxx")/10000)=1,IF($G120=K$2,装备表!$E209,"xxx")&amp;":2,1,1,"&amp;装备表!$O209&amp;";","xxx"),"xxx"))</f>
        <v>xxx</v>
      </c>
      <c r="L120" s="18" t="str">
        <f>IF(装备表!$O123=0,"xxx",IFERROR(IF(INT(IF($G120=L$2,装备表!$E209,"xxx")/10000)=1,IF($G120=L$2,装备表!$E209,"xxx")&amp;":2,1,1,"&amp;装备表!$O209&amp;";","xxx"),"xxx"))</f>
        <v>xxx</v>
      </c>
      <c r="M120" s="18" t="str">
        <f>IF(装备表!$O123=0,"xxx",IFERROR(IF(INT(IF($G120=M$2,装备表!$E209,"xxx")/10000)=1,IF($G120=M$2,装备表!$E209,"xxx")&amp;":2,1,1,"&amp;装备表!$O209&amp;";","xxx"),"xxx"))</f>
        <v>xxx</v>
      </c>
      <c r="N120" s="18" t="str">
        <f>IF(装备表!$O123=0,"xxx",IFERROR(IF(INT(IF($G120=N$2,装备表!$E209,"xxx")/10000)=1,IF($G120=N$2,装备表!$E209,"xxx")&amp;":2,1,1,"&amp;装备表!$O209&amp;";","xxx"),"xxx"))</f>
        <v>xxx</v>
      </c>
    </row>
    <row r="121" spans="5:14" x14ac:dyDescent="0.2">
      <c r="E121" s="18">
        <v>14812</v>
      </c>
      <c r="F121" s="18" t="s">
        <v>292</v>
      </c>
      <c r="G121" s="18">
        <v>4</v>
      </c>
      <c r="H121" s="18" t="str">
        <f>IF(装备表!$O124=0,"xxx",IFERROR(IF(INT(IF($G121=H$2,装备表!$E210,"xxx")/10000)=1,IF($G121=H$2,装备表!$E210,"xxx")&amp;":2,1,1,"&amp;装备表!$O210&amp;";","xxx"),"xxx"))</f>
        <v>xxx</v>
      </c>
      <c r="I121" s="18" t="str">
        <f>IF(装备表!$O124=0,"xxx",IFERROR(IF(INT(IF($G121=I$2,装备表!$E210,"xxx")/10000)=1,IF($G121=I$2,装备表!$E210,"xxx")&amp;":2,1,1,"&amp;装备表!$O210&amp;";","xxx"),"xxx"))</f>
        <v>xxx</v>
      </c>
      <c r="J121" s="18" t="str">
        <f>IF(装备表!$O124=0,"xxx",IFERROR(IF(INT(IF($G121=J$2,装备表!$E210,"xxx")/10000)=1,IF($G121=J$2,装备表!$E210,"xxx")&amp;":2,1,1,"&amp;装备表!$O210&amp;";","xxx"),"xxx"))</f>
        <v>xxx</v>
      </c>
      <c r="K121" s="18" t="str">
        <f>IF(装备表!$O124=0,"xxx",IFERROR(IF(INT(IF($G121=K$2,装备表!$E210,"xxx")/10000)=1,IF($G121=K$2,装备表!$E210,"xxx")&amp;":2,1,1,"&amp;装备表!$O210&amp;";","xxx"),"xxx"))</f>
        <v>14812:2,1,1,10;</v>
      </c>
      <c r="L121" s="18" t="str">
        <f>IF(装备表!$O124=0,"xxx",IFERROR(IF(INT(IF($G121=L$2,装备表!$E210,"xxx")/10000)=1,IF($G121=L$2,装备表!$E210,"xxx")&amp;":2,1,1,"&amp;装备表!$O210&amp;";","xxx"),"xxx"))</f>
        <v>xxx</v>
      </c>
      <c r="M121" s="18" t="str">
        <f>IF(装备表!$O124=0,"xxx",IFERROR(IF(INT(IF($G121=M$2,装备表!$E210,"xxx")/10000)=1,IF($G121=M$2,装备表!$E210,"xxx")&amp;":2,1,1,"&amp;装备表!$O210&amp;";","xxx"),"xxx"))</f>
        <v>xxx</v>
      </c>
      <c r="N121" s="18" t="str">
        <f>IF(装备表!$O124=0,"xxx",IFERROR(IF(INT(IF($G121=N$2,装备表!$E210,"xxx")/10000)=1,IF($G121=N$2,装备表!$E210,"xxx")&amp;":2,1,1,"&amp;装备表!$O210&amp;";","xxx"),"xxx"))</f>
        <v>xxx</v>
      </c>
    </row>
    <row r="122" spans="5:14" x14ac:dyDescent="0.2">
      <c r="E122" s="18">
        <v>14813</v>
      </c>
      <c r="F122" s="18" t="s">
        <v>293</v>
      </c>
      <c r="G122" s="18">
        <v>-99</v>
      </c>
      <c r="H122" s="18" t="str">
        <f>IF(装备表!$O125=0,"xxx",IFERROR(IF(INT(IF($G122=H$2,装备表!#REF!,"xxx")/10000)=1,IF($G122=H$2,装备表!#REF!,"xxx")&amp;":2,1,1,"&amp;装备表!#REF!&amp;";","xxx"),"xxx"))</f>
        <v>xxx</v>
      </c>
      <c r="I122" s="18" t="str">
        <f>IF(装备表!$O125=0,"xxx",IFERROR(IF(INT(IF($G122=I$2,装备表!#REF!,"xxx")/10000)=1,IF($G122=I$2,装备表!#REF!,"xxx")&amp;":2,1,1,"&amp;装备表!#REF!&amp;";","xxx"),"xxx"))</f>
        <v>xxx</v>
      </c>
      <c r="J122" s="18" t="str">
        <f>IF(装备表!$O125=0,"xxx",IFERROR(IF(INT(IF($G122=J$2,装备表!#REF!,"xxx")/10000)=1,IF($G122=J$2,装备表!#REF!,"xxx")&amp;":2,1,1,"&amp;装备表!#REF!&amp;";","xxx"),"xxx"))</f>
        <v>xxx</v>
      </c>
      <c r="K122" s="18" t="str">
        <f>IF(装备表!$O125=0,"xxx",IFERROR(IF(INT(IF($G122=K$2,装备表!#REF!,"xxx")/10000)=1,IF($G122=K$2,装备表!#REF!,"xxx")&amp;":2,1,1,"&amp;装备表!#REF!&amp;";","xxx"),"xxx"))</f>
        <v>xxx</v>
      </c>
      <c r="L122" s="18" t="str">
        <f>IF(装备表!$O125=0,"xxx",IFERROR(IF(INT(IF($G122=L$2,装备表!#REF!,"xxx")/10000)=1,IF($G122=L$2,装备表!#REF!,"xxx")&amp;":2,1,1,"&amp;装备表!#REF!&amp;";","xxx"),"xxx"))</f>
        <v>xxx</v>
      </c>
      <c r="M122" s="18" t="str">
        <f>IF(装备表!$O125=0,"xxx",IFERROR(IF(INT(IF($G122=M$2,装备表!#REF!,"xxx")/10000)=1,IF($G122=M$2,装备表!#REF!,"xxx")&amp;":2,1,1,"&amp;装备表!#REF!&amp;";","xxx"),"xxx"))</f>
        <v>xxx</v>
      </c>
      <c r="N122" s="18" t="str">
        <f>IF(装备表!$O125=0,"xxx",IFERROR(IF(INT(IF($G122=N$2,装备表!#REF!,"xxx")/10000)=1,IF($G122=N$2,装备表!#REF!,"xxx")&amp;":2,1,1,"&amp;装备表!#REF!&amp;";","xxx"),"xxx"))</f>
        <v>xxx</v>
      </c>
    </row>
    <row r="123" spans="5:14" x14ac:dyDescent="0.2">
      <c r="E123" s="18">
        <v>14814</v>
      </c>
      <c r="F123" s="18" t="s">
        <v>294</v>
      </c>
      <c r="G123" s="18"/>
      <c r="H123" s="18" t="str">
        <f>IF(装备表!$O126=0,"xxx",IFERROR(IF(INT(IF($G123=H$2,装备表!$E211,"xxx")/10000)=1,IF($G123=H$2,装备表!$E211,"xxx")&amp;":2,1,1,"&amp;装备表!$O211&amp;";","xxx"),"xxx"))</f>
        <v>xxx</v>
      </c>
      <c r="I123" s="18" t="str">
        <f>IF(装备表!$O126=0,"xxx",IFERROR(IF(INT(IF($G123=I$2,装备表!$E211,"xxx")/10000)=1,IF($G123=I$2,装备表!$E211,"xxx")&amp;":2,1,1,"&amp;装备表!$O211&amp;";","xxx"),"xxx"))</f>
        <v>xxx</v>
      </c>
      <c r="J123" s="18" t="str">
        <f>IF(装备表!$O126=0,"xxx",IFERROR(IF(INT(IF($G123=J$2,装备表!$E211,"xxx")/10000)=1,IF($G123=J$2,装备表!$E211,"xxx")&amp;":2,1,1,"&amp;装备表!$O211&amp;";","xxx"),"xxx"))</f>
        <v>xxx</v>
      </c>
      <c r="K123" s="18" t="str">
        <f>IF(装备表!$O126=0,"xxx",IFERROR(IF(INT(IF($G123=K$2,装备表!$E211,"xxx")/10000)=1,IF($G123=K$2,装备表!$E211,"xxx")&amp;":2,1,1,"&amp;装备表!$O211&amp;";","xxx"),"xxx"))</f>
        <v>xxx</v>
      </c>
      <c r="L123" s="18" t="str">
        <f>IF(装备表!$O126=0,"xxx",IFERROR(IF(INT(IF($G123=L$2,装备表!$E211,"xxx")/10000)=1,IF($G123=L$2,装备表!$E211,"xxx")&amp;":2,1,1,"&amp;装备表!$O211&amp;";","xxx"),"xxx"))</f>
        <v>xxx</v>
      </c>
      <c r="M123" s="18" t="str">
        <f>IF(装备表!$O126=0,"xxx",IFERROR(IF(INT(IF($G123=M$2,装备表!$E211,"xxx")/10000)=1,IF($G123=M$2,装备表!$E211,"xxx")&amp;":2,1,1,"&amp;装备表!$O211&amp;";","xxx"),"xxx"))</f>
        <v>14814:2,1,1,10;</v>
      </c>
      <c r="N123" s="18" t="str">
        <f>IF(装备表!$O126=0,"xxx",IFERROR(IF(INT(IF($G123=N$2,装备表!$E211,"xxx")/10000)=1,IF($G123=N$2,装备表!$E211,"xxx")&amp;":2,1,1,"&amp;装备表!$O211&amp;";","xxx"),"xxx"))</f>
        <v>xxx</v>
      </c>
    </row>
    <row r="124" spans="5:14" x14ac:dyDescent="0.2">
      <c r="E124" s="18">
        <v>14815</v>
      </c>
      <c r="F124" s="18" t="s">
        <v>295</v>
      </c>
      <c r="G124" s="18"/>
      <c r="H124" s="18" t="str">
        <f>IF(装备表!$O127=0,"xxx",IFERROR(IF(INT(IF($G124=H$2,装备表!$E212,"xxx")/10000)=1,IF($G124=H$2,装备表!$E212,"xxx")&amp;":2,1,1,"&amp;装备表!$O212&amp;";","xxx"),"xxx"))</f>
        <v>xxx</v>
      </c>
      <c r="I124" s="18" t="str">
        <f>IF(装备表!$O127=0,"xxx",IFERROR(IF(INT(IF($G124=I$2,装备表!$E212,"xxx")/10000)=1,IF($G124=I$2,装备表!$E212,"xxx")&amp;":2,1,1,"&amp;装备表!$O212&amp;";","xxx"),"xxx"))</f>
        <v>xxx</v>
      </c>
      <c r="J124" s="18" t="str">
        <f>IF(装备表!$O127=0,"xxx",IFERROR(IF(INT(IF($G124=J$2,装备表!$E212,"xxx")/10000)=1,IF($G124=J$2,装备表!$E212,"xxx")&amp;":2,1,1,"&amp;装备表!$O212&amp;";","xxx"),"xxx"))</f>
        <v>xxx</v>
      </c>
      <c r="K124" s="18" t="str">
        <f>IF(装备表!$O127=0,"xxx",IFERROR(IF(INT(IF($G124=K$2,装备表!$E212,"xxx")/10000)=1,IF($G124=K$2,装备表!$E212,"xxx")&amp;":2,1,1,"&amp;装备表!$O212&amp;";","xxx"),"xxx"))</f>
        <v>xxx</v>
      </c>
      <c r="L124" s="18" t="str">
        <f>IF(装备表!$O127=0,"xxx",IFERROR(IF(INT(IF($G124=L$2,装备表!$E212,"xxx")/10000)=1,IF($G124=L$2,装备表!$E212,"xxx")&amp;":2,1,1,"&amp;装备表!$O212&amp;";","xxx"),"xxx"))</f>
        <v>xxx</v>
      </c>
      <c r="M124" s="18" t="str">
        <f>IF(装备表!$O127=0,"xxx",IFERROR(IF(INT(IF($G124=M$2,装备表!$E212,"xxx")/10000)=1,IF($G124=M$2,装备表!$E212,"xxx")&amp;":2,1,1,"&amp;装备表!$O212&amp;";","xxx"),"xxx"))</f>
        <v>14815:2,1,1,10;</v>
      </c>
      <c r="N124" s="18" t="str">
        <f>IF(装备表!$O127=0,"xxx",IFERROR(IF(INT(IF($G124=N$2,装备表!$E212,"xxx")/10000)=1,IF($G124=N$2,装备表!$E212,"xxx")&amp;":2,1,1,"&amp;装备表!$O212&amp;";","xxx"),"xxx"))</f>
        <v>xxx</v>
      </c>
    </row>
    <row r="125" spans="5:14" x14ac:dyDescent="0.2">
      <c r="E125" s="18">
        <v>14816</v>
      </c>
      <c r="F125" s="18" t="s">
        <v>296</v>
      </c>
      <c r="G125" s="18"/>
      <c r="H125" s="18" t="str">
        <f>IF(装备表!$O128=0,"xxx",IFERROR(IF(INT(IF($G125=H$2,装备表!$E213,"xxx")/10000)=1,IF($G125=H$2,装备表!$E213,"xxx")&amp;":2,1,1,"&amp;装备表!$O213&amp;";","xxx"),"xxx"))</f>
        <v>xxx</v>
      </c>
      <c r="I125" s="18" t="str">
        <f>IF(装备表!$O128=0,"xxx",IFERROR(IF(INT(IF($G125=I$2,装备表!$E213,"xxx")/10000)=1,IF($G125=I$2,装备表!$E213,"xxx")&amp;":2,1,1,"&amp;装备表!$O213&amp;";","xxx"),"xxx"))</f>
        <v>xxx</v>
      </c>
      <c r="J125" s="18" t="str">
        <f>IF(装备表!$O128=0,"xxx",IFERROR(IF(INT(IF($G125=J$2,装备表!$E213,"xxx")/10000)=1,IF($G125=J$2,装备表!$E213,"xxx")&amp;":2,1,1,"&amp;装备表!$O213&amp;";","xxx"),"xxx"))</f>
        <v>xxx</v>
      </c>
      <c r="K125" s="18" t="str">
        <f>IF(装备表!$O128=0,"xxx",IFERROR(IF(INT(IF($G125=K$2,装备表!$E213,"xxx")/10000)=1,IF($G125=K$2,装备表!$E213,"xxx")&amp;":2,1,1,"&amp;装备表!$O213&amp;";","xxx"),"xxx"))</f>
        <v>xxx</v>
      </c>
      <c r="L125" s="18" t="str">
        <f>IF(装备表!$O128=0,"xxx",IFERROR(IF(INT(IF($G125=L$2,装备表!$E213,"xxx")/10000)=1,IF($G125=L$2,装备表!$E213,"xxx")&amp;":2,1,1,"&amp;装备表!$O213&amp;";","xxx"),"xxx"))</f>
        <v>xxx</v>
      </c>
      <c r="M125" s="18" t="str">
        <f>IF(装备表!$O128=0,"xxx",IFERROR(IF(INT(IF($G125=M$2,装备表!$E213,"xxx")/10000)=1,IF($G125=M$2,装备表!$E213,"xxx")&amp;":2,1,1,"&amp;装备表!$O213&amp;";","xxx"),"xxx"))</f>
        <v>14816:2,1,1,10;</v>
      </c>
      <c r="N125" s="18" t="str">
        <f>IF(装备表!$O128=0,"xxx",IFERROR(IF(INT(IF($G125=N$2,装备表!$E213,"xxx")/10000)=1,IF($G125=N$2,装备表!$E213,"xxx")&amp;":2,1,1,"&amp;装备表!$O213&amp;";","xxx"),"xxx"))</f>
        <v>xxx</v>
      </c>
    </row>
    <row r="126" spans="5:14" x14ac:dyDescent="0.2">
      <c r="E126" s="18">
        <v>14817</v>
      </c>
      <c r="F126" s="18" t="s">
        <v>297</v>
      </c>
      <c r="G126" s="18">
        <v>4</v>
      </c>
      <c r="H126" s="18" t="str">
        <f>IF(装备表!$O129=0,"xxx",IFERROR(IF(INT(IF($G126=H$2,装备表!$E214,"xxx")/10000)=1,IF($G126=H$2,装备表!$E214,"xxx")&amp;":2,1,1,"&amp;装备表!$O214&amp;";","xxx"),"xxx"))</f>
        <v>xxx</v>
      </c>
      <c r="I126" s="18" t="str">
        <f>IF(装备表!$O129=0,"xxx",IFERROR(IF(INT(IF($G126=I$2,装备表!$E214,"xxx")/10000)=1,IF($G126=I$2,装备表!$E214,"xxx")&amp;":2,1,1,"&amp;装备表!$O214&amp;";","xxx"),"xxx"))</f>
        <v>xxx</v>
      </c>
      <c r="J126" s="18" t="str">
        <f>IF(装备表!$O129=0,"xxx",IFERROR(IF(INT(IF($G126=J$2,装备表!$E214,"xxx")/10000)=1,IF($G126=J$2,装备表!$E214,"xxx")&amp;":2,1,1,"&amp;装备表!$O214&amp;";","xxx"),"xxx"))</f>
        <v>xxx</v>
      </c>
      <c r="K126" s="18" t="str">
        <f>IF(装备表!$O129=0,"xxx",IFERROR(IF(INT(IF($G126=K$2,装备表!$E214,"xxx")/10000)=1,IF($G126=K$2,装备表!$E214,"xxx")&amp;":2,1,1,"&amp;装备表!$O214&amp;";","xxx"),"xxx"))</f>
        <v>14817:2,1,1,10;</v>
      </c>
      <c r="L126" s="18" t="str">
        <f>IF(装备表!$O129=0,"xxx",IFERROR(IF(INT(IF($G126=L$2,装备表!$E214,"xxx")/10000)=1,IF($G126=L$2,装备表!$E214,"xxx")&amp;":2,1,1,"&amp;装备表!$O214&amp;";","xxx"),"xxx"))</f>
        <v>xxx</v>
      </c>
      <c r="M126" s="18" t="str">
        <f>IF(装备表!$O129=0,"xxx",IFERROR(IF(INT(IF($G126=M$2,装备表!$E214,"xxx")/10000)=1,IF($G126=M$2,装备表!$E214,"xxx")&amp;":2,1,1,"&amp;装备表!$O214&amp;";","xxx"),"xxx"))</f>
        <v>xxx</v>
      </c>
      <c r="N126" s="18" t="str">
        <f>IF(装备表!$O129=0,"xxx",IFERROR(IF(INT(IF($G126=N$2,装备表!$E214,"xxx")/10000)=1,IF($G126=N$2,装备表!$E214,"xxx")&amp;":2,1,1,"&amp;装备表!$O214&amp;";","xxx"),"xxx"))</f>
        <v>xxx</v>
      </c>
    </row>
    <row r="127" spans="5:14" x14ac:dyDescent="0.2">
      <c r="E127" s="18">
        <v>14818</v>
      </c>
      <c r="F127" s="18" t="s">
        <v>298</v>
      </c>
      <c r="G127" s="18"/>
      <c r="H127" s="18" t="str">
        <f>IF(装备表!$O130=0,"xxx",IFERROR(IF(INT(IF($G127=H$2,装备表!$E215,"xxx")/10000)=1,IF($G127=H$2,装备表!$E215,"xxx")&amp;":2,1,1,"&amp;装备表!$O215&amp;";","xxx"),"xxx"))</f>
        <v>xxx</v>
      </c>
      <c r="I127" s="18" t="str">
        <f>IF(装备表!$O130=0,"xxx",IFERROR(IF(INT(IF($G127=I$2,装备表!$E215,"xxx")/10000)=1,IF($G127=I$2,装备表!$E215,"xxx")&amp;":2,1,1,"&amp;装备表!$O215&amp;";","xxx"),"xxx"))</f>
        <v>xxx</v>
      </c>
      <c r="J127" s="18" t="str">
        <f>IF(装备表!$O130=0,"xxx",IFERROR(IF(INT(IF($G127=J$2,装备表!$E215,"xxx")/10000)=1,IF($G127=J$2,装备表!$E215,"xxx")&amp;":2,1,1,"&amp;装备表!$O215&amp;";","xxx"),"xxx"))</f>
        <v>xxx</v>
      </c>
      <c r="K127" s="18" t="str">
        <f>IF(装备表!$O130=0,"xxx",IFERROR(IF(INT(IF($G127=K$2,装备表!$E215,"xxx")/10000)=1,IF($G127=K$2,装备表!$E215,"xxx")&amp;":2,1,1,"&amp;装备表!$O215&amp;";","xxx"),"xxx"))</f>
        <v>xxx</v>
      </c>
      <c r="L127" s="18" t="str">
        <f>IF(装备表!$O130=0,"xxx",IFERROR(IF(INT(IF($G127=L$2,装备表!$E215,"xxx")/10000)=1,IF($G127=L$2,装备表!$E215,"xxx")&amp;":2,1,1,"&amp;装备表!$O215&amp;";","xxx"),"xxx"))</f>
        <v>xxx</v>
      </c>
      <c r="M127" s="18" t="str">
        <f>IF(装备表!$O130=0,"xxx",IFERROR(IF(INT(IF($G127=M$2,装备表!$E215,"xxx")/10000)=1,IF($G127=M$2,装备表!$E215,"xxx")&amp;":2,1,1,"&amp;装备表!$O215&amp;";","xxx"),"xxx"))</f>
        <v>14818:2,1,1,10;</v>
      </c>
      <c r="N127" s="18" t="str">
        <f>IF(装备表!$O130=0,"xxx",IFERROR(IF(INT(IF($G127=N$2,装备表!$E215,"xxx")/10000)=1,IF($G127=N$2,装备表!$E215,"xxx")&amp;":2,1,1,"&amp;装备表!$O215&amp;";","xxx"),"xxx"))</f>
        <v>xxx</v>
      </c>
    </row>
    <row r="128" spans="5:14" x14ac:dyDescent="0.2">
      <c r="E128" s="18">
        <v>14819</v>
      </c>
      <c r="F128" s="18" t="s">
        <v>3704</v>
      </c>
      <c r="G128" s="18"/>
      <c r="H128" s="18" t="str">
        <f>IF(装备表!$O131=0,"xxx",IFERROR(IF(INT(IF($G128=H$2,装备表!$E216,"xxx")/10000)=1,IF($G128=H$2,装备表!$E216,"xxx")&amp;":2,1,1,"&amp;装备表!$O216&amp;";","xxx"),"xxx"))</f>
        <v>xxx</v>
      </c>
      <c r="I128" s="18" t="str">
        <f>IF(装备表!$O131=0,"xxx",IFERROR(IF(INT(IF($G128=I$2,装备表!$E216,"xxx")/10000)=1,IF($G128=I$2,装备表!$E216,"xxx")&amp;":2,1,1,"&amp;装备表!$O216&amp;";","xxx"),"xxx"))</f>
        <v>xxx</v>
      </c>
      <c r="J128" s="18" t="str">
        <f>IF(装备表!$O131=0,"xxx",IFERROR(IF(INT(IF($G128=J$2,装备表!$E216,"xxx")/10000)=1,IF($G128=J$2,装备表!$E216,"xxx")&amp;":2,1,1,"&amp;装备表!$O216&amp;";","xxx"),"xxx"))</f>
        <v>xxx</v>
      </c>
      <c r="K128" s="18" t="str">
        <f>IF(装备表!$O131=0,"xxx",IFERROR(IF(INT(IF($G128=K$2,装备表!$E216,"xxx")/10000)=1,IF($G128=K$2,装备表!$E216,"xxx")&amp;":2,1,1,"&amp;装备表!$O216&amp;";","xxx"),"xxx"))</f>
        <v>xxx</v>
      </c>
      <c r="L128" s="18" t="str">
        <f>IF(装备表!$O131=0,"xxx",IFERROR(IF(INT(IF($G128=L$2,装备表!$E216,"xxx")/10000)=1,IF($G128=L$2,装备表!$E216,"xxx")&amp;":2,1,1,"&amp;装备表!$O216&amp;";","xxx"),"xxx"))</f>
        <v>xxx</v>
      </c>
      <c r="M128" s="18" t="str">
        <f>IF(装备表!$O131=0,"xxx",IFERROR(IF(INT(IF($G128=M$2,装备表!$E216,"xxx")/10000)=1,IF($G128=M$2,装备表!$E216,"xxx")&amp;":2,1,1,"&amp;装备表!$O216&amp;";","xxx"),"xxx"))</f>
        <v>14819:2,1,1,10;</v>
      </c>
      <c r="N128" s="18" t="str">
        <f>IF(装备表!$O131=0,"xxx",IFERROR(IF(INT(IF($G128=N$2,装备表!$E216,"xxx")/10000)=1,IF($G128=N$2,装备表!$E216,"xxx")&amp;":2,1,1,"&amp;装备表!$O216&amp;";","xxx"),"xxx"))</f>
        <v>xxx</v>
      </c>
    </row>
    <row r="129" spans="5:14" x14ac:dyDescent="0.2">
      <c r="E129" s="18">
        <v>14820</v>
      </c>
      <c r="F129" s="18" t="s">
        <v>299</v>
      </c>
      <c r="G129" s="18"/>
      <c r="H129" s="18" t="str">
        <f>IF(装备表!$O132=0,"xxx",IFERROR(IF(INT(IF($G129=H$2,装备表!$E217,"xxx")/10000)=1,IF($G129=H$2,装备表!$E217,"xxx")&amp;":2,1,1,"&amp;装备表!$O217&amp;";","xxx"),"xxx"))</f>
        <v>xxx</v>
      </c>
      <c r="I129" s="18" t="str">
        <f>IF(装备表!$O132=0,"xxx",IFERROR(IF(INT(IF($G129=I$2,装备表!$E217,"xxx")/10000)=1,IF($G129=I$2,装备表!$E217,"xxx")&amp;":2,1,1,"&amp;装备表!$O217&amp;";","xxx"),"xxx"))</f>
        <v>xxx</v>
      </c>
      <c r="J129" s="18" t="str">
        <f>IF(装备表!$O132=0,"xxx",IFERROR(IF(INT(IF($G129=J$2,装备表!$E217,"xxx")/10000)=1,IF($G129=J$2,装备表!$E217,"xxx")&amp;":2,1,1,"&amp;装备表!$O217&amp;";","xxx"),"xxx"))</f>
        <v>xxx</v>
      </c>
      <c r="K129" s="18" t="str">
        <f>IF(装备表!$O132=0,"xxx",IFERROR(IF(INT(IF($G129=K$2,装备表!$E217,"xxx")/10000)=1,IF($G129=K$2,装备表!$E217,"xxx")&amp;":2,1,1,"&amp;装备表!$O217&amp;";","xxx"),"xxx"))</f>
        <v>xxx</v>
      </c>
      <c r="L129" s="18" t="str">
        <f>IF(装备表!$O132=0,"xxx",IFERROR(IF(INT(IF($G129=L$2,装备表!$E217,"xxx")/10000)=1,IF($G129=L$2,装备表!$E217,"xxx")&amp;":2,1,1,"&amp;装备表!$O217&amp;";","xxx"),"xxx"))</f>
        <v>xxx</v>
      </c>
      <c r="M129" s="18" t="str">
        <f>IF(装备表!$O132=0,"xxx",IFERROR(IF(INT(IF($G129=M$2,装备表!$E217,"xxx")/10000)=1,IF($G129=M$2,装备表!$E217,"xxx")&amp;":2,1,1,"&amp;装备表!$O217&amp;";","xxx"),"xxx"))</f>
        <v>14820:2,1,1,10;</v>
      </c>
      <c r="N129" s="18" t="str">
        <f>IF(装备表!$O132=0,"xxx",IFERROR(IF(INT(IF($G129=N$2,装备表!$E217,"xxx")/10000)=1,IF($G129=N$2,装备表!$E217,"xxx")&amp;":2,1,1,"&amp;装备表!$O217&amp;";","xxx"),"xxx"))</f>
        <v>xxx</v>
      </c>
    </row>
    <row r="130" spans="5:14" x14ac:dyDescent="0.2">
      <c r="E130" s="18">
        <v>14821</v>
      </c>
      <c r="F130" s="18" t="s">
        <v>300</v>
      </c>
      <c r="G130" s="18"/>
      <c r="H130" s="18" t="str">
        <f>IF(装备表!$O133=0,"xxx",IFERROR(IF(INT(IF($G130=H$2,装备表!$E218,"xxx")/10000)=1,IF($G130=H$2,装备表!$E218,"xxx")&amp;":2,1,1,"&amp;装备表!$O218&amp;";","xxx"),"xxx"))</f>
        <v>xxx</v>
      </c>
      <c r="I130" s="18" t="str">
        <f>IF(装备表!$O133=0,"xxx",IFERROR(IF(INT(IF($G130=I$2,装备表!$E218,"xxx")/10000)=1,IF($G130=I$2,装备表!$E218,"xxx")&amp;":2,1,1,"&amp;装备表!$O218&amp;";","xxx"),"xxx"))</f>
        <v>xxx</v>
      </c>
      <c r="J130" s="18" t="str">
        <f>IF(装备表!$O133=0,"xxx",IFERROR(IF(INT(IF($G130=J$2,装备表!$E218,"xxx")/10000)=1,IF($G130=J$2,装备表!$E218,"xxx")&amp;":2,1,1,"&amp;装备表!$O218&amp;";","xxx"),"xxx"))</f>
        <v>xxx</v>
      </c>
      <c r="K130" s="18" t="str">
        <f>IF(装备表!$O133=0,"xxx",IFERROR(IF(INT(IF($G130=K$2,装备表!$E218,"xxx")/10000)=1,IF($G130=K$2,装备表!$E218,"xxx")&amp;":2,1,1,"&amp;装备表!$O218&amp;";","xxx"),"xxx"))</f>
        <v>xxx</v>
      </c>
      <c r="L130" s="18" t="str">
        <f>IF(装备表!$O133=0,"xxx",IFERROR(IF(INT(IF($G130=L$2,装备表!$E218,"xxx")/10000)=1,IF($G130=L$2,装备表!$E218,"xxx")&amp;":2,1,1,"&amp;装备表!$O218&amp;";","xxx"),"xxx"))</f>
        <v>xxx</v>
      </c>
      <c r="M130" s="18" t="str">
        <f>IF(装备表!$O133=0,"xxx",IFERROR(IF(INT(IF($G130=M$2,装备表!$E218,"xxx")/10000)=1,IF($G130=M$2,装备表!$E218,"xxx")&amp;":2,1,1,"&amp;装备表!$O218&amp;";","xxx"),"xxx"))</f>
        <v>14821:2,1,1,10;</v>
      </c>
      <c r="N130" s="18" t="str">
        <f>IF(装备表!$O133=0,"xxx",IFERROR(IF(INT(IF($G130=N$2,装备表!$E218,"xxx")/10000)=1,IF($G130=N$2,装备表!$E218,"xxx")&amp;":2,1,1,"&amp;装备表!$O218&amp;";","xxx"),"xxx"))</f>
        <v>xxx</v>
      </c>
    </row>
    <row r="131" spans="5:14" x14ac:dyDescent="0.2">
      <c r="E131" s="18">
        <v>14822</v>
      </c>
      <c r="F131" s="18" t="s">
        <v>301</v>
      </c>
      <c r="G131" s="18"/>
      <c r="H131" s="18" t="str">
        <f>IF(装备表!$O134=0,"xxx",IFERROR(IF(INT(IF($G131=H$2,装备表!$E219,"xxx")/10000)=1,IF($G131=H$2,装备表!$E219,"xxx")&amp;":2,1,1,"&amp;装备表!$O219&amp;";","xxx"),"xxx"))</f>
        <v>xxx</v>
      </c>
      <c r="I131" s="18" t="str">
        <f>IF(装备表!$O134=0,"xxx",IFERROR(IF(INT(IF($G131=I$2,装备表!$E219,"xxx")/10000)=1,IF($G131=I$2,装备表!$E219,"xxx")&amp;":2,1,1,"&amp;装备表!$O219&amp;";","xxx"),"xxx"))</f>
        <v>xxx</v>
      </c>
      <c r="J131" s="18" t="str">
        <f>IF(装备表!$O134=0,"xxx",IFERROR(IF(INT(IF($G131=J$2,装备表!$E219,"xxx")/10000)=1,IF($G131=J$2,装备表!$E219,"xxx")&amp;":2,1,1,"&amp;装备表!$O219&amp;";","xxx"),"xxx"))</f>
        <v>xxx</v>
      </c>
      <c r="K131" s="18" t="str">
        <f>IF(装备表!$O134=0,"xxx",IFERROR(IF(INT(IF($G131=K$2,装备表!$E219,"xxx")/10000)=1,IF($G131=K$2,装备表!$E219,"xxx")&amp;":2,1,1,"&amp;装备表!$O219&amp;";","xxx"),"xxx"))</f>
        <v>xxx</v>
      </c>
      <c r="L131" s="18" t="str">
        <f>IF(装备表!$O134=0,"xxx",IFERROR(IF(INT(IF($G131=L$2,装备表!$E219,"xxx")/10000)=1,IF($G131=L$2,装备表!$E219,"xxx")&amp;":2,1,1,"&amp;装备表!$O219&amp;";","xxx"),"xxx"))</f>
        <v>xxx</v>
      </c>
      <c r="M131" s="18" t="str">
        <f>IF(装备表!$O134=0,"xxx",IFERROR(IF(INT(IF($G131=M$2,装备表!$E219,"xxx")/10000)=1,IF($G131=M$2,装备表!$E219,"xxx")&amp;":2,1,1,"&amp;装备表!$O219&amp;";","xxx"),"xxx"))</f>
        <v>14822:2,1,1,10;</v>
      </c>
      <c r="N131" s="18" t="str">
        <f>IF(装备表!$O134=0,"xxx",IFERROR(IF(INT(IF($G131=N$2,装备表!$E219,"xxx")/10000)=1,IF($G131=N$2,装备表!$E219,"xxx")&amp;":2,1,1,"&amp;装备表!$O219&amp;";","xxx"),"xxx"))</f>
        <v>xxx</v>
      </c>
    </row>
    <row r="132" spans="5:14" x14ac:dyDescent="0.2">
      <c r="E132" s="18">
        <v>14823</v>
      </c>
      <c r="F132" s="18" t="s">
        <v>302</v>
      </c>
      <c r="G132" s="18">
        <v>4</v>
      </c>
      <c r="H132" s="18" t="str">
        <f>IF(装备表!$O135=0,"xxx",IFERROR(IF(INT(IF($G132=H$2,装备表!$E220,"xxx")/10000)=1,IF($G132=H$2,装备表!$E220,"xxx")&amp;":2,1,1,"&amp;装备表!$O220&amp;";","xxx"),"xxx"))</f>
        <v>xxx</v>
      </c>
      <c r="I132" s="18" t="str">
        <f>IF(装备表!$O135=0,"xxx",IFERROR(IF(INT(IF($G132=I$2,装备表!$E220,"xxx")/10000)=1,IF($G132=I$2,装备表!$E220,"xxx")&amp;":2,1,1,"&amp;装备表!$O220&amp;";","xxx"),"xxx"))</f>
        <v>xxx</v>
      </c>
      <c r="J132" s="18" t="str">
        <f>IF(装备表!$O135=0,"xxx",IFERROR(IF(INT(IF($G132=J$2,装备表!$E220,"xxx")/10000)=1,IF($G132=J$2,装备表!$E220,"xxx")&amp;":2,1,1,"&amp;装备表!$O220&amp;";","xxx"),"xxx"))</f>
        <v>xxx</v>
      </c>
      <c r="K132" s="18" t="str">
        <f>IF(装备表!$O135=0,"xxx",IFERROR(IF(INT(IF($G132=K$2,装备表!$E220,"xxx")/10000)=1,IF($G132=K$2,装备表!$E220,"xxx")&amp;":2,1,1,"&amp;装备表!$O220&amp;";","xxx"),"xxx"))</f>
        <v>14823:2,1,1,10;</v>
      </c>
      <c r="L132" s="18" t="str">
        <f>IF(装备表!$O135=0,"xxx",IFERROR(IF(INT(IF($G132=L$2,装备表!$E220,"xxx")/10000)=1,IF($G132=L$2,装备表!$E220,"xxx")&amp;":2,1,1,"&amp;装备表!$O220&amp;";","xxx"),"xxx"))</f>
        <v>xxx</v>
      </c>
      <c r="M132" s="18" t="str">
        <f>IF(装备表!$O135=0,"xxx",IFERROR(IF(INT(IF($G132=M$2,装备表!$E220,"xxx")/10000)=1,IF($G132=M$2,装备表!$E220,"xxx")&amp;":2,1,1,"&amp;装备表!$O220&amp;";","xxx"),"xxx"))</f>
        <v>xxx</v>
      </c>
      <c r="N132" s="18" t="str">
        <f>IF(装备表!$O135=0,"xxx",IFERROR(IF(INT(IF($G132=N$2,装备表!$E220,"xxx")/10000)=1,IF($G132=N$2,装备表!$E220,"xxx")&amp;":2,1,1,"&amp;装备表!$O220&amp;";","xxx"),"xxx"))</f>
        <v>xxx</v>
      </c>
    </row>
    <row r="133" spans="5:14" x14ac:dyDescent="0.2">
      <c r="E133" s="18">
        <v>14824</v>
      </c>
      <c r="F133" s="18" t="s">
        <v>303</v>
      </c>
      <c r="G133" s="18"/>
      <c r="H133" s="18" t="str">
        <f>IF(装备表!$O136=0,"xxx",IFERROR(IF(INT(IF($G133=H$2,装备表!$E221,"xxx")/10000)=1,IF($G133=H$2,装备表!$E221,"xxx")&amp;":2,1,1,"&amp;装备表!$O221&amp;";","xxx"),"xxx"))</f>
        <v>xxx</v>
      </c>
      <c r="I133" s="18" t="str">
        <f>IF(装备表!$O136=0,"xxx",IFERROR(IF(INT(IF($G133=I$2,装备表!$E221,"xxx")/10000)=1,IF($G133=I$2,装备表!$E221,"xxx")&amp;":2,1,1,"&amp;装备表!$O221&amp;";","xxx"),"xxx"))</f>
        <v>xxx</v>
      </c>
      <c r="J133" s="18" t="str">
        <f>IF(装备表!$O136=0,"xxx",IFERROR(IF(INT(IF($G133=J$2,装备表!$E221,"xxx")/10000)=1,IF($G133=J$2,装备表!$E221,"xxx")&amp;":2,1,1,"&amp;装备表!$O221&amp;";","xxx"),"xxx"))</f>
        <v>xxx</v>
      </c>
      <c r="K133" s="18" t="str">
        <f>IF(装备表!$O136=0,"xxx",IFERROR(IF(INT(IF($G133=K$2,装备表!$E221,"xxx")/10000)=1,IF($G133=K$2,装备表!$E221,"xxx")&amp;":2,1,1,"&amp;装备表!$O221&amp;";","xxx"),"xxx"))</f>
        <v>xxx</v>
      </c>
      <c r="L133" s="18" t="str">
        <f>IF(装备表!$O136=0,"xxx",IFERROR(IF(INT(IF($G133=L$2,装备表!$E221,"xxx")/10000)=1,IF($G133=L$2,装备表!$E221,"xxx")&amp;":2,1,1,"&amp;装备表!$O221&amp;";","xxx"),"xxx"))</f>
        <v>xxx</v>
      </c>
      <c r="M133" s="18" t="str">
        <f>IF(装备表!$O136=0,"xxx",IFERROR(IF(INT(IF($G133=M$2,装备表!$E221,"xxx")/10000)=1,IF($G133=M$2,装备表!$E221,"xxx")&amp;":2,1,1,"&amp;装备表!$O221&amp;";","xxx"),"xxx"))</f>
        <v>14824:2,1,1,10;</v>
      </c>
      <c r="N133" s="18" t="str">
        <f>IF(装备表!$O136=0,"xxx",IFERROR(IF(INT(IF($G133=N$2,装备表!$E221,"xxx")/10000)=1,IF($G133=N$2,装备表!$E221,"xxx")&amp;":2,1,1,"&amp;装备表!$O221&amp;";","xxx"),"xxx"))</f>
        <v>xxx</v>
      </c>
    </row>
    <row r="134" spans="5:14" x14ac:dyDescent="0.2">
      <c r="E134" s="18">
        <v>14825</v>
      </c>
      <c r="F134" s="18" t="s">
        <v>305</v>
      </c>
      <c r="G134" s="18"/>
      <c r="H134" s="18" t="str">
        <f>IF(装备表!$O137=0,"xxx",IFERROR(IF(INT(IF($G134=H$2,装备表!$E222,"xxx")/10000)=1,IF($G134=H$2,装备表!$E222,"xxx")&amp;":2,1,1,"&amp;装备表!$O222&amp;";","xxx"),"xxx"))</f>
        <v>xxx</v>
      </c>
      <c r="I134" s="18" t="str">
        <f>IF(装备表!$O137=0,"xxx",IFERROR(IF(INT(IF($G134=I$2,装备表!$E222,"xxx")/10000)=1,IF($G134=I$2,装备表!$E222,"xxx")&amp;":2,1,1,"&amp;装备表!$O222&amp;";","xxx"),"xxx"))</f>
        <v>xxx</v>
      </c>
      <c r="J134" s="18" t="str">
        <f>IF(装备表!$O137=0,"xxx",IFERROR(IF(INT(IF($G134=J$2,装备表!$E222,"xxx")/10000)=1,IF($G134=J$2,装备表!$E222,"xxx")&amp;":2,1,1,"&amp;装备表!$O222&amp;";","xxx"),"xxx"))</f>
        <v>xxx</v>
      </c>
      <c r="K134" s="18" t="str">
        <f>IF(装备表!$O137=0,"xxx",IFERROR(IF(INT(IF($G134=K$2,装备表!$E222,"xxx")/10000)=1,IF($G134=K$2,装备表!$E222,"xxx")&amp;":2,1,1,"&amp;装备表!$O222&amp;";","xxx"),"xxx"))</f>
        <v>xxx</v>
      </c>
      <c r="L134" s="18" t="str">
        <f>IF(装备表!$O137=0,"xxx",IFERROR(IF(INT(IF($G134=L$2,装备表!$E222,"xxx")/10000)=1,IF($G134=L$2,装备表!$E222,"xxx")&amp;":2,1,1,"&amp;装备表!$O222&amp;";","xxx"),"xxx"))</f>
        <v>xxx</v>
      </c>
      <c r="M134" s="18" t="str">
        <f>IF(装备表!$O137=0,"xxx",IFERROR(IF(INT(IF($G134=M$2,装备表!$E222,"xxx")/10000)=1,IF($G134=M$2,装备表!$E222,"xxx")&amp;":2,1,1,"&amp;装备表!$O222&amp;";","xxx"),"xxx"))</f>
        <v>14825:2,1,1,10;</v>
      </c>
      <c r="N134" s="18" t="str">
        <f>IF(装备表!$O137=0,"xxx",IFERROR(IF(INT(IF($G134=N$2,装备表!$E222,"xxx")/10000)=1,IF($G134=N$2,装备表!$E222,"xxx")&amp;":2,1,1,"&amp;装备表!$O222&amp;";","xxx"),"xxx"))</f>
        <v>xxx</v>
      </c>
    </row>
    <row r="135" spans="5:14" x14ac:dyDescent="0.2">
      <c r="E135" s="18">
        <v>14826</v>
      </c>
      <c r="F135" s="18" t="s">
        <v>306</v>
      </c>
      <c r="G135" s="18">
        <v>4</v>
      </c>
      <c r="H135" s="18" t="str">
        <f>IF(装备表!$O138=0,"xxx",IFERROR(IF(INT(IF($G135=H$2,装备表!$E223,"xxx")/10000)=1,IF($G135=H$2,装备表!$E223,"xxx")&amp;":2,1,1,"&amp;装备表!$O223&amp;";","xxx"),"xxx"))</f>
        <v>xxx</v>
      </c>
      <c r="I135" s="18" t="str">
        <f>IF(装备表!$O138=0,"xxx",IFERROR(IF(INT(IF($G135=I$2,装备表!$E223,"xxx")/10000)=1,IF($G135=I$2,装备表!$E223,"xxx")&amp;":2,1,1,"&amp;装备表!$O223&amp;";","xxx"),"xxx"))</f>
        <v>xxx</v>
      </c>
      <c r="J135" s="18" t="str">
        <f>IF(装备表!$O138=0,"xxx",IFERROR(IF(INT(IF($G135=J$2,装备表!$E223,"xxx")/10000)=1,IF($G135=J$2,装备表!$E223,"xxx")&amp;":2,1,1,"&amp;装备表!$O223&amp;";","xxx"),"xxx"))</f>
        <v>xxx</v>
      </c>
      <c r="K135" s="18" t="str">
        <f>IF(装备表!$O138=0,"xxx",IFERROR(IF(INT(IF($G135=K$2,装备表!$E223,"xxx")/10000)=1,IF($G135=K$2,装备表!$E223,"xxx")&amp;":2,1,1,"&amp;装备表!$O223&amp;";","xxx"),"xxx"))</f>
        <v>14826:2,1,1,10;</v>
      </c>
      <c r="L135" s="18" t="str">
        <f>IF(装备表!$O138=0,"xxx",IFERROR(IF(INT(IF($G135=L$2,装备表!$E223,"xxx")/10000)=1,IF($G135=L$2,装备表!$E223,"xxx")&amp;":2,1,1,"&amp;装备表!$O223&amp;";","xxx"),"xxx"))</f>
        <v>xxx</v>
      </c>
      <c r="M135" s="18" t="str">
        <f>IF(装备表!$O138=0,"xxx",IFERROR(IF(INT(IF($G135=M$2,装备表!$E223,"xxx")/10000)=1,IF($G135=M$2,装备表!$E223,"xxx")&amp;":2,1,1,"&amp;装备表!$O223&amp;";","xxx"),"xxx"))</f>
        <v>xxx</v>
      </c>
      <c r="N135" s="18" t="str">
        <f>IF(装备表!$O138=0,"xxx",IFERROR(IF(INT(IF($G135=N$2,装备表!$E223,"xxx")/10000)=1,IF($G135=N$2,装备表!$E223,"xxx")&amp;":2,1,1,"&amp;装备表!$O223&amp;";","xxx"),"xxx"))</f>
        <v>xxx</v>
      </c>
    </row>
    <row r="136" spans="5:14" x14ac:dyDescent="0.2">
      <c r="E136" s="18">
        <v>14827</v>
      </c>
      <c r="F136" s="18" t="s">
        <v>308</v>
      </c>
      <c r="G136" s="18">
        <v>6</v>
      </c>
      <c r="H136" s="18" t="str">
        <f>IF(装备表!$O139=0,"xxx",IFERROR(IF(INT(IF($G136=H$2,装备表!$E224,"xxx")/10000)=1,IF($G136=H$2,装备表!$E224,"xxx")&amp;":2,1,1,"&amp;装备表!$O224&amp;";","xxx"),"xxx"))</f>
        <v>xxx</v>
      </c>
      <c r="I136" s="18" t="str">
        <f>IF(装备表!$O139=0,"xxx",IFERROR(IF(INT(IF($G136=I$2,装备表!$E224,"xxx")/10000)=1,IF($G136=I$2,装备表!$E224,"xxx")&amp;":2,1,1,"&amp;装备表!$O224&amp;";","xxx"),"xxx"))</f>
        <v>xxx</v>
      </c>
      <c r="J136" s="18" t="str">
        <f>IF(装备表!$O139=0,"xxx",IFERROR(IF(INT(IF($G136=J$2,装备表!$E224,"xxx")/10000)=1,IF($G136=J$2,装备表!$E224,"xxx")&amp;":2,1,1,"&amp;装备表!$O224&amp;";","xxx"),"xxx"))</f>
        <v>xxx</v>
      </c>
      <c r="K136" s="18" t="str">
        <f>IF(装备表!$O139=0,"xxx",IFERROR(IF(INT(IF($G136=K$2,装备表!$E224,"xxx")/10000)=1,IF($G136=K$2,装备表!$E224,"xxx")&amp;":2,1,1,"&amp;装备表!$O224&amp;";","xxx"),"xxx"))</f>
        <v>xxx</v>
      </c>
      <c r="L136" s="18" t="str">
        <f>IF(装备表!$O139=0,"xxx",IFERROR(IF(INT(IF($G136=L$2,装备表!$E224,"xxx")/10000)=1,IF($G136=L$2,装备表!$E224,"xxx")&amp;":2,1,1,"&amp;装备表!$O224&amp;";","xxx"),"xxx"))</f>
        <v>xxx</v>
      </c>
      <c r="M136" s="18" t="str">
        <f>IF(装备表!$O139=0,"xxx",IFERROR(IF(INT(IF($G136=M$2,装备表!$E224,"xxx")/10000)=1,IF($G136=M$2,装备表!$E224,"xxx")&amp;":2,1,1,"&amp;装备表!$O224&amp;";","xxx"),"xxx"))</f>
        <v>xxx</v>
      </c>
      <c r="N136" s="18" t="str">
        <f>IF(装备表!$O139=0,"xxx",IFERROR(IF(INT(IF($G136=N$2,装备表!$E224,"xxx")/10000)=1,IF($G136=N$2,装备表!$E224,"xxx")&amp;":2,1,1,"&amp;装备表!$O224&amp;";","xxx"),"xxx"))</f>
        <v>xxx</v>
      </c>
    </row>
    <row r="137" spans="5:14" x14ac:dyDescent="0.2">
      <c r="E137" s="18">
        <v>14828</v>
      </c>
      <c r="F137" s="18" t="s">
        <v>309</v>
      </c>
      <c r="G137" s="18"/>
      <c r="H137" s="18" t="str">
        <f>IF(装备表!$O140=0,"xxx",IFERROR(IF(INT(IF($G137=H$2,装备表!$E225,"xxx")/10000)=1,IF($G137=H$2,装备表!$E225,"xxx")&amp;":2,1,1,"&amp;装备表!$O225&amp;";","xxx"),"xxx"))</f>
        <v>xxx</v>
      </c>
      <c r="I137" s="18" t="str">
        <f>IF(装备表!$O140=0,"xxx",IFERROR(IF(INT(IF($G137=I$2,装备表!$E225,"xxx")/10000)=1,IF($G137=I$2,装备表!$E225,"xxx")&amp;":2,1,1,"&amp;装备表!$O225&amp;";","xxx"),"xxx"))</f>
        <v>xxx</v>
      </c>
      <c r="J137" s="18" t="str">
        <f>IF(装备表!$O140=0,"xxx",IFERROR(IF(INT(IF($G137=J$2,装备表!$E225,"xxx")/10000)=1,IF($G137=J$2,装备表!$E225,"xxx")&amp;":2,1,1,"&amp;装备表!$O225&amp;";","xxx"),"xxx"))</f>
        <v>xxx</v>
      </c>
      <c r="K137" s="18" t="str">
        <f>IF(装备表!$O140=0,"xxx",IFERROR(IF(INT(IF($G137=K$2,装备表!$E225,"xxx")/10000)=1,IF($G137=K$2,装备表!$E225,"xxx")&amp;":2,1,1,"&amp;装备表!$O225&amp;";","xxx"),"xxx"))</f>
        <v>xxx</v>
      </c>
      <c r="L137" s="18" t="str">
        <f>IF(装备表!$O140=0,"xxx",IFERROR(IF(INT(IF($G137=L$2,装备表!$E225,"xxx")/10000)=1,IF($G137=L$2,装备表!$E225,"xxx")&amp;":2,1,1,"&amp;装备表!$O225&amp;";","xxx"),"xxx"))</f>
        <v>xxx</v>
      </c>
      <c r="M137" s="18" t="str">
        <f>IF(装备表!$O140=0,"xxx",IFERROR(IF(INT(IF($G137=M$2,装备表!$E225,"xxx")/10000)=1,IF($G137=M$2,装备表!$E225,"xxx")&amp;":2,1,1,"&amp;装备表!$O225&amp;";","xxx"),"xxx"))</f>
        <v>14828:2,1,1,10;</v>
      </c>
      <c r="N137" s="18" t="str">
        <f>IF(装备表!$O140=0,"xxx",IFERROR(IF(INT(IF($G137=N$2,装备表!$E225,"xxx")/10000)=1,IF($G137=N$2,装备表!$E225,"xxx")&amp;":2,1,1,"&amp;装备表!$O225&amp;";","xxx"),"xxx"))</f>
        <v>xxx</v>
      </c>
    </row>
    <row r="138" spans="5:14" x14ac:dyDescent="0.2">
      <c r="E138" s="18">
        <v>14829</v>
      </c>
      <c r="F138" s="18" t="s">
        <v>310</v>
      </c>
      <c r="G138" s="18"/>
      <c r="H138" s="18" t="str">
        <f>IF(装备表!$O141=0,"xxx",IFERROR(IF(INT(IF($G138=H$2,装备表!$E226,"xxx")/10000)=1,IF($G138=H$2,装备表!$E226,"xxx")&amp;":2,1,1,"&amp;装备表!$O226&amp;";","xxx"),"xxx"))</f>
        <v>xxx</v>
      </c>
      <c r="I138" s="18" t="str">
        <f>IF(装备表!$O141=0,"xxx",IFERROR(IF(INT(IF($G138=I$2,装备表!$E226,"xxx")/10000)=1,IF($G138=I$2,装备表!$E226,"xxx")&amp;":2,1,1,"&amp;装备表!$O226&amp;";","xxx"),"xxx"))</f>
        <v>xxx</v>
      </c>
      <c r="J138" s="18" t="str">
        <f>IF(装备表!$O141=0,"xxx",IFERROR(IF(INT(IF($G138=J$2,装备表!$E226,"xxx")/10000)=1,IF($G138=J$2,装备表!$E226,"xxx")&amp;":2,1,1,"&amp;装备表!$O226&amp;";","xxx"),"xxx"))</f>
        <v>xxx</v>
      </c>
      <c r="K138" s="18" t="str">
        <f>IF(装备表!$O141=0,"xxx",IFERROR(IF(INT(IF($G138=K$2,装备表!$E226,"xxx")/10000)=1,IF($G138=K$2,装备表!$E226,"xxx")&amp;":2,1,1,"&amp;装备表!$O226&amp;";","xxx"),"xxx"))</f>
        <v>xxx</v>
      </c>
      <c r="L138" s="18" t="str">
        <f>IF(装备表!$O141=0,"xxx",IFERROR(IF(INT(IF($G138=L$2,装备表!$E226,"xxx")/10000)=1,IF($G138=L$2,装备表!$E226,"xxx")&amp;":2,1,1,"&amp;装备表!$O226&amp;";","xxx"),"xxx"))</f>
        <v>xxx</v>
      </c>
      <c r="M138" s="18" t="str">
        <f>IF(装备表!$O141=0,"xxx",IFERROR(IF(INT(IF($G138=M$2,装备表!$E226,"xxx")/10000)=1,IF($G138=M$2,装备表!$E226,"xxx")&amp;":2,1,1,"&amp;装备表!$O226&amp;";","xxx"),"xxx"))</f>
        <v>14829:2,1,1,10;</v>
      </c>
      <c r="N138" s="18" t="str">
        <f>IF(装备表!$O141=0,"xxx",IFERROR(IF(INT(IF($G138=N$2,装备表!$E226,"xxx")/10000)=1,IF($G138=N$2,装备表!$E226,"xxx")&amp;":2,1,1,"&amp;装备表!$O226&amp;";","xxx"),"xxx"))</f>
        <v>xxx</v>
      </c>
    </row>
    <row r="139" spans="5:14" x14ac:dyDescent="0.2">
      <c r="E139" s="18">
        <v>14830</v>
      </c>
      <c r="F139" s="18" t="s">
        <v>311</v>
      </c>
      <c r="G139" s="18"/>
      <c r="H139" s="18" t="str">
        <f>IF(装备表!$O142=0,"xxx",IFERROR(IF(INT(IF($G139=H$2,装备表!$E227,"xxx")/10000)=1,IF($G139=H$2,装备表!$E227,"xxx")&amp;":2,1,1,"&amp;装备表!$O227&amp;";","xxx"),"xxx"))</f>
        <v>xxx</v>
      </c>
      <c r="I139" s="18" t="str">
        <f>IF(装备表!$O142=0,"xxx",IFERROR(IF(INT(IF($G139=I$2,装备表!$E227,"xxx")/10000)=1,IF($G139=I$2,装备表!$E227,"xxx")&amp;":2,1,1,"&amp;装备表!$O227&amp;";","xxx"),"xxx"))</f>
        <v>xxx</v>
      </c>
      <c r="J139" s="18" t="str">
        <f>IF(装备表!$O142=0,"xxx",IFERROR(IF(INT(IF($G139=J$2,装备表!$E227,"xxx")/10000)=1,IF($G139=J$2,装备表!$E227,"xxx")&amp;":2,1,1,"&amp;装备表!$O227&amp;";","xxx"),"xxx"))</f>
        <v>xxx</v>
      </c>
      <c r="K139" s="18" t="str">
        <f>IF(装备表!$O142=0,"xxx",IFERROR(IF(INT(IF($G139=K$2,装备表!$E227,"xxx")/10000)=1,IF($G139=K$2,装备表!$E227,"xxx")&amp;":2,1,1,"&amp;装备表!$O227&amp;";","xxx"),"xxx"))</f>
        <v>xxx</v>
      </c>
      <c r="L139" s="18" t="str">
        <f>IF(装备表!$O142=0,"xxx",IFERROR(IF(INT(IF($G139=L$2,装备表!$E227,"xxx")/10000)=1,IF($G139=L$2,装备表!$E227,"xxx")&amp;":2,1,1,"&amp;装备表!$O227&amp;";","xxx"),"xxx"))</f>
        <v>xxx</v>
      </c>
      <c r="M139" s="18" t="str">
        <f>IF(装备表!$O142=0,"xxx",IFERROR(IF(INT(IF($G139=M$2,装备表!$E227,"xxx")/10000)=1,IF($G139=M$2,装备表!$E227,"xxx")&amp;":2,1,1,"&amp;装备表!$O227&amp;";","xxx"),"xxx"))</f>
        <v>xxx</v>
      </c>
      <c r="N139" s="18" t="str">
        <f>IF(装备表!$O142=0,"xxx",IFERROR(IF(INT(IF($G139=N$2,装备表!$E227,"xxx")/10000)=1,IF($G139=N$2,装备表!$E227,"xxx")&amp;":2,1,1,"&amp;装备表!$O227&amp;";","xxx"),"xxx"))</f>
        <v>xxx</v>
      </c>
    </row>
    <row r="140" spans="5:14" x14ac:dyDescent="0.2">
      <c r="E140" s="18">
        <v>14831</v>
      </c>
      <c r="F140" s="18" t="s">
        <v>313</v>
      </c>
      <c r="G140" s="18">
        <v>-1</v>
      </c>
      <c r="H140" s="18" t="str">
        <f>IF(装备表!$O143=0,"xxx",IFERROR(IF(INT(IF($G140=H$2,装备表!$E228,"xxx")/10000)=1,IF($G140=H$2,装备表!$E228,"xxx")&amp;":2,1,1,"&amp;装备表!$O228&amp;";","xxx"),"xxx"))</f>
        <v>xxx</v>
      </c>
      <c r="I140" s="18" t="str">
        <f>IF(装备表!$O143=0,"xxx",IFERROR(IF(INT(IF($G140=I$2,装备表!$E228,"xxx")/10000)=1,IF($G140=I$2,装备表!$E228,"xxx")&amp;":2,1,1,"&amp;装备表!$O228&amp;";","xxx"),"xxx"))</f>
        <v>xxx</v>
      </c>
      <c r="J140" s="18" t="str">
        <f>IF(装备表!$O143=0,"xxx",IFERROR(IF(INT(IF($G140=J$2,装备表!$E228,"xxx")/10000)=1,IF($G140=J$2,装备表!$E228,"xxx")&amp;":2,1,1,"&amp;装备表!$O228&amp;";","xxx"),"xxx"))</f>
        <v>xxx</v>
      </c>
      <c r="K140" s="18" t="str">
        <f>IF(装备表!$O143=0,"xxx",IFERROR(IF(INT(IF($G140=K$2,装备表!$E228,"xxx")/10000)=1,IF($G140=K$2,装备表!$E228,"xxx")&amp;":2,1,1,"&amp;装备表!$O228&amp;";","xxx"),"xxx"))</f>
        <v>xxx</v>
      </c>
      <c r="L140" s="18" t="str">
        <f>IF(装备表!$O143=0,"xxx",IFERROR(IF(INT(IF($G140=L$2,装备表!$E228,"xxx")/10000)=1,IF($G140=L$2,装备表!$E228,"xxx")&amp;":2,1,1,"&amp;装备表!$O228&amp;";","xxx"),"xxx"))</f>
        <v>xxx</v>
      </c>
      <c r="M140" s="18" t="str">
        <f>IF(装备表!$O143=0,"xxx",IFERROR(IF(INT(IF($G140=M$2,装备表!$E228,"xxx")/10000)=1,IF($G140=M$2,装备表!$E228,"xxx")&amp;":2,1,1,"&amp;装备表!$O228&amp;";","xxx"),"xxx"))</f>
        <v>xxx</v>
      </c>
      <c r="N140" s="18" t="str">
        <f>IF(装备表!$O143=0,"xxx",IFERROR(IF(INT(IF($G140=N$2,装备表!$E228,"xxx")/10000)=1,IF($G140=N$2,装备表!$E228,"xxx")&amp;":2,1,1,"&amp;装备表!$O228&amp;";","xxx"),"xxx"))</f>
        <v>14831:2,1,1,10;</v>
      </c>
    </row>
    <row r="141" spans="5:14" x14ac:dyDescent="0.2">
      <c r="E141" s="18">
        <v>14832</v>
      </c>
      <c r="F141" s="18" t="s">
        <v>314</v>
      </c>
      <c r="G141" s="18"/>
      <c r="H141" s="18" t="str">
        <f>IF(装备表!$O144=0,"xxx",IFERROR(IF(INT(IF($G141=H$2,装备表!$E229,"xxx")/10000)=1,IF($G141=H$2,装备表!$E229,"xxx")&amp;":2,1,1,"&amp;装备表!$O229&amp;";","xxx"),"xxx"))</f>
        <v>xxx</v>
      </c>
      <c r="I141" s="18" t="str">
        <f>IF(装备表!$O144=0,"xxx",IFERROR(IF(INT(IF($G141=I$2,装备表!$E229,"xxx")/10000)=1,IF($G141=I$2,装备表!$E229,"xxx")&amp;":2,1,1,"&amp;装备表!$O229&amp;";","xxx"),"xxx"))</f>
        <v>xxx</v>
      </c>
      <c r="J141" s="18" t="str">
        <f>IF(装备表!$O144=0,"xxx",IFERROR(IF(INT(IF($G141=J$2,装备表!$E229,"xxx")/10000)=1,IF($G141=J$2,装备表!$E229,"xxx")&amp;":2,1,1,"&amp;装备表!$O229&amp;";","xxx"),"xxx"))</f>
        <v>xxx</v>
      </c>
      <c r="K141" s="18" t="str">
        <f>IF(装备表!$O144=0,"xxx",IFERROR(IF(INT(IF($G141=K$2,装备表!$E229,"xxx")/10000)=1,IF($G141=K$2,装备表!$E229,"xxx")&amp;":2,1,1,"&amp;装备表!$O229&amp;";","xxx"),"xxx"))</f>
        <v>xxx</v>
      </c>
      <c r="L141" s="18" t="str">
        <f>IF(装备表!$O144=0,"xxx",IFERROR(IF(INT(IF($G141=L$2,装备表!$E229,"xxx")/10000)=1,IF($G141=L$2,装备表!$E229,"xxx")&amp;":2,1,1,"&amp;装备表!$O229&amp;";","xxx"),"xxx"))</f>
        <v>xxx</v>
      </c>
      <c r="M141" s="18" t="str">
        <f>IF(装备表!$O144=0,"xxx",IFERROR(IF(INT(IF($G141=M$2,装备表!$E229,"xxx")/10000)=1,IF($G141=M$2,装备表!$E229,"xxx")&amp;":2,1,1,"&amp;装备表!$O229&amp;";","xxx"),"xxx"))</f>
        <v>14832:2,1,1,10;</v>
      </c>
      <c r="N141" s="18" t="str">
        <f>IF(装备表!$O144=0,"xxx",IFERROR(IF(INT(IF($G141=N$2,装备表!$E229,"xxx")/10000)=1,IF($G141=N$2,装备表!$E229,"xxx")&amp;":2,1,1,"&amp;装备表!$O229&amp;";","xxx"),"xxx"))</f>
        <v>xxx</v>
      </c>
    </row>
    <row r="142" spans="5:14" x14ac:dyDescent="0.2">
      <c r="E142" s="18">
        <v>14833</v>
      </c>
      <c r="F142" s="18" t="s">
        <v>315</v>
      </c>
      <c r="G142" s="18"/>
      <c r="H142" s="18" t="str">
        <f>IF(装备表!$O145=0,"xxx",IFERROR(IF(INT(IF($G142=H$2,装备表!$E230,"xxx")/10000)=1,IF($G142=H$2,装备表!$E230,"xxx")&amp;":2,1,1,"&amp;装备表!$O230&amp;";","xxx"),"xxx"))</f>
        <v>xxx</v>
      </c>
      <c r="I142" s="18" t="str">
        <f>IF(装备表!$O145=0,"xxx",IFERROR(IF(INT(IF($G142=I$2,装备表!$E230,"xxx")/10000)=1,IF($G142=I$2,装备表!$E230,"xxx")&amp;":2,1,1,"&amp;装备表!$O230&amp;";","xxx"),"xxx"))</f>
        <v>xxx</v>
      </c>
      <c r="J142" s="18" t="str">
        <f>IF(装备表!$O145=0,"xxx",IFERROR(IF(INT(IF($G142=J$2,装备表!$E230,"xxx")/10000)=1,IF($G142=J$2,装备表!$E230,"xxx")&amp;":2,1,1,"&amp;装备表!$O230&amp;";","xxx"),"xxx"))</f>
        <v>xxx</v>
      </c>
      <c r="K142" s="18" t="str">
        <f>IF(装备表!$O145=0,"xxx",IFERROR(IF(INT(IF($G142=K$2,装备表!$E230,"xxx")/10000)=1,IF($G142=K$2,装备表!$E230,"xxx")&amp;":2,1,1,"&amp;装备表!$O230&amp;";","xxx"),"xxx"))</f>
        <v>xxx</v>
      </c>
      <c r="L142" s="18" t="str">
        <f>IF(装备表!$O145=0,"xxx",IFERROR(IF(INT(IF($G142=L$2,装备表!$E230,"xxx")/10000)=1,IF($G142=L$2,装备表!$E230,"xxx")&amp;":2,1,1,"&amp;装备表!$O230&amp;";","xxx"),"xxx"))</f>
        <v>xxx</v>
      </c>
      <c r="M142" s="18" t="str">
        <f>IF(装备表!$O145=0,"xxx",IFERROR(IF(INT(IF($G142=M$2,装备表!$E230,"xxx")/10000)=1,IF($G142=M$2,装备表!$E230,"xxx")&amp;":2,1,1,"&amp;装备表!$O230&amp;";","xxx"),"xxx"))</f>
        <v>14833:2,1,1,10;</v>
      </c>
      <c r="N142" s="18" t="str">
        <f>IF(装备表!$O145=0,"xxx",IFERROR(IF(INT(IF($G142=N$2,装备表!$E230,"xxx")/10000)=1,IF($G142=N$2,装备表!$E230,"xxx")&amp;":2,1,1,"&amp;装备表!$O230&amp;";","xxx"),"xxx"))</f>
        <v>xxx</v>
      </c>
    </row>
    <row r="143" spans="5:14" x14ac:dyDescent="0.2">
      <c r="E143" s="18">
        <v>14834</v>
      </c>
      <c r="F143" s="18" t="s">
        <v>317</v>
      </c>
      <c r="G143" s="18">
        <v>4</v>
      </c>
      <c r="H143" s="18" t="str">
        <f>IF(装备表!$O146=0,"xxx",IFERROR(IF(INT(IF($G143=H$2,装备表!$E231,"xxx")/10000)=1,IF($G143=H$2,装备表!$E231,"xxx")&amp;":2,1,1,"&amp;装备表!$O231&amp;";","xxx"),"xxx"))</f>
        <v>xxx</v>
      </c>
      <c r="I143" s="18" t="str">
        <f>IF(装备表!$O146=0,"xxx",IFERROR(IF(INT(IF($G143=I$2,装备表!$E231,"xxx")/10000)=1,IF($G143=I$2,装备表!$E231,"xxx")&amp;":2,1,1,"&amp;装备表!$O231&amp;";","xxx"),"xxx"))</f>
        <v>xxx</v>
      </c>
      <c r="J143" s="18" t="str">
        <f>IF(装备表!$O146=0,"xxx",IFERROR(IF(INT(IF($G143=J$2,装备表!$E231,"xxx")/10000)=1,IF($G143=J$2,装备表!$E231,"xxx")&amp;":2,1,1,"&amp;装备表!$O231&amp;";","xxx"),"xxx"))</f>
        <v>xxx</v>
      </c>
      <c r="K143" s="18" t="str">
        <f>IF(装备表!$O146=0,"xxx",IFERROR(IF(INT(IF($G143=K$2,装备表!$E231,"xxx")/10000)=1,IF($G143=K$2,装备表!$E231,"xxx")&amp;":2,1,1,"&amp;装备表!$O231&amp;";","xxx"),"xxx"))</f>
        <v>14834:2,1,1,10;</v>
      </c>
      <c r="L143" s="18" t="str">
        <f>IF(装备表!$O146=0,"xxx",IFERROR(IF(INT(IF($G143=L$2,装备表!$E231,"xxx")/10000)=1,IF($G143=L$2,装备表!$E231,"xxx")&amp;":2,1,1,"&amp;装备表!$O231&amp;";","xxx"),"xxx"))</f>
        <v>xxx</v>
      </c>
      <c r="M143" s="18" t="str">
        <f>IF(装备表!$O146=0,"xxx",IFERROR(IF(INT(IF($G143=M$2,装备表!$E231,"xxx")/10000)=1,IF($G143=M$2,装备表!$E231,"xxx")&amp;":2,1,1,"&amp;装备表!$O231&amp;";","xxx"),"xxx"))</f>
        <v>xxx</v>
      </c>
      <c r="N143" s="18" t="str">
        <f>IF(装备表!$O146=0,"xxx",IFERROR(IF(INT(IF($G143=N$2,装备表!$E231,"xxx")/10000)=1,IF($G143=N$2,装备表!$E231,"xxx")&amp;":2,1,1,"&amp;装备表!$O231&amp;";","xxx"),"xxx"))</f>
        <v>xxx</v>
      </c>
    </row>
    <row r="144" spans="5:14" x14ac:dyDescent="0.2">
      <c r="E144" s="18">
        <v>14835</v>
      </c>
      <c r="F144" s="18" t="s">
        <v>318</v>
      </c>
      <c r="G144" s="18">
        <v>1</v>
      </c>
      <c r="H144" s="18" t="str">
        <f>IF(装备表!$O147=0,"xxx",IFERROR(IF(INT(IF($G144=H$2,装备表!$E232,"xxx")/10000)=1,IF($G144=H$2,装备表!$E232,"xxx")&amp;":2,1,1,"&amp;装备表!$O232&amp;";","xxx"),"xxx"))</f>
        <v>14835:2,1,1,10;</v>
      </c>
      <c r="I144" s="18" t="str">
        <f>IF(装备表!$O147=0,"xxx",IFERROR(IF(INT(IF($G144=I$2,装备表!$E232,"xxx")/10000)=1,IF($G144=I$2,装备表!$E232,"xxx")&amp;":2,1,1,"&amp;装备表!$O232&amp;";","xxx"),"xxx"))</f>
        <v>xxx</v>
      </c>
      <c r="J144" s="18" t="str">
        <f>IF(装备表!$O147=0,"xxx",IFERROR(IF(INT(IF($G144=J$2,装备表!$E232,"xxx")/10000)=1,IF($G144=J$2,装备表!$E232,"xxx")&amp;":2,1,1,"&amp;装备表!$O232&amp;";","xxx"),"xxx"))</f>
        <v>xxx</v>
      </c>
      <c r="K144" s="18" t="str">
        <f>IF(装备表!$O147=0,"xxx",IFERROR(IF(INT(IF($G144=K$2,装备表!$E232,"xxx")/10000)=1,IF($G144=K$2,装备表!$E232,"xxx")&amp;":2,1,1,"&amp;装备表!$O232&amp;";","xxx"),"xxx"))</f>
        <v>xxx</v>
      </c>
      <c r="L144" s="18" t="str">
        <f>IF(装备表!$O147=0,"xxx",IFERROR(IF(INT(IF($G144=L$2,装备表!$E232,"xxx")/10000)=1,IF($G144=L$2,装备表!$E232,"xxx")&amp;":2,1,1,"&amp;装备表!$O232&amp;";","xxx"),"xxx"))</f>
        <v>xxx</v>
      </c>
      <c r="M144" s="18" t="str">
        <f>IF(装备表!$O147=0,"xxx",IFERROR(IF(INT(IF($G144=M$2,装备表!$E232,"xxx")/10000)=1,IF($G144=M$2,装备表!$E232,"xxx")&amp;":2,1,1,"&amp;装备表!$O232&amp;";","xxx"),"xxx"))</f>
        <v>xxx</v>
      </c>
      <c r="N144" s="18" t="str">
        <f>IF(装备表!$O147=0,"xxx",IFERROR(IF(INT(IF($G144=N$2,装备表!$E232,"xxx")/10000)=1,IF($G144=N$2,装备表!$E232,"xxx")&amp;":2,1,1,"&amp;装备表!$O232&amp;";","xxx"),"xxx"))</f>
        <v>xxx</v>
      </c>
    </row>
    <row r="145" spans="5:14" x14ac:dyDescent="0.2">
      <c r="E145" s="18">
        <v>14836</v>
      </c>
      <c r="F145" s="18" t="s">
        <v>319</v>
      </c>
      <c r="G145" s="18">
        <v>-99</v>
      </c>
      <c r="H145" s="18" t="str">
        <f>IF(装备表!$O148=0,"xxx",IFERROR(IF(INT(IF($G145=H$2,装备表!#REF!,"xxx")/10000)=1,IF($G145=H$2,装备表!#REF!,"xxx")&amp;":2,1,1,"&amp;装备表!#REF!&amp;";","xxx"),"xxx"))</f>
        <v>xxx</v>
      </c>
      <c r="I145" s="18" t="str">
        <f>IF(装备表!$O148=0,"xxx",IFERROR(IF(INT(IF($G145=I$2,装备表!#REF!,"xxx")/10000)=1,IF($G145=I$2,装备表!#REF!,"xxx")&amp;":2,1,1,"&amp;装备表!#REF!&amp;";","xxx"),"xxx"))</f>
        <v>xxx</v>
      </c>
      <c r="J145" s="18" t="str">
        <f>IF(装备表!$O148=0,"xxx",IFERROR(IF(INT(IF($G145=J$2,装备表!#REF!,"xxx")/10000)=1,IF($G145=J$2,装备表!#REF!,"xxx")&amp;":2,1,1,"&amp;装备表!#REF!&amp;";","xxx"),"xxx"))</f>
        <v>xxx</v>
      </c>
      <c r="K145" s="18" t="str">
        <f>IF(装备表!$O148=0,"xxx",IFERROR(IF(INT(IF($G145=K$2,装备表!#REF!,"xxx")/10000)=1,IF($G145=K$2,装备表!#REF!,"xxx")&amp;":2,1,1,"&amp;装备表!#REF!&amp;";","xxx"),"xxx"))</f>
        <v>xxx</v>
      </c>
      <c r="L145" s="18" t="str">
        <f>IF(装备表!$O148=0,"xxx",IFERROR(IF(INT(IF($G145=L$2,装备表!#REF!,"xxx")/10000)=1,IF($G145=L$2,装备表!#REF!,"xxx")&amp;":2,1,1,"&amp;装备表!#REF!&amp;";","xxx"),"xxx"))</f>
        <v>xxx</v>
      </c>
      <c r="M145" s="18" t="str">
        <f>IF(装备表!$O148=0,"xxx",IFERROR(IF(INT(IF($G145=M$2,装备表!#REF!,"xxx")/10000)=1,IF($G145=M$2,装备表!#REF!,"xxx")&amp;":2,1,1,"&amp;装备表!#REF!&amp;";","xxx"),"xxx"))</f>
        <v>xxx</v>
      </c>
      <c r="N145" s="18" t="str">
        <f>IF(装备表!$O148=0,"xxx",IFERROR(IF(INT(IF($G145=N$2,装备表!#REF!,"xxx")/10000)=1,IF($G145=N$2,装备表!#REF!,"xxx")&amp;":2,1,1,"&amp;装备表!#REF!&amp;";","xxx"),"xxx"))</f>
        <v>xxx</v>
      </c>
    </row>
    <row r="146" spans="5:14" x14ac:dyDescent="0.2">
      <c r="E146" s="18">
        <v>14837</v>
      </c>
      <c r="F146" s="18" t="s">
        <v>320</v>
      </c>
      <c r="G146" s="18">
        <v>5</v>
      </c>
      <c r="H146" s="18" t="str">
        <f>IF(装备表!$O149=0,"xxx",IFERROR(IF(INT(IF($G146=H$2,装备表!$E233,"xxx")/10000)=1,IF($G146=H$2,装备表!$E233,"xxx")&amp;":2,1,1,"&amp;装备表!$O233&amp;";","xxx"),"xxx"))</f>
        <v>xxx</v>
      </c>
      <c r="I146" s="18" t="str">
        <f>IF(装备表!$O149=0,"xxx",IFERROR(IF(INT(IF($G146=I$2,装备表!$E233,"xxx")/10000)=1,IF($G146=I$2,装备表!$E233,"xxx")&amp;":2,1,1,"&amp;装备表!$O233&amp;";","xxx"),"xxx"))</f>
        <v>xxx</v>
      </c>
      <c r="J146" s="18" t="str">
        <f>IF(装备表!$O149=0,"xxx",IFERROR(IF(INT(IF($G146=J$2,装备表!$E233,"xxx")/10000)=1,IF($G146=J$2,装备表!$E233,"xxx")&amp;":2,1,1,"&amp;装备表!$O233&amp;";","xxx"),"xxx"))</f>
        <v>xxx</v>
      </c>
      <c r="K146" s="18" t="str">
        <f>IF(装备表!$O149=0,"xxx",IFERROR(IF(INT(IF($G146=K$2,装备表!$E233,"xxx")/10000)=1,IF($G146=K$2,装备表!$E233,"xxx")&amp;":2,1,1,"&amp;装备表!$O233&amp;";","xxx"),"xxx"))</f>
        <v>xxx</v>
      </c>
      <c r="L146" s="18" t="str">
        <f>IF(装备表!$O149=0,"xxx",IFERROR(IF(INT(IF($G146=L$2,装备表!$E233,"xxx")/10000)=1,IF($G146=L$2,装备表!$E233,"xxx")&amp;":2,1,1,"&amp;装备表!$O233&amp;";","xxx"),"xxx"))</f>
        <v>14837:2,1,1,10;</v>
      </c>
      <c r="M146" s="18" t="str">
        <f>IF(装备表!$O149=0,"xxx",IFERROR(IF(INT(IF($G146=M$2,装备表!$E233,"xxx")/10000)=1,IF($G146=M$2,装备表!$E233,"xxx")&amp;":2,1,1,"&amp;装备表!$O233&amp;";","xxx"),"xxx"))</f>
        <v>xxx</v>
      </c>
      <c r="N146" s="18" t="str">
        <f>IF(装备表!$O149=0,"xxx",IFERROR(IF(INT(IF($G146=N$2,装备表!$E233,"xxx")/10000)=1,IF($G146=N$2,装备表!$E233,"xxx")&amp;":2,1,1,"&amp;装备表!$O233&amp;";","xxx"),"xxx"))</f>
        <v>xxx</v>
      </c>
    </row>
    <row r="147" spans="5:14" x14ac:dyDescent="0.2">
      <c r="E147" s="18">
        <v>14838</v>
      </c>
      <c r="F147" s="18" t="s">
        <v>321</v>
      </c>
      <c r="G147" s="18">
        <v>5</v>
      </c>
      <c r="H147" s="18" t="str">
        <f>IF(装备表!$O150=0,"xxx",IFERROR(IF(INT(IF($G147=H$2,装备表!$E234,"xxx")/10000)=1,IF($G147=H$2,装备表!$E234,"xxx")&amp;":2,1,1,"&amp;装备表!$O234&amp;";","xxx"),"xxx"))</f>
        <v>xxx</v>
      </c>
      <c r="I147" s="18" t="str">
        <f>IF(装备表!$O150=0,"xxx",IFERROR(IF(INT(IF($G147=I$2,装备表!$E234,"xxx")/10000)=1,IF($G147=I$2,装备表!$E234,"xxx")&amp;":2,1,1,"&amp;装备表!$O234&amp;";","xxx"),"xxx"))</f>
        <v>xxx</v>
      </c>
      <c r="J147" s="18" t="str">
        <f>IF(装备表!$O150=0,"xxx",IFERROR(IF(INT(IF($G147=J$2,装备表!$E234,"xxx")/10000)=1,IF($G147=J$2,装备表!$E234,"xxx")&amp;":2,1,1,"&amp;装备表!$O234&amp;";","xxx"),"xxx"))</f>
        <v>xxx</v>
      </c>
      <c r="K147" s="18" t="str">
        <f>IF(装备表!$O150=0,"xxx",IFERROR(IF(INT(IF($G147=K$2,装备表!$E234,"xxx")/10000)=1,IF($G147=K$2,装备表!$E234,"xxx")&amp;":2,1,1,"&amp;装备表!$O234&amp;";","xxx"),"xxx"))</f>
        <v>xxx</v>
      </c>
      <c r="L147" s="18" t="str">
        <f>IF(装备表!$O150=0,"xxx",IFERROR(IF(INT(IF($G147=L$2,装备表!$E234,"xxx")/10000)=1,IF($G147=L$2,装备表!$E234,"xxx")&amp;":2,1,1,"&amp;装备表!$O234&amp;";","xxx"),"xxx"))</f>
        <v>14838:2,1,1,10;</v>
      </c>
      <c r="M147" s="18" t="str">
        <f>IF(装备表!$O150=0,"xxx",IFERROR(IF(INT(IF($G147=M$2,装备表!$E234,"xxx")/10000)=1,IF($G147=M$2,装备表!$E234,"xxx")&amp;":2,1,1,"&amp;装备表!$O234&amp;";","xxx"),"xxx"))</f>
        <v>xxx</v>
      </c>
      <c r="N147" s="18" t="str">
        <f>IF(装备表!$O150=0,"xxx",IFERROR(IF(INT(IF($G147=N$2,装备表!$E234,"xxx")/10000)=1,IF($G147=N$2,装备表!$E234,"xxx")&amp;":2,1,1,"&amp;装备表!$O234&amp;";","xxx"),"xxx"))</f>
        <v>xxx</v>
      </c>
    </row>
    <row r="148" spans="5:14" x14ac:dyDescent="0.2">
      <c r="E148" s="18">
        <v>14839</v>
      </c>
      <c r="F148" s="18" t="s">
        <v>322</v>
      </c>
      <c r="G148" s="18"/>
      <c r="H148" s="18" t="str">
        <f>IF(装备表!$O151=0,"xxx",IFERROR(IF(INT(IF($G148=H$2,装备表!$E235,"xxx")/10000)=1,IF($G148=H$2,装备表!$E235,"xxx")&amp;":2,1,1,"&amp;装备表!$O235&amp;";","xxx"),"xxx"))</f>
        <v>xxx</v>
      </c>
      <c r="I148" s="18" t="str">
        <f>IF(装备表!$O151=0,"xxx",IFERROR(IF(INT(IF($G148=I$2,装备表!$E235,"xxx")/10000)=1,IF($G148=I$2,装备表!$E235,"xxx")&amp;":2,1,1,"&amp;装备表!$O235&amp;";","xxx"),"xxx"))</f>
        <v>xxx</v>
      </c>
      <c r="J148" s="18" t="str">
        <f>IF(装备表!$O151=0,"xxx",IFERROR(IF(INT(IF($G148=J$2,装备表!$E235,"xxx")/10000)=1,IF($G148=J$2,装备表!$E235,"xxx")&amp;":2,1,1,"&amp;装备表!$O235&amp;";","xxx"),"xxx"))</f>
        <v>xxx</v>
      </c>
      <c r="K148" s="18" t="str">
        <f>IF(装备表!$O151=0,"xxx",IFERROR(IF(INT(IF($G148=K$2,装备表!$E235,"xxx")/10000)=1,IF($G148=K$2,装备表!$E235,"xxx")&amp;":2,1,1,"&amp;装备表!$O235&amp;";","xxx"),"xxx"))</f>
        <v>xxx</v>
      </c>
      <c r="L148" s="18" t="str">
        <f>IF(装备表!$O151=0,"xxx",IFERROR(IF(INT(IF($G148=L$2,装备表!$E235,"xxx")/10000)=1,IF($G148=L$2,装备表!$E235,"xxx")&amp;":2,1,1,"&amp;装备表!$O235&amp;";","xxx"),"xxx"))</f>
        <v>xxx</v>
      </c>
      <c r="M148" s="18" t="str">
        <f>IF(装备表!$O151=0,"xxx",IFERROR(IF(INT(IF($G148=M$2,装备表!$E235,"xxx")/10000)=1,IF($G148=M$2,装备表!$E235,"xxx")&amp;":2,1,1,"&amp;装备表!$O235&amp;";","xxx"),"xxx"))</f>
        <v>14839:2,1,1,10;</v>
      </c>
      <c r="N148" s="18" t="str">
        <f>IF(装备表!$O151=0,"xxx",IFERROR(IF(INT(IF($G148=N$2,装备表!$E235,"xxx")/10000)=1,IF($G148=N$2,装备表!$E235,"xxx")&amp;":2,1,1,"&amp;装备表!$O235&amp;";","xxx"),"xxx"))</f>
        <v>xxx</v>
      </c>
    </row>
    <row r="149" spans="5:14" x14ac:dyDescent="0.2">
      <c r="E149" s="18">
        <v>14840</v>
      </c>
      <c r="F149" s="18" t="s">
        <v>323</v>
      </c>
      <c r="G149" s="18">
        <v>3</v>
      </c>
      <c r="H149" s="18" t="str">
        <f>IF(装备表!$O152=0,"xxx",IFERROR(IF(INT(IF($G149=H$2,装备表!$E236,"xxx")/10000)=1,IF($G149=H$2,装备表!$E236,"xxx")&amp;":2,1,1,"&amp;装备表!$O236&amp;";","xxx"),"xxx"))</f>
        <v>xxx</v>
      </c>
      <c r="I149" s="18" t="str">
        <f>IF(装备表!$O152=0,"xxx",IFERROR(IF(INT(IF($G149=I$2,装备表!$E236,"xxx")/10000)=1,IF($G149=I$2,装备表!$E236,"xxx")&amp;":2,1,1,"&amp;装备表!$O236&amp;";","xxx"),"xxx"))</f>
        <v>xxx</v>
      </c>
      <c r="J149" s="18" t="str">
        <f>IF(装备表!$O152=0,"xxx",IFERROR(IF(INT(IF($G149=J$2,装备表!$E236,"xxx")/10000)=1,IF($G149=J$2,装备表!$E236,"xxx")&amp;":2,1,1,"&amp;装备表!$O236&amp;";","xxx"),"xxx"))</f>
        <v>14840:2,1,1,10;</v>
      </c>
      <c r="K149" s="18" t="str">
        <f>IF(装备表!$O152=0,"xxx",IFERROR(IF(INT(IF($G149=K$2,装备表!$E236,"xxx")/10000)=1,IF($G149=K$2,装备表!$E236,"xxx")&amp;":2,1,1,"&amp;装备表!$O236&amp;";","xxx"),"xxx"))</f>
        <v>xxx</v>
      </c>
      <c r="L149" s="18" t="str">
        <f>IF(装备表!$O152=0,"xxx",IFERROR(IF(INT(IF($G149=L$2,装备表!$E236,"xxx")/10000)=1,IF($G149=L$2,装备表!$E236,"xxx")&amp;":2,1,1,"&amp;装备表!$O236&amp;";","xxx"),"xxx"))</f>
        <v>xxx</v>
      </c>
      <c r="M149" s="18" t="str">
        <f>IF(装备表!$O152=0,"xxx",IFERROR(IF(INT(IF($G149=M$2,装备表!$E236,"xxx")/10000)=1,IF($G149=M$2,装备表!$E236,"xxx")&amp;":2,1,1,"&amp;装备表!$O236&amp;";","xxx"),"xxx"))</f>
        <v>xxx</v>
      </c>
      <c r="N149" s="18" t="str">
        <f>IF(装备表!$O152=0,"xxx",IFERROR(IF(INT(IF($G149=N$2,装备表!$E236,"xxx")/10000)=1,IF($G149=N$2,装备表!$E236,"xxx")&amp;":2,1,1,"&amp;装备表!$O236&amp;";","xxx"),"xxx"))</f>
        <v>xxx</v>
      </c>
    </row>
    <row r="150" spans="5:14" x14ac:dyDescent="0.2">
      <c r="E150" s="18">
        <v>14841</v>
      </c>
      <c r="F150" s="18" t="s">
        <v>324</v>
      </c>
      <c r="G150" s="18"/>
      <c r="H150" s="18" t="str">
        <f>IF(装备表!$O153=0,"xxx",IFERROR(IF(INT(IF($G150=H$2,装备表!$E237,"xxx")/10000)=1,IF($G150=H$2,装备表!$E237,"xxx")&amp;":2,1,1,"&amp;装备表!$O237&amp;";","xxx"),"xxx"))</f>
        <v>xxx</v>
      </c>
      <c r="I150" s="18" t="str">
        <f>IF(装备表!$O153=0,"xxx",IFERROR(IF(INT(IF($G150=I$2,装备表!$E237,"xxx")/10000)=1,IF($G150=I$2,装备表!$E237,"xxx")&amp;":2,1,1,"&amp;装备表!$O237&amp;";","xxx"),"xxx"))</f>
        <v>xxx</v>
      </c>
      <c r="J150" s="18" t="str">
        <f>IF(装备表!$O153=0,"xxx",IFERROR(IF(INT(IF($G150=J$2,装备表!$E237,"xxx")/10000)=1,IF($G150=J$2,装备表!$E237,"xxx")&amp;":2,1,1,"&amp;装备表!$O237&amp;";","xxx"),"xxx"))</f>
        <v>xxx</v>
      </c>
      <c r="K150" s="18" t="str">
        <f>IF(装备表!$O153=0,"xxx",IFERROR(IF(INT(IF($G150=K$2,装备表!$E237,"xxx")/10000)=1,IF($G150=K$2,装备表!$E237,"xxx")&amp;":2,1,1,"&amp;装备表!$O237&amp;";","xxx"),"xxx"))</f>
        <v>xxx</v>
      </c>
      <c r="L150" s="18" t="str">
        <f>IF(装备表!$O153=0,"xxx",IFERROR(IF(INT(IF($G150=L$2,装备表!$E237,"xxx")/10000)=1,IF($G150=L$2,装备表!$E237,"xxx")&amp;":2,1,1,"&amp;装备表!$O237&amp;";","xxx"),"xxx"))</f>
        <v>xxx</v>
      </c>
      <c r="M150" s="18" t="str">
        <f>IF(装备表!$O153=0,"xxx",IFERROR(IF(INT(IF($G150=M$2,装备表!$E237,"xxx")/10000)=1,IF($G150=M$2,装备表!$E237,"xxx")&amp;":2,1,1,"&amp;装备表!$O237&amp;";","xxx"),"xxx"))</f>
        <v>14841:2,1,1,10;</v>
      </c>
      <c r="N150" s="18" t="str">
        <f>IF(装备表!$O153=0,"xxx",IFERROR(IF(INT(IF($G150=N$2,装备表!$E237,"xxx")/10000)=1,IF($G150=N$2,装备表!$E237,"xxx")&amp;":2,1,1,"&amp;装备表!$O237&amp;";","xxx"),"xxx"))</f>
        <v>xxx</v>
      </c>
    </row>
    <row r="151" spans="5:14" x14ac:dyDescent="0.2">
      <c r="E151" s="18">
        <v>14842</v>
      </c>
      <c r="F151" s="18" t="s">
        <v>325</v>
      </c>
      <c r="G151" s="18">
        <v>3</v>
      </c>
      <c r="H151" s="18" t="str">
        <f>IF(装备表!$O154=0,"xxx",IFERROR(IF(INT(IF($G151=H$2,装备表!$E238,"xxx")/10000)=1,IF($G151=H$2,装备表!$E238,"xxx")&amp;":2,1,1,"&amp;装备表!$O238&amp;";","xxx"),"xxx"))</f>
        <v>xxx</v>
      </c>
      <c r="I151" s="18" t="str">
        <f>IF(装备表!$O154=0,"xxx",IFERROR(IF(INT(IF($G151=I$2,装备表!$E238,"xxx")/10000)=1,IF($G151=I$2,装备表!$E238,"xxx")&amp;":2,1,1,"&amp;装备表!$O238&amp;";","xxx"),"xxx"))</f>
        <v>xxx</v>
      </c>
      <c r="J151" s="18" t="str">
        <f>IF(装备表!$O154=0,"xxx",IFERROR(IF(INT(IF($G151=J$2,装备表!$E238,"xxx")/10000)=1,IF($G151=J$2,装备表!$E238,"xxx")&amp;":2,1,1,"&amp;装备表!$O238&amp;";","xxx"),"xxx"))</f>
        <v>14842:2,1,1,10;</v>
      </c>
      <c r="K151" s="18" t="str">
        <f>IF(装备表!$O154=0,"xxx",IFERROR(IF(INT(IF($G151=K$2,装备表!$E238,"xxx")/10000)=1,IF($G151=K$2,装备表!$E238,"xxx")&amp;":2,1,1,"&amp;装备表!$O238&amp;";","xxx"),"xxx"))</f>
        <v>xxx</v>
      </c>
      <c r="L151" s="18" t="str">
        <f>IF(装备表!$O154=0,"xxx",IFERROR(IF(INT(IF($G151=L$2,装备表!$E238,"xxx")/10000)=1,IF($G151=L$2,装备表!$E238,"xxx")&amp;":2,1,1,"&amp;装备表!$O238&amp;";","xxx"),"xxx"))</f>
        <v>xxx</v>
      </c>
      <c r="M151" s="18" t="str">
        <f>IF(装备表!$O154=0,"xxx",IFERROR(IF(INT(IF($G151=M$2,装备表!$E238,"xxx")/10000)=1,IF($G151=M$2,装备表!$E238,"xxx")&amp;":2,1,1,"&amp;装备表!$O238&amp;";","xxx"),"xxx"))</f>
        <v>xxx</v>
      </c>
      <c r="N151" s="18" t="str">
        <f>IF(装备表!$O154=0,"xxx",IFERROR(IF(INT(IF($G151=N$2,装备表!$E238,"xxx")/10000)=1,IF($G151=N$2,装备表!$E238,"xxx")&amp;":2,1,1,"&amp;装备表!$O238&amp;";","xxx"),"xxx"))</f>
        <v>xxx</v>
      </c>
    </row>
    <row r="152" spans="5:14" x14ac:dyDescent="0.2">
      <c r="E152" s="18">
        <v>14843</v>
      </c>
      <c r="F152" s="18" t="s">
        <v>326</v>
      </c>
      <c r="G152" s="18"/>
      <c r="H152" s="18" t="str">
        <f>IF(装备表!$O155=0,"xxx",IFERROR(IF(INT(IF($G152=H$2,装备表!$E239,"xxx")/10000)=1,IF($G152=H$2,装备表!$E239,"xxx")&amp;":2,1,1,"&amp;装备表!$O239&amp;";","xxx"),"xxx"))</f>
        <v>xxx</v>
      </c>
      <c r="I152" s="18" t="str">
        <f>IF(装备表!$O155=0,"xxx",IFERROR(IF(INT(IF($G152=I$2,装备表!$E239,"xxx")/10000)=1,IF($G152=I$2,装备表!$E239,"xxx")&amp;":2,1,1,"&amp;装备表!$O239&amp;";","xxx"),"xxx"))</f>
        <v>xxx</v>
      </c>
      <c r="J152" s="18" t="str">
        <f>IF(装备表!$O155=0,"xxx",IFERROR(IF(INT(IF($G152=J$2,装备表!$E239,"xxx")/10000)=1,IF($G152=J$2,装备表!$E239,"xxx")&amp;":2,1,1,"&amp;装备表!$O239&amp;";","xxx"),"xxx"))</f>
        <v>xxx</v>
      </c>
      <c r="K152" s="18" t="str">
        <f>IF(装备表!$O155=0,"xxx",IFERROR(IF(INT(IF($G152=K$2,装备表!$E239,"xxx")/10000)=1,IF($G152=K$2,装备表!$E239,"xxx")&amp;":2,1,1,"&amp;装备表!$O239&amp;";","xxx"),"xxx"))</f>
        <v>xxx</v>
      </c>
      <c r="L152" s="18" t="str">
        <f>IF(装备表!$O155=0,"xxx",IFERROR(IF(INT(IF($G152=L$2,装备表!$E239,"xxx")/10000)=1,IF($G152=L$2,装备表!$E239,"xxx")&amp;":2,1,1,"&amp;装备表!$O239&amp;";","xxx"),"xxx"))</f>
        <v>xxx</v>
      </c>
      <c r="M152" s="18" t="str">
        <f>IF(装备表!$O155=0,"xxx",IFERROR(IF(INT(IF($G152=M$2,装备表!$E239,"xxx")/10000)=1,IF($G152=M$2,装备表!$E239,"xxx")&amp;":2,1,1,"&amp;装备表!$O239&amp;";","xxx"),"xxx"))</f>
        <v>14843:2,1,1,10;</v>
      </c>
      <c r="N152" s="18" t="str">
        <f>IF(装备表!$O155=0,"xxx",IFERROR(IF(INT(IF($G152=N$2,装备表!$E239,"xxx")/10000)=1,IF($G152=N$2,装备表!$E239,"xxx")&amp;":2,1,1,"&amp;装备表!$O239&amp;";","xxx"),"xxx"))</f>
        <v>xxx</v>
      </c>
    </row>
    <row r="153" spans="5:14" x14ac:dyDescent="0.2">
      <c r="E153" s="18">
        <v>14844</v>
      </c>
      <c r="F153" s="18" t="s">
        <v>327</v>
      </c>
      <c r="G153" s="18"/>
      <c r="H153" s="18" t="str">
        <f>IF(装备表!$O156=0,"xxx",IFERROR(IF(INT(IF($G153=H$2,装备表!$E240,"xxx")/10000)=1,IF($G153=H$2,装备表!$E240,"xxx")&amp;":2,1,1,"&amp;装备表!$O240&amp;";","xxx"),"xxx"))</f>
        <v>xxx</v>
      </c>
      <c r="I153" s="18" t="str">
        <f>IF(装备表!$O156=0,"xxx",IFERROR(IF(INT(IF($G153=I$2,装备表!$E240,"xxx")/10000)=1,IF($G153=I$2,装备表!$E240,"xxx")&amp;":2,1,1,"&amp;装备表!$O240&amp;";","xxx"),"xxx"))</f>
        <v>xxx</v>
      </c>
      <c r="J153" s="18" t="str">
        <f>IF(装备表!$O156=0,"xxx",IFERROR(IF(INT(IF($G153=J$2,装备表!$E240,"xxx")/10000)=1,IF($G153=J$2,装备表!$E240,"xxx")&amp;":2,1,1,"&amp;装备表!$O240&amp;";","xxx"),"xxx"))</f>
        <v>xxx</v>
      </c>
      <c r="K153" s="18" t="str">
        <f>IF(装备表!$O156=0,"xxx",IFERROR(IF(INT(IF($G153=K$2,装备表!$E240,"xxx")/10000)=1,IF($G153=K$2,装备表!$E240,"xxx")&amp;":2,1,1,"&amp;装备表!$O240&amp;";","xxx"),"xxx"))</f>
        <v>xxx</v>
      </c>
      <c r="L153" s="18" t="str">
        <f>IF(装备表!$O156=0,"xxx",IFERROR(IF(INT(IF($G153=L$2,装备表!$E240,"xxx")/10000)=1,IF($G153=L$2,装备表!$E240,"xxx")&amp;":2,1,1,"&amp;装备表!$O240&amp;";","xxx"),"xxx"))</f>
        <v>xxx</v>
      </c>
      <c r="M153" s="18" t="str">
        <f>IF(装备表!$O156=0,"xxx",IFERROR(IF(INT(IF($G153=M$2,装备表!$E240,"xxx")/10000)=1,IF($G153=M$2,装备表!$E240,"xxx")&amp;":2,1,1,"&amp;装备表!$O240&amp;";","xxx"),"xxx"))</f>
        <v>14844:2,1,1,10;</v>
      </c>
      <c r="N153" s="18" t="str">
        <f>IF(装备表!$O156=0,"xxx",IFERROR(IF(INT(IF($G153=N$2,装备表!$E240,"xxx")/10000)=1,IF($G153=N$2,装备表!$E240,"xxx")&amp;":2,1,1,"&amp;装备表!$O240&amp;";","xxx"),"xxx"))</f>
        <v>xxx</v>
      </c>
    </row>
    <row r="154" spans="5:14" x14ac:dyDescent="0.2">
      <c r="E154" s="18">
        <v>14845</v>
      </c>
      <c r="F154" s="18" t="s">
        <v>328</v>
      </c>
      <c r="G154" s="18"/>
      <c r="H154" s="18" t="str">
        <f>IF(装备表!$O157=0,"xxx",IFERROR(IF(INT(IF($G154=H$2,装备表!$E241,"xxx")/10000)=1,IF($G154=H$2,装备表!$E241,"xxx")&amp;":2,1,1,"&amp;装备表!$O241&amp;";","xxx"),"xxx"))</f>
        <v>xxx</v>
      </c>
      <c r="I154" s="18" t="str">
        <f>IF(装备表!$O157=0,"xxx",IFERROR(IF(INT(IF($G154=I$2,装备表!$E241,"xxx")/10000)=1,IF($G154=I$2,装备表!$E241,"xxx")&amp;":2,1,1,"&amp;装备表!$O241&amp;";","xxx"),"xxx"))</f>
        <v>xxx</v>
      </c>
      <c r="J154" s="18" t="str">
        <f>IF(装备表!$O157=0,"xxx",IFERROR(IF(INT(IF($G154=J$2,装备表!$E241,"xxx")/10000)=1,IF($G154=J$2,装备表!$E241,"xxx")&amp;":2,1,1,"&amp;装备表!$O241&amp;";","xxx"),"xxx"))</f>
        <v>xxx</v>
      </c>
      <c r="K154" s="18" t="str">
        <f>IF(装备表!$O157=0,"xxx",IFERROR(IF(INT(IF($G154=K$2,装备表!$E241,"xxx")/10000)=1,IF($G154=K$2,装备表!$E241,"xxx")&amp;":2,1,1,"&amp;装备表!$O241&amp;";","xxx"),"xxx"))</f>
        <v>xxx</v>
      </c>
      <c r="L154" s="18" t="str">
        <f>IF(装备表!$O157=0,"xxx",IFERROR(IF(INT(IF($G154=L$2,装备表!$E241,"xxx")/10000)=1,IF($G154=L$2,装备表!$E241,"xxx")&amp;":2,1,1,"&amp;装备表!$O241&amp;";","xxx"),"xxx"))</f>
        <v>xxx</v>
      </c>
      <c r="M154" s="18" t="str">
        <f>IF(装备表!$O157=0,"xxx",IFERROR(IF(INT(IF($G154=M$2,装备表!$E241,"xxx")/10000)=1,IF($G154=M$2,装备表!$E241,"xxx")&amp;":2,1,1,"&amp;装备表!$O241&amp;";","xxx"),"xxx"))</f>
        <v>14845:2,1,1,10;</v>
      </c>
      <c r="N154" s="18" t="str">
        <f>IF(装备表!$O157=0,"xxx",IFERROR(IF(INT(IF($G154=N$2,装备表!$E241,"xxx")/10000)=1,IF($G154=N$2,装备表!$E241,"xxx")&amp;":2,1,1,"&amp;装备表!$O241&amp;";","xxx"),"xxx"))</f>
        <v>xxx</v>
      </c>
    </row>
    <row r="155" spans="5:14" x14ac:dyDescent="0.2">
      <c r="E155" s="18">
        <v>14846</v>
      </c>
      <c r="F155" s="18" t="s">
        <v>329</v>
      </c>
      <c r="G155" s="18"/>
      <c r="H155" s="18" t="str">
        <f>IF(装备表!$O158=0,"xxx",IFERROR(IF(INT(IF($G155=H$2,装备表!$E242,"xxx")/10000)=1,IF($G155=H$2,装备表!$E242,"xxx")&amp;":2,1,1,"&amp;装备表!$O242&amp;";","xxx"),"xxx"))</f>
        <v>xxx</v>
      </c>
      <c r="I155" s="18" t="str">
        <f>IF(装备表!$O158=0,"xxx",IFERROR(IF(INT(IF($G155=I$2,装备表!$E242,"xxx")/10000)=1,IF($G155=I$2,装备表!$E242,"xxx")&amp;":2,1,1,"&amp;装备表!$O242&amp;";","xxx"),"xxx"))</f>
        <v>xxx</v>
      </c>
      <c r="J155" s="18" t="str">
        <f>IF(装备表!$O158=0,"xxx",IFERROR(IF(INT(IF($G155=J$2,装备表!$E242,"xxx")/10000)=1,IF($G155=J$2,装备表!$E242,"xxx")&amp;":2,1,1,"&amp;装备表!$O242&amp;";","xxx"),"xxx"))</f>
        <v>xxx</v>
      </c>
      <c r="K155" s="18" t="str">
        <f>IF(装备表!$O158=0,"xxx",IFERROR(IF(INT(IF($G155=K$2,装备表!$E242,"xxx")/10000)=1,IF($G155=K$2,装备表!$E242,"xxx")&amp;":2,1,1,"&amp;装备表!$O242&amp;";","xxx"),"xxx"))</f>
        <v>xxx</v>
      </c>
      <c r="L155" s="18" t="str">
        <f>IF(装备表!$O158=0,"xxx",IFERROR(IF(INT(IF($G155=L$2,装备表!$E242,"xxx")/10000)=1,IF($G155=L$2,装备表!$E242,"xxx")&amp;":2,1,1,"&amp;装备表!$O242&amp;";","xxx"),"xxx"))</f>
        <v>xxx</v>
      </c>
      <c r="M155" s="18" t="str">
        <f>IF(装备表!$O158=0,"xxx",IFERROR(IF(INT(IF($G155=M$2,装备表!$E242,"xxx")/10000)=1,IF($G155=M$2,装备表!$E242,"xxx")&amp;":2,1,1,"&amp;装备表!$O242&amp;";","xxx"),"xxx"))</f>
        <v>14846:2,1,1,10;</v>
      </c>
      <c r="N155" s="18" t="str">
        <f>IF(装备表!$O158=0,"xxx",IFERROR(IF(INT(IF($G155=N$2,装备表!$E242,"xxx")/10000)=1,IF($G155=N$2,装备表!$E242,"xxx")&amp;":2,1,1,"&amp;装备表!$O242&amp;";","xxx"),"xxx"))</f>
        <v>xxx</v>
      </c>
    </row>
    <row r="156" spans="5:14" x14ac:dyDescent="0.2">
      <c r="E156" s="18">
        <v>14847</v>
      </c>
      <c r="F156" s="18" t="s">
        <v>330</v>
      </c>
      <c r="G156" s="18">
        <v>-1</v>
      </c>
      <c r="H156" s="18" t="str">
        <f>IF(装备表!$O159=0,"xxx",IFERROR(IF(INT(IF($G156=H$2,装备表!$E243,"xxx")/10000)=1,IF($G156=H$2,装备表!$E243,"xxx")&amp;":2,1,1,"&amp;装备表!$O243&amp;";","xxx"),"xxx"))</f>
        <v>xxx</v>
      </c>
      <c r="I156" s="18" t="str">
        <f>IF(装备表!$O159=0,"xxx",IFERROR(IF(INT(IF($G156=I$2,装备表!$E243,"xxx")/10000)=1,IF($G156=I$2,装备表!$E243,"xxx")&amp;":2,1,1,"&amp;装备表!$O243&amp;";","xxx"),"xxx"))</f>
        <v>xxx</v>
      </c>
      <c r="J156" s="18" t="str">
        <f>IF(装备表!$O159=0,"xxx",IFERROR(IF(INT(IF($G156=J$2,装备表!$E243,"xxx")/10000)=1,IF($G156=J$2,装备表!$E243,"xxx")&amp;":2,1,1,"&amp;装备表!$O243&amp;";","xxx"),"xxx"))</f>
        <v>xxx</v>
      </c>
      <c r="K156" s="18" t="str">
        <f>IF(装备表!$O159=0,"xxx",IFERROR(IF(INT(IF($G156=K$2,装备表!$E243,"xxx")/10000)=1,IF($G156=K$2,装备表!$E243,"xxx")&amp;":2,1,1,"&amp;装备表!$O243&amp;";","xxx"),"xxx"))</f>
        <v>xxx</v>
      </c>
      <c r="L156" s="18" t="str">
        <f>IF(装备表!$O159=0,"xxx",IFERROR(IF(INT(IF($G156=L$2,装备表!$E243,"xxx")/10000)=1,IF($G156=L$2,装备表!$E243,"xxx")&amp;":2,1,1,"&amp;装备表!$O243&amp;";","xxx"),"xxx"))</f>
        <v>xxx</v>
      </c>
      <c r="M156" s="18" t="str">
        <f>IF(装备表!$O159=0,"xxx",IFERROR(IF(INT(IF($G156=M$2,装备表!$E243,"xxx")/10000)=1,IF($G156=M$2,装备表!$E243,"xxx")&amp;":2,1,1,"&amp;装备表!$O243&amp;";","xxx"),"xxx"))</f>
        <v>xxx</v>
      </c>
      <c r="N156" s="18" t="str">
        <f>IF(装备表!$O159=0,"xxx",IFERROR(IF(INT(IF($G156=N$2,装备表!$E243,"xxx")/10000)=1,IF($G156=N$2,装备表!$E243,"xxx")&amp;":2,1,1,"&amp;装备表!$O243&amp;";","xxx"),"xxx"))</f>
        <v>14847:2,1,1,10;</v>
      </c>
    </row>
    <row r="157" spans="5:14" x14ac:dyDescent="0.2">
      <c r="E157" s="18">
        <v>14848</v>
      </c>
      <c r="F157" s="18" t="s">
        <v>331</v>
      </c>
      <c r="G157" s="18"/>
      <c r="H157" s="18" t="str">
        <f>IF(装备表!$O160=0,"xxx",IFERROR(IF(INT(IF($G157=H$2,装备表!$E244,"xxx")/10000)=1,IF($G157=H$2,装备表!$E244,"xxx")&amp;":2,1,1,"&amp;装备表!$O244&amp;";","xxx"),"xxx"))</f>
        <v>xxx</v>
      </c>
      <c r="I157" s="18" t="str">
        <f>IF(装备表!$O160=0,"xxx",IFERROR(IF(INT(IF($G157=I$2,装备表!$E244,"xxx")/10000)=1,IF($G157=I$2,装备表!$E244,"xxx")&amp;":2,1,1,"&amp;装备表!$O244&amp;";","xxx"),"xxx"))</f>
        <v>xxx</v>
      </c>
      <c r="J157" s="18" t="str">
        <f>IF(装备表!$O160=0,"xxx",IFERROR(IF(INT(IF($G157=J$2,装备表!$E244,"xxx")/10000)=1,IF($G157=J$2,装备表!$E244,"xxx")&amp;":2,1,1,"&amp;装备表!$O244&amp;";","xxx"),"xxx"))</f>
        <v>xxx</v>
      </c>
      <c r="K157" s="18" t="str">
        <f>IF(装备表!$O160=0,"xxx",IFERROR(IF(INT(IF($G157=K$2,装备表!$E244,"xxx")/10000)=1,IF($G157=K$2,装备表!$E244,"xxx")&amp;":2,1,1,"&amp;装备表!$O244&amp;";","xxx"),"xxx"))</f>
        <v>xxx</v>
      </c>
      <c r="L157" s="18" t="str">
        <f>IF(装备表!$O160=0,"xxx",IFERROR(IF(INT(IF($G157=L$2,装备表!$E244,"xxx")/10000)=1,IF($G157=L$2,装备表!$E244,"xxx")&amp;":2,1,1,"&amp;装备表!$O244&amp;";","xxx"),"xxx"))</f>
        <v>xxx</v>
      </c>
      <c r="M157" s="18" t="str">
        <f>IF(装备表!$O160=0,"xxx",IFERROR(IF(INT(IF($G157=M$2,装备表!$E244,"xxx")/10000)=1,IF($G157=M$2,装备表!$E244,"xxx")&amp;":2,1,1,"&amp;装备表!$O244&amp;";","xxx"),"xxx"))</f>
        <v>14848:2,1,1,10;</v>
      </c>
      <c r="N157" s="18" t="str">
        <f>IF(装备表!$O160=0,"xxx",IFERROR(IF(INT(IF($G157=N$2,装备表!$E244,"xxx")/10000)=1,IF($G157=N$2,装备表!$E244,"xxx")&amp;":2,1,1,"&amp;装备表!$O244&amp;";","xxx"),"xxx"))</f>
        <v>xxx</v>
      </c>
    </row>
    <row r="158" spans="5:14" x14ac:dyDescent="0.2">
      <c r="E158" s="18">
        <v>14849</v>
      </c>
      <c r="F158" s="18" t="s">
        <v>332</v>
      </c>
      <c r="G158" s="18"/>
      <c r="H158" s="18" t="str">
        <f>IF(装备表!$O161=0,"xxx",IFERROR(IF(INT(IF($G158=H$2,装备表!$E245,"xxx")/10000)=1,IF($G158=H$2,装备表!$E245,"xxx")&amp;":2,1,1,"&amp;装备表!$O245&amp;";","xxx"),"xxx"))</f>
        <v>xxx</v>
      </c>
      <c r="I158" s="18" t="str">
        <f>IF(装备表!$O161=0,"xxx",IFERROR(IF(INT(IF($G158=I$2,装备表!$E245,"xxx")/10000)=1,IF($G158=I$2,装备表!$E245,"xxx")&amp;":2,1,1,"&amp;装备表!$O245&amp;";","xxx"),"xxx"))</f>
        <v>xxx</v>
      </c>
      <c r="J158" s="18" t="str">
        <f>IF(装备表!$O161=0,"xxx",IFERROR(IF(INT(IF($G158=J$2,装备表!$E245,"xxx")/10000)=1,IF($G158=J$2,装备表!$E245,"xxx")&amp;":2,1,1,"&amp;装备表!$O245&amp;";","xxx"),"xxx"))</f>
        <v>xxx</v>
      </c>
      <c r="K158" s="18" t="str">
        <f>IF(装备表!$O161=0,"xxx",IFERROR(IF(INT(IF($G158=K$2,装备表!$E245,"xxx")/10000)=1,IF($G158=K$2,装备表!$E245,"xxx")&amp;":2,1,1,"&amp;装备表!$O245&amp;";","xxx"),"xxx"))</f>
        <v>xxx</v>
      </c>
      <c r="L158" s="18" t="str">
        <f>IF(装备表!$O161=0,"xxx",IFERROR(IF(INT(IF($G158=L$2,装备表!$E245,"xxx")/10000)=1,IF($G158=L$2,装备表!$E245,"xxx")&amp;":2,1,1,"&amp;装备表!$O245&amp;";","xxx"),"xxx"))</f>
        <v>xxx</v>
      </c>
      <c r="M158" s="18" t="str">
        <f>IF(装备表!$O161=0,"xxx",IFERROR(IF(INT(IF($G158=M$2,装备表!$E245,"xxx")/10000)=1,IF($G158=M$2,装备表!$E245,"xxx")&amp;":2,1,1,"&amp;装备表!$O245&amp;";","xxx"),"xxx"))</f>
        <v>14849:2,1,1,10;</v>
      </c>
      <c r="N158" s="18" t="str">
        <f>IF(装备表!$O161=0,"xxx",IFERROR(IF(INT(IF($G158=N$2,装备表!$E245,"xxx")/10000)=1,IF($G158=N$2,装备表!$E245,"xxx")&amp;":2,1,1,"&amp;装备表!$O245&amp;";","xxx"),"xxx"))</f>
        <v>xxx</v>
      </c>
    </row>
    <row r="159" spans="5:14" x14ac:dyDescent="0.2">
      <c r="E159" s="18">
        <v>14850</v>
      </c>
      <c r="F159" s="18" t="s">
        <v>333</v>
      </c>
      <c r="G159" s="18">
        <v>5</v>
      </c>
      <c r="H159" s="18" t="str">
        <f>IF(装备表!$O162=0,"xxx",IFERROR(IF(INT(IF($G159=H$2,装备表!$E246,"xxx")/10000)=1,IF($G159=H$2,装备表!$E246,"xxx")&amp;":2,1,1,"&amp;装备表!$O246&amp;";","xxx"),"xxx"))</f>
        <v>xxx</v>
      </c>
      <c r="I159" s="18" t="str">
        <f>IF(装备表!$O162=0,"xxx",IFERROR(IF(INT(IF($G159=I$2,装备表!$E246,"xxx")/10000)=1,IF($G159=I$2,装备表!$E246,"xxx")&amp;":2,1,1,"&amp;装备表!$O246&amp;";","xxx"),"xxx"))</f>
        <v>xxx</v>
      </c>
      <c r="J159" s="18" t="str">
        <f>IF(装备表!$O162=0,"xxx",IFERROR(IF(INT(IF($G159=J$2,装备表!$E246,"xxx")/10000)=1,IF($G159=J$2,装备表!$E246,"xxx")&amp;":2,1,1,"&amp;装备表!$O246&amp;";","xxx"),"xxx"))</f>
        <v>xxx</v>
      </c>
      <c r="K159" s="18" t="str">
        <f>IF(装备表!$O162=0,"xxx",IFERROR(IF(INT(IF($G159=K$2,装备表!$E246,"xxx")/10000)=1,IF($G159=K$2,装备表!$E246,"xxx")&amp;":2,1,1,"&amp;装备表!$O246&amp;";","xxx"),"xxx"))</f>
        <v>xxx</v>
      </c>
      <c r="L159" s="18" t="str">
        <f>IF(装备表!$O162=0,"xxx",IFERROR(IF(INT(IF($G159=L$2,装备表!$E246,"xxx")/10000)=1,IF($G159=L$2,装备表!$E246,"xxx")&amp;":2,1,1,"&amp;装备表!$O246&amp;";","xxx"),"xxx"))</f>
        <v>14850:2,1,1,10;</v>
      </c>
      <c r="M159" s="18" t="str">
        <f>IF(装备表!$O162=0,"xxx",IFERROR(IF(INT(IF($G159=M$2,装备表!$E246,"xxx")/10000)=1,IF($G159=M$2,装备表!$E246,"xxx")&amp;":2,1,1,"&amp;装备表!$O246&amp;";","xxx"),"xxx"))</f>
        <v>xxx</v>
      </c>
      <c r="N159" s="18" t="str">
        <f>IF(装备表!$O162=0,"xxx",IFERROR(IF(INT(IF($G159=N$2,装备表!$E246,"xxx")/10000)=1,IF($G159=N$2,装备表!$E246,"xxx")&amp;":2,1,1,"&amp;装备表!$O246&amp;";","xxx"),"xxx"))</f>
        <v>xxx</v>
      </c>
    </row>
    <row r="160" spans="5:14" x14ac:dyDescent="0.2">
      <c r="E160" s="18">
        <v>14851</v>
      </c>
      <c r="F160" s="18" t="s">
        <v>334</v>
      </c>
      <c r="G160" s="18"/>
      <c r="H160" s="18" t="str">
        <f>IF(装备表!$O163=0,"xxx",IFERROR(IF(INT(IF($G160=H$2,装备表!$E247,"xxx")/10000)=1,IF($G160=H$2,装备表!$E247,"xxx")&amp;":2,1,1,"&amp;装备表!$O247&amp;";","xxx"),"xxx"))</f>
        <v>xxx</v>
      </c>
      <c r="I160" s="18" t="str">
        <f>IF(装备表!$O163=0,"xxx",IFERROR(IF(INT(IF($G160=I$2,装备表!$E247,"xxx")/10000)=1,IF($G160=I$2,装备表!$E247,"xxx")&amp;":2,1,1,"&amp;装备表!$O247&amp;";","xxx"),"xxx"))</f>
        <v>xxx</v>
      </c>
      <c r="J160" s="18" t="str">
        <f>IF(装备表!$O163=0,"xxx",IFERROR(IF(INT(IF($G160=J$2,装备表!$E247,"xxx")/10000)=1,IF($G160=J$2,装备表!$E247,"xxx")&amp;":2,1,1,"&amp;装备表!$O247&amp;";","xxx"),"xxx"))</f>
        <v>xxx</v>
      </c>
      <c r="K160" s="18" t="str">
        <f>IF(装备表!$O163=0,"xxx",IFERROR(IF(INT(IF($G160=K$2,装备表!$E247,"xxx")/10000)=1,IF($G160=K$2,装备表!$E247,"xxx")&amp;":2,1,1,"&amp;装备表!$O247&amp;";","xxx"),"xxx"))</f>
        <v>xxx</v>
      </c>
      <c r="L160" s="18" t="str">
        <f>IF(装备表!$O163=0,"xxx",IFERROR(IF(INT(IF($G160=L$2,装备表!$E247,"xxx")/10000)=1,IF($G160=L$2,装备表!$E247,"xxx")&amp;":2,1,1,"&amp;装备表!$O247&amp;";","xxx"),"xxx"))</f>
        <v>xxx</v>
      </c>
      <c r="M160" s="18" t="str">
        <f>IF(装备表!$O163=0,"xxx",IFERROR(IF(INT(IF($G160=M$2,装备表!$E247,"xxx")/10000)=1,IF($G160=M$2,装备表!$E247,"xxx")&amp;":2,1,1,"&amp;装备表!$O247&amp;";","xxx"),"xxx"))</f>
        <v>14851:2,1,1,10;</v>
      </c>
      <c r="N160" s="18" t="str">
        <f>IF(装备表!$O163=0,"xxx",IFERROR(IF(INT(IF($G160=N$2,装备表!$E247,"xxx")/10000)=1,IF($G160=N$2,装备表!$E247,"xxx")&amp;":2,1,1,"&amp;装备表!$O247&amp;";","xxx"),"xxx"))</f>
        <v>xxx</v>
      </c>
    </row>
    <row r="161" spans="5:14" x14ac:dyDescent="0.2">
      <c r="E161" s="18">
        <v>14852</v>
      </c>
      <c r="F161" s="18" t="s">
        <v>335</v>
      </c>
      <c r="G161" s="18">
        <v>-1</v>
      </c>
      <c r="H161" s="18" t="str">
        <f>IF(装备表!$O164=0,"xxx",IFERROR(IF(INT(IF($G161=H$2,装备表!$E248,"xxx")/10000)=1,IF($G161=H$2,装备表!$E248,"xxx")&amp;":2,1,1,"&amp;装备表!$O248&amp;";","xxx"),"xxx"))</f>
        <v>xxx</v>
      </c>
      <c r="I161" s="18" t="str">
        <f>IF(装备表!$O164=0,"xxx",IFERROR(IF(INT(IF($G161=I$2,装备表!$E248,"xxx")/10000)=1,IF($G161=I$2,装备表!$E248,"xxx")&amp;":2,1,1,"&amp;装备表!$O248&amp;";","xxx"),"xxx"))</f>
        <v>xxx</v>
      </c>
      <c r="J161" s="18" t="str">
        <f>IF(装备表!$O164=0,"xxx",IFERROR(IF(INT(IF($G161=J$2,装备表!$E248,"xxx")/10000)=1,IF($G161=J$2,装备表!$E248,"xxx")&amp;":2,1,1,"&amp;装备表!$O248&amp;";","xxx"),"xxx"))</f>
        <v>xxx</v>
      </c>
      <c r="K161" s="18" t="str">
        <f>IF(装备表!$O164=0,"xxx",IFERROR(IF(INT(IF($G161=K$2,装备表!$E248,"xxx")/10000)=1,IF($G161=K$2,装备表!$E248,"xxx")&amp;":2,1,1,"&amp;装备表!$O248&amp;";","xxx"),"xxx"))</f>
        <v>xxx</v>
      </c>
      <c r="L161" s="18" t="str">
        <f>IF(装备表!$O164=0,"xxx",IFERROR(IF(INT(IF($G161=L$2,装备表!$E248,"xxx")/10000)=1,IF($G161=L$2,装备表!$E248,"xxx")&amp;":2,1,1,"&amp;装备表!$O248&amp;";","xxx"),"xxx"))</f>
        <v>xxx</v>
      </c>
      <c r="M161" s="18" t="str">
        <f>IF(装备表!$O164=0,"xxx",IFERROR(IF(INT(IF($G161=M$2,装备表!$E248,"xxx")/10000)=1,IF($G161=M$2,装备表!$E248,"xxx")&amp;":2,1,1,"&amp;装备表!$O248&amp;";","xxx"),"xxx"))</f>
        <v>xxx</v>
      </c>
      <c r="N161" s="18" t="str">
        <f>IF(装备表!$O164=0,"xxx",IFERROR(IF(INT(IF($G161=N$2,装备表!$E248,"xxx")/10000)=1,IF($G161=N$2,装备表!$E248,"xxx")&amp;":2,1,1,"&amp;装备表!$O248&amp;";","xxx"),"xxx"))</f>
        <v>14852:2,1,1,10;</v>
      </c>
    </row>
    <row r="162" spans="5:14" x14ac:dyDescent="0.2">
      <c r="E162" s="18">
        <v>14853</v>
      </c>
      <c r="F162" s="18" t="s">
        <v>3705</v>
      </c>
      <c r="G162" s="18"/>
      <c r="H162" s="18" t="str">
        <f>IF(装备表!$O165=0,"xxx",IFERROR(IF(INT(IF($G162=H$2,装备表!$E249,"xxx")/10000)=1,IF($G162=H$2,装备表!$E249,"xxx")&amp;":2,1,1,"&amp;装备表!$O249&amp;";","xxx"),"xxx"))</f>
        <v>xxx</v>
      </c>
      <c r="I162" s="18" t="str">
        <f>IF(装备表!$O165=0,"xxx",IFERROR(IF(INT(IF($G162=I$2,装备表!$E249,"xxx")/10000)=1,IF($G162=I$2,装备表!$E249,"xxx")&amp;":2,1,1,"&amp;装备表!$O249&amp;";","xxx"),"xxx"))</f>
        <v>xxx</v>
      </c>
      <c r="J162" s="18" t="str">
        <f>IF(装备表!$O165=0,"xxx",IFERROR(IF(INT(IF($G162=J$2,装备表!$E249,"xxx")/10000)=1,IF($G162=J$2,装备表!$E249,"xxx")&amp;":2,1,1,"&amp;装备表!$O249&amp;";","xxx"),"xxx"))</f>
        <v>xxx</v>
      </c>
      <c r="K162" s="18" t="str">
        <f>IF(装备表!$O165=0,"xxx",IFERROR(IF(INT(IF($G162=K$2,装备表!$E249,"xxx")/10000)=1,IF($G162=K$2,装备表!$E249,"xxx")&amp;":2,1,1,"&amp;装备表!$O249&amp;";","xxx"),"xxx"))</f>
        <v>xxx</v>
      </c>
      <c r="L162" s="18" t="str">
        <f>IF(装备表!$O165=0,"xxx",IFERROR(IF(INT(IF($G162=L$2,装备表!$E249,"xxx")/10000)=1,IF($G162=L$2,装备表!$E249,"xxx")&amp;":2,1,1,"&amp;装备表!$O249&amp;";","xxx"),"xxx"))</f>
        <v>xxx</v>
      </c>
      <c r="M162" s="18" t="str">
        <f>IF(装备表!$O165=0,"xxx",IFERROR(IF(INT(IF($G162=M$2,装备表!$E249,"xxx")/10000)=1,IF($G162=M$2,装备表!$E249,"xxx")&amp;":2,1,1,"&amp;装备表!$O249&amp;";","xxx"),"xxx"))</f>
        <v>14853:2,1,1,10;</v>
      </c>
      <c r="N162" s="18" t="str">
        <f>IF(装备表!$O165=0,"xxx",IFERROR(IF(INT(IF($G162=N$2,装备表!$E249,"xxx")/10000)=1,IF($G162=N$2,装备表!$E249,"xxx")&amp;":2,1,1,"&amp;装备表!$O249&amp;";","xxx"),"xxx"))</f>
        <v>xxx</v>
      </c>
    </row>
    <row r="163" spans="5:14" x14ac:dyDescent="0.2">
      <c r="E163" s="18">
        <v>14854</v>
      </c>
      <c r="F163" s="18" t="s">
        <v>343</v>
      </c>
      <c r="G163" s="18"/>
      <c r="H163" s="18" t="str">
        <f>IF(装备表!$O166=0,"xxx",IFERROR(IF(INT(IF($G163=H$2,装备表!$E250,"xxx")/10000)=1,IF($G163=H$2,装备表!$E250,"xxx")&amp;":2,1,1,"&amp;装备表!$O250&amp;";","xxx"),"xxx"))</f>
        <v>xxx</v>
      </c>
      <c r="I163" s="18" t="str">
        <f>IF(装备表!$O166=0,"xxx",IFERROR(IF(INT(IF($G163=I$2,装备表!$E250,"xxx")/10000)=1,IF($G163=I$2,装备表!$E250,"xxx")&amp;":2,1,1,"&amp;装备表!$O250&amp;";","xxx"),"xxx"))</f>
        <v>xxx</v>
      </c>
      <c r="J163" s="18" t="str">
        <f>IF(装备表!$O166=0,"xxx",IFERROR(IF(INT(IF($G163=J$2,装备表!$E250,"xxx")/10000)=1,IF($G163=J$2,装备表!$E250,"xxx")&amp;":2,1,1,"&amp;装备表!$O250&amp;";","xxx"),"xxx"))</f>
        <v>xxx</v>
      </c>
      <c r="K163" s="18" t="str">
        <f>IF(装备表!$O166=0,"xxx",IFERROR(IF(INT(IF($G163=K$2,装备表!$E250,"xxx")/10000)=1,IF($G163=K$2,装备表!$E250,"xxx")&amp;":2,1,1,"&amp;装备表!$O250&amp;";","xxx"),"xxx"))</f>
        <v>xxx</v>
      </c>
      <c r="L163" s="18" t="str">
        <f>IF(装备表!$O166=0,"xxx",IFERROR(IF(INT(IF($G163=L$2,装备表!$E250,"xxx")/10000)=1,IF($G163=L$2,装备表!$E250,"xxx")&amp;":2,1,1,"&amp;装备表!$O250&amp;";","xxx"),"xxx"))</f>
        <v>xxx</v>
      </c>
      <c r="M163" s="18" t="str">
        <f>IF(装备表!$O166=0,"xxx",IFERROR(IF(INT(IF($G163=M$2,装备表!$E250,"xxx")/10000)=1,IF($G163=M$2,装备表!$E250,"xxx")&amp;":2,1,1,"&amp;装备表!$O250&amp;";","xxx"),"xxx"))</f>
        <v>14854:2,1,1,10;</v>
      </c>
      <c r="N163" s="18" t="str">
        <f>IF(装备表!$O166=0,"xxx",IFERROR(IF(INT(IF($G163=N$2,装备表!$E250,"xxx")/10000)=1,IF($G163=N$2,装备表!$E250,"xxx")&amp;":2,1,1,"&amp;装备表!$O250&amp;";","xxx"),"xxx"))</f>
        <v>xxx</v>
      </c>
    </row>
    <row r="164" spans="5:14" x14ac:dyDescent="0.2">
      <c r="E164" s="18">
        <v>14855</v>
      </c>
      <c r="F164" s="18" t="s">
        <v>336</v>
      </c>
      <c r="G164" s="18"/>
      <c r="H164" s="18" t="str">
        <f>IF(装备表!$O167=0,"xxx",IFERROR(IF(INT(IF($G164=H$2,装备表!$E251,"xxx")/10000)=1,IF($G164=H$2,装备表!$E251,"xxx")&amp;":2,1,1,"&amp;装备表!$O251&amp;";","xxx"),"xxx"))</f>
        <v>xxx</v>
      </c>
      <c r="I164" s="18" t="str">
        <f>IF(装备表!$O167=0,"xxx",IFERROR(IF(INT(IF($G164=I$2,装备表!$E251,"xxx")/10000)=1,IF($G164=I$2,装备表!$E251,"xxx")&amp;":2,1,1,"&amp;装备表!$O251&amp;";","xxx"),"xxx"))</f>
        <v>xxx</v>
      </c>
      <c r="J164" s="18" t="str">
        <f>IF(装备表!$O167=0,"xxx",IFERROR(IF(INT(IF($G164=J$2,装备表!$E251,"xxx")/10000)=1,IF($G164=J$2,装备表!$E251,"xxx")&amp;":2,1,1,"&amp;装备表!$O251&amp;";","xxx"),"xxx"))</f>
        <v>xxx</v>
      </c>
      <c r="K164" s="18" t="str">
        <f>IF(装备表!$O167=0,"xxx",IFERROR(IF(INT(IF($G164=K$2,装备表!$E251,"xxx")/10000)=1,IF($G164=K$2,装备表!$E251,"xxx")&amp;":2,1,1,"&amp;装备表!$O251&amp;";","xxx"),"xxx"))</f>
        <v>xxx</v>
      </c>
      <c r="L164" s="18" t="str">
        <f>IF(装备表!$O167=0,"xxx",IFERROR(IF(INT(IF($G164=L$2,装备表!$E251,"xxx")/10000)=1,IF($G164=L$2,装备表!$E251,"xxx")&amp;":2,1,1,"&amp;装备表!$O251&amp;";","xxx"),"xxx"))</f>
        <v>xxx</v>
      </c>
      <c r="M164" s="18" t="str">
        <f>IF(装备表!$O167=0,"xxx",IFERROR(IF(INT(IF($G164=M$2,装备表!$E251,"xxx")/10000)=1,IF($G164=M$2,装备表!$E251,"xxx")&amp;":2,1,1,"&amp;装备表!$O251&amp;";","xxx"),"xxx"))</f>
        <v>xxx</v>
      </c>
      <c r="N164" s="18" t="str">
        <f>IF(装备表!$O167=0,"xxx",IFERROR(IF(INT(IF($G164=N$2,装备表!$E251,"xxx")/10000)=1,IF($G164=N$2,装备表!$E251,"xxx")&amp;":2,1,1,"&amp;装备表!$O251&amp;";","xxx"),"xxx"))</f>
        <v>xxx</v>
      </c>
    </row>
    <row r="165" spans="5:14" x14ac:dyDescent="0.2">
      <c r="E165" s="18">
        <v>14856</v>
      </c>
      <c r="F165" s="18" t="s">
        <v>337</v>
      </c>
      <c r="G165" s="18">
        <v>4</v>
      </c>
      <c r="H165" s="18" t="str">
        <f>IF(装备表!$O168=0,"xxx",IFERROR(IF(INT(IF($G165=H$2,装备表!$E252,"xxx")/10000)=1,IF($G165=H$2,装备表!$E252,"xxx")&amp;":2,1,1,"&amp;装备表!$O252&amp;";","xxx"),"xxx"))</f>
        <v>xxx</v>
      </c>
      <c r="I165" s="18" t="str">
        <f>IF(装备表!$O168=0,"xxx",IFERROR(IF(INT(IF($G165=I$2,装备表!$E252,"xxx")/10000)=1,IF($G165=I$2,装备表!$E252,"xxx")&amp;":2,1,1,"&amp;装备表!$O252&amp;";","xxx"),"xxx"))</f>
        <v>xxx</v>
      </c>
      <c r="J165" s="18" t="str">
        <f>IF(装备表!$O168=0,"xxx",IFERROR(IF(INT(IF($G165=J$2,装备表!$E252,"xxx")/10000)=1,IF($G165=J$2,装备表!$E252,"xxx")&amp;":2,1,1,"&amp;装备表!$O252&amp;";","xxx"),"xxx"))</f>
        <v>xxx</v>
      </c>
      <c r="K165" s="18" t="str">
        <f>IF(装备表!$O168=0,"xxx",IFERROR(IF(INT(IF($G165=K$2,装备表!$E252,"xxx")/10000)=1,IF($G165=K$2,装备表!$E252,"xxx")&amp;":2,1,1,"&amp;装备表!$O252&amp;";","xxx"),"xxx"))</f>
        <v>14856:2,1,1,0;</v>
      </c>
      <c r="L165" s="18" t="str">
        <f>IF(装备表!$O168=0,"xxx",IFERROR(IF(INT(IF($G165=L$2,装备表!$E252,"xxx")/10000)=1,IF($G165=L$2,装备表!$E252,"xxx")&amp;":2,1,1,"&amp;装备表!$O252&amp;";","xxx"),"xxx"))</f>
        <v>xxx</v>
      </c>
      <c r="M165" s="18" t="str">
        <f>IF(装备表!$O168=0,"xxx",IFERROR(IF(INT(IF($G165=M$2,装备表!$E252,"xxx")/10000)=1,IF($G165=M$2,装备表!$E252,"xxx")&amp;":2,1,1,"&amp;装备表!$O252&amp;";","xxx"),"xxx"))</f>
        <v>xxx</v>
      </c>
      <c r="N165" s="18" t="str">
        <f>IF(装备表!$O168=0,"xxx",IFERROR(IF(INT(IF($G165=N$2,装备表!$E252,"xxx")/10000)=1,IF($G165=N$2,装备表!$E252,"xxx")&amp;":2,1,1,"&amp;装备表!$O252&amp;";","xxx"),"xxx"))</f>
        <v>xxx</v>
      </c>
    </row>
    <row r="166" spans="5:14" x14ac:dyDescent="0.2">
      <c r="E166" s="18">
        <v>14857</v>
      </c>
      <c r="F166" s="18" t="s">
        <v>345</v>
      </c>
      <c r="G166" s="18"/>
      <c r="H166" s="18" t="str">
        <f>IF(装备表!$O169=0,"xxx",IFERROR(IF(INT(IF($G166=H$2,装备表!$E253,"xxx")/10000)=1,IF($G166=H$2,装备表!$E253,"xxx")&amp;":2,1,1,"&amp;装备表!$O253&amp;";","xxx"),"xxx"))</f>
        <v>xxx</v>
      </c>
      <c r="I166" s="18" t="str">
        <f>IF(装备表!$O169=0,"xxx",IFERROR(IF(INT(IF($G166=I$2,装备表!$E253,"xxx")/10000)=1,IF($G166=I$2,装备表!$E253,"xxx")&amp;":2,1,1,"&amp;装备表!$O253&amp;";","xxx"),"xxx"))</f>
        <v>xxx</v>
      </c>
      <c r="J166" s="18" t="str">
        <f>IF(装备表!$O169=0,"xxx",IFERROR(IF(INT(IF($G166=J$2,装备表!$E253,"xxx")/10000)=1,IF($G166=J$2,装备表!$E253,"xxx")&amp;":2,1,1,"&amp;装备表!$O253&amp;";","xxx"),"xxx"))</f>
        <v>xxx</v>
      </c>
      <c r="K166" s="18" t="str">
        <f>IF(装备表!$O169=0,"xxx",IFERROR(IF(INT(IF($G166=K$2,装备表!$E253,"xxx")/10000)=1,IF($G166=K$2,装备表!$E253,"xxx")&amp;":2,1,1,"&amp;装备表!$O253&amp;";","xxx"),"xxx"))</f>
        <v>xxx</v>
      </c>
      <c r="L166" s="18" t="str">
        <f>IF(装备表!$O169=0,"xxx",IFERROR(IF(INT(IF($G166=L$2,装备表!$E253,"xxx")/10000)=1,IF($G166=L$2,装备表!$E253,"xxx")&amp;":2,1,1,"&amp;装备表!$O253&amp;";","xxx"),"xxx"))</f>
        <v>xxx</v>
      </c>
      <c r="M166" s="18" t="str">
        <f>IF(装备表!$O169=0,"xxx",IFERROR(IF(INT(IF($G166=M$2,装备表!$E253,"xxx")/10000)=1,IF($G166=M$2,装备表!$E253,"xxx")&amp;":2,1,1,"&amp;装备表!$O253&amp;";","xxx"),"xxx"))</f>
        <v>14857:2,1,1,10;</v>
      </c>
      <c r="N166" s="18" t="str">
        <f>IF(装备表!$O169=0,"xxx",IFERROR(IF(INT(IF($G166=N$2,装备表!$E253,"xxx")/10000)=1,IF($G166=N$2,装备表!$E253,"xxx")&amp;":2,1,1,"&amp;装备表!$O253&amp;";","xxx"),"xxx"))</f>
        <v>xxx</v>
      </c>
    </row>
    <row r="167" spans="5:14" x14ac:dyDescent="0.2">
      <c r="E167" s="18">
        <v>14858</v>
      </c>
      <c r="F167" s="18" t="s">
        <v>346</v>
      </c>
      <c r="G167" s="18"/>
      <c r="H167" s="18" t="str">
        <f>IF(装备表!$O170=0,"xxx",IFERROR(IF(INT(IF($G167=H$2,装备表!$E254,"xxx")/10000)=1,IF($G167=H$2,装备表!$E254,"xxx")&amp;":2,1,1,"&amp;装备表!$O254&amp;";","xxx"),"xxx"))</f>
        <v>xxx</v>
      </c>
      <c r="I167" s="18" t="str">
        <f>IF(装备表!$O170=0,"xxx",IFERROR(IF(INT(IF($G167=I$2,装备表!$E254,"xxx")/10000)=1,IF($G167=I$2,装备表!$E254,"xxx")&amp;":2,1,1,"&amp;装备表!$O254&amp;";","xxx"),"xxx"))</f>
        <v>xxx</v>
      </c>
      <c r="J167" s="18" t="str">
        <f>IF(装备表!$O170=0,"xxx",IFERROR(IF(INT(IF($G167=J$2,装备表!$E254,"xxx")/10000)=1,IF($G167=J$2,装备表!$E254,"xxx")&amp;":2,1,1,"&amp;装备表!$O254&amp;";","xxx"),"xxx"))</f>
        <v>xxx</v>
      </c>
      <c r="K167" s="18" t="str">
        <f>IF(装备表!$O170=0,"xxx",IFERROR(IF(INT(IF($G167=K$2,装备表!$E254,"xxx")/10000)=1,IF($G167=K$2,装备表!$E254,"xxx")&amp;":2,1,1,"&amp;装备表!$O254&amp;";","xxx"),"xxx"))</f>
        <v>xxx</v>
      </c>
      <c r="L167" s="18" t="str">
        <f>IF(装备表!$O170=0,"xxx",IFERROR(IF(INT(IF($G167=L$2,装备表!$E254,"xxx")/10000)=1,IF($G167=L$2,装备表!$E254,"xxx")&amp;":2,1,1,"&amp;装备表!$O254&amp;";","xxx"),"xxx"))</f>
        <v>xxx</v>
      </c>
      <c r="M167" s="18" t="str">
        <f>IF(装备表!$O170=0,"xxx",IFERROR(IF(INT(IF($G167=M$2,装备表!$E254,"xxx")/10000)=1,IF($G167=M$2,装备表!$E254,"xxx")&amp;":2,1,1,"&amp;装备表!$O254&amp;";","xxx"),"xxx"))</f>
        <v>14858:2,1,1,10;</v>
      </c>
      <c r="N167" s="18" t="str">
        <f>IF(装备表!$O170=0,"xxx",IFERROR(IF(INT(IF($G167=N$2,装备表!$E254,"xxx")/10000)=1,IF($G167=N$2,装备表!$E254,"xxx")&amp;":2,1,1,"&amp;装备表!$O254&amp;";","xxx"),"xxx"))</f>
        <v>xxx</v>
      </c>
    </row>
    <row r="168" spans="5:14" x14ac:dyDescent="0.2">
      <c r="E168" s="18">
        <v>14859</v>
      </c>
      <c r="F168" s="18" t="s">
        <v>3706</v>
      </c>
      <c r="G168" s="18"/>
      <c r="H168" s="18" t="str">
        <f>IF(装备表!$O171=0,"xxx",IFERROR(IF(INT(IF($G168=H$2,装备表!$E255,"xxx")/10000)=1,IF($G168=H$2,装备表!$E255,"xxx")&amp;":2,1,1,"&amp;装备表!$O255&amp;";","xxx"),"xxx"))</f>
        <v>xxx</v>
      </c>
      <c r="I168" s="18" t="str">
        <f>IF(装备表!$O171=0,"xxx",IFERROR(IF(INT(IF($G168=I$2,装备表!$E255,"xxx")/10000)=1,IF($G168=I$2,装备表!$E255,"xxx")&amp;":2,1,1,"&amp;装备表!$O255&amp;";","xxx"),"xxx"))</f>
        <v>xxx</v>
      </c>
      <c r="J168" s="18" t="str">
        <f>IF(装备表!$O171=0,"xxx",IFERROR(IF(INT(IF($G168=J$2,装备表!$E255,"xxx")/10000)=1,IF($G168=J$2,装备表!$E255,"xxx")&amp;":2,1,1,"&amp;装备表!$O255&amp;";","xxx"),"xxx"))</f>
        <v>xxx</v>
      </c>
      <c r="K168" s="18" t="str">
        <f>IF(装备表!$O171=0,"xxx",IFERROR(IF(INT(IF($G168=K$2,装备表!$E255,"xxx")/10000)=1,IF($G168=K$2,装备表!$E255,"xxx")&amp;":2,1,1,"&amp;装备表!$O255&amp;";","xxx"),"xxx"))</f>
        <v>xxx</v>
      </c>
      <c r="L168" s="18" t="str">
        <f>IF(装备表!$O171=0,"xxx",IFERROR(IF(INT(IF($G168=L$2,装备表!$E255,"xxx")/10000)=1,IF($G168=L$2,装备表!$E255,"xxx")&amp;":2,1,1,"&amp;装备表!$O255&amp;";","xxx"),"xxx"))</f>
        <v>xxx</v>
      </c>
      <c r="M168" s="18" t="str">
        <f>IF(装备表!$O171=0,"xxx",IFERROR(IF(INT(IF($G168=M$2,装备表!$E255,"xxx")/10000)=1,IF($G168=M$2,装备表!$E255,"xxx")&amp;":2,1,1,"&amp;装备表!$O255&amp;";","xxx"),"xxx"))</f>
        <v>14859:2,1,1,0;</v>
      </c>
      <c r="N168" s="18" t="str">
        <f>IF(装备表!$O171=0,"xxx",IFERROR(IF(INT(IF($G168=N$2,装备表!$E255,"xxx")/10000)=1,IF($G168=N$2,装备表!$E255,"xxx")&amp;":2,1,1,"&amp;装备表!$O255&amp;";","xxx"),"xxx"))</f>
        <v>xxx</v>
      </c>
    </row>
    <row r="169" spans="5:14" x14ac:dyDescent="0.2">
      <c r="E169" s="18">
        <v>14860</v>
      </c>
      <c r="F169" s="18" t="s">
        <v>347</v>
      </c>
      <c r="G169" s="18">
        <v>5</v>
      </c>
      <c r="H169" s="18" t="str">
        <f>IF(装备表!$O172=0,"xxx",IFERROR(IF(INT(IF($G169=H$2,装备表!$E256,"xxx")/10000)=1,IF($G169=H$2,装备表!$E256,"xxx")&amp;":2,1,1,"&amp;装备表!$O256&amp;";","xxx"),"xxx"))</f>
        <v>xxx</v>
      </c>
      <c r="I169" s="18" t="str">
        <f>IF(装备表!$O172=0,"xxx",IFERROR(IF(INT(IF($G169=I$2,装备表!$E256,"xxx")/10000)=1,IF($G169=I$2,装备表!$E256,"xxx")&amp;":2,1,1,"&amp;装备表!$O256&amp;";","xxx"),"xxx"))</f>
        <v>xxx</v>
      </c>
      <c r="J169" s="18" t="str">
        <f>IF(装备表!$O172=0,"xxx",IFERROR(IF(INT(IF($G169=J$2,装备表!$E256,"xxx")/10000)=1,IF($G169=J$2,装备表!$E256,"xxx")&amp;":2,1,1,"&amp;装备表!$O256&amp;";","xxx"),"xxx"))</f>
        <v>xxx</v>
      </c>
      <c r="K169" s="18" t="str">
        <f>IF(装备表!$O172=0,"xxx",IFERROR(IF(INT(IF($G169=K$2,装备表!$E256,"xxx")/10000)=1,IF($G169=K$2,装备表!$E256,"xxx")&amp;":2,1,1,"&amp;装备表!$O256&amp;";","xxx"),"xxx"))</f>
        <v>xxx</v>
      </c>
      <c r="L169" s="18" t="str">
        <f>IF(装备表!$O172=0,"xxx",IFERROR(IF(INT(IF($G169=L$2,装备表!$E256,"xxx")/10000)=1,IF($G169=L$2,装备表!$E256,"xxx")&amp;":2,1,1,"&amp;装备表!$O256&amp;";","xxx"),"xxx"))</f>
        <v>14860:2,1,1,10;</v>
      </c>
      <c r="M169" s="18" t="str">
        <f>IF(装备表!$O172=0,"xxx",IFERROR(IF(INT(IF($G169=M$2,装备表!$E256,"xxx")/10000)=1,IF($G169=M$2,装备表!$E256,"xxx")&amp;":2,1,1,"&amp;装备表!$O256&amp;";","xxx"),"xxx"))</f>
        <v>xxx</v>
      </c>
      <c r="N169" s="18" t="str">
        <f>IF(装备表!$O172=0,"xxx",IFERROR(IF(INT(IF($G169=N$2,装备表!$E256,"xxx")/10000)=1,IF($G169=N$2,装备表!$E256,"xxx")&amp;":2,1,1,"&amp;装备表!$O256&amp;";","xxx"),"xxx"))</f>
        <v>xxx</v>
      </c>
    </row>
    <row r="170" spans="5:14" x14ac:dyDescent="0.2">
      <c r="E170" s="18">
        <v>14861</v>
      </c>
      <c r="F170" s="18" t="s">
        <v>348</v>
      </c>
      <c r="G170" s="18"/>
      <c r="H170" s="18" t="str">
        <f>IF(装备表!$O173=0,"xxx",IFERROR(IF(INT(IF($G170=H$2,装备表!$E257,"xxx")/10000)=1,IF($G170=H$2,装备表!$E257,"xxx")&amp;":2,1,1,"&amp;装备表!$O257&amp;";","xxx"),"xxx"))</f>
        <v>xxx</v>
      </c>
      <c r="I170" s="18" t="str">
        <f>IF(装备表!$O173=0,"xxx",IFERROR(IF(INT(IF($G170=I$2,装备表!$E257,"xxx")/10000)=1,IF($G170=I$2,装备表!$E257,"xxx")&amp;":2,1,1,"&amp;装备表!$O257&amp;";","xxx"),"xxx"))</f>
        <v>xxx</v>
      </c>
      <c r="J170" s="18" t="str">
        <f>IF(装备表!$O173=0,"xxx",IFERROR(IF(INT(IF($G170=J$2,装备表!$E257,"xxx")/10000)=1,IF($G170=J$2,装备表!$E257,"xxx")&amp;":2,1,1,"&amp;装备表!$O257&amp;";","xxx"),"xxx"))</f>
        <v>xxx</v>
      </c>
      <c r="K170" s="18" t="str">
        <f>IF(装备表!$O173=0,"xxx",IFERROR(IF(INT(IF($G170=K$2,装备表!$E257,"xxx")/10000)=1,IF($G170=K$2,装备表!$E257,"xxx")&amp;":2,1,1,"&amp;装备表!$O257&amp;";","xxx"),"xxx"))</f>
        <v>xxx</v>
      </c>
      <c r="L170" s="18" t="str">
        <f>IF(装备表!$O173=0,"xxx",IFERROR(IF(INT(IF($G170=L$2,装备表!$E257,"xxx")/10000)=1,IF($G170=L$2,装备表!$E257,"xxx")&amp;":2,1,1,"&amp;装备表!$O257&amp;";","xxx"),"xxx"))</f>
        <v>xxx</v>
      </c>
      <c r="M170" s="18" t="str">
        <f>IF(装备表!$O173=0,"xxx",IFERROR(IF(INT(IF($G170=M$2,装备表!$E257,"xxx")/10000)=1,IF($G170=M$2,装备表!$E257,"xxx")&amp;":2,1,1,"&amp;装备表!$O257&amp;";","xxx"),"xxx"))</f>
        <v>14861:2,1,1,10;</v>
      </c>
      <c r="N170" s="18" t="str">
        <f>IF(装备表!$O173=0,"xxx",IFERROR(IF(INT(IF($G170=N$2,装备表!$E257,"xxx")/10000)=1,IF($G170=N$2,装备表!$E257,"xxx")&amp;":2,1,1,"&amp;装备表!$O257&amp;";","xxx"),"xxx"))</f>
        <v>xxx</v>
      </c>
    </row>
    <row r="171" spans="5:14" x14ac:dyDescent="0.2">
      <c r="E171" s="18">
        <v>14862</v>
      </c>
      <c r="F171" s="18" t="s">
        <v>349</v>
      </c>
      <c r="G171" s="18"/>
      <c r="H171" s="18" t="str">
        <f>IF(装备表!$O174=0,"xxx",IFERROR(IF(INT(IF($G171=H$2,装备表!$E258,"xxx")/10000)=1,IF($G171=H$2,装备表!$E258,"xxx")&amp;":2,1,1,"&amp;装备表!$O258&amp;";","xxx"),"xxx"))</f>
        <v>xxx</v>
      </c>
      <c r="I171" s="18" t="str">
        <f>IF(装备表!$O174=0,"xxx",IFERROR(IF(INT(IF($G171=I$2,装备表!$E258,"xxx")/10000)=1,IF($G171=I$2,装备表!$E258,"xxx")&amp;":2,1,1,"&amp;装备表!$O258&amp;";","xxx"),"xxx"))</f>
        <v>xxx</v>
      </c>
      <c r="J171" s="18" t="str">
        <f>IF(装备表!$O174=0,"xxx",IFERROR(IF(INT(IF($G171=J$2,装备表!$E258,"xxx")/10000)=1,IF($G171=J$2,装备表!$E258,"xxx")&amp;":2,1,1,"&amp;装备表!$O258&amp;";","xxx"),"xxx"))</f>
        <v>xxx</v>
      </c>
      <c r="K171" s="18" t="str">
        <f>IF(装备表!$O174=0,"xxx",IFERROR(IF(INT(IF($G171=K$2,装备表!$E258,"xxx")/10000)=1,IF($G171=K$2,装备表!$E258,"xxx")&amp;":2,1,1,"&amp;装备表!$O258&amp;";","xxx"),"xxx"))</f>
        <v>xxx</v>
      </c>
      <c r="L171" s="18" t="str">
        <f>IF(装备表!$O174=0,"xxx",IFERROR(IF(INT(IF($G171=L$2,装备表!$E258,"xxx")/10000)=1,IF($G171=L$2,装备表!$E258,"xxx")&amp;":2,1,1,"&amp;装备表!$O258&amp;";","xxx"),"xxx"))</f>
        <v>xxx</v>
      </c>
      <c r="M171" s="18" t="str">
        <f>IF(装备表!$O174=0,"xxx",IFERROR(IF(INT(IF($G171=M$2,装备表!$E258,"xxx")/10000)=1,IF($G171=M$2,装备表!$E258,"xxx")&amp;":2,1,1,"&amp;装备表!$O258&amp;";","xxx"),"xxx"))</f>
        <v>14862:2,1,1,10;</v>
      </c>
      <c r="N171" s="18" t="str">
        <f>IF(装备表!$O174=0,"xxx",IFERROR(IF(INT(IF($G171=N$2,装备表!$E258,"xxx")/10000)=1,IF($G171=N$2,装备表!$E258,"xxx")&amp;":2,1,1,"&amp;装备表!$O258&amp;";","xxx"),"xxx"))</f>
        <v>xxx</v>
      </c>
    </row>
    <row r="172" spans="5:14" x14ac:dyDescent="0.2">
      <c r="E172" s="18">
        <v>14863</v>
      </c>
      <c r="F172" s="18" t="s">
        <v>350</v>
      </c>
      <c r="G172" s="18"/>
      <c r="H172" s="18" t="str">
        <f>IF(装备表!$O175=0,"xxx",IFERROR(IF(INT(IF($G172=H$2,装备表!$E259,"xxx")/10000)=1,IF($G172=H$2,装备表!$E259,"xxx")&amp;":2,1,1,"&amp;装备表!$O259&amp;";","xxx"),"xxx"))</f>
        <v>xxx</v>
      </c>
      <c r="I172" s="18" t="str">
        <f>IF(装备表!$O175=0,"xxx",IFERROR(IF(INT(IF($G172=I$2,装备表!$E259,"xxx")/10000)=1,IF($G172=I$2,装备表!$E259,"xxx")&amp;":2,1,1,"&amp;装备表!$O259&amp;";","xxx"),"xxx"))</f>
        <v>xxx</v>
      </c>
      <c r="J172" s="18" t="str">
        <f>IF(装备表!$O175=0,"xxx",IFERROR(IF(INT(IF($G172=J$2,装备表!$E259,"xxx")/10000)=1,IF($G172=J$2,装备表!$E259,"xxx")&amp;":2,1,1,"&amp;装备表!$O259&amp;";","xxx"),"xxx"))</f>
        <v>xxx</v>
      </c>
      <c r="K172" s="18" t="str">
        <f>IF(装备表!$O175=0,"xxx",IFERROR(IF(INT(IF($G172=K$2,装备表!$E259,"xxx")/10000)=1,IF($G172=K$2,装备表!$E259,"xxx")&amp;":2,1,1,"&amp;装备表!$O259&amp;";","xxx"),"xxx"))</f>
        <v>xxx</v>
      </c>
      <c r="L172" s="18" t="str">
        <f>IF(装备表!$O175=0,"xxx",IFERROR(IF(INT(IF($G172=L$2,装备表!$E259,"xxx")/10000)=1,IF($G172=L$2,装备表!$E259,"xxx")&amp;":2,1,1,"&amp;装备表!$O259&amp;";","xxx"),"xxx"))</f>
        <v>xxx</v>
      </c>
      <c r="M172" s="18" t="str">
        <f>IF(装备表!$O175=0,"xxx",IFERROR(IF(INT(IF($G172=M$2,装备表!$E259,"xxx")/10000)=1,IF($G172=M$2,装备表!$E259,"xxx")&amp;":2,1,1,"&amp;装备表!$O259&amp;";","xxx"),"xxx"))</f>
        <v>14863:2,1,1,10;</v>
      </c>
      <c r="N172" s="18" t="str">
        <f>IF(装备表!$O175=0,"xxx",IFERROR(IF(INT(IF($G172=N$2,装备表!$E259,"xxx")/10000)=1,IF($G172=N$2,装备表!$E259,"xxx")&amp;":2,1,1,"&amp;装备表!$O259&amp;";","xxx"),"xxx"))</f>
        <v>xxx</v>
      </c>
    </row>
    <row r="173" spans="5:14" x14ac:dyDescent="0.2">
      <c r="E173" s="18">
        <v>14864</v>
      </c>
      <c r="F173" s="18" t="s">
        <v>351</v>
      </c>
      <c r="G173" s="18">
        <v>-1</v>
      </c>
      <c r="H173" s="18" t="str">
        <f>IF(装备表!$O176=0,"xxx",IFERROR(IF(INT(IF($G173=H$2,装备表!$E260,"xxx")/10000)=1,IF($G173=H$2,装备表!$E260,"xxx")&amp;":2,1,1,"&amp;装备表!$O260&amp;";","xxx"),"xxx"))</f>
        <v>xxx</v>
      </c>
      <c r="I173" s="18" t="str">
        <f>IF(装备表!$O176=0,"xxx",IFERROR(IF(INT(IF($G173=I$2,装备表!$E260,"xxx")/10000)=1,IF($G173=I$2,装备表!$E260,"xxx")&amp;":2,1,1,"&amp;装备表!$O260&amp;";","xxx"),"xxx"))</f>
        <v>xxx</v>
      </c>
      <c r="J173" s="18" t="str">
        <f>IF(装备表!$O176=0,"xxx",IFERROR(IF(INT(IF($G173=J$2,装备表!$E260,"xxx")/10000)=1,IF($G173=J$2,装备表!$E260,"xxx")&amp;":2,1,1,"&amp;装备表!$O260&amp;";","xxx"),"xxx"))</f>
        <v>xxx</v>
      </c>
      <c r="K173" s="18" t="str">
        <f>IF(装备表!$O176=0,"xxx",IFERROR(IF(INT(IF($G173=K$2,装备表!$E260,"xxx")/10000)=1,IF($G173=K$2,装备表!$E260,"xxx")&amp;":2,1,1,"&amp;装备表!$O260&amp;";","xxx"),"xxx"))</f>
        <v>xxx</v>
      </c>
      <c r="L173" s="18" t="str">
        <f>IF(装备表!$O176=0,"xxx",IFERROR(IF(INT(IF($G173=L$2,装备表!$E260,"xxx")/10000)=1,IF($G173=L$2,装备表!$E260,"xxx")&amp;":2,1,1,"&amp;装备表!$O260&amp;";","xxx"),"xxx"))</f>
        <v>xxx</v>
      </c>
      <c r="M173" s="18" t="str">
        <f>IF(装备表!$O176=0,"xxx",IFERROR(IF(INT(IF($G173=M$2,装备表!$E260,"xxx")/10000)=1,IF($G173=M$2,装备表!$E260,"xxx")&amp;":2,1,1,"&amp;装备表!$O260&amp;";","xxx"),"xxx"))</f>
        <v>xxx</v>
      </c>
      <c r="N173" s="18" t="str">
        <f>IF(装备表!$O176=0,"xxx",IFERROR(IF(INT(IF($G173=N$2,装备表!$E260,"xxx")/10000)=1,IF($G173=N$2,装备表!$E260,"xxx")&amp;":2,1,1,"&amp;装备表!$O260&amp;";","xxx"),"xxx"))</f>
        <v>14864:2,1,1,10;</v>
      </c>
    </row>
    <row r="174" spans="5:14" x14ac:dyDescent="0.2">
      <c r="E174" s="18">
        <v>14865</v>
      </c>
      <c r="F174" s="18" t="s">
        <v>3707</v>
      </c>
      <c r="G174" s="18"/>
      <c r="H174" s="18" t="str">
        <f>IF(装备表!$O177=0,"xxx",IFERROR(IF(INT(IF($G174=H$2,装备表!$E261,"xxx")/10000)=1,IF($G174=H$2,装备表!$E261,"xxx")&amp;":2,1,1,"&amp;装备表!$O261&amp;";","xxx"),"xxx"))</f>
        <v>xxx</v>
      </c>
      <c r="I174" s="18" t="str">
        <f>IF(装备表!$O177=0,"xxx",IFERROR(IF(INT(IF($G174=I$2,装备表!$E261,"xxx")/10000)=1,IF($G174=I$2,装备表!$E261,"xxx")&amp;":2,1,1,"&amp;装备表!$O261&amp;";","xxx"),"xxx"))</f>
        <v>xxx</v>
      </c>
      <c r="J174" s="18" t="str">
        <f>IF(装备表!$O177=0,"xxx",IFERROR(IF(INT(IF($G174=J$2,装备表!$E261,"xxx")/10000)=1,IF($G174=J$2,装备表!$E261,"xxx")&amp;":2,1,1,"&amp;装备表!$O261&amp;";","xxx"),"xxx"))</f>
        <v>xxx</v>
      </c>
      <c r="K174" s="18" t="str">
        <f>IF(装备表!$O177=0,"xxx",IFERROR(IF(INT(IF($G174=K$2,装备表!$E261,"xxx")/10000)=1,IF($G174=K$2,装备表!$E261,"xxx")&amp;":2,1,1,"&amp;装备表!$O261&amp;";","xxx"),"xxx"))</f>
        <v>xxx</v>
      </c>
      <c r="L174" s="18" t="str">
        <f>IF(装备表!$O177=0,"xxx",IFERROR(IF(INT(IF($G174=L$2,装备表!$E261,"xxx")/10000)=1,IF($G174=L$2,装备表!$E261,"xxx")&amp;":2,1,1,"&amp;装备表!$O261&amp;";","xxx"),"xxx"))</f>
        <v>xxx</v>
      </c>
      <c r="M174" s="18" t="str">
        <f>IF(装备表!$O177=0,"xxx",IFERROR(IF(INT(IF($G174=M$2,装备表!$E261,"xxx")/10000)=1,IF($G174=M$2,装备表!$E261,"xxx")&amp;":2,1,1,"&amp;装备表!$O261&amp;";","xxx"),"xxx"))</f>
        <v>14865:2,1,1,10;</v>
      </c>
      <c r="N174" s="18" t="str">
        <f>IF(装备表!$O177=0,"xxx",IFERROR(IF(INT(IF($G174=N$2,装备表!$E261,"xxx")/10000)=1,IF($G174=N$2,装备表!$E261,"xxx")&amp;":2,1,1,"&amp;装备表!$O261&amp;";","xxx"),"xxx"))</f>
        <v>xxx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F847E-DF6B-4DC2-BAAF-F798972DE6C1}">
  <sheetPr codeName="Sheet7"/>
  <dimension ref="A1:F27"/>
  <sheetViews>
    <sheetView workbookViewId="0">
      <selection activeCell="F18" sqref="F18"/>
    </sheetView>
  </sheetViews>
  <sheetFormatPr defaultRowHeight="14.25" x14ac:dyDescent="0.2"/>
  <cols>
    <col min="3" max="3" width="11.875" customWidth="1"/>
    <col min="4" max="5" width="11.5" customWidth="1"/>
    <col min="6" max="6" width="18.875" customWidth="1"/>
  </cols>
  <sheetData>
    <row r="1" spans="1:6" x14ac:dyDescent="0.2">
      <c r="A1" t="s">
        <v>53</v>
      </c>
    </row>
    <row r="6" spans="1:6" ht="28.5" x14ac:dyDescent="0.2">
      <c r="C6" t="s">
        <v>51</v>
      </c>
      <c r="D6" t="s">
        <v>75</v>
      </c>
      <c r="E6" s="13" t="s">
        <v>76</v>
      </c>
      <c r="F6" t="s">
        <v>52</v>
      </c>
    </row>
    <row r="7" spans="1:6" x14ac:dyDescent="0.2">
      <c r="C7" t="s">
        <v>0</v>
      </c>
      <c r="D7" t="s">
        <v>49</v>
      </c>
      <c r="E7" t="s">
        <v>77</v>
      </c>
      <c r="F7" t="s">
        <v>50</v>
      </c>
    </row>
    <row r="8" spans="1:6" x14ac:dyDescent="0.2">
      <c r="B8" t="s">
        <v>54</v>
      </c>
      <c r="C8">
        <v>1</v>
      </c>
      <c r="D8">
        <v>1</v>
      </c>
      <c r="E8">
        <v>1</v>
      </c>
      <c r="F8" s="12" t="s">
        <v>74</v>
      </c>
    </row>
    <row r="9" spans="1:6" x14ac:dyDescent="0.2">
      <c r="B9" t="s">
        <v>55</v>
      </c>
      <c r="C9">
        <v>2</v>
      </c>
      <c r="D9">
        <v>2</v>
      </c>
      <c r="E9">
        <v>1</v>
      </c>
      <c r="F9" s="12" t="s">
        <v>74</v>
      </c>
    </row>
    <row r="10" spans="1:6" x14ac:dyDescent="0.2">
      <c r="B10" t="s">
        <v>56</v>
      </c>
      <c r="C10">
        <v>3</v>
      </c>
      <c r="D10">
        <v>3</v>
      </c>
      <c r="E10">
        <v>1</v>
      </c>
      <c r="F10" s="12" t="s">
        <v>73</v>
      </c>
    </row>
    <row r="11" spans="1:6" x14ac:dyDescent="0.2">
      <c r="B11" t="s">
        <v>57</v>
      </c>
      <c r="C11">
        <v>4</v>
      </c>
      <c r="D11">
        <v>4</v>
      </c>
      <c r="E11">
        <v>1</v>
      </c>
      <c r="F11" s="12" t="s">
        <v>73</v>
      </c>
    </row>
    <row r="12" spans="1:6" x14ac:dyDescent="0.2">
      <c r="B12" t="s">
        <v>58</v>
      </c>
      <c r="C12">
        <v>5</v>
      </c>
      <c r="D12">
        <v>5</v>
      </c>
      <c r="E12">
        <v>2</v>
      </c>
      <c r="F12" s="12" t="s">
        <v>73</v>
      </c>
    </row>
    <row r="13" spans="1:6" x14ac:dyDescent="0.2">
      <c r="B13" t="s">
        <v>59</v>
      </c>
      <c r="C13">
        <v>6</v>
      </c>
      <c r="D13">
        <v>6</v>
      </c>
      <c r="E13">
        <v>2</v>
      </c>
      <c r="F13" s="12" t="s">
        <v>73</v>
      </c>
    </row>
    <row r="14" spans="1:6" x14ac:dyDescent="0.2">
      <c r="B14" t="s">
        <v>60</v>
      </c>
      <c r="C14">
        <v>7</v>
      </c>
      <c r="D14">
        <v>7</v>
      </c>
      <c r="E14">
        <v>2</v>
      </c>
      <c r="F14" s="12" t="s">
        <v>73</v>
      </c>
    </row>
    <row r="15" spans="1:6" x14ac:dyDescent="0.2">
      <c r="B15" t="s">
        <v>61</v>
      </c>
      <c r="C15">
        <v>8</v>
      </c>
      <c r="D15">
        <v>8</v>
      </c>
      <c r="E15">
        <v>2</v>
      </c>
      <c r="F15" s="12" t="s">
        <v>73</v>
      </c>
    </row>
    <row r="16" spans="1:6" x14ac:dyDescent="0.2">
      <c r="B16" t="s">
        <v>62</v>
      </c>
      <c r="C16">
        <v>9</v>
      </c>
      <c r="D16">
        <v>9</v>
      </c>
      <c r="E16">
        <v>2</v>
      </c>
      <c r="F16" s="12" t="s">
        <v>73</v>
      </c>
    </row>
    <row r="17" spans="2:6" x14ac:dyDescent="0.2">
      <c r="B17" t="s">
        <v>63</v>
      </c>
      <c r="C17">
        <v>10</v>
      </c>
      <c r="D17">
        <v>10</v>
      </c>
      <c r="E17">
        <v>2</v>
      </c>
      <c r="F17" s="12" t="s">
        <v>73</v>
      </c>
    </row>
    <row r="18" spans="2:6" x14ac:dyDescent="0.2">
      <c r="B18" t="s">
        <v>64</v>
      </c>
      <c r="C18">
        <v>11</v>
      </c>
      <c r="D18">
        <v>11</v>
      </c>
      <c r="E18">
        <v>1</v>
      </c>
      <c r="F18" s="12">
        <v>5</v>
      </c>
    </row>
    <row r="19" spans="2:6" x14ac:dyDescent="0.2">
      <c r="B19" t="s">
        <v>65</v>
      </c>
      <c r="C19">
        <v>12</v>
      </c>
      <c r="D19">
        <v>21</v>
      </c>
      <c r="F19" s="12">
        <v>1</v>
      </c>
    </row>
    <row r="20" spans="2:6" x14ac:dyDescent="0.2">
      <c r="B20" t="s">
        <v>66</v>
      </c>
      <c r="C20">
        <v>13</v>
      </c>
      <c r="D20">
        <v>22</v>
      </c>
      <c r="F20" s="12">
        <v>3</v>
      </c>
    </row>
    <row r="21" spans="2:6" x14ac:dyDescent="0.2">
      <c r="B21" t="s">
        <v>67</v>
      </c>
      <c r="C21">
        <v>14</v>
      </c>
      <c r="D21">
        <v>23</v>
      </c>
      <c r="F21" s="12">
        <v>10</v>
      </c>
    </row>
    <row r="22" spans="2:6" x14ac:dyDescent="0.2">
      <c r="B22" t="s">
        <v>68</v>
      </c>
      <c r="C22">
        <v>15</v>
      </c>
      <c r="D22">
        <v>24</v>
      </c>
      <c r="F22" s="12">
        <v>9</v>
      </c>
    </row>
    <row r="23" spans="2:6" x14ac:dyDescent="0.2">
      <c r="B23" t="s">
        <v>69</v>
      </c>
      <c r="C23">
        <v>16</v>
      </c>
      <c r="D23">
        <v>25</v>
      </c>
      <c r="F23" s="12">
        <v>8</v>
      </c>
    </row>
    <row r="24" spans="2:6" x14ac:dyDescent="0.2">
      <c r="B24" t="s">
        <v>70</v>
      </c>
      <c r="C24">
        <v>17</v>
      </c>
      <c r="D24">
        <v>31</v>
      </c>
      <c r="F24" s="12">
        <v>2</v>
      </c>
    </row>
    <row r="25" spans="2:6" x14ac:dyDescent="0.2">
      <c r="B25" t="s">
        <v>71</v>
      </c>
      <c r="C25">
        <v>18</v>
      </c>
      <c r="D25">
        <v>32</v>
      </c>
      <c r="F25" s="12" t="s">
        <v>72</v>
      </c>
    </row>
    <row r="26" spans="2:6" x14ac:dyDescent="0.2">
      <c r="B26" t="s">
        <v>84</v>
      </c>
      <c r="C26">
        <v>19</v>
      </c>
      <c r="D26">
        <v>99</v>
      </c>
      <c r="F26" s="12">
        <v>11</v>
      </c>
    </row>
    <row r="27" spans="2:6" x14ac:dyDescent="0.2">
      <c r="B27" t="s">
        <v>4314</v>
      </c>
      <c r="C27">
        <v>20</v>
      </c>
      <c r="D27">
        <v>98</v>
      </c>
      <c r="F27" s="12">
        <v>11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F4710-10AE-47A7-8E2F-BF072DECBB70}">
  <sheetPr codeName="Sheet8"/>
  <dimension ref="B2:H1212"/>
  <sheetViews>
    <sheetView topLeftCell="A13" workbookViewId="0">
      <selection activeCell="E48" sqref="E48"/>
    </sheetView>
  </sheetViews>
  <sheetFormatPr defaultRowHeight="14.25" x14ac:dyDescent="0.2"/>
  <cols>
    <col min="4" max="4" width="25.375" customWidth="1"/>
    <col min="5" max="5" width="25.5" customWidth="1"/>
    <col min="8" max="8" width="21.75" customWidth="1"/>
  </cols>
  <sheetData>
    <row r="2" spans="2:8" x14ac:dyDescent="0.2">
      <c r="B2" s="23">
        <v>1</v>
      </c>
      <c r="C2" s="20">
        <v>10001</v>
      </c>
      <c r="D2" s="22" t="s">
        <v>2644</v>
      </c>
      <c r="E2" s="22" t="s">
        <v>2645</v>
      </c>
      <c r="H2" s="6" t="s">
        <v>44</v>
      </c>
    </row>
    <row r="3" spans="2:8" x14ac:dyDescent="0.2">
      <c r="B3" s="21">
        <v>2</v>
      </c>
      <c r="C3" s="19">
        <v>10201</v>
      </c>
      <c r="D3" s="22" t="s">
        <v>2646</v>
      </c>
      <c r="E3" s="22" t="s">
        <v>2647</v>
      </c>
      <c r="H3" t="s">
        <v>22</v>
      </c>
    </row>
    <row r="4" spans="2:8" x14ac:dyDescent="0.2">
      <c r="B4" s="23">
        <v>3</v>
      </c>
      <c r="C4" s="20">
        <v>10301</v>
      </c>
      <c r="D4" s="22" t="s">
        <v>2648</v>
      </c>
      <c r="E4" s="22" t="s">
        <v>2649</v>
      </c>
      <c r="H4" t="s">
        <v>23</v>
      </c>
    </row>
    <row r="5" spans="2:8" x14ac:dyDescent="0.2">
      <c r="B5" s="21">
        <v>4</v>
      </c>
      <c r="C5" s="19">
        <v>10401</v>
      </c>
      <c r="D5" s="22" t="s">
        <v>2650</v>
      </c>
      <c r="E5" s="22" t="s">
        <v>2651</v>
      </c>
      <c r="H5" t="s">
        <v>24</v>
      </c>
    </row>
    <row r="6" spans="2:8" x14ac:dyDescent="0.2">
      <c r="B6" s="23">
        <v>5</v>
      </c>
      <c r="C6" s="20">
        <v>10501</v>
      </c>
      <c r="D6" s="22" t="s">
        <v>2652</v>
      </c>
      <c r="E6" s="22" t="s">
        <v>2653</v>
      </c>
      <c r="H6" t="s">
        <v>25</v>
      </c>
    </row>
    <row r="7" spans="2:8" x14ac:dyDescent="0.2">
      <c r="B7" s="21">
        <v>6</v>
      </c>
      <c r="C7" s="19">
        <v>10601</v>
      </c>
      <c r="D7" s="22" t="s">
        <v>2654</v>
      </c>
      <c r="E7" s="22" t="s">
        <v>2655</v>
      </c>
      <c r="H7" t="s">
        <v>26</v>
      </c>
    </row>
    <row r="8" spans="2:8" x14ac:dyDescent="0.2">
      <c r="B8" s="23">
        <v>7</v>
      </c>
      <c r="C8" s="20">
        <v>10701</v>
      </c>
      <c r="D8" s="22" t="s">
        <v>2656</v>
      </c>
      <c r="E8" s="22" t="s">
        <v>2657</v>
      </c>
      <c r="H8" t="s">
        <v>27</v>
      </c>
    </row>
    <row r="9" spans="2:8" x14ac:dyDescent="0.2">
      <c r="B9" s="21">
        <v>8</v>
      </c>
      <c r="C9" s="19">
        <v>10801</v>
      </c>
      <c r="D9" s="22" t="s">
        <v>2658</v>
      </c>
      <c r="E9" s="22" t="s">
        <v>2659</v>
      </c>
      <c r="H9" t="s">
        <v>28</v>
      </c>
    </row>
    <row r="10" spans="2:8" x14ac:dyDescent="0.2">
      <c r="B10" s="23">
        <v>9</v>
      </c>
      <c r="C10" s="20">
        <v>10901</v>
      </c>
      <c r="D10" s="22" t="s">
        <v>2660</v>
      </c>
      <c r="E10" s="22" t="s">
        <v>2661</v>
      </c>
      <c r="H10" t="s">
        <v>29</v>
      </c>
    </row>
    <row r="11" spans="2:8" x14ac:dyDescent="0.2">
      <c r="B11" s="21">
        <v>10</v>
      </c>
      <c r="C11" s="19">
        <v>11001</v>
      </c>
      <c r="D11" s="22" t="s">
        <v>2662</v>
      </c>
      <c r="E11" s="22" t="s">
        <v>2663</v>
      </c>
      <c r="H11" t="s">
        <v>30</v>
      </c>
    </row>
    <row r="12" spans="2:8" x14ac:dyDescent="0.2">
      <c r="B12" s="23">
        <v>11</v>
      </c>
      <c r="C12" s="20">
        <v>11101</v>
      </c>
      <c r="D12" s="22" t="s">
        <v>2664</v>
      </c>
      <c r="E12" s="22" t="s">
        <v>2665</v>
      </c>
      <c r="H12" t="s">
        <v>36</v>
      </c>
    </row>
    <row r="13" spans="2:8" x14ac:dyDescent="0.2">
      <c r="B13" s="21">
        <v>21</v>
      </c>
      <c r="C13" s="19">
        <v>12101</v>
      </c>
      <c r="D13" s="22" t="s">
        <v>2666</v>
      </c>
      <c r="E13" s="22" t="s">
        <v>2667</v>
      </c>
      <c r="H13" s="9" t="s">
        <v>37</v>
      </c>
    </row>
    <row r="14" spans="2:8" x14ac:dyDescent="0.2">
      <c r="B14" s="23">
        <v>22</v>
      </c>
      <c r="C14" s="20">
        <v>12201</v>
      </c>
      <c r="D14" s="22" t="s">
        <v>2668</v>
      </c>
      <c r="E14" s="22" t="s">
        <v>2669</v>
      </c>
      <c r="H14" t="s">
        <v>38</v>
      </c>
    </row>
    <row r="15" spans="2:8" x14ac:dyDescent="0.2">
      <c r="B15" s="21">
        <v>23</v>
      </c>
      <c r="C15" s="19">
        <v>12301</v>
      </c>
      <c r="D15" s="22" t="s">
        <v>2670</v>
      </c>
      <c r="E15" s="22" t="s">
        <v>2671</v>
      </c>
      <c r="H15" t="s">
        <v>39</v>
      </c>
    </row>
    <row r="16" spans="2:8" x14ac:dyDescent="0.2">
      <c r="B16" s="23">
        <v>24</v>
      </c>
      <c r="C16" s="20">
        <v>12401</v>
      </c>
      <c r="D16" s="22" t="s">
        <v>2672</v>
      </c>
      <c r="E16" s="22" t="s">
        <v>2673</v>
      </c>
      <c r="H16" t="s">
        <v>40</v>
      </c>
    </row>
    <row r="17" spans="2:8" x14ac:dyDescent="0.2">
      <c r="B17" s="21">
        <v>25</v>
      </c>
      <c r="C17" s="19">
        <v>12501</v>
      </c>
      <c r="D17" s="22" t="s">
        <v>2674</v>
      </c>
      <c r="E17" s="22" t="s">
        <v>2675</v>
      </c>
      <c r="H17" t="s">
        <v>41</v>
      </c>
    </row>
    <row r="18" spans="2:8" x14ac:dyDescent="0.2">
      <c r="B18" s="23">
        <v>31</v>
      </c>
      <c r="C18" s="20">
        <v>13101</v>
      </c>
      <c r="D18" s="22" t="s">
        <v>2676</v>
      </c>
      <c r="E18" s="22" t="s">
        <v>2677</v>
      </c>
      <c r="H18" s="11" t="s">
        <v>42</v>
      </c>
    </row>
    <row r="19" spans="2:8" x14ac:dyDescent="0.2">
      <c r="B19" s="21">
        <v>32</v>
      </c>
      <c r="C19" s="19">
        <v>13201</v>
      </c>
      <c r="D19" s="22" t="s">
        <v>2678</v>
      </c>
      <c r="E19" s="22" t="s">
        <v>2679</v>
      </c>
      <c r="H19" t="s">
        <v>43</v>
      </c>
    </row>
    <row r="20" spans="2:8" x14ac:dyDescent="0.2">
      <c r="B20" s="23">
        <v>1</v>
      </c>
      <c r="C20" s="20">
        <v>13501</v>
      </c>
      <c r="D20" s="22" t="s">
        <v>2705</v>
      </c>
      <c r="E20" s="22" t="s">
        <v>2704</v>
      </c>
      <c r="H20" s="29" t="s">
        <v>44</v>
      </c>
    </row>
    <row r="21" spans="2:8" x14ac:dyDescent="0.2">
      <c r="B21" s="21">
        <v>1</v>
      </c>
      <c r="C21" s="19">
        <v>13502</v>
      </c>
      <c r="D21" s="22" t="s">
        <v>2703</v>
      </c>
      <c r="E21" s="22" t="s">
        <v>2702</v>
      </c>
      <c r="H21" s="29" t="s">
        <v>22</v>
      </c>
    </row>
    <row r="22" spans="2:8" x14ac:dyDescent="0.2">
      <c r="B22" s="23">
        <v>1</v>
      </c>
      <c r="C22" s="20">
        <v>13503</v>
      </c>
      <c r="D22" s="22" t="s">
        <v>2701</v>
      </c>
      <c r="E22" s="22" t="s">
        <v>2700</v>
      </c>
      <c r="H22" s="29" t="s">
        <v>23</v>
      </c>
    </row>
    <row r="23" spans="2:8" x14ac:dyDescent="0.2">
      <c r="B23" s="21">
        <v>1</v>
      </c>
      <c r="C23" s="19">
        <v>13504</v>
      </c>
      <c r="D23" s="22" t="s">
        <v>2699</v>
      </c>
      <c r="E23" s="22" t="s">
        <v>2698</v>
      </c>
      <c r="H23" s="29" t="s">
        <v>24</v>
      </c>
    </row>
    <row r="24" spans="2:8" x14ac:dyDescent="0.2">
      <c r="B24" s="23">
        <v>1</v>
      </c>
      <c r="C24" s="20">
        <v>13505</v>
      </c>
      <c r="D24" s="22" t="s">
        <v>2697</v>
      </c>
      <c r="E24" s="22" t="s">
        <v>2696</v>
      </c>
      <c r="H24" s="29" t="s">
        <v>25</v>
      </c>
    </row>
    <row r="25" spans="2:8" x14ac:dyDescent="0.2">
      <c r="B25" s="21">
        <v>1</v>
      </c>
      <c r="C25" s="19">
        <v>13506</v>
      </c>
      <c r="D25" s="22" t="s">
        <v>2695</v>
      </c>
      <c r="E25" s="22" t="s">
        <v>2694</v>
      </c>
      <c r="H25" s="29" t="s">
        <v>26</v>
      </c>
    </row>
    <row r="26" spans="2:8" x14ac:dyDescent="0.2">
      <c r="B26" s="23">
        <v>1</v>
      </c>
      <c r="C26" s="20">
        <v>13507</v>
      </c>
      <c r="D26" s="22" t="s">
        <v>2693</v>
      </c>
      <c r="E26" s="22" t="s">
        <v>2692</v>
      </c>
      <c r="H26" s="29" t="s">
        <v>27</v>
      </c>
    </row>
    <row r="27" spans="2:8" x14ac:dyDescent="0.2">
      <c r="B27" s="21">
        <v>1</v>
      </c>
      <c r="C27" s="19">
        <v>13508</v>
      </c>
      <c r="D27" s="22" t="s">
        <v>2691</v>
      </c>
      <c r="E27" s="22" t="s">
        <v>2690</v>
      </c>
      <c r="H27" s="29" t="s">
        <v>28</v>
      </c>
    </row>
    <row r="28" spans="2:8" x14ac:dyDescent="0.2">
      <c r="B28" s="23">
        <v>1</v>
      </c>
      <c r="C28" s="20">
        <v>13509</v>
      </c>
      <c r="D28" s="22" t="s">
        <v>2689</v>
      </c>
      <c r="E28" s="22" t="s">
        <v>2688</v>
      </c>
      <c r="H28" s="29" t="s">
        <v>29</v>
      </c>
    </row>
    <row r="29" spans="2:8" x14ac:dyDescent="0.2">
      <c r="B29" s="21">
        <v>1</v>
      </c>
      <c r="C29" s="19">
        <v>13510</v>
      </c>
      <c r="D29" s="22" t="s">
        <v>2687</v>
      </c>
      <c r="E29" s="22" t="s">
        <v>2686</v>
      </c>
      <c r="H29" s="29" t="s">
        <v>30</v>
      </c>
    </row>
    <row r="30" spans="2:8" x14ac:dyDescent="0.2">
      <c r="B30" s="23">
        <v>1</v>
      </c>
      <c r="C30" s="20">
        <v>13511</v>
      </c>
      <c r="D30" s="22" t="s">
        <v>2685</v>
      </c>
      <c r="E30" s="22" t="s">
        <v>2684</v>
      </c>
      <c r="H30" s="29" t="s">
        <v>36</v>
      </c>
    </row>
    <row r="31" spans="2:8" x14ac:dyDescent="0.2">
      <c r="B31" s="21">
        <v>1</v>
      </c>
      <c r="C31" s="19">
        <v>13512</v>
      </c>
      <c r="D31" s="22" t="s">
        <v>2683</v>
      </c>
      <c r="E31" s="22" t="s">
        <v>2682</v>
      </c>
      <c r="H31" s="29" t="s">
        <v>37</v>
      </c>
    </row>
    <row r="32" spans="2:8" x14ac:dyDescent="0.2">
      <c r="B32" s="23">
        <v>1</v>
      </c>
      <c r="C32" s="20">
        <v>13513</v>
      </c>
      <c r="D32" s="22" t="s">
        <v>2681</v>
      </c>
      <c r="E32" s="22" t="s">
        <v>2680</v>
      </c>
      <c r="H32" s="29" t="s">
        <v>38</v>
      </c>
    </row>
    <row r="33" spans="2:8" x14ac:dyDescent="0.2">
      <c r="B33" s="21">
        <v>1</v>
      </c>
      <c r="C33" s="19">
        <v>13514</v>
      </c>
      <c r="D33" s="22" t="s">
        <v>353</v>
      </c>
      <c r="E33" s="22" t="s">
        <v>354</v>
      </c>
      <c r="H33" s="29" t="s">
        <v>39</v>
      </c>
    </row>
    <row r="34" spans="2:8" x14ac:dyDescent="0.2">
      <c r="B34" s="23">
        <v>1</v>
      </c>
      <c r="C34" s="20">
        <v>13515</v>
      </c>
      <c r="D34" s="22" t="s">
        <v>355</v>
      </c>
      <c r="E34" s="22" t="s">
        <v>356</v>
      </c>
      <c r="H34" s="29" t="s">
        <v>40</v>
      </c>
    </row>
    <row r="35" spans="2:8" x14ac:dyDescent="0.2">
      <c r="B35" s="21">
        <v>1</v>
      </c>
      <c r="C35" s="19">
        <v>13516</v>
      </c>
      <c r="D35" s="22" t="s">
        <v>357</v>
      </c>
      <c r="E35" s="22" t="s">
        <v>358</v>
      </c>
      <c r="H35" s="29" t="s">
        <v>41</v>
      </c>
    </row>
    <row r="36" spans="2:8" x14ac:dyDescent="0.2">
      <c r="B36" s="23">
        <v>1</v>
      </c>
      <c r="C36" s="20">
        <v>13517</v>
      </c>
      <c r="D36" s="22" t="s">
        <v>359</v>
      </c>
      <c r="E36" s="22" t="s">
        <v>360</v>
      </c>
      <c r="H36" s="29" t="s">
        <v>42</v>
      </c>
    </row>
    <row r="37" spans="2:8" x14ac:dyDescent="0.2">
      <c r="B37" s="21">
        <v>1</v>
      </c>
      <c r="C37" s="19">
        <v>13518</v>
      </c>
      <c r="D37" s="22" t="s">
        <v>361</v>
      </c>
      <c r="E37" s="22" t="s">
        <v>362</v>
      </c>
      <c r="H37" s="29" t="s">
        <v>43</v>
      </c>
    </row>
    <row r="38" spans="2:8" x14ac:dyDescent="0.2">
      <c r="B38" s="23">
        <v>1</v>
      </c>
      <c r="C38" s="20">
        <v>13519</v>
      </c>
      <c r="D38" s="22" t="s">
        <v>363</v>
      </c>
      <c r="E38" s="22" t="s">
        <v>364</v>
      </c>
      <c r="H38" s="30" t="s">
        <v>44</v>
      </c>
    </row>
    <row r="39" spans="2:8" x14ac:dyDescent="0.2">
      <c r="B39" s="21">
        <v>1</v>
      </c>
      <c r="C39" s="19">
        <v>13520</v>
      </c>
      <c r="D39" s="22" t="s">
        <v>365</v>
      </c>
      <c r="E39" s="22" t="s">
        <v>366</v>
      </c>
      <c r="H39" s="30" t="s">
        <v>22</v>
      </c>
    </row>
    <row r="40" spans="2:8" x14ac:dyDescent="0.2">
      <c r="B40" s="23">
        <v>1</v>
      </c>
      <c r="C40" s="20">
        <v>13521</v>
      </c>
      <c r="D40" s="22" t="s">
        <v>367</v>
      </c>
      <c r="E40" s="22" t="s">
        <v>368</v>
      </c>
      <c r="H40" s="30" t="s">
        <v>23</v>
      </c>
    </row>
    <row r="41" spans="2:8" x14ac:dyDescent="0.2">
      <c r="B41" s="21">
        <v>1</v>
      </c>
      <c r="C41" s="19">
        <v>13522</v>
      </c>
      <c r="D41" s="22" t="s">
        <v>369</v>
      </c>
      <c r="E41" s="22" t="s">
        <v>370</v>
      </c>
      <c r="H41" s="30" t="s">
        <v>24</v>
      </c>
    </row>
    <row r="42" spans="2:8" x14ac:dyDescent="0.2">
      <c r="B42" s="23">
        <v>1</v>
      </c>
      <c r="C42" s="20">
        <v>13523</v>
      </c>
      <c r="D42" s="22" t="s">
        <v>371</v>
      </c>
      <c r="E42" s="22" t="s">
        <v>372</v>
      </c>
      <c r="H42" s="30" t="s">
        <v>25</v>
      </c>
    </row>
    <row r="43" spans="2:8" x14ac:dyDescent="0.2">
      <c r="B43" s="21">
        <v>1</v>
      </c>
      <c r="C43" s="19">
        <v>13524</v>
      </c>
      <c r="D43" s="22" t="s">
        <v>373</v>
      </c>
      <c r="E43" s="22" t="s">
        <v>374</v>
      </c>
      <c r="H43" s="30" t="s">
        <v>26</v>
      </c>
    </row>
    <row r="44" spans="2:8" x14ac:dyDescent="0.2">
      <c r="B44" s="23">
        <v>1</v>
      </c>
      <c r="C44" s="20">
        <v>13525</v>
      </c>
      <c r="D44" s="22" t="s">
        <v>375</v>
      </c>
      <c r="E44" s="22" t="s">
        <v>376</v>
      </c>
      <c r="H44" s="30" t="s">
        <v>27</v>
      </c>
    </row>
    <row r="45" spans="2:8" x14ac:dyDescent="0.2">
      <c r="B45" s="21">
        <v>2</v>
      </c>
      <c r="C45" s="19">
        <v>13526</v>
      </c>
      <c r="D45" t="s">
        <v>377</v>
      </c>
      <c r="E45" t="s">
        <v>378</v>
      </c>
      <c r="H45" s="30" t="s">
        <v>28</v>
      </c>
    </row>
    <row r="46" spans="2:8" x14ac:dyDescent="0.2">
      <c r="B46" s="23">
        <v>2</v>
      </c>
      <c r="C46" s="20">
        <v>13527</v>
      </c>
      <c r="D46" t="s">
        <v>379</v>
      </c>
      <c r="E46" t="s">
        <v>380</v>
      </c>
      <c r="H46" s="30" t="s">
        <v>29</v>
      </c>
    </row>
    <row r="47" spans="2:8" x14ac:dyDescent="0.2">
      <c r="B47" s="21">
        <v>2</v>
      </c>
      <c r="C47" s="19">
        <v>13528</v>
      </c>
      <c r="D47" t="s">
        <v>381</v>
      </c>
      <c r="E47" t="s">
        <v>382</v>
      </c>
      <c r="H47" s="30" t="s">
        <v>30</v>
      </c>
    </row>
    <row r="48" spans="2:8" x14ac:dyDescent="0.2">
      <c r="B48" s="23">
        <v>2</v>
      </c>
      <c r="C48" s="20">
        <v>13529</v>
      </c>
      <c r="D48" t="s">
        <v>383</v>
      </c>
      <c r="E48" t="s">
        <v>384</v>
      </c>
      <c r="H48" s="30" t="s">
        <v>36</v>
      </c>
    </row>
    <row r="49" spans="2:8" x14ac:dyDescent="0.2">
      <c r="B49" s="21">
        <v>2</v>
      </c>
      <c r="C49" s="19">
        <v>13530</v>
      </c>
      <c r="D49" t="s">
        <v>385</v>
      </c>
      <c r="E49" t="s">
        <v>386</v>
      </c>
      <c r="H49" s="30" t="s">
        <v>37</v>
      </c>
    </row>
    <row r="50" spans="2:8" x14ac:dyDescent="0.2">
      <c r="B50" s="23">
        <v>2</v>
      </c>
      <c r="C50" s="20">
        <v>13531</v>
      </c>
      <c r="D50" t="s">
        <v>387</v>
      </c>
      <c r="E50" t="s">
        <v>388</v>
      </c>
      <c r="H50" s="30" t="s">
        <v>38</v>
      </c>
    </row>
    <row r="51" spans="2:8" x14ac:dyDescent="0.2">
      <c r="B51" s="21">
        <v>2</v>
      </c>
      <c r="C51" s="19">
        <v>13532</v>
      </c>
      <c r="D51" t="s">
        <v>389</v>
      </c>
      <c r="E51" t="s">
        <v>390</v>
      </c>
      <c r="H51" s="30" t="s">
        <v>39</v>
      </c>
    </row>
    <row r="52" spans="2:8" x14ac:dyDescent="0.2">
      <c r="B52" s="23">
        <v>2</v>
      </c>
      <c r="C52" s="20">
        <v>13533</v>
      </c>
      <c r="D52" t="s">
        <v>391</v>
      </c>
      <c r="E52" t="s">
        <v>392</v>
      </c>
      <c r="H52" s="30" t="s">
        <v>40</v>
      </c>
    </row>
    <row r="53" spans="2:8" x14ac:dyDescent="0.2">
      <c r="B53" s="21">
        <v>2</v>
      </c>
      <c r="C53" s="19">
        <v>13534</v>
      </c>
      <c r="D53" t="s">
        <v>393</v>
      </c>
      <c r="E53" t="s">
        <v>394</v>
      </c>
      <c r="H53" s="30" t="s">
        <v>41</v>
      </c>
    </row>
    <row r="54" spans="2:8" x14ac:dyDescent="0.2">
      <c r="B54" s="23">
        <v>2</v>
      </c>
      <c r="C54" s="20">
        <v>13535</v>
      </c>
      <c r="D54" t="s">
        <v>395</v>
      </c>
      <c r="E54" t="s">
        <v>396</v>
      </c>
      <c r="H54" s="30" t="s">
        <v>42</v>
      </c>
    </row>
    <row r="55" spans="2:8" x14ac:dyDescent="0.2">
      <c r="B55" s="21">
        <v>2</v>
      </c>
      <c r="C55" s="19">
        <v>13536</v>
      </c>
      <c r="D55" t="s">
        <v>397</v>
      </c>
      <c r="E55" t="s">
        <v>398</v>
      </c>
      <c r="H55" s="30" t="s">
        <v>43</v>
      </c>
    </row>
    <row r="56" spans="2:8" x14ac:dyDescent="0.2">
      <c r="B56" s="23">
        <v>2</v>
      </c>
      <c r="C56" s="20">
        <v>13537</v>
      </c>
      <c r="D56" t="s">
        <v>399</v>
      </c>
      <c r="E56" t="s">
        <v>400</v>
      </c>
      <c r="H56" s="31" t="s">
        <v>44</v>
      </c>
    </row>
    <row r="57" spans="2:8" x14ac:dyDescent="0.2">
      <c r="B57" s="21">
        <v>2</v>
      </c>
      <c r="C57" s="19">
        <v>13538</v>
      </c>
      <c r="D57" t="s">
        <v>401</v>
      </c>
      <c r="E57" t="s">
        <v>402</v>
      </c>
      <c r="H57" s="31" t="s">
        <v>22</v>
      </c>
    </row>
    <row r="58" spans="2:8" x14ac:dyDescent="0.2">
      <c r="B58" s="23">
        <v>2</v>
      </c>
      <c r="C58" s="20">
        <v>13539</v>
      </c>
      <c r="D58" t="s">
        <v>403</v>
      </c>
      <c r="E58" t="s">
        <v>404</v>
      </c>
      <c r="H58" s="31" t="s">
        <v>23</v>
      </c>
    </row>
    <row r="59" spans="2:8" x14ac:dyDescent="0.2">
      <c r="B59" s="21">
        <v>2</v>
      </c>
      <c r="C59" s="19">
        <v>13540</v>
      </c>
      <c r="D59" t="s">
        <v>405</v>
      </c>
      <c r="E59" t="s">
        <v>406</v>
      </c>
      <c r="H59" s="31" t="s">
        <v>24</v>
      </c>
    </row>
    <row r="60" spans="2:8" x14ac:dyDescent="0.2">
      <c r="B60" s="23">
        <v>2</v>
      </c>
      <c r="C60" s="20">
        <v>13541</v>
      </c>
      <c r="D60" t="s">
        <v>407</v>
      </c>
      <c r="E60" t="s">
        <v>408</v>
      </c>
      <c r="H60" s="31" t="s">
        <v>25</v>
      </c>
    </row>
    <row r="61" spans="2:8" x14ac:dyDescent="0.2">
      <c r="B61" s="21">
        <v>2</v>
      </c>
      <c r="C61" s="19">
        <v>13542</v>
      </c>
      <c r="D61" t="s">
        <v>409</v>
      </c>
      <c r="E61" t="s">
        <v>410</v>
      </c>
      <c r="H61" s="31" t="s">
        <v>26</v>
      </c>
    </row>
    <row r="62" spans="2:8" x14ac:dyDescent="0.2">
      <c r="B62" s="23">
        <v>2</v>
      </c>
      <c r="C62" s="20">
        <v>13543</v>
      </c>
      <c r="D62" t="s">
        <v>411</v>
      </c>
      <c r="E62" t="s">
        <v>412</v>
      </c>
      <c r="H62" s="31" t="s">
        <v>27</v>
      </c>
    </row>
    <row r="63" spans="2:8" x14ac:dyDescent="0.2">
      <c r="B63" s="21">
        <v>2</v>
      </c>
      <c r="C63" s="19">
        <v>13544</v>
      </c>
      <c r="D63" t="s">
        <v>413</v>
      </c>
      <c r="E63" t="s">
        <v>414</v>
      </c>
      <c r="H63" s="31" t="s">
        <v>28</v>
      </c>
    </row>
    <row r="64" spans="2:8" x14ac:dyDescent="0.2">
      <c r="B64" s="23">
        <v>2</v>
      </c>
      <c r="C64" s="20">
        <v>13545</v>
      </c>
      <c r="D64" t="s">
        <v>415</v>
      </c>
      <c r="E64" t="s">
        <v>416</v>
      </c>
      <c r="H64" s="31" t="s">
        <v>29</v>
      </c>
    </row>
    <row r="65" spans="2:8" x14ac:dyDescent="0.2">
      <c r="B65" s="21">
        <v>2</v>
      </c>
      <c r="C65" s="19">
        <v>13546</v>
      </c>
      <c r="D65" t="s">
        <v>417</v>
      </c>
      <c r="E65" t="s">
        <v>418</v>
      </c>
      <c r="H65" s="31" t="s">
        <v>30</v>
      </c>
    </row>
    <row r="66" spans="2:8" x14ac:dyDescent="0.2">
      <c r="B66" s="23">
        <v>2</v>
      </c>
      <c r="C66" s="20">
        <v>13547</v>
      </c>
      <c r="D66" t="s">
        <v>419</v>
      </c>
      <c r="E66" t="s">
        <v>420</v>
      </c>
      <c r="H66" s="31" t="s">
        <v>36</v>
      </c>
    </row>
    <row r="67" spans="2:8" x14ac:dyDescent="0.2">
      <c r="B67" s="21">
        <v>2</v>
      </c>
      <c r="C67" s="19">
        <v>13548</v>
      </c>
      <c r="D67" t="s">
        <v>421</v>
      </c>
      <c r="E67" t="s">
        <v>422</v>
      </c>
      <c r="H67" s="31" t="s">
        <v>37</v>
      </c>
    </row>
    <row r="68" spans="2:8" x14ac:dyDescent="0.2">
      <c r="B68" s="23">
        <v>2</v>
      </c>
      <c r="C68" s="20">
        <v>13549</v>
      </c>
      <c r="D68" t="s">
        <v>423</v>
      </c>
      <c r="E68" t="s">
        <v>424</v>
      </c>
      <c r="H68" s="31" t="s">
        <v>38</v>
      </c>
    </row>
    <row r="69" spans="2:8" x14ac:dyDescent="0.2">
      <c r="B69" s="21">
        <v>2</v>
      </c>
      <c r="C69" s="19">
        <v>13550</v>
      </c>
      <c r="D69" t="s">
        <v>425</v>
      </c>
      <c r="E69" t="s">
        <v>426</v>
      </c>
      <c r="H69" s="31" t="s">
        <v>39</v>
      </c>
    </row>
    <row r="70" spans="2:8" x14ac:dyDescent="0.2">
      <c r="B70" s="23">
        <v>3</v>
      </c>
      <c r="C70" s="20">
        <v>13551</v>
      </c>
      <c r="D70" t="s">
        <v>427</v>
      </c>
      <c r="E70" t="s">
        <v>428</v>
      </c>
      <c r="H70" s="31" t="s">
        <v>40</v>
      </c>
    </row>
    <row r="71" spans="2:8" x14ac:dyDescent="0.2">
      <c r="B71" s="21">
        <v>3</v>
      </c>
      <c r="C71" s="19">
        <v>13552</v>
      </c>
      <c r="D71" t="s">
        <v>429</v>
      </c>
      <c r="E71" t="s">
        <v>430</v>
      </c>
      <c r="H71" s="31" t="s">
        <v>41</v>
      </c>
    </row>
    <row r="72" spans="2:8" x14ac:dyDescent="0.2">
      <c r="B72" s="23">
        <v>3</v>
      </c>
      <c r="C72" s="20">
        <v>13553</v>
      </c>
      <c r="D72" t="s">
        <v>431</v>
      </c>
      <c r="E72" t="s">
        <v>432</v>
      </c>
      <c r="H72" s="31" t="s">
        <v>42</v>
      </c>
    </row>
    <row r="73" spans="2:8" x14ac:dyDescent="0.2">
      <c r="B73" s="21">
        <v>3</v>
      </c>
      <c r="C73" s="19">
        <v>13554</v>
      </c>
      <c r="D73" t="s">
        <v>433</v>
      </c>
      <c r="E73" t="s">
        <v>434</v>
      </c>
      <c r="H73" s="31" t="s">
        <v>43</v>
      </c>
    </row>
    <row r="74" spans="2:8" x14ac:dyDescent="0.2">
      <c r="B74" s="23">
        <v>3</v>
      </c>
      <c r="C74" s="20">
        <v>13555</v>
      </c>
      <c r="D74" t="s">
        <v>435</v>
      </c>
      <c r="E74" t="s">
        <v>436</v>
      </c>
    </row>
    <row r="75" spans="2:8" x14ac:dyDescent="0.2">
      <c r="B75" s="21">
        <v>3</v>
      </c>
      <c r="C75" s="19">
        <v>13556</v>
      </c>
      <c r="D75" t="s">
        <v>437</v>
      </c>
      <c r="E75" t="s">
        <v>438</v>
      </c>
    </row>
    <row r="76" spans="2:8" x14ac:dyDescent="0.2">
      <c r="B76" s="23">
        <v>3</v>
      </c>
      <c r="C76" s="20">
        <v>13557</v>
      </c>
      <c r="D76" t="s">
        <v>439</v>
      </c>
      <c r="E76" t="s">
        <v>440</v>
      </c>
    </row>
    <row r="77" spans="2:8" x14ac:dyDescent="0.2">
      <c r="B77" s="21">
        <v>3</v>
      </c>
      <c r="C77" s="19">
        <v>13558</v>
      </c>
      <c r="D77" t="s">
        <v>441</v>
      </c>
      <c r="E77" t="s">
        <v>442</v>
      </c>
    </row>
    <row r="78" spans="2:8" x14ac:dyDescent="0.2">
      <c r="B78" s="23">
        <v>3</v>
      </c>
      <c r="C78" s="20">
        <v>13559</v>
      </c>
      <c r="D78" t="s">
        <v>443</v>
      </c>
      <c r="E78" t="s">
        <v>444</v>
      </c>
    </row>
    <row r="79" spans="2:8" x14ac:dyDescent="0.2">
      <c r="B79" s="21">
        <v>3</v>
      </c>
      <c r="C79" s="19">
        <v>13560</v>
      </c>
      <c r="D79" t="s">
        <v>445</v>
      </c>
      <c r="E79" t="s">
        <v>446</v>
      </c>
    </row>
    <row r="80" spans="2:8" x14ac:dyDescent="0.2">
      <c r="B80" s="23">
        <v>3</v>
      </c>
      <c r="C80" s="20">
        <v>13561</v>
      </c>
      <c r="D80" t="s">
        <v>447</v>
      </c>
      <c r="E80" t="s">
        <v>448</v>
      </c>
    </row>
    <row r="81" spans="2:5" x14ac:dyDescent="0.2">
      <c r="B81" s="21">
        <v>3</v>
      </c>
      <c r="C81" s="19">
        <v>13562</v>
      </c>
      <c r="D81" t="s">
        <v>449</v>
      </c>
      <c r="E81" t="s">
        <v>450</v>
      </c>
    </row>
    <row r="82" spans="2:5" x14ac:dyDescent="0.2">
      <c r="B82" s="23">
        <v>3</v>
      </c>
      <c r="C82" s="20">
        <v>13563</v>
      </c>
      <c r="D82" t="s">
        <v>451</v>
      </c>
      <c r="E82" t="s">
        <v>452</v>
      </c>
    </row>
    <row r="83" spans="2:5" x14ac:dyDescent="0.2">
      <c r="B83" s="21">
        <v>3</v>
      </c>
      <c r="C83" s="19">
        <v>13564</v>
      </c>
      <c r="D83" t="s">
        <v>453</v>
      </c>
      <c r="E83" t="s">
        <v>454</v>
      </c>
    </row>
    <row r="84" spans="2:5" x14ac:dyDescent="0.2">
      <c r="B84" s="23">
        <v>3</v>
      </c>
      <c r="C84" s="20">
        <v>13565</v>
      </c>
      <c r="D84" t="s">
        <v>455</v>
      </c>
      <c r="E84" t="s">
        <v>456</v>
      </c>
    </row>
    <row r="85" spans="2:5" x14ac:dyDescent="0.2">
      <c r="B85" s="21">
        <v>3</v>
      </c>
      <c r="C85" s="19">
        <v>13566</v>
      </c>
      <c r="D85" t="s">
        <v>457</v>
      </c>
      <c r="E85" t="s">
        <v>458</v>
      </c>
    </row>
    <row r="86" spans="2:5" x14ac:dyDescent="0.2">
      <c r="B86" s="23">
        <v>3</v>
      </c>
      <c r="C86" s="20">
        <v>13567</v>
      </c>
      <c r="D86" t="s">
        <v>459</v>
      </c>
      <c r="E86" t="s">
        <v>460</v>
      </c>
    </row>
    <row r="87" spans="2:5" x14ac:dyDescent="0.2">
      <c r="B87" s="21">
        <v>3</v>
      </c>
      <c r="C87" s="19">
        <v>13568</v>
      </c>
      <c r="D87" t="s">
        <v>461</v>
      </c>
      <c r="E87" t="s">
        <v>462</v>
      </c>
    </row>
    <row r="88" spans="2:5" x14ac:dyDescent="0.2">
      <c r="B88" s="23">
        <v>3</v>
      </c>
      <c r="C88" s="20">
        <v>13569</v>
      </c>
      <c r="D88" t="s">
        <v>463</v>
      </c>
      <c r="E88" t="s">
        <v>464</v>
      </c>
    </row>
    <row r="89" spans="2:5" x14ac:dyDescent="0.2">
      <c r="B89" s="21">
        <v>3</v>
      </c>
      <c r="C89" s="19">
        <v>13570</v>
      </c>
      <c r="D89" t="s">
        <v>465</v>
      </c>
      <c r="E89" t="s">
        <v>466</v>
      </c>
    </row>
    <row r="90" spans="2:5" x14ac:dyDescent="0.2">
      <c r="B90" s="23">
        <v>3</v>
      </c>
      <c r="C90" s="20">
        <v>13571</v>
      </c>
      <c r="D90" t="s">
        <v>467</v>
      </c>
      <c r="E90" t="s">
        <v>468</v>
      </c>
    </row>
    <row r="91" spans="2:5" x14ac:dyDescent="0.2">
      <c r="B91" s="21">
        <v>3</v>
      </c>
      <c r="C91" s="19">
        <v>13572</v>
      </c>
      <c r="D91" t="s">
        <v>469</v>
      </c>
      <c r="E91" t="s">
        <v>470</v>
      </c>
    </row>
    <row r="92" spans="2:5" x14ac:dyDescent="0.2">
      <c r="B92" s="23">
        <v>3</v>
      </c>
      <c r="C92" s="20">
        <v>13573</v>
      </c>
      <c r="D92" t="s">
        <v>471</v>
      </c>
      <c r="E92" t="s">
        <v>472</v>
      </c>
    </row>
    <row r="93" spans="2:5" x14ac:dyDescent="0.2">
      <c r="B93" s="21">
        <v>3</v>
      </c>
      <c r="C93" s="19">
        <v>13574</v>
      </c>
      <c r="D93" t="s">
        <v>473</v>
      </c>
      <c r="E93" t="s">
        <v>474</v>
      </c>
    </row>
    <row r="94" spans="2:5" x14ac:dyDescent="0.2">
      <c r="B94" s="23">
        <v>3</v>
      </c>
      <c r="C94" s="20">
        <v>13575</v>
      </c>
      <c r="D94" t="s">
        <v>475</v>
      </c>
      <c r="E94" t="s">
        <v>476</v>
      </c>
    </row>
    <row r="95" spans="2:5" x14ac:dyDescent="0.2">
      <c r="B95" s="21">
        <v>4</v>
      </c>
      <c r="C95" s="19">
        <v>13576</v>
      </c>
      <c r="D95" s="22" t="s">
        <v>477</v>
      </c>
      <c r="E95" s="22" t="s">
        <v>478</v>
      </c>
    </row>
    <row r="96" spans="2:5" x14ac:dyDescent="0.2">
      <c r="B96" s="23">
        <v>4</v>
      </c>
      <c r="C96" s="20">
        <v>13577</v>
      </c>
      <c r="D96" s="22" t="s">
        <v>479</v>
      </c>
      <c r="E96" s="22" t="s">
        <v>480</v>
      </c>
    </row>
    <row r="97" spans="2:5" x14ac:dyDescent="0.2">
      <c r="B97" s="21">
        <v>4</v>
      </c>
      <c r="C97" s="19">
        <v>13578</v>
      </c>
      <c r="D97" s="22" t="s">
        <v>481</v>
      </c>
      <c r="E97" s="22" t="s">
        <v>482</v>
      </c>
    </row>
    <row r="98" spans="2:5" x14ac:dyDescent="0.2">
      <c r="B98" s="23">
        <v>4</v>
      </c>
      <c r="C98" s="20">
        <v>13579</v>
      </c>
      <c r="D98" s="22" t="s">
        <v>483</v>
      </c>
      <c r="E98" s="22" t="s">
        <v>484</v>
      </c>
    </row>
    <row r="99" spans="2:5" x14ac:dyDescent="0.2">
      <c r="B99" s="21">
        <v>4</v>
      </c>
      <c r="C99" s="19">
        <v>13580</v>
      </c>
      <c r="D99" s="22" t="s">
        <v>485</v>
      </c>
      <c r="E99" s="22" t="s">
        <v>486</v>
      </c>
    </row>
    <row r="100" spans="2:5" x14ac:dyDescent="0.2">
      <c r="B100" s="23">
        <v>4</v>
      </c>
      <c r="C100" s="20">
        <v>13581</v>
      </c>
      <c r="D100" s="22" t="s">
        <v>487</v>
      </c>
      <c r="E100" s="22" t="s">
        <v>488</v>
      </c>
    </row>
    <row r="101" spans="2:5" x14ac:dyDescent="0.2">
      <c r="B101" s="21">
        <v>4</v>
      </c>
      <c r="C101" s="19">
        <v>13582</v>
      </c>
      <c r="D101" s="22" t="s">
        <v>489</v>
      </c>
      <c r="E101" s="22" t="s">
        <v>490</v>
      </c>
    </row>
    <row r="102" spans="2:5" x14ac:dyDescent="0.2">
      <c r="B102" s="23">
        <v>4</v>
      </c>
      <c r="C102" s="20">
        <v>13583</v>
      </c>
      <c r="D102" s="22" t="s">
        <v>491</v>
      </c>
      <c r="E102" s="22" t="s">
        <v>492</v>
      </c>
    </row>
    <row r="103" spans="2:5" x14ac:dyDescent="0.2">
      <c r="B103" s="21">
        <v>4</v>
      </c>
      <c r="C103" s="19">
        <v>13584</v>
      </c>
      <c r="D103" s="22" t="s">
        <v>493</v>
      </c>
      <c r="E103" s="22" t="s">
        <v>494</v>
      </c>
    </row>
    <row r="104" spans="2:5" x14ac:dyDescent="0.2">
      <c r="B104" s="23">
        <v>4</v>
      </c>
      <c r="C104" s="20">
        <v>13585</v>
      </c>
      <c r="D104" s="22" t="s">
        <v>359</v>
      </c>
      <c r="E104" s="22" t="s">
        <v>360</v>
      </c>
    </row>
    <row r="105" spans="2:5" x14ac:dyDescent="0.2">
      <c r="B105" s="21">
        <v>4</v>
      </c>
      <c r="C105" s="19">
        <v>13586</v>
      </c>
      <c r="D105" s="22" t="s">
        <v>495</v>
      </c>
      <c r="E105" s="22" t="s">
        <v>496</v>
      </c>
    </row>
    <row r="106" spans="2:5" x14ac:dyDescent="0.2">
      <c r="B106" s="23">
        <v>4</v>
      </c>
      <c r="C106" s="20">
        <v>13587</v>
      </c>
      <c r="D106" s="22" t="s">
        <v>497</v>
      </c>
      <c r="E106" s="22" t="s">
        <v>498</v>
      </c>
    </row>
    <row r="107" spans="2:5" x14ac:dyDescent="0.2">
      <c r="B107" s="21">
        <v>4</v>
      </c>
      <c r="C107" s="19">
        <v>13588</v>
      </c>
      <c r="D107" s="22" t="s">
        <v>499</v>
      </c>
      <c r="E107" s="22" t="s">
        <v>500</v>
      </c>
    </row>
    <row r="108" spans="2:5" x14ac:dyDescent="0.2">
      <c r="B108" s="23">
        <v>4</v>
      </c>
      <c r="C108" s="20">
        <v>13589</v>
      </c>
      <c r="D108" s="22" t="s">
        <v>501</v>
      </c>
      <c r="E108" s="22" t="s">
        <v>502</v>
      </c>
    </row>
    <row r="109" spans="2:5" x14ac:dyDescent="0.2">
      <c r="B109" s="21">
        <v>4</v>
      </c>
      <c r="C109" s="19">
        <v>13590</v>
      </c>
      <c r="D109" s="22" t="s">
        <v>503</v>
      </c>
      <c r="E109" s="22" t="s">
        <v>504</v>
      </c>
    </row>
    <row r="110" spans="2:5" x14ac:dyDescent="0.2">
      <c r="B110" s="23">
        <v>4</v>
      </c>
      <c r="C110" s="20">
        <v>13591</v>
      </c>
      <c r="D110" s="22" t="s">
        <v>505</v>
      </c>
      <c r="E110" s="22" t="s">
        <v>506</v>
      </c>
    </row>
    <row r="111" spans="2:5" x14ac:dyDescent="0.2">
      <c r="B111" s="21">
        <v>4</v>
      </c>
      <c r="C111" s="19">
        <v>13592</v>
      </c>
      <c r="D111" s="22" t="s">
        <v>507</v>
      </c>
      <c r="E111" s="22" t="s">
        <v>508</v>
      </c>
    </row>
    <row r="112" spans="2:5" x14ac:dyDescent="0.2">
      <c r="B112" s="23">
        <v>4</v>
      </c>
      <c r="C112" s="20">
        <v>13593</v>
      </c>
      <c r="D112" s="22" t="s">
        <v>509</v>
      </c>
      <c r="E112" s="22" t="s">
        <v>510</v>
      </c>
    </row>
    <row r="113" spans="2:5" x14ac:dyDescent="0.2">
      <c r="B113" s="21">
        <v>4</v>
      </c>
      <c r="C113" s="19">
        <v>13594</v>
      </c>
      <c r="D113" s="22" t="s">
        <v>511</v>
      </c>
      <c r="E113" s="22" t="s">
        <v>512</v>
      </c>
    </row>
    <row r="114" spans="2:5" x14ac:dyDescent="0.2">
      <c r="B114" s="23">
        <v>4</v>
      </c>
      <c r="C114" s="20">
        <v>13595</v>
      </c>
      <c r="D114" s="22" t="s">
        <v>513</v>
      </c>
      <c r="E114" s="22" t="s">
        <v>514</v>
      </c>
    </row>
    <row r="115" spans="2:5" x14ac:dyDescent="0.2">
      <c r="B115" s="21">
        <v>4</v>
      </c>
      <c r="C115" s="19">
        <v>13596</v>
      </c>
      <c r="D115" s="22" t="s">
        <v>515</v>
      </c>
      <c r="E115" s="22" t="s">
        <v>516</v>
      </c>
    </row>
    <row r="116" spans="2:5" x14ac:dyDescent="0.2">
      <c r="B116" s="23">
        <v>4</v>
      </c>
      <c r="C116" s="20">
        <v>13597</v>
      </c>
      <c r="D116" s="22" t="s">
        <v>357</v>
      </c>
      <c r="E116" s="22" t="s">
        <v>358</v>
      </c>
    </row>
    <row r="117" spans="2:5" x14ac:dyDescent="0.2">
      <c r="B117" s="21">
        <v>4</v>
      </c>
      <c r="C117" s="19">
        <v>13598</v>
      </c>
      <c r="D117" s="22" t="s">
        <v>517</v>
      </c>
      <c r="E117" s="22" t="s">
        <v>518</v>
      </c>
    </row>
    <row r="118" spans="2:5" x14ac:dyDescent="0.2">
      <c r="B118" s="23">
        <v>4</v>
      </c>
      <c r="C118" s="20">
        <v>13599</v>
      </c>
      <c r="D118" s="22" t="s">
        <v>519</v>
      </c>
      <c r="E118" s="22" t="s">
        <v>520</v>
      </c>
    </row>
    <row r="119" spans="2:5" x14ac:dyDescent="0.2">
      <c r="B119" s="21">
        <v>4</v>
      </c>
      <c r="C119" s="19">
        <v>13600</v>
      </c>
      <c r="D119" s="22" t="s">
        <v>521</v>
      </c>
      <c r="E119" s="22" t="s">
        <v>522</v>
      </c>
    </row>
    <row r="120" spans="2:5" x14ac:dyDescent="0.2">
      <c r="B120" s="23">
        <v>5</v>
      </c>
      <c r="C120" s="20">
        <v>13601</v>
      </c>
      <c r="D120" s="22" t="s">
        <v>523</v>
      </c>
      <c r="E120" s="22" t="s">
        <v>524</v>
      </c>
    </row>
    <row r="121" spans="2:5" x14ac:dyDescent="0.2">
      <c r="B121" s="21">
        <v>5</v>
      </c>
      <c r="C121" s="19">
        <v>13602</v>
      </c>
      <c r="D121" s="22" t="s">
        <v>525</v>
      </c>
      <c r="E121" s="22" t="s">
        <v>526</v>
      </c>
    </row>
    <row r="122" spans="2:5" x14ac:dyDescent="0.2">
      <c r="B122" s="23">
        <v>5</v>
      </c>
      <c r="C122" s="20">
        <v>13603</v>
      </c>
      <c r="D122" s="22" t="s">
        <v>527</v>
      </c>
      <c r="E122" s="22" t="s">
        <v>528</v>
      </c>
    </row>
    <row r="123" spans="2:5" x14ac:dyDescent="0.2">
      <c r="B123" s="21">
        <v>5</v>
      </c>
      <c r="C123" s="19">
        <v>13604</v>
      </c>
      <c r="D123" s="22" t="s">
        <v>529</v>
      </c>
      <c r="E123" s="22" t="s">
        <v>530</v>
      </c>
    </row>
    <row r="124" spans="2:5" x14ac:dyDescent="0.2">
      <c r="B124" s="23">
        <v>5</v>
      </c>
      <c r="C124" s="20">
        <v>13605</v>
      </c>
      <c r="D124" s="22" t="s">
        <v>531</v>
      </c>
      <c r="E124" s="22" t="s">
        <v>532</v>
      </c>
    </row>
    <row r="125" spans="2:5" x14ac:dyDescent="0.2">
      <c r="B125" s="21">
        <v>5</v>
      </c>
      <c r="C125" s="19">
        <v>13606</v>
      </c>
      <c r="D125" s="22" t="s">
        <v>533</v>
      </c>
      <c r="E125" s="22" t="s">
        <v>534</v>
      </c>
    </row>
    <row r="126" spans="2:5" x14ac:dyDescent="0.2">
      <c r="B126" s="23">
        <v>5</v>
      </c>
      <c r="C126" s="20">
        <v>13607</v>
      </c>
      <c r="D126" s="22" t="s">
        <v>535</v>
      </c>
      <c r="E126" s="22" t="s">
        <v>536</v>
      </c>
    </row>
    <row r="127" spans="2:5" x14ac:dyDescent="0.2">
      <c r="B127" s="21">
        <v>5</v>
      </c>
      <c r="C127" s="19">
        <v>13608</v>
      </c>
      <c r="D127" s="22" t="s">
        <v>537</v>
      </c>
      <c r="E127" s="22" t="s">
        <v>538</v>
      </c>
    </row>
    <row r="128" spans="2:5" x14ac:dyDescent="0.2">
      <c r="B128" s="23">
        <v>5</v>
      </c>
      <c r="C128" s="20">
        <v>13609</v>
      </c>
      <c r="D128" s="22" t="s">
        <v>539</v>
      </c>
      <c r="E128" s="22" t="s">
        <v>540</v>
      </c>
    </row>
    <row r="129" spans="2:5" x14ac:dyDescent="0.2">
      <c r="B129" s="21">
        <v>5</v>
      </c>
      <c r="C129" s="19">
        <v>13610</v>
      </c>
      <c r="D129" s="22" t="s">
        <v>541</v>
      </c>
      <c r="E129" s="22" t="s">
        <v>542</v>
      </c>
    </row>
    <row r="130" spans="2:5" x14ac:dyDescent="0.2">
      <c r="B130" s="23">
        <v>5</v>
      </c>
      <c r="C130" s="20">
        <v>13611</v>
      </c>
      <c r="D130" s="22" t="s">
        <v>543</v>
      </c>
      <c r="E130" s="22" t="s">
        <v>544</v>
      </c>
    </row>
    <row r="131" spans="2:5" x14ac:dyDescent="0.2">
      <c r="B131" s="21">
        <v>5</v>
      </c>
      <c r="C131" s="19">
        <v>13612</v>
      </c>
      <c r="D131" s="22" t="s">
        <v>545</v>
      </c>
      <c r="E131" s="22" t="s">
        <v>546</v>
      </c>
    </row>
    <row r="132" spans="2:5" x14ac:dyDescent="0.2">
      <c r="B132" s="23">
        <v>5</v>
      </c>
      <c r="C132" s="20">
        <v>13613</v>
      </c>
      <c r="D132" s="22" t="s">
        <v>547</v>
      </c>
      <c r="E132" s="22" t="s">
        <v>548</v>
      </c>
    </row>
    <row r="133" spans="2:5" x14ac:dyDescent="0.2">
      <c r="B133" s="21">
        <v>5</v>
      </c>
      <c r="C133" s="19">
        <v>13614</v>
      </c>
      <c r="D133" s="22" t="s">
        <v>549</v>
      </c>
      <c r="E133" s="22" t="s">
        <v>550</v>
      </c>
    </row>
    <row r="134" spans="2:5" x14ac:dyDescent="0.2">
      <c r="B134" s="23">
        <v>5</v>
      </c>
      <c r="C134" s="20">
        <v>13615</v>
      </c>
      <c r="D134" s="22" t="s">
        <v>551</v>
      </c>
      <c r="E134" s="22" t="s">
        <v>552</v>
      </c>
    </row>
    <row r="135" spans="2:5" x14ac:dyDescent="0.2">
      <c r="B135" s="21">
        <v>5</v>
      </c>
      <c r="C135" s="19">
        <v>13616</v>
      </c>
      <c r="D135" s="22" t="s">
        <v>553</v>
      </c>
      <c r="E135" s="22" t="s">
        <v>554</v>
      </c>
    </row>
    <row r="136" spans="2:5" x14ac:dyDescent="0.2">
      <c r="B136" s="23">
        <v>5</v>
      </c>
      <c r="C136" s="20">
        <v>13617</v>
      </c>
      <c r="D136" s="22" t="s">
        <v>555</v>
      </c>
      <c r="E136" s="22" t="s">
        <v>556</v>
      </c>
    </row>
    <row r="137" spans="2:5" x14ac:dyDescent="0.2">
      <c r="B137" s="21">
        <v>5</v>
      </c>
      <c r="C137" s="19">
        <v>13618</v>
      </c>
      <c r="D137" s="22" t="s">
        <v>557</v>
      </c>
      <c r="E137" s="22" t="s">
        <v>558</v>
      </c>
    </row>
    <row r="138" spans="2:5" x14ac:dyDescent="0.2">
      <c r="B138" s="23">
        <v>5</v>
      </c>
      <c r="C138" s="20">
        <v>13619</v>
      </c>
      <c r="D138" s="22" t="s">
        <v>559</v>
      </c>
      <c r="E138" s="22" t="s">
        <v>560</v>
      </c>
    </row>
    <row r="139" spans="2:5" x14ac:dyDescent="0.2">
      <c r="B139" s="21">
        <v>5</v>
      </c>
      <c r="C139" s="19">
        <v>13620</v>
      </c>
      <c r="D139" s="22" t="s">
        <v>561</v>
      </c>
      <c r="E139" s="22" t="s">
        <v>562</v>
      </c>
    </row>
    <row r="140" spans="2:5" x14ac:dyDescent="0.2">
      <c r="B140" s="23">
        <v>5</v>
      </c>
      <c r="C140" s="20">
        <v>13621</v>
      </c>
      <c r="D140" s="22" t="s">
        <v>563</v>
      </c>
      <c r="E140" s="22" t="s">
        <v>564</v>
      </c>
    </row>
    <row r="141" spans="2:5" x14ac:dyDescent="0.2">
      <c r="B141" s="21">
        <v>5</v>
      </c>
      <c r="C141" s="19">
        <v>13622</v>
      </c>
      <c r="D141" s="22" t="s">
        <v>565</v>
      </c>
      <c r="E141" s="22" t="s">
        <v>566</v>
      </c>
    </row>
    <row r="142" spans="2:5" x14ac:dyDescent="0.2">
      <c r="B142" s="23">
        <v>5</v>
      </c>
      <c r="C142" s="20">
        <v>13623</v>
      </c>
      <c r="D142" s="22" t="s">
        <v>567</v>
      </c>
      <c r="E142" s="22" t="s">
        <v>568</v>
      </c>
    </row>
    <row r="143" spans="2:5" x14ac:dyDescent="0.2">
      <c r="B143" s="21">
        <v>5</v>
      </c>
      <c r="C143" s="19">
        <v>13624</v>
      </c>
      <c r="D143" s="22" t="s">
        <v>569</v>
      </c>
      <c r="E143" s="22" t="s">
        <v>570</v>
      </c>
    </row>
    <row r="144" spans="2:5" x14ac:dyDescent="0.2">
      <c r="B144" s="23">
        <v>5</v>
      </c>
      <c r="C144" s="20">
        <v>13625</v>
      </c>
      <c r="D144" s="22" t="s">
        <v>571</v>
      </c>
      <c r="E144" s="22" t="s">
        <v>572</v>
      </c>
    </row>
    <row r="145" spans="2:5" x14ac:dyDescent="0.2">
      <c r="B145" s="21">
        <v>6</v>
      </c>
      <c r="C145" s="19">
        <v>13626</v>
      </c>
      <c r="D145" s="22" t="s">
        <v>573</v>
      </c>
      <c r="E145" s="22" t="s">
        <v>574</v>
      </c>
    </row>
    <row r="146" spans="2:5" x14ac:dyDescent="0.2">
      <c r="B146" s="23">
        <v>6</v>
      </c>
      <c r="C146" s="20">
        <v>13627</v>
      </c>
      <c r="D146" s="22" t="s">
        <v>575</v>
      </c>
      <c r="E146" s="22" t="s">
        <v>576</v>
      </c>
    </row>
    <row r="147" spans="2:5" x14ac:dyDescent="0.2">
      <c r="B147" s="21">
        <v>6</v>
      </c>
      <c r="C147" s="19">
        <v>13628</v>
      </c>
      <c r="D147" s="22" t="s">
        <v>577</v>
      </c>
      <c r="E147" s="22" t="s">
        <v>578</v>
      </c>
    </row>
    <row r="148" spans="2:5" x14ac:dyDescent="0.2">
      <c r="B148" s="23">
        <v>6</v>
      </c>
      <c r="C148" s="20">
        <v>13629</v>
      </c>
      <c r="D148" s="22" t="s">
        <v>579</v>
      </c>
      <c r="E148" s="22" t="s">
        <v>580</v>
      </c>
    </row>
    <row r="149" spans="2:5" x14ac:dyDescent="0.2">
      <c r="B149" s="21">
        <v>6</v>
      </c>
      <c r="C149" s="19">
        <v>13630</v>
      </c>
      <c r="D149" s="22" t="s">
        <v>581</v>
      </c>
      <c r="E149" s="22" t="s">
        <v>416</v>
      </c>
    </row>
    <row r="150" spans="2:5" x14ac:dyDescent="0.2">
      <c r="B150" s="23">
        <v>6</v>
      </c>
      <c r="C150" s="20">
        <v>13631</v>
      </c>
      <c r="D150" s="22" t="s">
        <v>582</v>
      </c>
      <c r="E150" s="22" t="s">
        <v>583</v>
      </c>
    </row>
    <row r="151" spans="2:5" x14ac:dyDescent="0.2">
      <c r="B151" s="21">
        <v>6</v>
      </c>
      <c r="C151" s="19">
        <v>13632</v>
      </c>
      <c r="D151" s="22" t="s">
        <v>584</v>
      </c>
      <c r="E151" s="22" t="s">
        <v>585</v>
      </c>
    </row>
    <row r="152" spans="2:5" x14ac:dyDescent="0.2">
      <c r="B152" s="23">
        <v>6</v>
      </c>
      <c r="C152" s="20">
        <v>13633</v>
      </c>
      <c r="D152" s="22" t="s">
        <v>586</v>
      </c>
      <c r="E152" s="22" t="s">
        <v>587</v>
      </c>
    </row>
    <row r="153" spans="2:5" x14ac:dyDescent="0.2">
      <c r="B153" s="21">
        <v>6</v>
      </c>
      <c r="C153" s="19">
        <v>13634</v>
      </c>
      <c r="D153" s="22" t="s">
        <v>588</v>
      </c>
      <c r="E153" s="22" t="s">
        <v>589</v>
      </c>
    </row>
    <row r="154" spans="2:5" x14ac:dyDescent="0.2">
      <c r="B154" s="23">
        <v>6</v>
      </c>
      <c r="C154" s="20">
        <v>13635</v>
      </c>
      <c r="D154" s="22" t="s">
        <v>590</v>
      </c>
      <c r="E154" s="22" t="s">
        <v>398</v>
      </c>
    </row>
    <row r="155" spans="2:5" x14ac:dyDescent="0.2">
      <c r="B155" s="21">
        <v>6</v>
      </c>
      <c r="C155" s="19">
        <v>13636</v>
      </c>
      <c r="D155" s="22" t="s">
        <v>591</v>
      </c>
      <c r="E155" s="22" t="s">
        <v>592</v>
      </c>
    </row>
    <row r="156" spans="2:5" x14ac:dyDescent="0.2">
      <c r="B156" s="23">
        <v>6</v>
      </c>
      <c r="C156" s="20">
        <v>13637</v>
      </c>
      <c r="D156" s="22" t="s">
        <v>361</v>
      </c>
      <c r="E156" s="22" t="s">
        <v>362</v>
      </c>
    </row>
    <row r="157" spans="2:5" x14ac:dyDescent="0.2">
      <c r="B157" s="21">
        <v>6</v>
      </c>
      <c r="C157" s="19">
        <v>13638</v>
      </c>
      <c r="D157" s="22" t="s">
        <v>593</v>
      </c>
      <c r="E157" s="22" t="s">
        <v>594</v>
      </c>
    </row>
    <row r="158" spans="2:5" x14ac:dyDescent="0.2">
      <c r="B158" s="23">
        <v>6</v>
      </c>
      <c r="C158" s="20">
        <v>13639</v>
      </c>
      <c r="D158" s="22" t="s">
        <v>595</v>
      </c>
      <c r="E158" s="22" t="s">
        <v>596</v>
      </c>
    </row>
    <row r="159" spans="2:5" x14ac:dyDescent="0.2">
      <c r="B159" s="21">
        <v>6</v>
      </c>
      <c r="C159" s="19">
        <v>13640</v>
      </c>
      <c r="D159" s="22" t="s">
        <v>597</v>
      </c>
      <c r="E159" s="22" t="s">
        <v>598</v>
      </c>
    </row>
    <row r="160" spans="2:5" x14ac:dyDescent="0.2">
      <c r="B160" s="23">
        <v>6</v>
      </c>
      <c r="C160" s="20">
        <v>13641</v>
      </c>
      <c r="D160" s="22" t="s">
        <v>599</v>
      </c>
      <c r="E160" s="22" t="s">
        <v>600</v>
      </c>
    </row>
    <row r="161" spans="2:5" x14ac:dyDescent="0.2">
      <c r="B161" s="21">
        <v>6</v>
      </c>
      <c r="C161" s="19">
        <v>13642</v>
      </c>
      <c r="D161" s="22" t="s">
        <v>601</v>
      </c>
      <c r="E161" s="22" t="s">
        <v>602</v>
      </c>
    </row>
    <row r="162" spans="2:5" x14ac:dyDescent="0.2">
      <c r="B162" s="23">
        <v>6</v>
      </c>
      <c r="C162" s="20">
        <v>13643</v>
      </c>
      <c r="D162" s="22" t="s">
        <v>409</v>
      </c>
      <c r="E162" s="22" t="s">
        <v>603</v>
      </c>
    </row>
    <row r="163" spans="2:5" x14ac:dyDescent="0.2">
      <c r="B163" s="21">
        <v>6</v>
      </c>
      <c r="C163" s="19">
        <v>13644</v>
      </c>
      <c r="D163" s="22" t="s">
        <v>604</v>
      </c>
      <c r="E163" s="22" t="s">
        <v>605</v>
      </c>
    </row>
    <row r="164" spans="2:5" x14ac:dyDescent="0.2">
      <c r="B164" s="23">
        <v>6</v>
      </c>
      <c r="C164" s="20">
        <v>13645</v>
      </c>
      <c r="D164" s="22" t="s">
        <v>606</v>
      </c>
      <c r="E164" s="22" t="s">
        <v>607</v>
      </c>
    </row>
    <row r="165" spans="2:5" x14ac:dyDescent="0.2">
      <c r="B165" s="21">
        <v>6</v>
      </c>
      <c r="C165" s="19">
        <v>13646</v>
      </c>
      <c r="D165" s="22" t="s">
        <v>608</v>
      </c>
      <c r="E165" s="22" t="s">
        <v>609</v>
      </c>
    </row>
    <row r="166" spans="2:5" x14ac:dyDescent="0.2">
      <c r="B166" s="23">
        <v>6</v>
      </c>
      <c r="C166" s="20">
        <v>13647</v>
      </c>
      <c r="D166" s="22" t="s">
        <v>610</v>
      </c>
      <c r="E166" s="22" t="s">
        <v>611</v>
      </c>
    </row>
    <row r="167" spans="2:5" x14ac:dyDescent="0.2">
      <c r="B167" s="21">
        <v>6</v>
      </c>
      <c r="C167" s="19">
        <v>13648</v>
      </c>
      <c r="D167" s="22" t="s">
        <v>411</v>
      </c>
      <c r="E167" s="22" t="s">
        <v>612</v>
      </c>
    </row>
    <row r="168" spans="2:5" x14ac:dyDescent="0.2">
      <c r="B168" s="23">
        <v>6</v>
      </c>
      <c r="C168" s="20">
        <v>13649</v>
      </c>
      <c r="D168" s="22" t="s">
        <v>613</v>
      </c>
      <c r="E168" s="22" t="s">
        <v>614</v>
      </c>
    </row>
    <row r="169" spans="2:5" x14ac:dyDescent="0.2">
      <c r="B169" s="21">
        <v>6</v>
      </c>
      <c r="C169" s="19">
        <v>13650</v>
      </c>
      <c r="D169" s="22" t="s">
        <v>615</v>
      </c>
      <c r="E169" s="22" t="s">
        <v>616</v>
      </c>
    </row>
    <row r="170" spans="2:5" x14ac:dyDescent="0.2">
      <c r="B170" s="23">
        <v>7</v>
      </c>
      <c r="C170" s="20">
        <v>13651</v>
      </c>
      <c r="D170" s="22" t="s">
        <v>427</v>
      </c>
      <c r="E170" s="22" t="s">
        <v>617</v>
      </c>
    </row>
    <row r="171" spans="2:5" x14ac:dyDescent="0.2">
      <c r="B171" s="21">
        <v>7</v>
      </c>
      <c r="C171" s="19">
        <v>13652</v>
      </c>
      <c r="D171" s="22" t="s">
        <v>618</v>
      </c>
      <c r="E171" s="22" t="s">
        <v>619</v>
      </c>
    </row>
    <row r="172" spans="2:5" x14ac:dyDescent="0.2">
      <c r="B172" s="23">
        <v>7</v>
      </c>
      <c r="C172" s="20">
        <v>13653</v>
      </c>
      <c r="D172" s="22" t="s">
        <v>620</v>
      </c>
      <c r="E172" s="22" t="s">
        <v>621</v>
      </c>
    </row>
    <row r="173" spans="2:5" x14ac:dyDescent="0.2">
      <c r="B173" s="21">
        <v>7</v>
      </c>
      <c r="C173" s="19">
        <v>13654</v>
      </c>
      <c r="D173" s="22" t="s">
        <v>622</v>
      </c>
      <c r="E173" s="22" t="s">
        <v>448</v>
      </c>
    </row>
    <row r="174" spans="2:5" x14ac:dyDescent="0.2">
      <c r="B174" s="23">
        <v>7</v>
      </c>
      <c r="C174" s="20">
        <v>13655</v>
      </c>
      <c r="D174" s="22" t="s">
        <v>623</v>
      </c>
      <c r="E174" s="22" t="s">
        <v>624</v>
      </c>
    </row>
    <row r="175" spans="2:5" x14ac:dyDescent="0.2">
      <c r="B175" s="21">
        <v>7</v>
      </c>
      <c r="C175" s="19">
        <v>13656</v>
      </c>
      <c r="D175" s="22" t="s">
        <v>625</v>
      </c>
      <c r="E175" s="22" t="s">
        <v>626</v>
      </c>
    </row>
    <row r="176" spans="2:5" x14ac:dyDescent="0.2">
      <c r="B176" s="23">
        <v>7</v>
      </c>
      <c r="C176" s="20">
        <v>13657</v>
      </c>
      <c r="D176" s="22" t="s">
        <v>627</v>
      </c>
      <c r="E176" s="22" t="s">
        <v>628</v>
      </c>
    </row>
    <row r="177" spans="2:5" x14ac:dyDescent="0.2">
      <c r="B177" s="21">
        <v>7</v>
      </c>
      <c r="C177" s="19">
        <v>13658</v>
      </c>
      <c r="D177" s="22" t="s">
        <v>629</v>
      </c>
      <c r="E177" s="22" t="s">
        <v>630</v>
      </c>
    </row>
    <row r="178" spans="2:5" x14ac:dyDescent="0.2">
      <c r="B178" s="23">
        <v>7</v>
      </c>
      <c r="C178" s="20">
        <v>13659</v>
      </c>
      <c r="D178" s="22" t="s">
        <v>631</v>
      </c>
      <c r="E178" s="22" t="s">
        <v>632</v>
      </c>
    </row>
    <row r="179" spans="2:5" x14ac:dyDescent="0.2">
      <c r="B179" s="21">
        <v>7</v>
      </c>
      <c r="C179" s="19">
        <v>13660</v>
      </c>
      <c r="D179" s="22" t="s">
        <v>633</v>
      </c>
      <c r="E179" s="22" t="s">
        <v>634</v>
      </c>
    </row>
    <row r="180" spans="2:5" x14ac:dyDescent="0.2">
      <c r="B180" s="23">
        <v>7</v>
      </c>
      <c r="C180" s="20">
        <v>13661</v>
      </c>
      <c r="D180" s="22" t="s">
        <v>635</v>
      </c>
      <c r="E180" s="22" t="s">
        <v>636</v>
      </c>
    </row>
    <row r="181" spans="2:5" x14ac:dyDescent="0.2">
      <c r="B181" s="21">
        <v>7</v>
      </c>
      <c r="C181" s="19">
        <v>13662</v>
      </c>
      <c r="D181" s="22" t="s">
        <v>637</v>
      </c>
      <c r="E181" s="22" t="s">
        <v>638</v>
      </c>
    </row>
    <row r="182" spans="2:5" x14ac:dyDescent="0.2">
      <c r="B182" s="23">
        <v>7</v>
      </c>
      <c r="C182" s="20">
        <v>13663</v>
      </c>
      <c r="D182" s="22" t="s">
        <v>639</v>
      </c>
      <c r="E182" s="22" t="s">
        <v>640</v>
      </c>
    </row>
    <row r="183" spans="2:5" x14ac:dyDescent="0.2">
      <c r="B183" s="21">
        <v>7</v>
      </c>
      <c r="C183" s="19">
        <v>13664</v>
      </c>
      <c r="D183" s="22" t="s">
        <v>641</v>
      </c>
      <c r="E183" s="22" t="s">
        <v>642</v>
      </c>
    </row>
    <row r="184" spans="2:5" x14ac:dyDescent="0.2">
      <c r="B184" s="23">
        <v>7</v>
      </c>
      <c r="C184" s="20">
        <v>13665</v>
      </c>
      <c r="D184" s="22" t="s">
        <v>643</v>
      </c>
      <c r="E184" s="22" t="s">
        <v>644</v>
      </c>
    </row>
    <row r="185" spans="2:5" x14ac:dyDescent="0.2">
      <c r="B185" s="21">
        <v>7</v>
      </c>
      <c r="C185" s="19">
        <v>13666</v>
      </c>
      <c r="D185" s="22" t="s">
        <v>645</v>
      </c>
      <c r="E185" s="22" t="s">
        <v>646</v>
      </c>
    </row>
    <row r="186" spans="2:5" x14ac:dyDescent="0.2">
      <c r="B186" s="23">
        <v>7</v>
      </c>
      <c r="C186" s="20">
        <v>13667</v>
      </c>
      <c r="D186" s="22" t="s">
        <v>647</v>
      </c>
      <c r="E186" s="22" t="s">
        <v>648</v>
      </c>
    </row>
    <row r="187" spans="2:5" x14ac:dyDescent="0.2">
      <c r="B187" s="21">
        <v>7</v>
      </c>
      <c r="C187" s="19">
        <v>13668</v>
      </c>
      <c r="D187" s="22" t="s">
        <v>649</v>
      </c>
      <c r="E187" s="22" t="s">
        <v>650</v>
      </c>
    </row>
    <row r="188" spans="2:5" x14ac:dyDescent="0.2">
      <c r="B188" s="23">
        <v>7</v>
      </c>
      <c r="C188" s="20">
        <v>13669</v>
      </c>
      <c r="D188" s="22" t="s">
        <v>651</v>
      </c>
      <c r="E188" s="22" t="s">
        <v>652</v>
      </c>
    </row>
    <row r="189" spans="2:5" x14ac:dyDescent="0.2">
      <c r="B189" s="21">
        <v>7</v>
      </c>
      <c r="C189" s="19">
        <v>13670</v>
      </c>
      <c r="D189" s="22" t="s">
        <v>653</v>
      </c>
      <c r="E189" s="22" t="s">
        <v>654</v>
      </c>
    </row>
    <row r="190" spans="2:5" x14ac:dyDescent="0.2">
      <c r="B190" s="23">
        <v>7</v>
      </c>
      <c r="C190" s="20">
        <v>13671</v>
      </c>
      <c r="D190" s="22" t="s">
        <v>655</v>
      </c>
      <c r="E190" s="22" t="s">
        <v>656</v>
      </c>
    </row>
    <row r="191" spans="2:5" x14ac:dyDescent="0.2">
      <c r="B191" s="21">
        <v>7</v>
      </c>
      <c r="C191" s="19">
        <v>13672</v>
      </c>
      <c r="D191" s="22" t="s">
        <v>657</v>
      </c>
      <c r="E191" s="22" t="s">
        <v>658</v>
      </c>
    </row>
    <row r="192" spans="2:5" x14ac:dyDescent="0.2">
      <c r="B192" s="23">
        <v>7</v>
      </c>
      <c r="C192" s="20">
        <v>13673</v>
      </c>
      <c r="D192" s="22" t="s">
        <v>659</v>
      </c>
      <c r="E192" s="22" t="s">
        <v>660</v>
      </c>
    </row>
    <row r="193" spans="2:5" x14ac:dyDescent="0.2">
      <c r="B193" s="21">
        <v>7</v>
      </c>
      <c r="C193" s="19">
        <v>13674</v>
      </c>
      <c r="D193" s="22" t="s">
        <v>661</v>
      </c>
      <c r="E193" s="22" t="s">
        <v>662</v>
      </c>
    </row>
    <row r="194" spans="2:5" x14ac:dyDescent="0.2">
      <c r="B194" s="23">
        <v>7</v>
      </c>
      <c r="C194" s="20">
        <v>13675</v>
      </c>
      <c r="D194" s="22" t="s">
        <v>663</v>
      </c>
      <c r="E194" s="22" t="s">
        <v>664</v>
      </c>
    </row>
    <row r="195" spans="2:5" x14ac:dyDescent="0.2">
      <c r="B195" s="21">
        <v>8</v>
      </c>
      <c r="C195" s="19">
        <v>13676</v>
      </c>
      <c r="D195" s="22" t="s">
        <v>665</v>
      </c>
      <c r="E195" s="22" t="s">
        <v>666</v>
      </c>
    </row>
    <row r="196" spans="2:5" x14ac:dyDescent="0.2">
      <c r="B196" s="23">
        <v>8</v>
      </c>
      <c r="C196" s="20">
        <v>13677</v>
      </c>
      <c r="D196" s="22" t="s">
        <v>667</v>
      </c>
      <c r="E196" s="22" t="s">
        <v>668</v>
      </c>
    </row>
    <row r="197" spans="2:5" x14ac:dyDescent="0.2">
      <c r="B197" s="21">
        <v>8</v>
      </c>
      <c r="C197" s="19">
        <v>13678</v>
      </c>
      <c r="D197" s="22" t="s">
        <v>669</v>
      </c>
      <c r="E197" s="22" t="s">
        <v>670</v>
      </c>
    </row>
    <row r="198" spans="2:5" x14ac:dyDescent="0.2">
      <c r="B198" s="23">
        <v>8</v>
      </c>
      <c r="C198" s="20">
        <v>13679</v>
      </c>
      <c r="D198" s="22" t="s">
        <v>671</v>
      </c>
      <c r="E198" s="22" t="s">
        <v>672</v>
      </c>
    </row>
    <row r="199" spans="2:5" x14ac:dyDescent="0.2">
      <c r="B199" s="21">
        <v>8</v>
      </c>
      <c r="C199" s="19">
        <v>13680</v>
      </c>
      <c r="D199" s="22" t="s">
        <v>673</v>
      </c>
      <c r="E199" s="22" t="s">
        <v>674</v>
      </c>
    </row>
    <row r="200" spans="2:5" x14ac:dyDescent="0.2">
      <c r="B200" s="23">
        <v>8</v>
      </c>
      <c r="C200" s="20">
        <v>13681</v>
      </c>
      <c r="D200" s="22" t="s">
        <v>675</v>
      </c>
      <c r="E200" s="22" t="s">
        <v>676</v>
      </c>
    </row>
    <row r="201" spans="2:5" x14ac:dyDescent="0.2">
      <c r="B201" s="21">
        <v>8</v>
      </c>
      <c r="C201" s="19">
        <v>13682</v>
      </c>
      <c r="D201" s="22" t="s">
        <v>677</v>
      </c>
      <c r="E201" s="22" t="s">
        <v>678</v>
      </c>
    </row>
    <row r="202" spans="2:5" x14ac:dyDescent="0.2">
      <c r="B202" s="23">
        <v>8</v>
      </c>
      <c r="C202" s="20">
        <v>13683</v>
      </c>
      <c r="D202" s="22" t="s">
        <v>679</v>
      </c>
      <c r="E202" s="22" t="s">
        <v>680</v>
      </c>
    </row>
    <row r="203" spans="2:5" x14ac:dyDescent="0.2">
      <c r="B203" s="21">
        <v>8</v>
      </c>
      <c r="C203" s="19">
        <v>13684</v>
      </c>
      <c r="D203" s="22" t="s">
        <v>681</v>
      </c>
      <c r="E203" s="22" t="s">
        <v>682</v>
      </c>
    </row>
    <row r="204" spans="2:5" x14ac:dyDescent="0.2">
      <c r="B204" s="23">
        <v>8</v>
      </c>
      <c r="C204" s="20">
        <v>13685</v>
      </c>
      <c r="D204" s="22" t="s">
        <v>683</v>
      </c>
      <c r="E204" s="22" t="s">
        <v>684</v>
      </c>
    </row>
    <row r="205" spans="2:5" x14ac:dyDescent="0.2">
      <c r="B205" s="21">
        <v>8</v>
      </c>
      <c r="C205" s="19">
        <v>13686</v>
      </c>
      <c r="D205" s="22" t="s">
        <v>685</v>
      </c>
      <c r="E205" s="22" t="s">
        <v>686</v>
      </c>
    </row>
    <row r="206" spans="2:5" x14ac:dyDescent="0.2">
      <c r="B206" s="23">
        <v>8</v>
      </c>
      <c r="C206" s="20">
        <v>13687</v>
      </c>
      <c r="D206" s="22" t="s">
        <v>687</v>
      </c>
      <c r="E206" s="22" t="s">
        <v>688</v>
      </c>
    </row>
    <row r="207" spans="2:5" x14ac:dyDescent="0.2">
      <c r="B207" s="21">
        <v>8</v>
      </c>
      <c r="C207" s="19">
        <v>13688</v>
      </c>
      <c r="D207" s="22" t="s">
        <v>689</v>
      </c>
      <c r="E207" s="22" t="s">
        <v>690</v>
      </c>
    </row>
    <row r="208" spans="2:5" x14ac:dyDescent="0.2">
      <c r="B208" s="23">
        <v>8</v>
      </c>
      <c r="C208" s="20">
        <v>13689</v>
      </c>
      <c r="D208" s="22" t="s">
        <v>691</v>
      </c>
      <c r="E208" s="22" t="s">
        <v>692</v>
      </c>
    </row>
    <row r="209" spans="2:5" x14ac:dyDescent="0.2">
      <c r="B209" s="21">
        <v>8</v>
      </c>
      <c r="C209" s="19">
        <v>13690</v>
      </c>
      <c r="D209" s="22" t="s">
        <v>693</v>
      </c>
      <c r="E209" s="22" t="s">
        <v>694</v>
      </c>
    </row>
    <row r="210" spans="2:5" x14ac:dyDescent="0.2">
      <c r="B210" s="23">
        <v>8</v>
      </c>
      <c r="C210" s="20">
        <v>13691</v>
      </c>
      <c r="D210" s="22" t="s">
        <v>695</v>
      </c>
      <c r="E210" s="22" t="s">
        <v>696</v>
      </c>
    </row>
    <row r="211" spans="2:5" x14ac:dyDescent="0.2">
      <c r="B211" s="21">
        <v>8</v>
      </c>
      <c r="C211" s="19">
        <v>13692</v>
      </c>
      <c r="D211" s="22" t="s">
        <v>697</v>
      </c>
      <c r="E211" s="22" t="s">
        <v>698</v>
      </c>
    </row>
    <row r="212" spans="2:5" x14ac:dyDescent="0.2">
      <c r="B212" s="23">
        <v>8</v>
      </c>
      <c r="C212" s="20">
        <v>13693</v>
      </c>
      <c r="D212" s="22" t="s">
        <v>699</v>
      </c>
      <c r="E212" s="22" t="s">
        <v>700</v>
      </c>
    </row>
    <row r="213" spans="2:5" x14ac:dyDescent="0.2">
      <c r="B213" s="21">
        <v>8</v>
      </c>
      <c r="C213" s="19">
        <v>13694</v>
      </c>
      <c r="D213" s="22" t="s">
        <v>701</v>
      </c>
      <c r="E213" s="22" t="s">
        <v>702</v>
      </c>
    </row>
    <row r="214" spans="2:5" x14ac:dyDescent="0.2">
      <c r="B214" s="23">
        <v>8</v>
      </c>
      <c r="C214" s="20">
        <v>13695</v>
      </c>
      <c r="D214" s="22" t="s">
        <v>703</v>
      </c>
      <c r="E214" s="22" t="s">
        <v>704</v>
      </c>
    </row>
    <row r="215" spans="2:5" x14ac:dyDescent="0.2">
      <c r="B215" s="21">
        <v>8</v>
      </c>
      <c r="C215" s="19">
        <v>13696</v>
      </c>
      <c r="D215" s="22" t="s">
        <v>705</v>
      </c>
      <c r="E215" s="22" t="s">
        <v>706</v>
      </c>
    </row>
    <row r="216" spans="2:5" x14ac:dyDescent="0.2">
      <c r="B216" s="23">
        <v>8</v>
      </c>
      <c r="C216" s="20">
        <v>13697</v>
      </c>
      <c r="D216" s="22" t="s">
        <v>707</v>
      </c>
      <c r="E216" s="22" t="s">
        <v>708</v>
      </c>
    </row>
    <row r="217" spans="2:5" x14ac:dyDescent="0.2">
      <c r="B217" s="21">
        <v>8</v>
      </c>
      <c r="C217" s="19">
        <v>13698</v>
      </c>
      <c r="D217" s="22" t="s">
        <v>709</v>
      </c>
      <c r="E217" s="22" t="s">
        <v>710</v>
      </c>
    </row>
    <row r="218" spans="2:5" x14ac:dyDescent="0.2">
      <c r="B218" s="23">
        <v>8</v>
      </c>
      <c r="C218" s="20">
        <v>13699</v>
      </c>
      <c r="D218" s="22" t="s">
        <v>711</v>
      </c>
      <c r="E218" s="22" t="s">
        <v>712</v>
      </c>
    </row>
    <row r="219" spans="2:5" x14ac:dyDescent="0.2">
      <c r="B219" s="21">
        <v>8</v>
      </c>
      <c r="C219" s="19">
        <v>13700</v>
      </c>
      <c r="D219" s="22" t="s">
        <v>713</v>
      </c>
      <c r="E219" s="22" t="s">
        <v>714</v>
      </c>
    </row>
    <row r="220" spans="2:5" x14ac:dyDescent="0.2">
      <c r="B220" s="23">
        <v>9</v>
      </c>
      <c r="C220" s="20">
        <v>13701</v>
      </c>
      <c r="D220" s="22" t="s">
        <v>715</v>
      </c>
      <c r="E220" s="22" t="s">
        <v>716</v>
      </c>
    </row>
    <row r="221" spans="2:5" x14ac:dyDescent="0.2">
      <c r="B221" s="21">
        <v>9</v>
      </c>
      <c r="C221" s="19">
        <v>13702</v>
      </c>
      <c r="D221" s="22" t="s">
        <v>717</v>
      </c>
      <c r="E221" s="22" t="s">
        <v>718</v>
      </c>
    </row>
    <row r="222" spans="2:5" x14ac:dyDescent="0.2">
      <c r="B222" s="23">
        <v>9</v>
      </c>
      <c r="C222" s="20">
        <v>13703</v>
      </c>
      <c r="D222" s="22" t="s">
        <v>719</v>
      </c>
      <c r="E222" s="22" t="s">
        <v>720</v>
      </c>
    </row>
    <row r="223" spans="2:5" x14ac:dyDescent="0.2">
      <c r="B223" s="21">
        <v>9</v>
      </c>
      <c r="C223" s="19">
        <v>13704</v>
      </c>
      <c r="D223" s="22" t="s">
        <v>721</v>
      </c>
      <c r="E223" s="22" t="s">
        <v>722</v>
      </c>
    </row>
    <row r="224" spans="2:5" x14ac:dyDescent="0.2">
      <c r="B224" s="23">
        <v>9</v>
      </c>
      <c r="C224" s="20">
        <v>13705</v>
      </c>
      <c r="D224" s="22" t="s">
        <v>723</v>
      </c>
      <c r="E224" s="22" t="s">
        <v>724</v>
      </c>
    </row>
    <row r="225" spans="2:5" x14ac:dyDescent="0.2">
      <c r="B225" s="21">
        <v>9</v>
      </c>
      <c r="C225" s="19">
        <v>13706</v>
      </c>
      <c r="D225" s="22" t="s">
        <v>725</v>
      </c>
      <c r="E225" s="22" t="s">
        <v>726</v>
      </c>
    </row>
    <row r="226" spans="2:5" x14ac:dyDescent="0.2">
      <c r="B226" s="23">
        <v>9</v>
      </c>
      <c r="C226" s="20">
        <v>13707</v>
      </c>
      <c r="D226" s="22" t="s">
        <v>727</v>
      </c>
      <c r="E226" s="22" t="s">
        <v>728</v>
      </c>
    </row>
    <row r="227" spans="2:5" x14ac:dyDescent="0.2">
      <c r="B227" s="21">
        <v>9</v>
      </c>
      <c r="C227" s="19">
        <v>13708</v>
      </c>
      <c r="D227" s="22" t="s">
        <v>729</v>
      </c>
      <c r="E227" s="22" t="s">
        <v>730</v>
      </c>
    </row>
    <row r="228" spans="2:5" x14ac:dyDescent="0.2">
      <c r="B228" s="23">
        <v>9</v>
      </c>
      <c r="C228" s="20">
        <v>13709</v>
      </c>
      <c r="D228" s="22" t="s">
        <v>731</v>
      </c>
      <c r="E228" s="22" t="s">
        <v>732</v>
      </c>
    </row>
    <row r="229" spans="2:5" x14ac:dyDescent="0.2">
      <c r="B229" s="21">
        <v>9</v>
      </c>
      <c r="C229" s="19">
        <v>13710</v>
      </c>
      <c r="D229" s="22" t="s">
        <v>733</v>
      </c>
      <c r="E229" s="22" t="s">
        <v>734</v>
      </c>
    </row>
    <row r="230" spans="2:5" x14ac:dyDescent="0.2">
      <c r="B230" s="23">
        <v>9</v>
      </c>
      <c r="C230" s="20">
        <v>13711</v>
      </c>
      <c r="D230" s="22" t="s">
        <v>735</v>
      </c>
      <c r="E230" s="22" t="s">
        <v>736</v>
      </c>
    </row>
    <row r="231" spans="2:5" x14ac:dyDescent="0.2">
      <c r="B231" s="21">
        <v>9</v>
      </c>
      <c r="C231" s="19">
        <v>13712</v>
      </c>
      <c r="D231" s="22" t="s">
        <v>737</v>
      </c>
      <c r="E231" s="22" t="s">
        <v>738</v>
      </c>
    </row>
    <row r="232" spans="2:5" x14ac:dyDescent="0.2">
      <c r="B232" s="23">
        <v>9</v>
      </c>
      <c r="C232" s="20">
        <v>13713</v>
      </c>
      <c r="D232" s="22" t="s">
        <v>739</v>
      </c>
      <c r="E232" s="22" t="s">
        <v>740</v>
      </c>
    </row>
    <row r="233" spans="2:5" x14ac:dyDescent="0.2">
      <c r="B233" s="21">
        <v>9</v>
      </c>
      <c r="C233" s="19">
        <v>13714</v>
      </c>
      <c r="D233" s="22" t="s">
        <v>741</v>
      </c>
      <c r="E233" s="22" t="s">
        <v>742</v>
      </c>
    </row>
    <row r="234" spans="2:5" x14ac:dyDescent="0.2">
      <c r="B234" s="23">
        <v>9</v>
      </c>
      <c r="C234" s="20">
        <v>13715</v>
      </c>
      <c r="D234" s="22" t="s">
        <v>743</v>
      </c>
      <c r="E234" s="22" t="s">
        <v>744</v>
      </c>
    </row>
    <row r="235" spans="2:5" x14ac:dyDescent="0.2">
      <c r="B235" s="21">
        <v>9</v>
      </c>
      <c r="C235" s="19">
        <v>13716</v>
      </c>
      <c r="D235" s="22" t="s">
        <v>745</v>
      </c>
      <c r="E235" s="22" t="s">
        <v>746</v>
      </c>
    </row>
    <row r="236" spans="2:5" x14ac:dyDescent="0.2">
      <c r="B236" s="23">
        <v>9</v>
      </c>
      <c r="C236" s="20">
        <v>13717</v>
      </c>
      <c r="D236" s="22" t="s">
        <v>747</v>
      </c>
      <c r="E236" s="22" t="s">
        <v>748</v>
      </c>
    </row>
    <row r="237" spans="2:5" x14ac:dyDescent="0.2">
      <c r="B237" s="21">
        <v>9</v>
      </c>
      <c r="C237" s="19">
        <v>13718</v>
      </c>
      <c r="D237" s="22" t="s">
        <v>749</v>
      </c>
      <c r="E237" s="22" t="s">
        <v>750</v>
      </c>
    </row>
    <row r="238" spans="2:5" x14ac:dyDescent="0.2">
      <c r="B238" s="23">
        <v>9</v>
      </c>
      <c r="C238" s="20">
        <v>13719</v>
      </c>
      <c r="D238" s="22" t="s">
        <v>751</v>
      </c>
      <c r="E238" s="22" t="s">
        <v>752</v>
      </c>
    </row>
    <row r="239" spans="2:5" x14ac:dyDescent="0.2">
      <c r="B239" s="21">
        <v>9</v>
      </c>
      <c r="C239" s="19">
        <v>13720</v>
      </c>
      <c r="D239" s="22" t="s">
        <v>753</v>
      </c>
      <c r="E239" s="22" t="s">
        <v>754</v>
      </c>
    </row>
    <row r="240" spans="2:5" x14ac:dyDescent="0.2">
      <c r="B240" s="23">
        <v>9</v>
      </c>
      <c r="C240" s="20">
        <v>13721</v>
      </c>
      <c r="D240" s="22" t="s">
        <v>755</v>
      </c>
      <c r="E240" s="22" t="s">
        <v>756</v>
      </c>
    </row>
    <row r="241" spans="2:5" x14ac:dyDescent="0.2">
      <c r="B241" s="21">
        <v>9</v>
      </c>
      <c r="C241" s="19">
        <v>13722</v>
      </c>
      <c r="D241" s="22" t="s">
        <v>757</v>
      </c>
      <c r="E241" s="22" t="s">
        <v>758</v>
      </c>
    </row>
    <row r="242" spans="2:5" x14ac:dyDescent="0.2">
      <c r="B242" s="23">
        <v>9</v>
      </c>
      <c r="C242" s="20">
        <v>13723</v>
      </c>
      <c r="D242" s="22" t="s">
        <v>759</v>
      </c>
      <c r="E242" s="22" t="s">
        <v>760</v>
      </c>
    </row>
    <row r="243" spans="2:5" x14ac:dyDescent="0.2">
      <c r="B243" s="21">
        <v>9</v>
      </c>
      <c r="C243" s="19">
        <v>13724</v>
      </c>
      <c r="D243" s="22" t="s">
        <v>761</v>
      </c>
      <c r="E243" s="22" t="s">
        <v>762</v>
      </c>
    </row>
    <row r="244" spans="2:5" x14ac:dyDescent="0.2">
      <c r="B244" s="23">
        <v>9</v>
      </c>
      <c r="C244" s="20">
        <v>13725</v>
      </c>
      <c r="D244" s="22" t="s">
        <v>763</v>
      </c>
      <c r="E244" s="22" t="s">
        <v>764</v>
      </c>
    </row>
    <row r="245" spans="2:5" x14ac:dyDescent="0.2">
      <c r="B245" s="21">
        <v>10</v>
      </c>
      <c r="C245" s="19">
        <v>13726</v>
      </c>
      <c r="D245" s="22" t="s">
        <v>765</v>
      </c>
      <c r="E245" s="22" t="s">
        <v>766</v>
      </c>
    </row>
    <row r="246" spans="2:5" x14ac:dyDescent="0.2">
      <c r="B246" s="23">
        <v>10</v>
      </c>
      <c r="C246" s="20">
        <v>13727</v>
      </c>
      <c r="D246" s="22" t="s">
        <v>767</v>
      </c>
      <c r="E246" s="22" t="s">
        <v>768</v>
      </c>
    </row>
    <row r="247" spans="2:5" x14ac:dyDescent="0.2">
      <c r="B247" s="21">
        <v>10</v>
      </c>
      <c r="C247" s="19">
        <v>13728</v>
      </c>
      <c r="D247" s="22" t="s">
        <v>769</v>
      </c>
      <c r="E247" s="22" t="s">
        <v>770</v>
      </c>
    </row>
    <row r="248" spans="2:5" x14ac:dyDescent="0.2">
      <c r="B248" s="23">
        <v>10</v>
      </c>
      <c r="C248" s="20">
        <v>13729</v>
      </c>
      <c r="D248" s="22" t="s">
        <v>771</v>
      </c>
      <c r="E248" s="22" t="s">
        <v>772</v>
      </c>
    </row>
    <row r="249" spans="2:5" x14ac:dyDescent="0.2">
      <c r="B249" s="21">
        <v>10</v>
      </c>
      <c r="C249" s="19">
        <v>13730</v>
      </c>
      <c r="D249" s="22" t="s">
        <v>773</v>
      </c>
      <c r="E249" s="22" t="s">
        <v>774</v>
      </c>
    </row>
    <row r="250" spans="2:5" x14ac:dyDescent="0.2">
      <c r="B250" s="23">
        <v>10</v>
      </c>
      <c r="C250" s="20">
        <v>13731</v>
      </c>
      <c r="D250" s="22" t="s">
        <v>775</v>
      </c>
      <c r="E250" s="22" t="s">
        <v>776</v>
      </c>
    </row>
    <row r="251" spans="2:5" x14ac:dyDescent="0.2">
      <c r="B251" s="21">
        <v>10</v>
      </c>
      <c r="C251" s="19">
        <v>13732</v>
      </c>
      <c r="D251" s="22" t="s">
        <v>777</v>
      </c>
      <c r="E251" s="22" t="s">
        <v>778</v>
      </c>
    </row>
    <row r="252" spans="2:5" x14ac:dyDescent="0.2">
      <c r="B252" s="23">
        <v>10</v>
      </c>
      <c r="C252" s="20">
        <v>13733</v>
      </c>
      <c r="D252" s="22" t="s">
        <v>779</v>
      </c>
      <c r="E252" s="22" t="s">
        <v>780</v>
      </c>
    </row>
    <row r="253" spans="2:5" x14ac:dyDescent="0.2">
      <c r="B253" s="21">
        <v>10</v>
      </c>
      <c r="C253" s="19">
        <v>13734</v>
      </c>
      <c r="D253" s="22" t="s">
        <v>781</v>
      </c>
      <c r="E253" s="22" t="s">
        <v>782</v>
      </c>
    </row>
    <row r="254" spans="2:5" x14ac:dyDescent="0.2">
      <c r="B254" s="23">
        <v>10</v>
      </c>
      <c r="C254" s="20">
        <v>13735</v>
      </c>
      <c r="D254" s="22" t="s">
        <v>783</v>
      </c>
      <c r="E254" s="22" t="s">
        <v>784</v>
      </c>
    </row>
    <row r="255" spans="2:5" x14ac:dyDescent="0.2">
      <c r="B255" s="21">
        <v>10</v>
      </c>
      <c r="C255" s="19">
        <v>13736</v>
      </c>
      <c r="D255" s="22" t="s">
        <v>785</v>
      </c>
      <c r="E255" s="22" t="s">
        <v>786</v>
      </c>
    </row>
    <row r="256" spans="2:5" x14ac:dyDescent="0.2">
      <c r="B256" s="23">
        <v>10</v>
      </c>
      <c r="C256" s="20">
        <v>13737</v>
      </c>
      <c r="D256" s="22" t="s">
        <v>405</v>
      </c>
      <c r="E256" s="22" t="s">
        <v>787</v>
      </c>
    </row>
    <row r="257" spans="2:5" x14ac:dyDescent="0.2">
      <c r="B257" s="21">
        <v>10</v>
      </c>
      <c r="C257" s="19">
        <v>13738</v>
      </c>
      <c r="D257" s="22" t="s">
        <v>788</v>
      </c>
      <c r="E257" s="22" t="s">
        <v>789</v>
      </c>
    </row>
    <row r="258" spans="2:5" x14ac:dyDescent="0.2">
      <c r="B258" s="23">
        <v>10</v>
      </c>
      <c r="C258" s="20">
        <v>13739</v>
      </c>
      <c r="D258" s="22" t="s">
        <v>790</v>
      </c>
      <c r="E258" s="22" t="s">
        <v>791</v>
      </c>
    </row>
    <row r="259" spans="2:5" x14ac:dyDescent="0.2">
      <c r="B259" s="21">
        <v>10</v>
      </c>
      <c r="C259" s="19">
        <v>13740</v>
      </c>
      <c r="D259" s="22" t="s">
        <v>792</v>
      </c>
      <c r="E259" s="22" t="s">
        <v>793</v>
      </c>
    </row>
    <row r="260" spans="2:5" x14ac:dyDescent="0.2">
      <c r="B260" s="23">
        <v>10</v>
      </c>
      <c r="C260" s="20">
        <v>13741</v>
      </c>
      <c r="D260" s="22" t="s">
        <v>794</v>
      </c>
      <c r="E260" s="22" t="s">
        <v>795</v>
      </c>
    </row>
    <row r="261" spans="2:5" x14ac:dyDescent="0.2">
      <c r="B261" s="21">
        <v>10</v>
      </c>
      <c r="C261" s="19">
        <v>13742</v>
      </c>
      <c r="D261" s="22" t="s">
        <v>796</v>
      </c>
      <c r="E261" s="22" t="s">
        <v>797</v>
      </c>
    </row>
    <row r="262" spans="2:5" x14ac:dyDescent="0.2">
      <c r="B262" s="23">
        <v>10</v>
      </c>
      <c r="C262" s="20">
        <v>13743</v>
      </c>
      <c r="D262" s="22" t="s">
        <v>557</v>
      </c>
      <c r="E262" s="22" t="s">
        <v>518</v>
      </c>
    </row>
    <row r="263" spans="2:5" x14ac:dyDescent="0.2">
      <c r="B263" s="21">
        <v>10</v>
      </c>
      <c r="C263" s="19">
        <v>13744</v>
      </c>
      <c r="D263" s="22" t="s">
        <v>798</v>
      </c>
      <c r="E263" s="22" t="s">
        <v>799</v>
      </c>
    </row>
    <row r="264" spans="2:5" x14ac:dyDescent="0.2">
      <c r="B264" s="23">
        <v>10</v>
      </c>
      <c r="C264" s="20">
        <v>13745</v>
      </c>
      <c r="D264" s="22" t="s">
        <v>800</v>
      </c>
      <c r="E264" s="22" t="s">
        <v>801</v>
      </c>
    </row>
    <row r="265" spans="2:5" x14ac:dyDescent="0.2">
      <c r="B265" s="21">
        <v>10</v>
      </c>
      <c r="C265" s="19">
        <v>13746</v>
      </c>
      <c r="D265" s="22" t="s">
        <v>802</v>
      </c>
      <c r="E265" s="22" t="s">
        <v>803</v>
      </c>
    </row>
    <row r="266" spans="2:5" x14ac:dyDescent="0.2">
      <c r="B266" s="23">
        <v>10</v>
      </c>
      <c r="C266" s="20">
        <v>13747</v>
      </c>
      <c r="D266" s="22" t="s">
        <v>804</v>
      </c>
      <c r="E266" s="22" t="s">
        <v>805</v>
      </c>
    </row>
    <row r="267" spans="2:5" x14ac:dyDescent="0.2">
      <c r="B267" s="21">
        <v>10</v>
      </c>
      <c r="C267" s="19">
        <v>13748</v>
      </c>
      <c r="D267" s="22" t="s">
        <v>806</v>
      </c>
      <c r="E267" s="22" t="s">
        <v>807</v>
      </c>
    </row>
    <row r="268" spans="2:5" x14ac:dyDescent="0.2">
      <c r="B268" s="23">
        <v>10</v>
      </c>
      <c r="C268" s="20">
        <v>13749</v>
      </c>
      <c r="D268" s="22" t="s">
        <v>808</v>
      </c>
      <c r="E268" s="22" t="s">
        <v>809</v>
      </c>
    </row>
    <row r="269" spans="2:5" x14ac:dyDescent="0.2">
      <c r="B269" s="21">
        <v>10</v>
      </c>
      <c r="C269" s="19">
        <v>13750</v>
      </c>
      <c r="D269" s="22" t="s">
        <v>810</v>
      </c>
      <c r="E269" s="22" t="s">
        <v>811</v>
      </c>
    </row>
    <row r="270" spans="2:5" x14ac:dyDescent="0.2">
      <c r="B270" s="23">
        <v>11</v>
      </c>
      <c r="C270" s="20">
        <v>13751</v>
      </c>
      <c r="D270" s="22" t="s">
        <v>812</v>
      </c>
      <c r="E270" s="22" t="s">
        <v>813</v>
      </c>
    </row>
    <row r="271" spans="2:5" x14ac:dyDescent="0.2">
      <c r="B271" s="21">
        <v>11</v>
      </c>
      <c r="C271" s="19">
        <v>13752</v>
      </c>
      <c r="D271" s="22" t="s">
        <v>814</v>
      </c>
      <c r="E271" s="22" t="s">
        <v>815</v>
      </c>
    </row>
    <row r="272" spans="2:5" x14ac:dyDescent="0.2">
      <c r="B272" s="23">
        <v>11</v>
      </c>
      <c r="C272" s="20">
        <v>13753</v>
      </c>
      <c r="D272" s="22" t="s">
        <v>816</v>
      </c>
      <c r="E272" s="22" t="s">
        <v>817</v>
      </c>
    </row>
    <row r="273" spans="2:5" x14ac:dyDescent="0.2">
      <c r="B273" s="21">
        <v>11</v>
      </c>
      <c r="C273" s="19">
        <v>13754</v>
      </c>
      <c r="D273" s="22" t="s">
        <v>818</v>
      </c>
      <c r="E273" s="22" t="s">
        <v>819</v>
      </c>
    </row>
    <row r="274" spans="2:5" x14ac:dyDescent="0.2">
      <c r="B274" s="23">
        <v>11</v>
      </c>
      <c r="C274" s="20">
        <v>13755</v>
      </c>
      <c r="D274" s="22" t="s">
        <v>820</v>
      </c>
      <c r="E274" s="22" t="s">
        <v>821</v>
      </c>
    </row>
    <row r="275" spans="2:5" x14ac:dyDescent="0.2">
      <c r="B275" s="21">
        <v>11</v>
      </c>
      <c r="C275" s="19">
        <v>13756</v>
      </c>
      <c r="D275" s="22" t="s">
        <v>822</v>
      </c>
      <c r="E275" s="22" t="s">
        <v>823</v>
      </c>
    </row>
    <row r="276" spans="2:5" x14ac:dyDescent="0.2">
      <c r="B276" s="23">
        <v>11</v>
      </c>
      <c r="C276" s="20">
        <v>13757</v>
      </c>
      <c r="D276" s="22" t="s">
        <v>824</v>
      </c>
      <c r="E276" s="22" t="s">
        <v>825</v>
      </c>
    </row>
    <row r="277" spans="2:5" x14ac:dyDescent="0.2">
      <c r="B277" s="21">
        <v>11</v>
      </c>
      <c r="C277" s="19">
        <v>13758</v>
      </c>
      <c r="D277" s="22" t="s">
        <v>826</v>
      </c>
      <c r="E277" s="22" t="s">
        <v>827</v>
      </c>
    </row>
    <row r="278" spans="2:5" x14ac:dyDescent="0.2">
      <c r="B278" s="23">
        <v>11</v>
      </c>
      <c r="C278" s="20">
        <v>13759</v>
      </c>
      <c r="D278" s="22" t="s">
        <v>828</v>
      </c>
      <c r="E278" s="22" t="s">
        <v>829</v>
      </c>
    </row>
    <row r="279" spans="2:5" x14ac:dyDescent="0.2">
      <c r="B279" s="21">
        <v>11</v>
      </c>
      <c r="C279" s="19">
        <v>13760</v>
      </c>
      <c r="D279" s="22" t="s">
        <v>830</v>
      </c>
      <c r="E279" s="22" t="s">
        <v>831</v>
      </c>
    </row>
    <row r="280" spans="2:5" x14ac:dyDescent="0.2">
      <c r="B280" s="23">
        <v>11</v>
      </c>
      <c r="C280" s="20">
        <v>13761</v>
      </c>
      <c r="D280" s="22" t="s">
        <v>832</v>
      </c>
      <c r="E280" s="22" t="s">
        <v>833</v>
      </c>
    </row>
    <row r="281" spans="2:5" x14ac:dyDescent="0.2">
      <c r="B281" s="21">
        <v>11</v>
      </c>
      <c r="C281" s="19">
        <v>13762</v>
      </c>
      <c r="D281" s="22" t="s">
        <v>834</v>
      </c>
      <c r="E281" s="22" t="s">
        <v>835</v>
      </c>
    </row>
    <row r="282" spans="2:5" x14ac:dyDescent="0.2">
      <c r="B282" s="23">
        <v>11</v>
      </c>
      <c r="C282" s="20">
        <v>13763</v>
      </c>
      <c r="D282" s="22" t="s">
        <v>836</v>
      </c>
      <c r="E282" s="22" t="s">
        <v>837</v>
      </c>
    </row>
    <row r="283" spans="2:5" x14ac:dyDescent="0.2">
      <c r="B283" s="21">
        <v>21</v>
      </c>
      <c r="C283" s="19">
        <v>13764</v>
      </c>
      <c r="D283" s="22" t="s">
        <v>838</v>
      </c>
      <c r="E283" s="22" t="s">
        <v>839</v>
      </c>
    </row>
    <row r="284" spans="2:5" x14ac:dyDescent="0.2">
      <c r="B284" s="23">
        <v>21</v>
      </c>
      <c r="C284" s="20">
        <v>13765</v>
      </c>
      <c r="D284" s="22" t="s">
        <v>840</v>
      </c>
      <c r="E284" s="22" t="s">
        <v>841</v>
      </c>
    </row>
    <row r="285" spans="2:5" x14ac:dyDescent="0.2">
      <c r="B285" s="21">
        <v>21</v>
      </c>
      <c r="C285" s="19">
        <v>13766</v>
      </c>
      <c r="D285" s="22" t="s">
        <v>842</v>
      </c>
      <c r="E285" s="22" t="s">
        <v>843</v>
      </c>
    </row>
    <row r="286" spans="2:5" x14ac:dyDescent="0.2">
      <c r="B286" s="23">
        <v>21</v>
      </c>
      <c r="C286" s="20">
        <v>13767</v>
      </c>
      <c r="D286" s="22" t="s">
        <v>844</v>
      </c>
      <c r="E286" s="22" t="s">
        <v>845</v>
      </c>
    </row>
    <row r="287" spans="2:5" x14ac:dyDescent="0.2">
      <c r="B287" s="21">
        <v>21</v>
      </c>
      <c r="C287" s="19">
        <v>13768</v>
      </c>
      <c r="D287" s="22" t="s">
        <v>846</v>
      </c>
      <c r="E287" s="22" t="s">
        <v>847</v>
      </c>
    </row>
    <row r="288" spans="2:5" x14ac:dyDescent="0.2">
      <c r="B288" s="23">
        <v>21</v>
      </c>
      <c r="C288" s="20">
        <v>13769</v>
      </c>
      <c r="D288" s="22" t="s">
        <v>848</v>
      </c>
      <c r="E288" s="22" t="s">
        <v>849</v>
      </c>
    </row>
    <row r="289" spans="2:5" x14ac:dyDescent="0.2">
      <c r="B289" s="21">
        <v>21</v>
      </c>
      <c r="C289" s="19">
        <v>13770</v>
      </c>
      <c r="D289" s="22" t="s">
        <v>850</v>
      </c>
      <c r="E289" s="22" t="s">
        <v>851</v>
      </c>
    </row>
    <row r="290" spans="2:5" x14ac:dyDescent="0.2">
      <c r="B290" s="23">
        <v>21</v>
      </c>
      <c r="C290" s="20">
        <v>13771</v>
      </c>
      <c r="D290" s="22" t="s">
        <v>852</v>
      </c>
      <c r="E290" s="22" t="s">
        <v>853</v>
      </c>
    </row>
    <row r="291" spans="2:5" x14ac:dyDescent="0.2">
      <c r="B291" s="21">
        <v>21</v>
      </c>
      <c r="C291" s="19">
        <v>13772</v>
      </c>
      <c r="D291" s="22" t="s">
        <v>854</v>
      </c>
      <c r="E291" s="22" t="s">
        <v>855</v>
      </c>
    </row>
    <row r="292" spans="2:5" x14ac:dyDescent="0.2">
      <c r="B292" s="23">
        <v>21</v>
      </c>
      <c r="C292" s="20">
        <v>13773</v>
      </c>
      <c r="D292" s="22" t="s">
        <v>856</v>
      </c>
      <c r="E292" s="22" t="s">
        <v>857</v>
      </c>
    </row>
    <row r="293" spans="2:5" x14ac:dyDescent="0.2">
      <c r="B293" s="21">
        <v>21</v>
      </c>
      <c r="C293" s="19">
        <v>13774</v>
      </c>
      <c r="D293" s="22" t="s">
        <v>858</v>
      </c>
      <c r="E293" s="22" t="s">
        <v>859</v>
      </c>
    </row>
    <row r="294" spans="2:5" x14ac:dyDescent="0.2">
      <c r="B294" s="23">
        <v>21</v>
      </c>
      <c r="C294" s="20">
        <v>13775</v>
      </c>
      <c r="D294" s="22" t="s">
        <v>860</v>
      </c>
      <c r="E294" s="22" t="s">
        <v>861</v>
      </c>
    </row>
    <row r="295" spans="2:5" x14ac:dyDescent="0.2">
      <c r="B295" s="21">
        <v>21</v>
      </c>
      <c r="C295" s="19">
        <v>13776</v>
      </c>
      <c r="D295" s="22" t="s">
        <v>862</v>
      </c>
      <c r="E295" s="22" t="s">
        <v>863</v>
      </c>
    </row>
    <row r="296" spans="2:5" x14ac:dyDescent="0.2">
      <c r="B296" s="23">
        <v>21</v>
      </c>
      <c r="C296" s="20">
        <v>13777</v>
      </c>
      <c r="D296" s="22" t="s">
        <v>864</v>
      </c>
      <c r="E296" s="22" t="s">
        <v>865</v>
      </c>
    </row>
    <row r="297" spans="2:5" x14ac:dyDescent="0.2">
      <c r="B297" s="21">
        <v>21</v>
      </c>
      <c r="C297" s="19">
        <v>13778</v>
      </c>
      <c r="D297" s="22" t="s">
        <v>866</v>
      </c>
      <c r="E297" s="22" t="s">
        <v>867</v>
      </c>
    </row>
    <row r="298" spans="2:5" x14ac:dyDescent="0.2">
      <c r="B298" s="23">
        <v>21</v>
      </c>
      <c r="C298" s="20">
        <v>13779</v>
      </c>
      <c r="D298" s="22" t="s">
        <v>868</v>
      </c>
      <c r="E298" s="22" t="s">
        <v>869</v>
      </c>
    </row>
    <row r="299" spans="2:5" x14ac:dyDescent="0.2">
      <c r="B299" s="21">
        <v>21</v>
      </c>
      <c r="C299" s="19">
        <v>13780</v>
      </c>
      <c r="D299" s="22" t="s">
        <v>870</v>
      </c>
      <c r="E299" s="22" t="s">
        <v>871</v>
      </c>
    </row>
    <row r="300" spans="2:5" x14ac:dyDescent="0.2">
      <c r="B300" s="23">
        <v>21</v>
      </c>
      <c r="C300" s="20">
        <v>13781</v>
      </c>
      <c r="D300" s="22" t="s">
        <v>872</v>
      </c>
      <c r="E300" s="22" t="s">
        <v>873</v>
      </c>
    </row>
    <row r="301" spans="2:5" x14ac:dyDescent="0.2">
      <c r="B301" s="21">
        <v>21</v>
      </c>
      <c r="C301" s="19">
        <v>13782</v>
      </c>
      <c r="D301" s="22" t="s">
        <v>874</v>
      </c>
      <c r="E301" s="22" t="s">
        <v>875</v>
      </c>
    </row>
    <row r="302" spans="2:5" x14ac:dyDescent="0.2">
      <c r="B302" s="23">
        <v>21</v>
      </c>
      <c r="C302" s="20">
        <v>13783</v>
      </c>
      <c r="D302" s="22" t="s">
        <v>876</v>
      </c>
      <c r="E302" s="22" t="s">
        <v>877</v>
      </c>
    </row>
    <row r="303" spans="2:5" x14ac:dyDescent="0.2">
      <c r="B303" s="21">
        <v>21</v>
      </c>
      <c r="C303" s="19">
        <v>13784</v>
      </c>
      <c r="D303" s="22" t="s">
        <v>878</v>
      </c>
      <c r="E303" s="22" t="s">
        <v>879</v>
      </c>
    </row>
    <row r="304" spans="2:5" x14ac:dyDescent="0.2">
      <c r="B304" s="23">
        <v>21</v>
      </c>
      <c r="C304" s="20">
        <v>13785</v>
      </c>
      <c r="D304" s="22" t="s">
        <v>880</v>
      </c>
      <c r="E304" s="22" t="s">
        <v>881</v>
      </c>
    </row>
    <row r="305" spans="2:5" x14ac:dyDescent="0.2">
      <c r="B305" s="21">
        <v>21</v>
      </c>
      <c r="C305" s="19">
        <v>13786</v>
      </c>
      <c r="D305" s="22" t="s">
        <v>882</v>
      </c>
      <c r="E305" s="22" t="s">
        <v>883</v>
      </c>
    </row>
    <row r="306" spans="2:5" x14ac:dyDescent="0.2">
      <c r="B306" s="23">
        <v>21</v>
      </c>
      <c r="C306" s="20">
        <v>13787</v>
      </c>
      <c r="D306" s="22" t="s">
        <v>884</v>
      </c>
      <c r="E306" s="22" t="s">
        <v>885</v>
      </c>
    </row>
    <row r="307" spans="2:5" x14ac:dyDescent="0.2">
      <c r="B307" s="21">
        <v>21</v>
      </c>
      <c r="C307" s="19">
        <v>13788</v>
      </c>
      <c r="D307" s="22" t="s">
        <v>886</v>
      </c>
      <c r="E307" s="22" t="s">
        <v>887</v>
      </c>
    </row>
    <row r="308" spans="2:5" x14ac:dyDescent="0.2">
      <c r="B308" s="23">
        <v>22</v>
      </c>
      <c r="C308" s="20">
        <v>13789</v>
      </c>
      <c r="D308" s="22" t="s">
        <v>888</v>
      </c>
      <c r="E308" s="22" t="s">
        <v>889</v>
      </c>
    </row>
    <row r="309" spans="2:5" x14ac:dyDescent="0.2">
      <c r="B309" s="21">
        <v>22</v>
      </c>
      <c r="C309" s="19">
        <v>13790</v>
      </c>
      <c r="D309" s="22" t="s">
        <v>890</v>
      </c>
      <c r="E309" s="22" t="s">
        <v>891</v>
      </c>
    </row>
    <row r="310" spans="2:5" x14ac:dyDescent="0.2">
      <c r="B310" s="23">
        <v>22</v>
      </c>
      <c r="C310" s="20">
        <v>13791</v>
      </c>
      <c r="D310" s="22" t="s">
        <v>892</v>
      </c>
      <c r="E310" s="22" t="s">
        <v>893</v>
      </c>
    </row>
    <row r="311" spans="2:5" x14ac:dyDescent="0.2">
      <c r="B311" s="21">
        <v>22</v>
      </c>
      <c r="C311" s="19">
        <v>13792</v>
      </c>
      <c r="D311" s="22" t="s">
        <v>894</v>
      </c>
      <c r="E311" s="22" t="s">
        <v>895</v>
      </c>
    </row>
    <row r="312" spans="2:5" x14ac:dyDescent="0.2">
      <c r="B312" s="23">
        <v>22</v>
      </c>
      <c r="C312" s="20">
        <v>13793</v>
      </c>
      <c r="D312" s="22" t="s">
        <v>896</v>
      </c>
      <c r="E312" s="22" t="s">
        <v>897</v>
      </c>
    </row>
    <row r="313" spans="2:5" x14ac:dyDescent="0.2">
      <c r="B313" s="21">
        <v>22</v>
      </c>
      <c r="C313" s="19">
        <v>13794</v>
      </c>
      <c r="D313" s="22" t="s">
        <v>898</v>
      </c>
      <c r="E313" s="22" t="s">
        <v>899</v>
      </c>
    </row>
    <row r="314" spans="2:5" x14ac:dyDescent="0.2">
      <c r="B314" s="23">
        <v>22</v>
      </c>
      <c r="C314" s="20">
        <v>13795</v>
      </c>
      <c r="D314" s="22" t="s">
        <v>900</v>
      </c>
      <c r="E314" s="22" t="s">
        <v>901</v>
      </c>
    </row>
    <row r="315" spans="2:5" x14ac:dyDescent="0.2">
      <c r="B315" s="21">
        <v>22</v>
      </c>
      <c r="C315" s="19">
        <v>13796</v>
      </c>
      <c r="D315" s="22" t="s">
        <v>902</v>
      </c>
      <c r="E315" s="22" t="s">
        <v>903</v>
      </c>
    </row>
    <row r="316" spans="2:5" x14ac:dyDescent="0.2">
      <c r="B316" s="23">
        <v>22</v>
      </c>
      <c r="C316" s="20">
        <v>13797</v>
      </c>
      <c r="D316" s="22" t="s">
        <v>904</v>
      </c>
      <c r="E316" s="22" t="s">
        <v>905</v>
      </c>
    </row>
    <row r="317" spans="2:5" x14ac:dyDescent="0.2">
      <c r="B317" s="21">
        <v>22</v>
      </c>
      <c r="C317" s="19">
        <v>13798</v>
      </c>
      <c r="D317" s="22" t="s">
        <v>906</v>
      </c>
      <c r="E317" s="22" t="s">
        <v>907</v>
      </c>
    </row>
    <row r="318" spans="2:5" x14ac:dyDescent="0.2">
      <c r="B318" s="23">
        <v>22</v>
      </c>
      <c r="C318" s="20">
        <v>13799</v>
      </c>
      <c r="D318" s="22" t="s">
        <v>908</v>
      </c>
      <c r="E318" s="22" t="s">
        <v>909</v>
      </c>
    </row>
    <row r="319" spans="2:5" x14ac:dyDescent="0.2">
      <c r="B319" s="21">
        <v>22</v>
      </c>
      <c r="C319" s="19">
        <v>13800</v>
      </c>
      <c r="D319" s="22" t="s">
        <v>910</v>
      </c>
      <c r="E319" s="22" t="s">
        <v>911</v>
      </c>
    </row>
    <row r="320" spans="2:5" x14ac:dyDescent="0.2">
      <c r="B320" s="23">
        <v>22</v>
      </c>
      <c r="C320" s="20">
        <v>13801</v>
      </c>
      <c r="D320" s="22" t="s">
        <v>912</v>
      </c>
      <c r="E320" s="22" t="s">
        <v>913</v>
      </c>
    </row>
    <row r="321" spans="2:5" x14ac:dyDescent="0.2">
      <c r="B321" s="21">
        <v>22</v>
      </c>
      <c r="C321" s="19">
        <v>13802</v>
      </c>
      <c r="D321" s="22" t="s">
        <v>914</v>
      </c>
      <c r="E321" s="22" t="s">
        <v>915</v>
      </c>
    </row>
    <row r="322" spans="2:5" x14ac:dyDescent="0.2">
      <c r="B322" s="23">
        <v>22</v>
      </c>
      <c r="C322" s="20">
        <v>13803</v>
      </c>
      <c r="D322" s="22" t="s">
        <v>916</v>
      </c>
      <c r="E322" s="22" t="s">
        <v>917</v>
      </c>
    </row>
    <row r="323" spans="2:5" x14ac:dyDescent="0.2">
      <c r="B323" s="21">
        <v>22</v>
      </c>
      <c r="C323" s="19">
        <v>13804</v>
      </c>
      <c r="D323" s="22" t="s">
        <v>918</v>
      </c>
      <c r="E323" s="22" t="s">
        <v>919</v>
      </c>
    </row>
    <row r="324" spans="2:5" x14ac:dyDescent="0.2">
      <c r="B324" s="23">
        <v>22</v>
      </c>
      <c r="C324" s="20">
        <v>13805</v>
      </c>
      <c r="D324" s="22" t="s">
        <v>920</v>
      </c>
      <c r="E324" s="22" t="s">
        <v>921</v>
      </c>
    </row>
    <row r="325" spans="2:5" x14ac:dyDescent="0.2">
      <c r="B325" s="21">
        <v>22</v>
      </c>
      <c r="C325" s="19">
        <v>13806</v>
      </c>
      <c r="D325" s="22" t="s">
        <v>922</v>
      </c>
      <c r="E325" s="22" t="s">
        <v>923</v>
      </c>
    </row>
    <row r="326" spans="2:5" x14ac:dyDescent="0.2">
      <c r="B326" s="23">
        <v>22</v>
      </c>
      <c r="C326" s="20">
        <v>13807</v>
      </c>
      <c r="D326" s="22" t="s">
        <v>924</v>
      </c>
      <c r="E326" s="22" t="s">
        <v>925</v>
      </c>
    </row>
    <row r="327" spans="2:5" x14ac:dyDescent="0.2">
      <c r="B327" s="21">
        <v>22</v>
      </c>
      <c r="C327" s="19">
        <v>13808</v>
      </c>
      <c r="D327" s="22" t="s">
        <v>926</v>
      </c>
      <c r="E327" s="22" t="s">
        <v>927</v>
      </c>
    </row>
    <row r="328" spans="2:5" x14ac:dyDescent="0.2">
      <c r="B328" s="23">
        <v>22</v>
      </c>
      <c r="C328" s="20">
        <v>13809</v>
      </c>
      <c r="D328" s="22" t="s">
        <v>928</v>
      </c>
      <c r="E328" s="22" t="s">
        <v>929</v>
      </c>
    </row>
    <row r="329" spans="2:5" x14ac:dyDescent="0.2">
      <c r="B329" s="21">
        <v>22</v>
      </c>
      <c r="C329" s="19">
        <v>13810</v>
      </c>
      <c r="D329" s="22" t="s">
        <v>930</v>
      </c>
      <c r="E329" s="22" t="s">
        <v>931</v>
      </c>
    </row>
    <row r="330" spans="2:5" x14ac:dyDescent="0.2">
      <c r="B330" s="23">
        <v>22</v>
      </c>
      <c r="C330" s="20">
        <v>13811</v>
      </c>
      <c r="D330" s="22" t="s">
        <v>932</v>
      </c>
      <c r="E330" s="22" t="s">
        <v>933</v>
      </c>
    </row>
    <row r="331" spans="2:5" x14ac:dyDescent="0.2">
      <c r="B331" s="21">
        <v>22</v>
      </c>
      <c r="C331" s="19">
        <v>13812</v>
      </c>
      <c r="D331" s="22" t="s">
        <v>934</v>
      </c>
      <c r="E331" s="22" t="s">
        <v>935</v>
      </c>
    </row>
    <row r="332" spans="2:5" x14ac:dyDescent="0.2">
      <c r="B332" s="23">
        <v>22</v>
      </c>
      <c r="C332" s="20">
        <v>13813</v>
      </c>
      <c r="D332" s="22" t="s">
        <v>936</v>
      </c>
      <c r="E332" s="22" t="s">
        <v>937</v>
      </c>
    </row>
    <row r="333" spans="2:5" x14ac:dyDescent="0.2">
      <c r="B333" s="21">
        <v>23</v>
      </c>
      <c r="C333" s="19">
        <v>13814</v>
      </c>
      <c r="D333" s="22" t="s">
        <v>938</v>
      </c>
      <c r="E333" s="22" t="s">
        <v>939</v>
      </c>
    </row>
    <row r="334" spans="2:5" x14ac:dyDescent="0.2">
      <c r="B334" s="23">
        <v>23</v>
      </c>
      <c r="C334" s="20">
        <v>13815</v>
      </c>
      <c r="D334" s="22" t="s">
        <v>940</v>
      </c>
      <c r="E334" s="22" t="s">
        <v>941</v>
      </c>
    </row>
    <row r="335" spans="2:5" x14ac:dyDescent="0.2">
      <c r="B335" s="21">
        <v>23</v>
      </c>
      <c r="C335" s="19">
        <v>13816</v>
      </c>
      <c r="D335" s="22" t="s">
        <v>942</v>
      </c>
      <c r="E335" s="22" t="s">
        <v>943</v>
      </c>
    </row>
    <row r="336" spans="2:5" x14ac:dyDescent="0.2">
      <c r="B336" s="23">
        <v>23</v>
      </c>
      <c r="C336" s="20">
        <v>13817</v>
      </c>
      <c r="D336" s="22" t="s">
        <v>944</v>
      </c>
      <c r="E336" s="22" t="s">
        <v>945</v>
      </c>
    </row>
    <row r="337" spans="2:5" x14ac:dyDescent="0.2">
      <c r="B337" s="21">
        <v>23</v>
      </c>
      <c r="C337" s="19">
        <v>13818</v>
      </c>
      <c r="D337" s="22" t="s">
        <v>946</v>
      </c>
      <c r="E337" s="22" t="s">
        <v>947</v>
      </c>
    </row>
    <row r="338" spans="2:5" x14ac:dyDescent="0.2">
      <c r="B338" s="23">
        <v>23</v>
      </c>
      <c r="C338" s="20">
        <v>13819</v>
      </c>
      <c r="D338" s="22" t="s">
        <v>948</v>
      </c>
      <c r="E338" s="22" t="s">
        <v>949</v>
      </c>
    </row>
    <row r="339" spans="2:5" x14ac:dyDescent="0.2">
      <c r="B339" s="21">
        <v>23</v>
      </c>
      <c r="C339" s="19">
        <v>13820</v>
      </c>
      <c r="D339" s="22" t="s">
        <v>950</v>
      </c>
      <c r="E339" s="22" t="s">
        <v>951</v>
      </c>
    </row>
    <row r="340" spans="2:5" x14ac:dyDescent="0.2">
      <c r="B340" s="23">
        <v>23</v>
      </c>
      <c r="C340" s="20">
        <v>13821</v>
      </c>
      <c r="D340" s="22" t="s">
        <v>952</v>
      </c>
      <c r="E340" s="22" t="s">
        <v>953</v>
      </c>
    </row>
    <row r="341" spans="2:5" x14ac:dyDescent="0.2">
      <c r="B341" s="21">
        <v>23</v>
      </c>
      <c r="C341" s="19">
        <v>13822</v>
      </c>
      <c r="D341" s="22" t="s">
        <v>954</v>
      </c>
      <c r="E341" s="22" t="s">
        <v>955</v>
      </c>
    </row>
    <row r="342" spans="2:5" x14ac:dyDescent="0.2">
      <c r="B342" s="23">
        <v>23</v>
      </c>
      <c r="C342" s="20">
        <v>13823</v>
      </c>
      <c r="D342" s="22" t="s">
        <v>956</v>
      </c>
      <c r="E342" s="22" t="s">
        <v>957</v>
      </c>
    </row>
    <row r="343" spans="2:5" x14ac:dyDescent="0.2">
      <c r="B343" s="21">
        <v>23</v>
      </c>
      <c r="C343" s="19">
        <v>13824</v>
      </c>
      <c r="D343" s="22" t="s">
        <v>958</v>
      </c>
      <c r="E343" s="22" t="s">
        <v>959</v>
      </c>
    </row>
    <row r="344" spans="2:5" x14ac:dyDescent="0.2">
      <c r="B344" s="23">
        <v>23</v>
      </c>
      <c r="C344" s="20">
        <v>13825</v>
      </c>
      <c r="D344" s="22" t="s">
        <v>960</v>
      </c>
      <c r="E344" s="22" t="s">
        <v>961</v>
      </c>
    </row>
    <row r="345" spans="2:5" x14ac:dyDescent="0.2">
      <c r="B345" s="21">
        <v>23</v>
      </c>
      <c r="C345" s="19">
        <v>13826</v>
      </c>
      <c r="D345" s="22" t="s">
        <v>962</v>
      </c>
      <c r="E345" s="22" t="s">
        <v>963</v>
      </c>
    </row>
    <row r="346" spans="2:5" x14ac:dyDescent="0.2">
      <c r="B346" s="23">
        <v>23</v>
      </c>
      <c r="C346" s="20">
        <v>13827</v>
      </c>
      <c r="D346" s="22" t="s">
        <v>964</v>
      </c>
      <c r="E346" s="22" t="s">
        <v>965</v>
      </c>
    </row>
    <row r="347" spans="2:5" x14ac:dyDescent="0.2">
      <c r="B347" s="21">
        <v>23</v>
      </c>
      <c r="C347" s="19">
        <v>13828</v>
      </c>
      <c r="D347" s="22" t="s">
        <v>966</v>
      </c>
      <c r="E347" s="22" t="s">
        <v>967</v>
      </c>
    </row>
    <row r="348" spans="2:5" x14ac:dyDescent="0.2">
      <c r="B348" s="23">
        <v>23</v>
      </c>
      <c r="C348" s="20">
        <v>13829</v>
      </c>
      <c r="D348" s="22" t="s">
        <v>968</v>
      </c>
      <c r="E348" s="22" t="s">
        <v>969</v>
      </c>
    </row>
    <row r="349" spans="2:5" x14ac:dyDescent="0.2">
      <c r="B349" s="21">
        <v>23</v>
      </c>
      <c r="C349" s="19">
        <v>13830</v>
      </c>
      <c r="D349" s="22" t="s">
        <v>970</v>
      </c>
      <c r="E349" s="22" t="s">
        <v>971</v>
      </c>
    </row>
    <row r="350" spans="2:5" x14ac:dyDescent="0.2">
      <c r="B350" s="23">
        <v>23</v>
      </c>
      <c r="C350" s="20">
        <v>13831</v>
      </c>
      <c r="D350" s="22" t="s">
        <v>972</v>
      </c>
      <c r="E350" s="22" t="s">
        <v>973</v>
      </c>
    </row>
    <row r="351" spans="2:5" x14ac:dyDescent="0.2">
      <c r="B351" s="21">
        <v>23</v>
      </c>
      <c r="C351" s="19">
        <v>13832</v>
      </c>
      <c r="D351" s="22" t="s">
        <v>974</v>
      </c>
      <c r="E351" s="22" t="s">
        <v>975</v>
      </c>
    </row>
    <row r="352" spans="2:5" x14ac:dyDescent="0.2">
      <c r="B352" s="23">
        <v>23</v>
      </c>
      <c r="C352" s="20">
        <v>13833</v>
      </c>
      <c r="D352" s="22" t="s">
        <v>976</v>
      </c>
      <c r="E352" s="22" t="s">
        <v>977</v>
      </c>
    </row>
    <row r="353" spans="2:5" x14ac:dyDescent="0.2">
      <c r="B353" s="21">
        <v>23</v>
      </c>
      <c r="C353" s="19">
        <v>13834</v>
      </c>
      <c r="D353" s="22" t="s">
        <v>978</v>
      </c>
      <c r="E353" s="22" t="s">
        <v>979</v>
      </c>
    </row>
    <row r="354" spans="2:5" x14ac:dyDescent="0.2">
      <c r="B354" s="23">
        <v>23</v>
      </c>
      <c r="C354" s="20">
        <v>13835</v>
      </c>
      <c r="D354" s="22" t="s">
        <v>980</v>
      </c>
      <c r="E354" s="22" t="s">
        <v>981</v>
      </c>
    </row>
    <row r="355" spans="2:5" x14ac:dyDescent="0.2">
      <c r="B355" s="21">
        <v>23</v>
      </c>
      <c r="C355" s="19">
        <v>13836</v>
      </c>
      <c r="D355" s="22" t="s">
        <v>982</v>
      </c>
      <c r="E355" s="22" t="s">
        <v>983</v>
      </c>
    </row>
    <row r="356" spans="2:5" x14ac:dyDescent="0.2">
      <c r="B356" s="23">
        <v>23</v>
      </c>
      <c r="C356" s="20">
        <v>13837</v>
      </c>
      <c r="D356" s="22" t="s">
        <v>984</v>
      </c>
      <c r="E356" s="22" t="s">
        <v>985</v>
      </c>
    </row>
    <row r="357" spans="2:5" x14ac:dyDescent="0.2">
      <c r="B357" s="21">
        <v>23</v>
      </c>
      <c r="C357" s="19">
        <v>13838</v>
      </c>
      <c r="D357" s="22" t="s">
        <v>986</v>
      </c>
      <c r="E357" s="22" t="s">
        <v>987</v>
      </c>
    </row>
    <row r="358" spans="2:5" x14ac:dyDescent="0.2">
      <c r="B358" s="23">
        <v>24</v>
      </c>
      <c r="C358" s="20">
        <v>13839</v>
      </c>
      <c r="D358" s="22" t="s">
        <v>988</v>
      </c>
      <c r="E358" s="22" t="s">
        <v>989</v>
      </c>
    </row>
    <row r="359" spans="2:5" x14ac:dyDescent="0.2">
      <c r="B359" s="21">
        <v>24</v>
      </c>
      <c r="C359" s="19">
        <v>13840</v>
      </c>
      <c r="D359" s="22" t="s">
        <v>990</v>
      </c>
      <c r="E359" s="22" t="s">
        <v>991</v>
      </c>
    </row>
    <row r="360" spans="2:5" x14ac:dyDescent="0.2">
      <c r="B360" s="23">
        <v>24</v>
      </c>
      <c r="C360" s="20">
        <v>13841</v>
      </c>
      <c r="D360" s="22" t="s">
        <v>992</v>
      </c>
      <c r="E360" s="22" t="s">
        <v>993</v>
      </c>
    </row>
    <row r="361" spans="2:5" x14ac:dyDescent="0.2">
      <c r="B361" s="21">
        <v>24</v>
      </c>
      <c r="C361" s="19">
        <v>13842</v>
      </c>
      <c r="D361" s="22" t="s">
        <v>994</v>
      </c>
      <c r="E361" s="22" t="s">
        <v>995</v>
      </c>
    </row>
    <row r="362" spans="2:5" x14ac:dyDescent="0.2">
      <c r="B362" s="23">
        <v>24</v>
      </c>
      <c r="C362" s="20">
        <v>13843</v>
      </c>
      <c r="D362" s="22" t="s">
        <v>996</v>
      </c>
      <c r="E362" s="22" t="s">
        <v>997</v>
      </c>
    </row>
    <row r="363" spans="2:5" x14ac:dyDescent="0.2">
      <c r="B363" s="21">
        <v>24</v>
      </c>
      <c r="C363" s="19">
        <v>13844</v>
      </c>
      <c r="D363" s="22" t="s">
        <v>998</v>
      </c>
      <c r="E363" s="22" t="s">
        <v>999</v>
      </c>
    </row>
    <row r="364" spans="2:5" x14ac:dyDescent="0.2">
      <c r="B364" s="23">
        <v>24</v>
      </c>
      <c r="C364" s="20">
        <v>13845</v>
      </c>
      <c r="D364" s="22" t="s">
        <v>1000</v>
      </c>
      <c r="E364" s="22" t="s">
        <v>1001</v>
      </c>
    </row>
    <row r="365" spans="2:5" x14ac:dyDescent="0.2">
      <c r="B365" s="21">
        <v>25</v>
      </c>
      <c r="C365" s="19">
        <v>13846</v>
      </c>
      <c r="D365" s="22" t="s">
        <v>1002</v>
      </c>
      <c r="E365" s="22" t="s">
        <v>1003</v>
      </c>
    </row>
    <row r="366" spans="2:5" x14ac:dyDescent="0.2">
      <c r="B366" s="23">
        <v>25</v>
      </c>
      <c r="C366" s="20">
        <v>13847</v>
      </c>
      <c r="D366" s="22" t="s">
        <v>1004</v>
      </c>
      <c r="E366" s="22" t="s">
        <v>1005</v>
      </c>
    </row>
    <row r="367" spans="2:5" x14ac:dyDescent="0.2">
      <c r="B367" s="21">
        <v>25</v>
      </c>
      <c r="C367" s="19">
        <v>13848</v>
      </c>
      <c r="D367" s="22" t="s">
        <v>1006</v>
      </c>
      <c r="E367" s="22" t="s">
        <v>1007</v>
      </c>
    </row>
    <row r="368" spans="2:5" x14ac:dyDescent="0.2">
      <c r="B368" s="23">
        <v>25</v>
      </c>
      <c r="C368" s="20">
        <v>13849</v>
      </c>
      <c r="D368" s="22" t="s">
        <v>1008</v>
      </c>
      <c r="E368" s="22" t="s">
        <v>1009</v>
      </c>
    </row>
    <row r="369" spans="2:5" x14ac:dyDescent="0.2">
      <c r="B369" s="21">
        <v>25</v>
      </c>
      <c r="C369" s="19">
        <v>13850</v>
      </c>
      <c r="D369" s="22" t="s">
        <v>1010</v>
      </c>
      <c r="E369" s="22" t="s">
        <v>1011</v>
      </c>
    </row>
    <row r="370" spans="2:5" x14ac:dyDescent="0.2">
      <c r="B370" s="23">
        <v>25</v>
      </c>
      <c r="C370" s="20">
        <v>13851</v>
      </c>
      <c r="D370" s="22" t="s">
        <v>1012</v>
      </c>
      <c r="E370" s="22" t="s">
        <v>1013</v>
      </c>
    </row>
    <row r="371" spans="2:5" x14ac:dyDescent="0.2">
      <c r="B371" s="21">
        <v>25</v>
      </c>
      <c r="C371" s="19">
        <v>13852</v>
      </c>
      <c r="D371" s="22" t="s">
        <v>1014</v>
      </c>
      <c r="E371" s="22" t="s">
        <v>1015</v>
      </c>
    </row>
    <row r="372" spans="2:5" x14ac:dyDescent="0.2">
      <c r="B372" s="23">
        <v>25</v>
      </c>
      <c r="C372" s="20">
        <v>13853</v>
      </c>
      <c r="D372" s="22" t="s">
        <v>1016</v>
      </c>
      <c r="E372" s="22" t="s">
        <v>1017</v>
      </c>
    </row>
    <row r="373" spans="2:5" x14ac:dyDescent="0.2">
      <c r="B373" s="21">
        <v>25</v>
      </c>
      <c r="C373" s="19">
        <v>13854</v>
      </c>
      <c r="D373" s="22" t="s">
        <v>1018</v>
      </c>
      <c r="E373" s="22" t="s">
        <v>1019</v>
      </c>
    </row>
    <row r="374" spans="2:5" x14ac:dyDescent="0.2">
      <c r="B374" s="23">
        <v>25</v>
      </c>
      <c r="C374" s="20">
        <v>13855</v>
      </c>
      <c r="D374" s="22" t="s">
        <v>1020</v>
      </c>
      <c r="E374" s="22" t="s">
        <v>1021</v>
      </c>
    </row>
    <row r="375" spans="2:5" x14ac:dyDescent="0.2">
      <c r="B375" s="21">
        <v>25</v>
      </c>
      <c r="C375" s="19">
        <v>13856</v>
      </c>
      <c r="D375" s="22" t="s">
        <v>1022</v>
      </c>
      <c r="E375" s="22" t="s">
        <v>1023</v>
      </c>
    </row>
    <row r="376" spans="2:5" x14ac:dyDescent="0.2">
      <c r="B376" s="23">
        <v>25</v>
      </c>
      <c r="C376" s="20">
        <v>13857</v>
      </c>
      <c r="D376" s="22" t="s">
        <v>1024</v>
      </c>
      <c r="E376" s="22" t="s">
        <v>1025</v>
      </c>
    </row>
    <row r="377" spans="2:5" x14ac:dyDescent="0.2">
      <c r="B377" s="21">
        <v>25</v>
      </c>
      <c r="C377" s="19">
        <v>13858</v>
      </c>
      <c r="D377" s="22" t="s">
        <v>1026</v>
      </c>
      <c r="E377" s="22" t="s">
        <v>1027</v>
      </c>
    </row>
    <row r="378" spans="2:5" x14ac:dyDescent="0.2">
      <c r="B378" s="23">
        <v>25</v>
      </c>
      <c r="C378" s="20">
        <v>13859</v>
      </c>
      <c r="D378" s="22" t="s">
        <v>1028</v>
      </c>
      <c r="E378" s="22" t="s">
        <v>1029</v>
      </c>
    </row>
    <row r="379" spans="2:5" x14ac:dyDescent="0.2">
      <c r="B379" s="21">
        <v>25</v>
      </c>
      <c r="C379" s="19">
        <v>13860</v>
      </c>
      <c r="D379" s="22" t="s">
        <v>1030</v>
      </c>
      <c r="E379" s="22" t="s">
        <v>1031</v>
      </c>
    </row>
    <row r="380" spans="2:5" x14ac:dyDescent="0.2">
      <c r="B380" s="23">
        <v>31</v>
      </c>
      <c r="C380" s="20">
        <v>13861</v>
      </c>
      <c r="D380" s="22" t="s">
        <v>1032</v>
      </c>
      <c r="E380" s="22" t="s">
        <v>1033</v>
      </c>
    </row>
    <row r="381" spans="2:5" x14ac:dyDescent="0.2">
      <c r="B381" s="21">
        <v>31</v>
      </c>
      <c r="C381" s="19">
        <v>13862</v>
      </c>
      <c r="D381" s="22" t="s">
        <v>1034</v>
      </c>
      <c r="E381" s="22" t="s">
        <v>1035</v>
      </c>
    </row>
    <row r="382" spans="2:5" x14ac:dyDescent="0.2">
      <c r="B382" s="23">
        <v>31</v>
      </c>
      <c r="C382" s="20">
        <v>13863</v>
      </c>
      <c r="D382" s="22" t="s">
        <v>1036</v>
      </c>
      <c r="E382" s="22" t="s">
        <v>1037</v>
      </c>
    </row>
    <row r="383" spans="2:5" x14ac:dyDescent="0.2">
      <c r="B383" s="21">
        <v>31</v>
      </c>
      <c r="C383" s="19">
        <v>13864</v>
      </c>
      <c r="D383" s="22" t="s">
        <v>1038</v>
      </c>
      <c r="E383" s="22" t="s">
        <v>1039</v>
      </c>
    </row>
    <row r="384" spans="2:5" x14ac:dyDescent="0.2">
      <c r="B384" s="23">
        <v>31</v>
      </c>
      <c r="C384" s="20">
        <v>13865</v>
      </c>
      <c r="D384" s="22" t="s">
        <v>1040</v>
      </c>
      <c r="E384" s="22" t="s">
        <v>1041</v>
      </c>
    </row>
    <row r="385" spans="2:5" x14ac:dyDescent="0.2">
      <c r="B385" s="21">
        <v>31</v>
      </c>
      <c r="C385" s="19">
        <v>13866</v>
      </c>
      <c r="D385" s="22" t="s">
        <v>1042</v>
      </c>
      <c r="E385" s="22" t="s">
        <v>1043</v>
      </c>
    </row>
    <row r="386" spans="2:5" x14ac:dyDescent="0.2">
      <c r="B386" s="23">
        <v>31</v>
      </c>
      <c r="C386" s="20">
        <v>13867</v>
      </c>
      <c r="D386" s="22" t="s">
        <v>1044</v>
      </c>
      <c r="E386" s="22" t="s">
        <v>1045</v>
      </c>
    </row>
    <row r="387" spans="2:5" x14ac:dyDescent="0.2">
      <c r="B387" s="21">
        <v>31</v>
      </c>
      <c r="C387" s="19">
        <v>13868</v>
      </c>
      <c r="D387" s="22" t="s">
        <v>1046</v>
      </c>
      <c r="E387" s="22" t="s">
        <v>1047</v>
      </c>
    </row>
    <row r="388" spans="2:5" x14ac:dyDescent="0.2">
      <c r="B388" s="23">
        <v>31</v>
      </c>
      <c r="C388" s="20">
        <v>13869</v>
      </c>
      <c r="D388" s="22" t="s">
        <v>1048</v>
      </c>
      <c r="E388" s="22" t="s">
        <v>1049</v>
      </c>
    </row>
    <row r="389" spans="2:5" x14ac:dyDescent="0.2">
      <c r="B389" s="21">
        <v>31</v>
      </c>
      <c r="C389" s="19">
        <v>13870</v>
      </c>
      <c r="D389" s="22" t="s">
        <v>1050</v>
      </c>
      <c r="E389" s="22" t="s">
        <v>1051</v>
      </c>
    </row>
    <row r="390" spans="2:5" x14ac:dyDescent="0.2">
      <c r="B390" s="23">
        <v>31</v>
      </c>
      <c r="C390" s="20">
        <v>13871</v>
      </c>
      <c r="D390" s="22" t="s">
        <v>1052</v>
      </c>
      <c r="E390" s="22" t="s">
        <v>1053</v>
      </c>
    </row>
    <row r="391" spans="2:5" x14ac:dyDescent="0.2">
      <c r="B391" s="21">
        <v>31</v>
      </c>
      <c r="C391" s="19">
        <v>13872</v>
      </c>
      <c r="D391" s="22" t="s">
        <v>1054</v>
      </c>
      <c r="E391" s="22" t="s">
        <v>1055</v>
      </c>
    </row>
    <row r="392" spans="2:5" x14ac:dyDescent="0.2">
      <c r="B392" s="23">
        <v>31</v>
      </c>
      <c r="C392" s="20">
        <v>13873</v>
      </c>
      <c r="D392" s="22" t="s">
        <v>1056</v>
      </c>
      <c r="E392" s="22" t="s">
        <v>1057</v>
      </c>
    </row>
    <row r="393" spans="2:5" x14ac:dyDescent="0.2">
      <c r="B393" s="21">
        <v>31</v>
      </c>
      <c r="C393" s="19">
        <v>13874</v>
      </c>
      <c r="D393" s="22" t="s">
        <v>1058</v>
      </c>
      <c r="E393" s="22" t="s">
        <v>1059</v>
      </c>
    </row>
    <row r="394" spans="2:5" x14ac:dyDescent="0.2">
      <c r="B394" s="23">
        <v>31</v>
      </c>
      <c r="C394" s="20">
        <v>13875</v>
      </c>
      <c r="D394" s="22" t="s">
        <v>1060</v>
      </c>
      <c r="E394" s="22" t="s">
        <v>1061</v>
      </c>
    </row>
    <row r="395" spans="2:5" x14ac:dyDescent="0.2">
      <c r="B395" s="21">
        <v>31</v>
      </c>
      <c r="C395" s="19">
        <v>13876</v>
      </c>
      <c r="D395" s="22" t="s">
        <v>1062</v>
      </c>
      <c r="E395" s="22" t="s">
        <v>1063</v>
      </c>
    </row>
    <row r="396" spans="2:5" x14ac:dyDescent="0.2">
      <c r="B396" s="23">
        <v>31</v>
      </c>
      <c r="C396" s="20">
        <v>13877</v>
      </c>
      <c r="D396" s="22" t="s">
        <v>1064</v>
      </c>
      <c r="E396" s="22" t="s">
        <v>1065</v>
      </c>
    </row>
    <row r="397" spans="2:5" x14ac:dyDescent="0.2">
      <c r="B397" s="21">
        <v>31</v>
      </c>
      <c r="C397" s="19">
        <v>13878</v>
      </c>
      <c r="D397" s="22" t="s">
        <v>1066</v>
      </c>
      <c r="E397" s="22" t="s">
        <v>1067</v>
      </c>
    </row>
    <row r="398" spans="2:5" x14ac:dyDescent="0.2">
      <c r="B398" s="23">
        <v>31</v>
      </c>
      <c r="C398" s="20">
        <v>13879</v>
      </c>
      <c r="D398" s="22" t="s">
        <v>1068</v>
      </c>
      <c r="E398" s="22" t="s">
        <v>1069</v>
      </c>
    </row>
    <row r="399" spans="2:5" x14ac:dyDescent="0.2">
      <c r="B399" s="21">
        <v>31</v>
      </c>
      <c r="C399" s="19">
        <v>13880</v>
      </c>
      <c r="D399" s="22" t="s">
        <v>1070</v>
      </c>
      <c r="E399" s="22" t="s">
        <v>1071</v>
      </c>
    </row>
    <row r="400" spans="2:5" x14ac:dyDescent="0.2">
      <c r="B400" s="23">
        <v>31</v>
      </c>
      <c r="C400" s="20">
        <v>13881</v>
      </c>
      <c r="D400" s="22" t="s">
        <v>1072</v>
      </c>
      <c r="E400" s="22" t="s">
        <v>1073</v>
      </c>
    </row>
    <row r="401" spans="2:5" x14ac:dyDescent="0.2">
      <c r="B401" s="21">
        <v>31</v>
      </c>
      <c r="C401" s="19">
        <v>13882</v>
      </c>
      <c r="D401" s="22" t="s">
        <v>1074</v>
      </c>
      <c r="E401" s="22" t="s">
        <v>1075</v>
      </c>
    </row>
    <row r="402" spans="2:5" x14ac:dyDescent="0.2">
      <c r="B402" s="23">
        <v>31</v>
      </c>
      <c r="C402" s="20">
        <v>13883</v>
      </c>
      <c r="D402" s="22" t="s">
        <v>1076</v>
      </c>
      <c r="E402" s="22" t="s">
        <v>1077</v>
      </c>
    </row>
    <row r="403" spans="2:5" x14ac:dyDescent="0.2">
      <c r="B403" s="21">
        <v>31</v>
      </c>
      <c r="C403" s="19">
        <v>13884</v>
      </c>
      <c r="D403" s="22" t="s">
        <v>1078</v>
      </c>
      <c r="E403" s="22" t="s">
        <v>1079</v>
      </c>
    </row>
    <row r="404" spans="2:5" x14ac:dyDescent="0.2">
      <c r="B404" s="23">
        <v>31</v>
      </c>
      <c r="C404" s="20">
        <v>13885</v>
      </c>
      <c r="D404" s="22" t="s">
        <v>1080</v>
      </c>
      <c r="E404" s="22" t="s">
        <v>1081</v>
      </c>
    </row>
    <row r="405" spans="2:5" x14ac:dyDescent="0.2">
      <c r="B405" s="21">
        <v>32</v>
      </c>
      <c r="C405" s="19">
        <v>13886</v>
      </c>
      <c r="D405" s="22" t="s">
        <v>1082</v>
      </c>
      <c r="E405" s="22" t="s">
        <v>1083</v>
      </c>
    </row>
    <row r="406" spans="2:5" x14ac:dyDescent="0.2">
      <c r="B406" s="23">
        <v>32</v>
      </c>
      <c r="C406" s="20">
        <v>13887</v>
      </c>
      <c r="D406" s="22" t="s">
        <v>1084</v>
      </c>
      <c r="E406" s="22" t="s">
        <v>1085</v>
      </c>
    </row>
    <row r="407" spans="2:5" x14ac:dyDescent="0.2">
      <c r="B407" s="21">
        <v>32</v>
      </c>
      <c r="C407" s="19">
        <v>13888</v>
      </c>
      <c r="D407" s="22" t="s">
        <v>1086</v>
      </c>
      <c r="E407" s="22" t="s">
        <v>1087</v>
      </c>
    </row>
    <row r="408" spans="2:5" x14ac:dyDescent="0.2">
      <c r="B408" s="23">
        <v>32</v>
      </c>
      <c r="C408" s="20">
        <v>13889</v>
      </c>
      <c r="D408" s="22" t="s">
        <v>1088</v>
      </c>
      <c r="E408" s="22" t="s">
        <v>1089</v>
      </c>
    </row>
    <row r="409" spans="2:5" x14ac:dyDescent="0.2">
      <c r="B409" s="21">
        <v>32</v>
      </c>
      <c r="C409" s="19">
        <v>13890</v>
      </c>
      <c r="D409" s="22" t="s">
        <v>1090</v>
      </c>
      <c r="E409" s="22" t="s">
        <v>1091</v>
      </c>
    </row>
    <row r="410" spans="2:5" x14ac:dyDescent="0.2">
      <c r="B410" s="23">
        <v>32</v>
      </c>
      <c r="C410" s="20">
        <v>13891</v>
      </c>
      <c r="D410" s="22" t="s">
        <v>1092</v>
      </c>
      <c r="E410" s="22" t="s">
        <v>1093</v>
      </c>
    </row>
    <row r="411" spans="2:5" x14ac:dyDescent="0.2">
      <c r="B411" s="21">
        <v>32</v>
      </c>
      <c r="C411" s="19">
        <v>13892</v>
      </c>
      <c r="D411" s="22" t="s">
        <v>1094</v>
      </c>
      <c r="E411" s="22" t="s">
        <v>1095</v>
      </c>
    </row>
    <row r="412" spans="2:5" x14ac:dyDescent="0.2">
      <c r="B412" s="23">
        <v>32</v>
      </c>
      <c r="C412" s="20">
        <v>13893</v>
      </c>
      <c r="D412" s="22" t="s">
        <v>1096</v>
      </c>
      <c r="E412" s="22" t="s">
        <v>1097</v>
      </c>
    </row>
    <row r="413" spans="2:5" x14ac:dyDescent="0.2">
      <c r="B413" s="21">
        <v>32</v>
      </c>
      <c r="C413" s="19">
        <v>13894</v>
      </c>
      <c r="D413" s="22" t="s">
        <v>1098</v>
      </c>
      <c r="E413" s="22" t="s">
        <v>1099</v>
      </c>
    </row>
    <row r="414" spans="2:5" x14ac:dyDescent="0.2">
      <c r="B414" s="23">
        <v>32</v>
      </c>
      <c r="C414" s="20">
        <v>13895</v>
      </c>
      <c r="D414" s="22" t="s">
        <v>1100</v>
      </c>
      <c r="E414" s="22" t="s">
        <v>1101</v>
      </c>
    </row>
    <row r="415" spans="2:5" x14ac:dyDescent="0.2">
      <c r="B415" s="21">
        <v>1</v>
      </c>
      <c r="C415" s="19">
        <v>13896</v>
      </c>
      <c r="D415" s="22" t="s">
        <v>1102</v>
      </c>
      <c r="E415" s="22" t="s">
        <v>1103</v>
      </c>
    </row>
    <row r="416" spans="2:5" x14ac:dyDescent="0.2">
      <c r="B416" s="23">
        <v>1</v>
      </c>
      <c r="C416" s="20">
        <v>13897</v>
      </c>
      <c r="D416" s="22" t="s">
        <v>1104</v>
      </c>
      <c r="E416" s="22" t="s">
        <v>1105</v>
      </c>
    </row>
    <row r="417" spans="2:5" x14ac:dyDescent="0.2">
      <c r="B417" s="21">
        <v>1</v>
      </c>
      <c r="C417" s="19">
        <v>13898</v>
      </c>
      <c r="D417" s="22" t="s">
        <v>1106</v>
      </c>
      <c r="E417" s="22" t="s">
        <v>1107</v>
      </c>
    </row>
    <row r="418" spans="2:5" x14ac:dyDescent="0.2">
      <c r="B418" s="23">
        <v>1</v>
      </c>
      <c r="C418" s="20">
        <v>13899</v>
      </c>
      <c r="D418" s="22" t="s">
        <v>359</v>
      </c>
      <c r="E418" s="22" t="s">
        <v>360</v>
      </c>
    </row>
    <row r="419" spans="2:5" x14ac:dyDescent="0.2">
      <c r="B419" s="21">
        <v>1</v>
      </c>
      <c r="C419" s="19">
        <v>13900</v>
      </c>
      <c r="D419" s="22" t="s">
        <v>1108</v>
      </c>
      <c r="E419" s="22" t="s">
        <v>1109</v>
      </c>
    </row>
    <row r="420" spans="2:5" x14ac:dyDescent="0.2">
      <c r="B420" s="23">
        <v>1</v>
      </c>
      <c r="C420" s="20">
        <v>13901</v>
      </c>
      <c r="D420" s="22" t="s">
        <v>1110</v>
      </c>
      <c r="E420" s="22" t="s">
        <v>1111</v>
      </c>
    </row>
    <row r="421" spans="2:5" x14ac:dyDescent="0.2">
      <c r="B421" s="21">
        <v>1</v>
      </c>
      <c r="C421" s="19">
        <v>13902</v>
      </c>
      <c r="D421" s="22" t="s">
        <v>547</v>
      </c>
      <c r="E421" s="22" t="s">
        <v>548</v>
      </c>
    </row>
    <row r="422" spans="2:5" x14ac:dyDescent="0.2">
      <c r="B422" s="23">
        <v>1</v>
      </c>
      <c r="C422" s="20">
        <v>13903</v>
      </c>
      <c r="D422" s="22" t="s">
        <v>1112</v>
      </c>
      <c r="E422" s="22" t="s">
        <v>1113</v>
      </c>
    </row>
    <row r="423" spans="2:5" x14ac:dyDescent="0.2">
      <c r="B423" s="21">
        <v>1</v>
      </c>
      <c r="C423" s="19">
        <v>13904</v>
      </c>
      <c r="D423" s="22" t="s">
        <v>1114</v>
      </c>
      <c r="E423" s="22" t="s">
        <v>1115</v>
      </c>
    </row>
    <row r="424" spans="2:5" x14ac:dyDescent="0.2">
      <c r="B424" s="23">
        <v>1</v>
      </c>
      <c r="C424" s="20">
        <v>13905</v>
      </c>
      <c r="D424" s="22" t="s">
        <v>1116</v>
      </c>
      <c r="E424" s="22" t="s">
        <v>1117</v>
      </c>
    </row>
    <row r="425" spans="2:5" x14ac:dyDescent="0.2">
      <c r="B425" s="21">
        <v>1</v>
      </c>
      <c r="C425" s="19">
        <v>13906</v>
      </c>
      <c r="D425" s="22" t="s">
        <v>1118</v>
      </c>
      <c r="E425" s="22" t="s">
        <v>1119</v>
      </c>
    </row>
    <row r="426" spans="2:5" x14ac:dyDescent="0.2">
      <c r="B426" s="23">
        <v>1</v>
      </c>
      <c r="C426" s="20">
        <v>13907</v>
      </c>
      <c r="D426" s="22" t="s">
        <v>1120</v>
      </c>
      <c r="E426" s="22" t="s">
        <v>1121</v>
      </c>
    </row>
    <row r="427" spans="2:5" x14ac:dyDescent="0.2">
      <c r="B427" s="21">
        <v>1</v>
      </c>
      <c r="C427" s="19">
        <v>13908</v>
      </c>
      <c r="D427" s="22" t="s">
        <v>1122</v>
      </c>
      <c r="E427" s="22" t="s">
        <v>1123</v>
      </c>
    </row>
    <row r="428" spans="2:5" x14ac:dyDescent="0.2">
      <c r="B428" s="23">
        <v>1</v>
      </c>
      <c r="C428" s="20">
        <v>13909</v>
      </c>
      <c r="D428" s="22" t="s">
        <v>1124</v>
      </c>
      <c r="E428" s="22" t="s">
        <v>1125</v>
      </c>
    </row>
    <row r="429" spans="2:5" x14ac:dyDescent="0.2">
      <c r="B429" s="21">
        <v>1</v>
      </c>
      <c r="C429" s="19">
        <v>13910</v>
      </c>
      <c r="D429" s="22" t="s">
        <v>1126</v>
      </c>
      <c r="E429" s="22" t="s">
        <v>1127</v>
      </c>
    </row>
    <row r="430" spans="2:5" x14ac:dyDescent="0.2">
      <c r="B430" s="23">
        <v>1</v>
      </c>
      <c r="C430" s="20">
        <v>13911</v>
      </c>
      <c r="D430" s="22" t="s">
        <v>1128</v>
      </c>
      <c r="E430" s="22" t="s">
        <v>1129</v>
      </c>
    </row>
    <row r="431" spans="2:5" x14ac:dyDescent="0.2">
      <c r="B431" s="21">
        <v>1</v>
      </c>
      <c r="C431" s="19">
        <v>13912</v>
      </c>
      <c r="D431" s="22" t="s">
        <v>1130</v>
      </c>
      <c r="E431" s="22" t="s">
        <v>1131</v>
      </c>
    </row>
    <row r="432" spans="2:5" x14ac:dyDescent="0.2">
      <c r="B432" s="23">
        <v>1</v>
      </c>
      <c r="C432" s="20">
        <v>13913</v>
      </c>
      <c r="D432" s="22" t="s">
        <v>1132</v>
      </c>
      <c r="E432" s="22" t="s">
        <v>1133</v>
      </c>
    </row>
    <row r="433" spans="2:5" x14ac:dyDescent="0.2">
      <c r="B433" s="21">
        <v>1</v>
      </c>
      <c r="C433" s="19">
        <v>13914</v>
      </c>
      <c r="D433" s="22" t="s">
        <v>1134</v>
      </c>
      <c r="E433" s="22" t="s">
        <v>1135</v>
      </c>
    </row>
    <row r="434" spans="2:5" x14ac:dyDescent="0.2">
      <c r="B434" s="23">
        <v>1</v>
      </c>
      <c r="C434" s="20">
        <v>13915</v>
      </c>
      <c r="D434" s="22" t="s">
        <v>1136</v>
      </c>
      <c r="E434" s="22" t="s">
        <v>1137</v>
      </c>
    </row>
    <row r="435" spans="2:5" x14ac:dyDescent="0.2">
      <c r="B435" s="21">
        <v>1</v>
      </c>
      <c r="C435" s="19">
        <v>13916</v>
      </c>
      <c r="D435" s="22" t="s">
        <v>1138</v>
      </c>
      <c r="E435" s="22" t="s">
        <v>486</v>
      </c>
    </row>
    <row r="436" spans="2:5" x14ac:dyDescent="0.2">
      <c r="B436" s="23">
        <v>1</v>
      </c>
      <c r="C436" s="20">
        <v>13917</v>
      </c>
      <c r="D436" s="22" t="s">
        <v>1139</v>
      </c>
      <c r="E436" s="22" t="s">
        <v>1140</v>
      </c>
    </row>
    <row r="437" spans="2:5" x14ac:dyDescent="0.2">
      <c r="B437" s="21">
        <v>1</v>
      </c>
      <c r="C437" s="19">
        <v>13918</v>
      </c>
      <c r="D437" s="22" t="s">
        <v>1141</v>
      </c>
      <c r="E437" s="22" t="s">
        <v>1142</v>
      </c>
    </row>
    <row r="438" spans="2:5" x14ac:dyDescent="0.2">
      <c r="B438" s="23">
        <v>1</v>
      </c>
      <c r="C438" s="20">
        <v>13919</v>
      </c>
      <c r="D438" s="22" t="s">
        <v>1143</v>
      </c>
      <c r="E438" s="22" t="s">
        <v>1144</v>
      </c>
    </row>
    <row r="439" spans="2:5" x14ac:dyDescent="0.2">
      <c r="B439" s="21">
        <v>1</v>
      </c>
      <c r="C439" s="19">
        <v>13920</v>
      </c>
      <c r="D439" s="22" t="s">
        <v>1145</v>
      </c>
      <c r="E439" s="22" t="s">
        <v>1146</v>
      </c>
    </row>
    <row r="440" spans="2:5" x14ac:dyDescent="0.2">
      <c r="B440" s="23">
        <v>2</v>
      </c>
      <c r="C440" s="20">
        <v>13921</v>
      </c>
      <c r="D440" s="22" t="s">
        <v>1147</v>
      </c>
      <c r="E440" s="22" t="s">
        <v>1148</v>
      </c>
    </row>
    <row r="441" spans="2:5" x14ac:dyDescent="0.2">
      <c r="B441" s="21">
        <v>2</v>
      </c>
      <c r="C441" s="19">
        <v>13922</v>
      </c>
      <c r="D441" s="22" t="s">
        <v>1149</v>
      </c>
      <c r="E441" s="22" t="s">
        <v>1150</v>
      </c>
    </row>
    <row r="442" spans="2:5" x14ac:dyDescent="0.2">
      <c r="B442" s="23">
        <v>2</v>
      </c>
      <c r="C442" s="20">
        <v>13923</v>
      </c>
      <c r="D442" s="22" t="s">
        <v>1151</v>
      </c>
      <c r="E442" s="22" t="s">
        <v>1152</v>
      </c>
    </row>
    <row r="443" spans="2:5" x14ac:dyDescent="0.2">
      <c r="B443" s="21">
        <v>2</v>
      </c>
      <c r="C443" s="19">
        <v>13924</v>
      </c>
      <c r="D443" s="22" t="s">
        <v>1153</v>
      </c>
      <c r="E443" s="22" t="s">
        <v>1154</v>
      </c>
    </row>
    <row r="444" spans="2:5" x14ac:dyDescent="0.2">
      <c r="B444" s="23">
        <v>2</v>
      </c>
      <c r="C444" s="20">
        <v>13925</v>
      </c>
      <c r="D444" s="22" t="s">
        <v>1155</v>
      </c>
      <c r="E444" s="22" t="s">
        <v>1156</v>
      </c>
    </row>
    <row r="445" spans="2:5" x14ac:dyDescent="0.2">
      <c r="B445" s="21">
        <v>2</v>
      </c>
      <c r="C445" s="19">
        <v>13926</v>
      </c>
      <c r="D445" s="22" t="s">
        <v>1157</v>
      </c>
      <c r="E445" s="22" t="s">
        <v>1158</v>
      </c>
    </row>
    <row r="446" spans="2:5" x14ac:dyDescent="0.2">
      <c r="B446" s="23">
        <v>2</v>
      </c>
      <c r="C446" s="20">
        <v>13927</v>
      </c>
      <c r="D446" s="22" t="s">
        <v>1159</v>
      </c>
      <c r="E446" s="22" t="s">
        <v>1160</v>
      </c>
    </row>
    <row r="447" spans="2:5" x14ac:dyDescent="0.2">
      <c r="B447" s="21">
        <v>2</v>
      </c>
      <c r="C447" s="19">
        <v>13928</v>
      </c>
      <c r="D447" s="22" t="s">
        <v>1161</v>
      </c>
      <c r="E447" s="22" t="s">
        <v>1162</v>
      </c>
    </row>
    <row r="448" spans="2:5" x14ac:dyDescent="0.2">
      <c r="B448" s="23">
        <v>2</v>
      </c>
      <c r="C448" s="20">
        <v>13929</v>
      </c>
      <c r="D448" s="22" t="s">
        <v>1163</v>
      </c>
      <c r="E448" s="22" t="s">
        <v>1164</v>
      </c>
    </row>
    <row r="449" spans="2:5" x14ac:dyDescent="0.2">
      <c r="B449" s="21">
        <v>2</v>
      </c>
      <c r="C449" s="19">
        <v>13930</v>
      </c>
      <c r="D449" s="22" t="s">
        <v>1165</v>
      </c>
      <c r="E449" s="22" t="s">
        <v>1166</v>
      </c>
    </row>
    <row r="450" spans="2:5" x14ac:dyDescent="0.2">
      <c r="B450" s="23">
        <v>2</v>
      </c>
      <c r="C450" s="20">
        <v>13931</v>
      </c>
      <c r="D450" s="22" t="s">
        <v>1167</v>
      </c>
      <c r="E450" s="22" t="s">
        <v>1168</v>
      </c>
    </row>
    <row r="451" spans="2:5" x14ac:dyDescent="0.2">
      <c r="B451" s="21">
        <v>2</v>
      </c>
      <c r="C451" s="19">
        <v>13932</v>
      </c>
      <c r="D451" s="22" t="s">
        <v>1169</v>
      </c>
      <c r="E451" s="22" t="s">
        <v>1170</v>
      </c>
    </row>
    <row r="452" spans="2:5" x14ac:dyDescent="0.2">
      <c r="B452" s="23">
        <v>2</v>
      </c>
      <c r="C452" s="20">
        <v>13933</v>
      </c>
      <c r="D452" s="22" t="s">
        <v>1171</v>
      </c>
      <c r="E452" s="22" t="s">
        <v>612</v>
      </c>
    </row>
    <row r="453" spans="2:5" x14ac:dyDescent="0.2">
      <c r="B453" s="21">
        <v>2</v>
      </c>
      <c r="C453" s="19">
        <v>13934</v>
      </c>
      <c r="D453" s="22" t="s">
        <v>1172</v>
      </c>
      <c r="E453" s="22" t="s">
        <v>1173</v>
      </c>
    </row>
    <row r="454" spans="2:5" x14ac:dyDescent="0.2">
      <c r="B454" s="23">
        <v>2</v>
      </c>
      <c r="C454" s="20">
        <v>13935</v>
      </c>
      <c r="D454" s="22" t="s">
        <v>1174</v>
      </c>
      <c r="E454" s="22" t="s">
        <v>1175</v>
      </c>
    </row>
    <row r="455" spans="2:5" x14ac:dyDescent="0.2">
      <c r="B455" s="21">
        <v>2</v>
      </c>
      <c r="C455" s="19">
        <v>13936</v>
      </c>
      <c r="D455" s="22" t="s">
        <v>1176</v>
      </c>
      <c r="E455" s="22" t="s">
        <v>1177</v>
      </c>
    </row>
    <row r="456" spans="2:5" x14ac:dyDescent="0.2">
      <c r="B456" s="23">
        <v>2</v>
      </c>
      <c r="C456" s="20">
        <v>13937</v>
      </c>
      <c r="D456" s="22" t="s">
        <v>1178</v>
      </c>
      <c r="E456" s="22" t="s">
        <v>1179</v>
      </c>
    </row>
    <row r="457" spans="2:5" x14ac:dyDescent="0.2">
      <c r="B457" s="21">
        <v>2</v>
      </c>
      <c r="C457" s="19">
        <v>13938</v>
      </c>
      <c r="D457" s="22" t="s">
        <v>1180</v>
      </c>
      <c r="E457" s="22" t="s">
        <v>1181</v>
      </c>
    </row>
    <row r="458" spans="2:5" x14ac:dyDescent="0.2">
      <c r="B458" s="23">
        <v>2</v>
      </c>
      <c r="C458" s="20">
        <v>13939</v>
      </c>
      <c r="D458" s="22" t="s">
        <v>1182</v>
      </c>
      <c r="E458" s="22" t="s">
        <v>1183</v>
      </c>
    </row>
    <row r="459" spans="2:5" x14ac:dyDescent="0.2">
      <c r="B459" s="21">
        <v>2</v>
      </c>
      <c r="C459" s="19">
        <v>13940</v>
      </c>
      <c r="D459" s="22" t="s">
        <v>1184</v>
      </c>
      <c r="E459" s="22" t="s">
        <v>1185</v>
      </c>
    </row>
    <row r="460" spans="2:5" x14ac:dyDescent="0.2">
      <c r="B460" s="23">
        <v>2</v>
      </c>
      <c r="C460" s="20">
        <v>13941</v>
      </c>
      <c r="D460" s="22" t="s">
        <v>1186</v>
      </c>
      <c r="E460" s="22" t="s">
        <v>1187</v>
      </c>
    </row>
    <row r="461" spans="2:5" x14ac:dyDescent="0.2">
      <c r="B461" s="21">
        <v>2</v>
      </c>
      <c r="C461" s="19">
        <v>13942</v>
      </c>
      <c r="D461" s="22" t="s">
        <v>419</v>
      </c>
      <c r="E461" s="22" t="s">
        <v>1188</v>
      </c>
    </row>
    <row r="462" spans="2:5" x14ac:dyDescent="0.2">
      <c r="B462" s="23">
        <v>2</v>
      </c>
      <c r="C462" s="20">
        <v>13943</v>
      </c>
      <c r="D462" s="22" t="s">
        <v>1189</v>
      </c>
      <c r="E462" s="22" t="s">
        <v>1190</v>
      </c>
    </row>
    <row r="463" spans="2:5" x14ac:dyDescent="0.2">
      <c r="B463" s="21">
        <v>2</v>
      </c>
      <c r="C463" s="19">
        <v>13944</v>
      </c>
      <c r="D463" s="22" t="s">
        <v>1191</v>
      </c>
      <c r="E463" s="22" t="s">
        <v>1192</v>
      </c>
    </row>
    <row r="464" spans="2:5" x14ac:dyDescent="0.2">
      <c r="B464" s="23">
        <v>2</v>
      </c>
      <c r="C464" s="20">
        <v>13945</v>
      </c>
      <c r="D464" s="22" t="s">
        <v>1193</v>
      </c>
      <c r="E464" s="22" t="s">
        <v>1194</v>
      </c>
    </row>
    <row r="465" spans="2:5" x14ac:dyDescent="0.2">
      <c r="B465" s="21">
        <v>3</v>
      </c>
      <c r="C465" s="19">
        <v>13946</v>
      </c>
      <c r="D465" s="22" t="s">
        <v>1195</v>
      </c>
      <c r="E465" s="22" t="s">
        <v>1196</v>
      </c>
    </row>
    <row r="466" spans="2:5" x14ac:dyDescent="0.2">
      <c r="B466" s="23">
        <v>3</v>
      </c>
      <c r="C466" s="20">
        <v>13947</v>
      </c>
      <c r="D466" s="22" t="s">
        <v>1197</v>
      </c>
      <c r="E466" s="22" t="s">
        <v>1198</v>
      </c>
    </row>
    <row r="467" spans="2:5" x14ac:dyDescent="0.2">
      <c r="B467" s="21">
        <v>3</v>
      </c>
      <c r="C467" s="19">
        <v>13948</v>
      </c>
      <c r="D467" s="22" t="s">
        <v>1199</v>
      </c>
      <c r="E467" s="22" t="s">
        <v>1200</v>
      </c>
    </row>
    <row r="468" spans="2:5" x14ac:dyDescent="0.2">
      <c r="B468" s="23">
        <v>3</v>
      </c>
      <c r="C468" s="20">
        <v>13949</v>
      </c>
      <c r="D468" s="22" t="s">
        <v>1201</v>
      </c>
      <c r="E468" s="22" t="s">
        <v>1202</v>
      </c>
    </row>
    <row r="469" spans="2:5" x14ac:dyDescent="0.2">
      <c r="B469" s="21">
        <v>3</v>
      </c>
      <c r="C469" s="19">
        <v>13950</v>
      </c>
      <c r="D469" s="22" t="s">
        <v>1203</v>
      </c>
      <c r="E469" s="22" t="s">
        <v>1204</v>
      </c>
    </row>
    <row r="470" spans="2:5" x14ac:dyDescent="0.2">
      <c r="B470" s="23">
        <v>3</v>
      </c>
      <c r="C470" s="20">
        <v>13951</v>
      </c>
      <c r="D470" s="22" t="s">
        <v>1205</v>
      </c>
      <c r="E470" s="22" t="s">
        <v>1206</v>
      </c>
    </row>
    <row r="471" spans="2:5" x14ac:dyDescent="0.2">
      <c r="B471" s="21">
        <v>3</v>
      </c>
      <c r="C471" s="19">
        <v>13952</v>
      </c>
      <c r="D471" s="22" t="s">
        <v>1207</v>
      </c>
      <c r="E471" s="22" t="s">
        <v>1208</v>
      </c>
    </row>
    <row r="472" spans="2:5" x14ac:dyDescent="0.2">
      <c r="B472" s="23">
        <v>3</v>
      </c>
      <c r="C472" s="20">
        <v>13953</v>
      </c>
      <c r="D472" s="22" t="s">
        <v>1209</v>
      </c>
      <c r="E472" s="22" t="s">
        <v>1210</v>
      </c>
    </row>
    <row r="473" spans="2:5" x14ac:dyDescent="0.2">
      <c r="B473" s="21">
        <v>3</v>
      </c>
      <c r="C473" s="19">
        <v>13954</v>
      </c>
      <c r="D473" s="22" t="s">
        <v>1211</v>
      </c>
      <c r="E473" s="22" t="s">
        <v>1212</v>
      </c>
    </row>
    <row r="474" spans="2:5" x14ac:dyDescent="0.2">
      <c r="B474" s="23">
        <v>3</v>
      </c>
      <c r="C474" s="20">
        <v>13955</v>
      </c>
      <c r="D474" s="22" t="s">
        <v>1213</v>
      </c>
      <c r="E474" s="22" t="s">
        <v>1214</v>
      </c>
    </row>
    <row r="475" spans="2:5" x14ac:dyDescent="0.2">
      <c r="B475" s="21">
        <v>3</v>
      </c>
      <c r="C475" s="19">
        <v>13956</v>
      </c>
      <c r="D475" s="22" t="s">
        <v>1215</v>
      </c>
      <c r="E475" s="22" t="s">
        <v>1216</v>
      </c>
    </row>
    <row r="476" spans="2:5" x14ac:dyDescent="0.2">
      <c r="B476" s="23">
        <v>3</v>
      </c>
      <c r="C476" s="20">
        <v>13957</v>
      </c>
      <c r="D476" s="22" t="s">
        <v>1217</v>
      </c>
      <c r="E476" s="22" t="s">
        <v>1218</v>
      </c>
    </row>
    <row r="477" spans="2:5" x14ac:dyDescent="0.2">
      <c r="B477" s="21">
        <v>3</v>
      </c>
      <c r="C477" s="19">
        <v>13958</v>
      </c>
      <c r="D477" s="22" t="s">
        <v>1219</v>
      </c>
      <c r="E477" s="22" t="s">
        <v>1220</v>
      </c>
    </row>
    <row r="478" spans="2:5" x14ac:dyDescent="0.2">
      <c r="B478" s="23">
        <v>3</v>
      </c>
      <c r="C478" s="20">
        <v>13959</v>
      </c>
      <c r="D478" s="22" t="s">
        <v>649</v>
      </c>
      <c r="E478" s="22" t="s">
        <v>1221</v>
      </c>
    </row>
    <row r="479" spans="2:5" x14ac:dyDescent="0.2">
      <c r="B479" s="21">
        <v>3</v>
      </c>
      <c r="C479" s="19">
        <v>13960</v>
      </c>
      <c r="D479" s="22" t="s">
        <v>1222</v>
      </c>
      <c r="E479" s="22" t="s">
        <v>1223</v>
      </c>
    </row>
    <row r="480" spans="2:5" x14ac:dyDescent="0.2">
      <c r="B480" s="23">
        <v>3</v>
      </c>
      <c r="C480" s="20">
        <v>13961</v>
      </c>
      <c r="D480" s="22" t="s">
        <v>1224</v>
      </c>
      <c r="E480" s="22" t="s">
        <v>1225</v>
      </c>
    </row>
    <row r="481" spans="2:5" x14ac:dyDescent="0.2">
      <c r="B481" s="21">
        <v>3</v>
      </c>
      <c r="C481" s="19">
        <v>13962</v>
      </c>
      <c r="D481" s="22" t="s">
        <v>1226</v>
      </c>
      <c r="E481" s="22" t="s">
        <v>1227</v>
      </c>
    </row>
    <row r="482" spans="2:5" x14ac:dyDescent="0.2">
      <c r="B482" s="23">
        <v>3</v>
      </c>
      <c r="C482" s="20">
        <v>13963</v>
      </c>
      <c r="D482" s="22" t="s">
        <v>1228</v>
      </c>
      <c r="E482" s="22" t="s">
        <v>1229</v>
      </c>
    </row>
    <row r="483" spans="2:5" x14ac:dyDescent="0.2">
      <c r="B483" s="21">
        <v>3</v>
      </c>
      <c r="C483" s="19">
        <v>13964</v>
      </c>
      <c r="D483" s="22" t="s">
        <v>1230</v>
      </c>
      <c r="E483" s="22" t="s">
        <v>1231</v>
      </c>
    </row>
    <row r="484" spans="2:5" x14ac:dyDescent="0.2">
      <c r="B484" s="23">
        <v>3</v>
      </c>
      <c r="C484" s="20">
        <v>13965</v>
      </c>
      <c r="D484" s="22" t="s">
        <v>1232</v>
      </c>
      <c r="E484" s="22" t="s">
        <v>1233</v>
      </c>
    </row>
    <row r="485" spans="2:5" x14ac:dyDescent="0.2">
      <c r="B485" s="21">
        <v>3</v>
      </c>
      <c r="C485" s="19">
        <v>13966</v>
      </c>
      <c r="D485" s="22" t="s">
        <v>1234</v>
      </c>
      <c r="E485" s="22" t="s">
        <v>1235</v>
      </c>
    </row>
    <row r="486" spans="2:5" x14ac:dyDescent="0.2">
      <c r="B486" s="23">
        <v>3</v>
      </c>
      <c r="C486" s="20">
        <v>13967</v>
      </c>
      <c r="D486" s="22" t="s">
        <v>1236</v>
      </c>
      <c r="E486" s="22" t="s">
        <v>1237</v>
      </c>
    </row>
    <row r="487" spans="2:5" x14ac:dyDescent="0.2">
      <c r="B487" s="21">
        <v>3</v>
      </c>
      <c r="C487" s="19">
        <v>13968</v>
      </c>
      <c r="D487" s="22" t="s">
        <v>1238</v>
      </c>
      <c r="E487" s="22" t="s">
        <v>1239</v>
      </c>
    </row>
    <row r="488" spans="2:5" x14ac:dyDescent="0.2">
      <c r="B488" s="23">
        <v>3</v>
      </c>
      <c r="C488" s="20">
        <v>13969</v>
      </c>
      <c r="D488" s="22" t="s">
        <v>1240</v>
      </c>
      <c r="E488" s="22" t="s">
        <v>1241</v>
      </c>
    </row>
    <row r="489" spans="2:5" x14ac:dyDescent="0.2">
      <c r="B489" s="21">
        <v>3</v>
      </c>
      <c r="C489" s="19">
        <v>13970</v>
      </c>
      <c r="D489" s="22" t="s">
        <v>1242</v>
      </c>
      <c r="E489" s="22" t="s">
        <v>1243</v>
      </c>
    </row>
    <row r="490" spans="2:5" x14ac:dyDescent="0.2">
      <c r="B490" s="23">
        <v>4</v>
      </c>
      <c r="C490" s="20">
        <v>13971</v>
      </c>
      <c r="D490" s="22" t="s">
        <v>1244</v>
      </c>
      <c r="E490" s="22" t="s">
        <v>1245</v>
      </c>
    </row>
    <row r="491" spans="2:5" x14ac:dyDescent="0.2">
      <c r="B491" s="21">
        <v>4</v>
      </c>
      <c r="C491" s="19">
        <v>13972</v>
      </c>
      <c r="D491" s="22" t="s">
        <v>1246</v>
      </c>
      <c r="E491" s="22" t="s">
        <v>1247</v>
      </c>
    </row>
    <row r="492" spans="2:5" x14ac:dyDescent="0.2">
      <c r="B492" s="23">
        <v>4</v>
      </c>
      <c r="C492" s="20">
        <v>13973</v>
      </c>
      <c r="D492" s="22" t="s">
        <v>1248</v>
      </c>
      <c r="E492" s="22" t="s">
        <v>1249</v>
      </c>
    </row>
    <row r="493" spans="2:5" x14ac:dyDescent="0.2">
      <c r="B493" s="21">
        <v>4</v>
      </c>
      <c r="C493" s="19">
        <v>13974</v>
      </c>
      <c r="D493" s="22" t="s">
        <v>1250</v>
      </c>
      <c r="E493" s="22" t="s">
        <v>1251</v>
      </c>
    </row>
    <row r="494" spans="2:5" x14ac:dyDescent="0.2">
      <c r="B494" s="23">
        <v>4</v>
      </c>
      <c r="C494" s="20">
        <v>13975</v>
      </c>
      <c r="D494" s="22" t="s">
        <v>1252</v>
      </c>
      <c r="E494" s="22" t="s">
        <v>1253</v>
      </c>
    </row>
    <row r="495" spans="2:5" x14ac:dyDescent="0.2">
      <c r="B495" s="21">
        <v>4</v>
      </c>
      <c r="C495" s="19">
        <v>13976</v>
      </c>
      <c r="D495" s="22" t="s">
        <v>1254</v>
      </c>
      <c r="E495" s="22" t="s">
        <v>1255</v>
      </c>
    </row>
    <row r="496" spans="2:5" x14ac:dyDescent="0.2">
      <c r="B496" s="23">
        <v>4</v>
      </c>
      <c r="C496" s="20">
        <v>13977</v>
      </c>
      <c r="D496" s="22" t="s">
        <v>1256</v>
      </c>
      <c r="E496" s="22" t="s">
        <v>1257</v>
      </c>
    </row>
    <row r="497" spans="2:5" x14ac:dyDescent="0.2">
      <c r="B497" s="21">
        <v>4</v>
      </c>
      <c r="C497" s="19">
        <v>13978</v>
      </c>
      <c r="D497" s="22" t="s">
        <v>1258</v>
      </c>
      <c r="E497" s="22" t="s">
        <v>1259</v>
      </c>
    </row>
    <row r="498" spans="2:5" x14ac:dyDescent="0.2">
      <c r="B498" s="23">
        <v>4</v>
      </c>
      <c r="C498" s="20">
        <v>13979</v>
      </c>
      <c r="D498" s="22" t="s">
        <v>1260</v>
      </c>
      <c r="E498" s="22" t="s">
        <v>1261</v>
      </c>
    </row>
    <row r="499" spans="2:5" x14ac:dyDescent="0.2">
      <c r="B499" s="21">
        <v>4</v>
      </c>
      <c r="C499" s="19">
        <v>13980</v>
      </c>
      <c r="D499" s="22" t="s">
        <v>1262</v>
      </c>
      <c r="E499" s="22" t="s">
        <v>1263</v>
      </c>
    </row>
    <row r="500" spans="2:5" x14ac:dyDescent="0.2">
      <c r="B500" s="23">
        <v>4</v>
      </c>
      <c r="C500" s="20">
        <v>13981</v>
      </c>
      <c r="D500" s="22" t="s">
        <v>1264</v>
      </c>
      <c r="E500" s="22" t="s">
        <v>1265</v>
      </c>
    </row>
    <row r="501" spans="2:5" x14ac:dyDescent="0.2">
      <c r="B501" s="21">
        <v>4</v>
      </c>
      <c r="C501" s="19">
        <v>13982</v>
      </c>
      <c r="D501" s="22" t="s">
        <v>1266</v>
      </c>
      <c r="E501" s="22" t="s">
        <v>1267</v>
      </c>
    </row>
    <row r="502" spans="2:5" x14ac:dyDescent="0.2">
      <c r="B502" s="23">
        <v>4</v>
      </c>
      <c r="C502" s="20">
        <v>13983</v>
      </c>
      <c r="D502" s="22" t="s">
        <v>1268</v>
      </c>
      <c r="E502" s="22" t="s">
        <v>1269</v>
      </c>
    </row>
    <row r="503" spans="2:5" x14ac:dyDescent="0.2">
      <c r="B503" s="21">
        <v>4</v>
      </c>
      <c r="C503" s="19">
        <v>13984</v>
      </c>
      <c r="D503" s="22" t="s">
        <v>1270</v>
      </c>
      <c r="E503" s="22" t="s">
        <v>1271</v>
      </c>
    </row>
    <row r="504" spans="2:5" x14ac:dyDescent="0.2">
      <c r="B504" s="23">
        <v>4</v>
      </c>
      <c r="C504" s="20">
        <v>13985</v>
      </c>
      <c r="D504" s="22" t="s">
        <v>1272</v>
      </c>
      <c r="E504" s="22" t="s">
        <v>1273</v>
      </c>
    </row>
    <row r="505" spans="2:5" x14ac:dyDescent="0.2">
      <c r="B505" s="21">
        <v>4</v>
      </c>
      <c r="C505" s="19">
        <v>13986</v>
      </c>
      <c r="D505" s="22" t="s">
        <v>1274</v>
      </c>
      <c r="E505" s="22" t="s">
        <v>1275</v>
      </c>
    </row>
    <row r="506" spans="2:5" x14ac:dyDescent="0.2">
      <c r="B506" s="23">
        <v>4</v>
      </c>
      <c r="C506" s="20">
        <v>13987</v>
      </c>
      <c r="D506" s="22" t="s">
        <v>1276</v>
      </c>
      <c r="E506" s="22" t="s">
        <v>1277</v>
      </c>
    </row>
    <row r="507" spans="2:5" x14ac:dyDescent="0.2">
      <c r="B507" s="21">
        <v>4</v>
      </c>
      <c r="C507" s="19">
        <v>13988</v>
      </c>
      <c r="D507" s="22" t="s">
        <v>1278</v>
      </c>
      <c r="E507" s="22" t="s">
        <v>1279</v>
      </c>
    </row>
    <row r="508" spans="2:5" x14ac:dyDescent="0.2">
      <c r="B508" s="23">
        <v>4</v>
      </c>
      <c r="C508" s="20">
        <v>13989</v>
      </c>
      <c r="D508" s="22" t="s">
        <v>1280</v>
      </c>
      <c r="E508" s="22" t="s">
        <v>1281</v>
      </c>
    </row>
    <row r="509" spans="2:5" x14ac:dyDescent="0.2">
      <c r="B509" s="21">
        <v>4</v>
      </c>
      <c r="C509" s="19">
        <v>13990</v>
      </c>
      <c r="D509" s="22" t="s">
        <v>1282</v>
      </c>
      <c r="E509" s="22" t="s">
        <v>1283</v>
      </c>
    </row>
    <row r="510" spans="2:5" x14ac:dyDescent="0.2">
      <c r="B510" s="23">
        <v>4</v>
      </c>
      <c r="C510" s="20">
        <v>13991</v>
      </c>
      <c r="D510" s="22" t="s">
        <v>1284</v>
      </c>
      <c r="E510" s="22" t="s">
        <v>1285</v>
      </c>
    </row>
    <row r="511" spans="2:5" x14ac:dyDescent="0.2">
      <c r="B511" s="21">
        <v>4</v>
      </c>
      <c r="C511" s="19">
        <v>13992</v>
      </c>
      <c r="D511" s="22" t="s">
        <v>1286</v>
      </c>
      <c r="E511" s="22" t="s">
        <v>1287</v>
      </c>
    </row>
    <row r="512" spans="2:5" x14ac:dyDescent="0.2">
      <c r="B512" s="23">
        <v>4</v>
      </c>
      <c r="C512" s="20">
        <v>13993</v>
      </c>
      <c r="D512" s="22" t="s">
        <v>1288</v>
      </c>
      <c r="E512" s="22" t="s">
        <v>1289</v>
      </c>
    </row>
    <row r="513" spans="2:5" x14ac:dyDescent="0.2">
      <c r="B513" s="21">
        <v>4</v>
      </c>
      <c r="C513" s="19">
        <v>13994</v>
      </c>
      <c r="D513" s="22" t="s">
        <v>1290</v>
      </c>
      <c r="E513" s="22" t="s">
        <v>1291</v>
      </c>
    </row>
    <row r="514" spans="2:5" x14ac:dyDescent="0.2">
      <c r="B514" s="23">
        <v>4</v>
      </c>
      <c r="C514" s="20">
        <v>13995</v>
      </c>
      <c r="D514" s="22" t="s">
        <v>1292</v>
      </c>
      <c r="E514" s="22" t="s">
        <v>1293</v>
      </c>
    </row>
    <row r="515" spans="2:5" x14ac:dyDescent="0.2">
      <c r="B515" s="21">
        <v>5</v>
      </c>
      <c r="C515" s="19">
        <v>13996</v>
      </c>
      <c r="D515" s="22" t="s">
        <v>1294</v>
      </c>
      <c r="E515" s="22" t="s">
        <v>1295</v>
      </c>
    </row>
    <row r="516" spans="2:5" x14ac:dyDescent="0.2">
      <c r="B516" s="23">
        <v>5</v>
      </c>
      <c r="C516" s="20">
        <v>13997</v>
      </c>
      <c r="D516" s="22" t="s">
        <v>1296</v>
      </c>
      <c r="E516" s="22" t="s">
        <v>1297</v>
      </c>
    </row>
    <row r="517" spans="2:5" x14ac:dyDescent="0.2">
      <c r="B517" s="21">
        <v>5</v>
      </c>
      <c r="C517" s="19">
        <v>13998</v>
      </c>
      <c r="D517" s="22" t="s">
        <v>1298</v>
      </c>
      <c r="E517" s="22" t="s">
        <v>1299</v>
      </c>
    </row>
    <row r="518" spans="2:5" x14ac:dyDescent="0.2">
      <c r="B518" s="23">
        <v>5</v>
      </c>
      <c r="C518" s="20">
        <v>13999</v>
      </c>
      <c r="D518" s="22" t="s">
        <v>1300</v>
      </c>
      <c r="E518" s="22" t="s">
        <v>1301</v>
      </c>
    </row>
    <row r="519" spans="2:5" x14ac:dyDescent="0.2">
      <c r="B519" s="21">
        <v>5</v>
      </c>
      <c r="C519" s="19">
        <v>14000</v>
      </c>
      <c r="D519" s="22" t="s">
        <v>1302</v>
      </c>
      <c r="E519" s="22" t="s">
        <v>1303</v>
      </c>
    </row>
    <row r="520" spans="2:5" x14ac:dyDescent="0.2">
      <c r="B520" s="23">
        <v>5</v>
      </c>
      <c r="C520" s="20">
        <v>14001</v>
      </c>
      <c r="D520" s="22" t="s">
        <v>1304</v>
      </c>
      <c r="E520" s="22" t="s">
        <v>1305</v>
      </c>
    </row>
    <row r="521" spans="2:5" x14ac:dyDescent="0.2">
      <c r="B521" s="21">
        <v>5</v>
      </c>
      <c r="C521" s="19">
        <v>14002</v>
      </c>
      <c r="D521" s="22" t="s">
        <v>1306</v>
      </c>
      <c r="E521" s="22" t="s">
        <v>1307</v>
      </c>
    </row>
    <row r="522" spans="2:5" x14ac:dyDescent="0.2">
      <c r="B522" s="23">
        <v>5</v>
      </c>
      <c r="C522" s="20">
        <v>14003</v>
      </c>
      <c r="D522" s="22" t="s">
        <v>1308</v>
      </c>
      <c r="E522" s="22" t="s">
        <v>1309</v>
      </c>
    </row>
    <row r="523" spans="2:5" x14ac:dyDescent="0.2">
      <c r="B523" s="21">
        <v>5</v>
      </c>
      <c r="C523" s="19">
        <v>14004</v>
      </c>
      <c r="D523" s="22" t="s">
        <v>1310</v>
      </c>
      <c r="E523" s="22" t="s">
        <v>1311</v>
      </c>
    </row>
    <row r="524" spans="2:5" x14ac:dyDescent="0.2">
      <c r="B524" s="23">
        <v>5</v>
      </c>
      <c r="C524" s="20">
        <v>14005</v>
      </c>
      <c r="D524" s="22" t="s">
        <v>1312</v>
      </c>
      <c r="E524" s="22" t="s">
        <v>1313</v>
      </c>
    </row>
    <row r="525" spans="2:5" x14ac:dyDescent="0.2">
      <c r="B525" s="21">
        <v>5</v>
      </c>
      <c r="C525" s="19">
        <v>14006</v>
      </c>
      <c r="D525" s="22" t="s">
        <v>1314</v>
      </c>
      <c r="E525" s="22" t="s">
        <v>1315</v>
      </c>
    </row>
    <row r="526" spans="2:5" x14ac:dyDescent="0.2">
      <c r="B526" s="23">
        <v>5</v>
      </c>
      <c r="C526" s="20">
        <v>14007</v>
      </c>
      <c r="D526" s="22" t="s">
        <v>1316</v>
      </c>
      <c r="E526" s="22" t="s">
        <v>1317</v>
      </c>
    </row>
    <row r="527" spans="2:5" x14ac:dyDescent="0.2">
      <c r="B527" s="21">
        <v>5</v>
      </c>
      <c r="C527" s="19">
        <v>14008</v>
      </c>
      <c r="D527" s="22" t="s">
        <v>1318</v>
      </c>
      <c r="E527" s="22" t="s">
        <v>1319</v>
      </c>
    </row>
    <row r="528" spans="2:5" x14ac:dyDescent="0.2">
      <c r="B528" s="23">
        <v>5</v>
      </c>
      <c r="C528" s="20">
        <v>14009</v>
      </c>
      <c r="D528" s="22" t="s">
        <v>1320</v>
      </c>
      <c r="E528" s="22" t="s">
        <v>1321</v>
      </c>
    </row>
    <row r="529" spans="2:5" x14ac:dyDescent="0.2">
      <c r="B529" s="21">
        <v>5</v>
      </c>
      <c r="C529" s="19">
        <v>14010</v>
      </c>
      <c r="D529" s="22" t="s">
        <v>1322</v>
      </c>
      <c r="E529" s="22" t="s">
        <v>1323</v>
      </c>
    </row>
    <row r="530" spans="2:5" x14ac:dyDescent="0.2">
      <c r="B530" s="23">
        <v>5</v>
      </c>
      <c r="C530" s="20">
        <v>14011</v>
      </c>
      <c r="D530" s="22" t="s">
        <v>1324</v>
      </c>
      <c r="E530" s="22" t="s">
        <v>1325</v>
      </c>
    </row>
    <row r="531" spans="2:5" x14ac:dyDescent="0.2">
      <c r="B531" s="21">
        <v>5</v>
      </c>
      <c r="C531" s="19">
        <v>14012</v>
      </c>
      <c r="D531" s="22" t="s">
        <v>1326</v>
      </c>
      <c r="E531" s="22" t="s">
        <v>1327</v>
      </c>
    </row>
    <row r="532" spans="2:5" x14ac:dyDescent="0.2">
      <c r="B532" s="23">
        <v>5</v>
      </c>
      <c r="C532" s="20">
        <v>14013</v>
      </c>
      <c r="D532" s="22" t="s">
        <v>1328</v>
      </c>
      <c r="E532" s="22" t="s">
        <v>1329</v>
      </c>
    </row>
    <row r="533" spans="2:5" x14ac:dyDescent="0.2">
      <c r="B533" s="21">
        <v>5</v>
      </c>
      <c r="C533" s="19">
        <v>14014</v>
      </c>
      <c r="D533" s="22" t="s">
        <v>1143</v>
      </c>
      <c r="E533" s="22" t="s">
        <v>1330</v>
      </c>
    </row>
    <row r="534" spans="2:5" x14ac:dyDescent="0.2">
      <c r="B534" s="23">
        <v>5</v>
      </c>
      <c r="C534" s="20">
        <v>14015</v>
      </c>
      <c r="D534" s="22" t="s">
        <v>1331</v>
      </c>
      <c r="E534" s="22" t="s">
        <v>1332</v>
      </c>
    </row>
    <row r="535" spans="2:5" x14ac:dyDescent="0.2">
      <c r="B535" s="21">
        <v>5</v>
      </c>
      <c r="C535" s="19">
        <v>14016</v>
      </c>
      <c r="D535" s="22" t="s">
        <v>1333</v>
      </c>
      <c r="E535" s="22" t="s">
        <v>1334</v>
      </c>
    </row>
    <row r="536" spans="2:5" x14ac:dyDescent="0.2">
      <c r="B536" s="23">
        <v>5</v>
      </c>
      <c r="C536" s="20">
        <v>14017</v>
      </c>
      <c r="D536" s="22" t="s">
        <v>1335</v>
      </c>
      <c r="E536" s="22" t="s">
        <v>1336</v>
      </c>
    </row>
    <row r="537" spans="2:5" x14ac:dyDescent="0.2">
      <c r="B537" s="21">
        <v>5</v>
      </c>
      <c r="C537" s="19">
        <v>14018</v>
      </c>
      <c r="D537" s="22" t="s">
        <v>1337</v>
      </c>
      <c r="E537" s="22" t="s">
        <v>1338</v>
      </c>
    </row>
    <row r="538" spans="2:5" x14ac:dyDescent="0.2">
      <c r="B538" s="23">
        <v>5</v>
      </c>
      <c r="C538" s="20">
        <v>14019</v>
      </c>
      <c r="D538" s="22" t="s">
        <v>1339</v>
      </c>
      <c r="E538" s="22" t="s">
        <v>1340</v>
      </c>
    </row>
    <row r="539" spans="2:5" x14ac:dyDescent="0.2">
      <c r="B539" s="21">
        <v>5</v>
      </c>
      <c r="C539" s="19">
        <v>14020</v>
      </c>
      <c r="D539" s="22" t="s">
        <v>1341</v>
      </c>
      <c r="E539" s="22" t="s">
        <v>1342</v>
      </c>
    </row>
    <row r="540" spans="2:5" x14ac:dyDescent="0.2">
      <c r="B540" s="23">
        <v>6</v>
      </c>
      <c r="C540" s="20">
        <v>14021</v>
      </c>
      <c r="D540" s="22" t="s">
        <v>1343</v>
      </c>
      <c r="E540" s="22" t="s">
        <v>1344</v>
      </c>
    </row>
    <row r="541" spans="2:5" x14ac:dyDescent="0.2">
      <c r="B541" s="21">
        <v>6</v>
      </c>
      <c r="C541" s="19">
        <v>14022</v>
      </c>
      <c r="D541" s="22" t="s">
        <v>1345</v>
      </c>
      <c r="E541" s="22" t="s">
        <v>1346</v>
      </c>
    </row>
    <row r="542" spans="2:5" x14ac:dyDescent="0.2">
      <c r="B542" s="23">
        <v>6</v>
      </c>
      <c r="C542" s="20">
        <v>14023</v>
      </c>
      <c r="D542" s="22" t="s">
        <v>1347</v>
      </c>
      <c r="E542" s="22" t="s">
        <v>1348</v>
      </c>
    </row>
    <row r="543" spans="2:5" x14ac:dyDescent="0.2">
      <c r="B543" s="21">
        <v>6</v>
      </c>
      <c r="C543" s="19">
        <v>14024</v>
      </c>
      <c r="D543" s="22" t="s">
        <v>1349</v>
      </c>
      <c r="E543" s="22" t="s">
        <v>1154</v>
      </c>
    </row>
    <row r="544" spans="2:5" x14ac:dyDescent="0.2">
      <c r="B544" s="23">
        <v>6</v>
      </c>
      <c r="C544" s="20">
        <v>14025</v>
      </c>
      <c r="D544" s="22" t="s">
        <v>1350</v>
      </c>
      <c r="E544" s="22" t="s">
        <v>1351</v>
      </c>
    </row>
    <row r="545" spans="2:5" x14ac:dyDescent="0.2">
      <c r="B545" s="21">
        <v>6</v>
      </c>
      <c r="C545" s="19">
        <v>14026</v>
      </c>
      <c r="D545" s="22" t="s">
        <v>1352</v>
      </c>
      <c r="E545" s="22" t="s">
        <v>1353</v>
      </c>
    </row>
    <row r="546" spans="2:5" x14ac:dyDescent="0.2">
      <c r="B546" s="23">
        <v>6</v>
      </c>
      <c r="C546" s="20">
        <v>14027</v>
      </c>
      <c r="D546" s="22" t="s">
        <v>1354</v>
      </c>
      <c r="E546" s="22" t="s">
        <v>1355</v>
      </c>
    </row>
    <row r="547" spans="2:5" x14ac:dyDescent="0.2">
      <c r="B547" s="21">
        <v>6</v>
      </c>
      <c r="C547" s="19">
        <v>14028</v>
      </c>
      <c r="D547" s="22" t="s">
        <v>1356</v>
      </c>
      <c r="E547" s="22" t="s">
        <v>1357</v>
      </c>
    </row>
    <row r="548" spans="2:5" x14ac:dyDescent="0.2">
      <c r="B548" s="23">
        <v>6</v>
      </c>
      <c r="C548" s="20">
        <v>14029</v>
      </c>
      <c r="D548" s="22" t="s">
        <v>1358</v>
      </c>
      <c r="E548" s="22" t="s">
        <v>1359</v>
      </c>
    </row>
    <row r="549" spans="2:5" x14ac:dyDescent="0.2">
      <c r="B549" s="21">
        <v>6</v>
      </c>
      <c r="C549" s="19">
        <v>14030</v>
      </c>
      <c r="D549" s="22" t="s">
        <v>1360</v>
      </c>
      <c r="E549" s="22" t="s">
        <v>1361</v>
      </c>
    </row>
    <row r="550" spans="2:5" x14ac:dyDescent="0.2">
      <c r="B550" s="23">
        <v>6</v>
      </c>
      <c r="C550" s="20">
        <v>14031</v>
      </c>
      <c r="D550" s="22" t="s">
        <v>1362</v>
      </c>
      <c r="E550" s="22" t="s">
        <v>1363</v>
      </c>
    </row>
    <row r="551" spans="2:5" x14ac:dyDescent="0.2">
      <c r="B551" s="21">
        <v>6</v>
      </c>
      <c r="C551" s="19">
        <v>14032</v>
      </c>
      <c r="D551" s="22" t="s">
        <v>1364</v>
      </c>
      <c r="E551" s="22" t="s">
        <v>1365</v>
      </c>
    </row>
    <row r="552" spans="2:5" x14ac:dyDescent="0.2">
      <c r="B552" s="23">
        <v>6</v>
      </c>
      <c r="C552" s="20">
        <v>14033</v>
      </c>
      <c r="D552" s="22" t="s">
        <v>1366</v>
      </c>
      <c r="E552" s="22" t="s">
        <v>1367</v>
      </c>
    </row>
    <row r="553" spans="2:5" x14ac:dyDescent="0.2">
      <c r="B553" s="21">
        <v>6</v>
      </c>
      <c r="C553" s="19">
        <v>14034</v>
      </c>
      <c r="D553" s="22" t="s">
        <v>1368</v>
      </c>
      <c r="E553" s="22" t="s">
        <v>1369</v>
      </c>
    </row>
    <row r="554" spans="2:5" x14ac:dyDescent="0.2">
      <c r="B554" s="23">
        <v>6</v>
      </c>
      <c r="C554" s="20">
        <v>14035</v>
      </c>
      <c r="D554" s="22" t="s">
        <v>1172</v>
      </c>
      <c r="E554" s="22" t="s">
        <v>1370</v>
      </c>
    </row>
    <row r="555" spans="2:5" x14ac:dyDescent="0.2">
      <c r="B555" s="21">
        <v>6</v>
      </c>
      <c r="C555" s="19">
        <v>14036</v>
      </c>
      <c r="D555" s="22" t="s">
        <v>1371</v>
      </c>
      <c r="E555" s="22" t="s">
        <v>1372</v>
      </c>
    </row>
    <row r="556" spans="2:5" x14ac:dyDescent="0.2">
      <c r="B556" s="23">
        <v>6</v>
      </c>
      <c r="C556" s="20">
        <v>14037</v>
      </c>
      <c r="D556" s="22" t="s">
        <v>1373</v>
      </c>
      <c r="E556" s="22" t="s">
        <v>1374</v>
      </c>
    </row>
    <row r="557" spans="2:5" x14ac:dyDescent="0.2">
      <c r="B557" s="21">
        <v>6</v>
      </c>
      <c r="C557" s="19">
        <v>14038</v>
      </c>
      <c r="D557" s="22" t="s">
        <v>1375</v>
      </c>
      <c r="E557" s="22" t="s">
        <v>1376</v>
      </c>
    </row>
    <row r="558" spans="2:5" x14ac:dyDescent="0.2">
      <c r="B558" s="23">
        <v>6</v>
      </c>
      <c r="C558" s="20">
        <v>14039</v>
      </c>
      <c r="D558" s="22" t="s">
        <v>1377</v>
      </c>
      <c r="E558" s="22" t="s">
        <v>1378</v>
      </c>
    </row>
    <row r="559" spans="2:5" x14ac:dyDescent="0.2">
      <c r="B559" s="21">
        <v>6</v>
      </c>
      <c r="C559" s="19">
        <v>14040</v>
      </c>
      <c r="D559" s="22" t="s">
        <v>1379</v>
      </c>
      <c r="E559" s="22" t="s">
        <v>1380</v>
      </c>
    </row>
    <row r="560" spans="2:5" x14ac:dyDescent="0.2">
      <c r="B560" s="23">
        <v>6</v>
      </c>
      <c r="C560" s="20">
        <v>14041</v>
      </c>
      <c r="D560" s="22" t="s">
        <v>1381</v>
      </c>
      <c r="E560" s="22" t="s">
        <v>1179</v>
      </c>
    </row>
    <row r="561" spans="2:5" x14ac:dyDescent="0.2">
      <c r="B561" s="21">
        <v>6</v>
      </c>
      <c r="C561" s="19">
        <v>14042</v>
      </c>
      <c r="D561" s="22" t="s">
        <v>1382</v>
      </c>
      <c r="E561" s="22" t="s">
        <v>1383</v>
      </c>
    </row>
    <row r="562" spans="2:5" x14ac:dyDescent="0.2">
      <c r="B562" s="23">
        <v>6</v>
      </c>
      <c r="C562" s="20">
        <v>14043</v>
      </c>
      <c r="D562" s="22" t="s">
        <v>1384</v>
      </c>
      <c r="E562" s="22" t="s">
        <v>1385</v>
      </c>
    </row>
    <row r="563" spans="2:5" x14ac:dyDescent="0.2">
      <c r="B563" s="21">
        <v>6</v>
      </c>
      <c r="C563" s="19">
        <v>14044</v>
      </c>
      <c r="D563" s="22" t="s">
        <v>1386</v>
      </c>
      <c r="E563" s="22" t="s">
        <v>1387</v>
      </c>
    </row>
    <row r="564" spans="2:5" x14ac:dyDescent="0.2">
      <c r="B564" s="23">
        <v>6</v>
      </c>
      <c r="C564" s="20">
        <v>14045</v>
      </c>
      <c r="D564" s="22" t="s">
        <v>1388</v>
      </c>
      <c r="E564" s="22" t="s">
        <v>1389</v>
      </c>
    </row>
    <row r="565" spans="2:5" x14ac:dyDescent="0.2">
      <c r="B565" s="21">
        <v>7</v>
      </c>
      <c r="C565" s="19">
        <v>14046</v>
      </c>
      <c r="D565" s="22" t="s">
        <v>1390</v>
      </c>
      <c r="E565" s="22" t="s">
        <v>1391</v>
      </c>
    </row>
    <row r="566" spans="2:5" x14ac:dyDescent="0.2">
      <c r="B566" s="23">
        <v>7</v>
      </c>
      <c r="C566" s="20">
        <v>14047</v>
      </c>
      <c r="D566" s="22" t="s">
        <v>1392</v>
      </c>
      <c r="E566" s="22" t="s">
        <v>1393</v>
      </c>
    </row>
    <row r="567" spans="2:5" x14ac:dyDescent="0.2">
      <c r="B567" s="21">
        <v>7</v>
      </c>
      <c r="C567" s="19">
        <v>14048</v>
      </c>
      <c r="D567" s="22" t="s">
        <v>1394</v>
      </c>
      <c r="E567" s="22" t="s">
        <v>1395</v>
      </c>
    </row>
    <row r="568" spans="2:5" x14ac:dyDescent="0.2">
      <c r="B568" s="23">
        <v>7</v>
      </c>
      <c r="C568" s="20">
        <v>14049</v>
      </c>
      <c r="D568" s="22" t="s">
        <v>1201</v>
      </c>
      <c r="E568" s="22" t="s">
        <v>1396</v>
      </c>
    </row>
    <row r="569" spans="2:5" x14ac:dyDescent="0.2">
      <c r="B569" s="21">
        <v>7</v>
      </c>
      <c r="C569" s="19">
        <v>14050</v>
      </c>
      <c r="D569" s="22" t="s">
        <v>1397</v>
      </c>
      <c r="E569" s="22" t="s">
        <v>1398</v>
      </c>
    </row>
    <row r="570" spans="2:5" x14ac:dyDescent="0.2">
      <c r="B570" s="23">
        <v>7</v>
      </c>
      <c r="C570" s="20">
        <v>14051</v>
      </c>
      <c r="D570" s="22" t="s">
        <v>1399</v>
      </c>
      <c r="E570" s="22" t="s">
        <v>438</v>
      </c>
    </row>
    <row r="571" spans="2:5" x14ac:dyDescent="0.2">
      <c r="B571" s="21">
        <v>7</v>
      </c>
      <c r="C571" s="19">
        <v>14052</v>
      </c>
      <c r="D571" s="22" t="s">
        <v>1400</v>
      </c>
      <c r="E571" s="22" t="s">
        <v>1401</v>
      </c>
    </row>
    <row r="572" spans="2:5" x14ac:dyDescent="0.2">
      <c r="B572" s="23">
        <v>7</v>
      </c>
      <c r="C572" s="20">
        <v>14053</v>
      </c>
      <c r="D572" s="22" t="s">
        <v>1402</v>
      </c>
      <c r="E572" s="22" t="s">
        <v>1403</v>
      </c>
    </row>
    <row r="573" spans="2:5" x14ac:dyDescent="0.2">
      <c r="B573" s="21">
        <v>7</v>
      </c>
      <c r="C573" s="19">
        <v>14054</v>
      </c>
      <c r="D573" s="22" t="s">
        <v>1404</v>
      </c>
      <c r="E573" s="22" t="s">
        <v>1405</v>
      </c>
    </row>
    <row r="574" spans="2:5" x14ac:dyDescent="0.2">
      <c r="B574" s="23">
        <v>7</v>
      </c>
      <c r="C574" s="20">
        <v>14055</v>
      </c>
      <c r="D574" s="22" t="s">
        <v>1213</v>
      </c>
      <c r="E574" s="22" t="s">
        <v>1406</v>
      </c>
    </row>
    <row r="575" spans="2:5" x14ac:dyDescent="0.2">
      <c r="B575" s="21">
        <v>7</v>
      </c>
      <c r="C575" s="19">
        <v>14056</v>
      </c>
      <c r="D575" s="22" t="s">
        <v>1407</v>
      </c>
      <c r="E575" s="22" t="s">
        <v>1408</v>
      </c>
    </row>
    <row r="576" spans="2:5" x14ac:dyDescent="0.2">
      <c r="B576" s="23">
        <v>7</v>
      </c>
      <c r="C576" s="20">
        <v>14057</v>
      </c>
      <c r="D576" s="22" t="s">
        <v>1409</v>
      </c>
      <c r="E576" s="22" t="s">
        <v>1410</v>
      </c>
    </row>
    <row r="577" spans="2:5" x14ac:dyDescent="0.2">
      <c r="B577" s="21">
        <v>7</v>
      </c>
      <c r="C577" s="19">
        <v>14058</v>
      </c>
      <c r="D577" s="22" t="s">
        <v>1411</v>
      </c>
      <c r="E577" s="22" t="s">
        <v>1412</v>
      </c>
    </row>
    <row r="578" spans="2:5" x14ac:dyDescent="0.2">
      <c r="B578" s="23">
        <v>7</v>
      </c>
      <c r="C578" s="20">
        <v>14059</v>
      </c>
      <c r="D578" s="22" t="s">
        <v>1413</v>
      </c>
      <c r="E578" s="22" t="s">
        <v>1414</v>
      </c>
    </row>
    <row r="579" spans="2:5" x14ac:dyDescent="0.2">
      <c r="B579" s="21">
        <v>7</v>
      </c>
      <c r="C579" s="19">
        <v>14060</v>
      </c>
      <c r="D579" s="22" t="s">
        <v>1415</v>
      </c>
      <c r="E579" s="22" t="s">
        <v>1416</v>
      </c>
    </row>
    <row r="580" spans="2:5" x14ac:dyDescent="0.2">
      <c r="B580" s="23">
        <v>7</v>
      </c>
      <c r="C580" s="20">
        <v>14061</v>
      </c>
      <c r="D580" s="22" t="s">
        <v>1417</v>
      </c>
      <c r="E580" s="22" t="s">
        <v>1418</v>
      </c>
    </row>
    <row r="581" spans="2:5" x14ac:dyDescent="0.2">
      <c r="B581" s="21">
        <v>7</v>
      </c>
      <c r="C581" s="19">
        <v>14062</v>
      </c>
      <c r="D581" s="22" t="s">
        <v>1419</v>
      </c>
      <c r="E581" s="22" t="s">
        <v>1420</v>
      </c>
    </row>
    <row r="582" spans="2:5" x14ac:dyDescent="0.2">
      <c r="B582" s="23">
        <v>7</v>
      </c>
      <c r="C582" s="20">
        <v>14063</v>
      </c>
      <c r="D582" s="22" t="s">
        <v>1421</v>
      </c>
      <c r="E582" s="22" t="s">
        <v>1422</v>
      </c>
    </row>
    <row r="583" spans="2:5" x14ac:dyDescent="0.2">
      <c r="B583" s="21">
        <v>7</v>
      </c>
      <c r="C583" s="19">
        <v>14064</v>
      </c>
      <c r="D583" s="22" t="s">
        <v>1423</v>
      </c>
      <c r="E583" s="22" t="s">
        <v>1424</v>
      </c>
    </row>
    <row r="584" spans="2:5" x14ac:dyDescent="0.2">
      <c r="B584" s="23">
        <v>7</v>
      </c>
      <c r="C584" s="20">
        <v>14065</v>
      </c>
      <c r="D584" s="22" t="s">
        <v>1234</v>
      </c>
      <c r="E584" s="22" t="s">
        <v>1425</v>
      </c>
    </row>
    <row r="585" spans="2:5" x14ac:dyDescent="0.2">
      <c r="B585" s="21">
        <v>7</v>
      </c>
      <c r="C585" s="19">
        <v>14066</v>
      </c>
      <c r="D585" s="22" t="s">
        <v>1199</v>
      </c>
      <c r="E585" s="22" t="s">
        <v>1426</v>
      </c>
    </row>
    <row r="586" spans="2:5" x14ac:dyDescent="0.2">
      <c r="B586" s="23">
        <v>7</v>
      </c>
      <c r="C586" s="20">
        <v>14067</v>
      </c>
      <c r="D586" s="22" t="s">
        <v>1427</v>
      </c>
      <c r="E586" s="22" t="s">
        <v>1428</v>
      </c>
    </row>
    <row r="587" spans="2:5" x14ac:dyDescent="0.2">
      <c r="B587" s="21">
        <v>7</v>
      </c>
      <c r="C587" s="19">
        <v>14068</v>
      </c>
      <c r="D587" s="22" t="s">
        <v>649</v>
      </c>
      <c r="E587" s="22" t="s">
        <v>1221</v>
      </c>
    </row>
    <row r="588" spans="2:5" x14ac:dyDescent="0.2">
      <c r="B588" s="23">
        <v>7</v>
      </c>
      <c r="C588" s="20">
        <v>14069</v>
      </c>
      <c r="D588" s="22" t="s">
        <v>1429</v>
      </c>
      <c r="E588" s="22" t="s">
        <v>1430</v>
      </c>
    </row>
    <row r="589" spans="2:5" x14ac:dyDescent="0.2">
      <c r="B589" s="21">
        <v>7</v>
      </c>
      <c r="C589" s="19">
        <v>14070</v>
      </c>
      <c r="D589" s="22" t="s">
        <v>1431</v>
      </c>
      <c r="E589" s="22" t="s">
        <v>1432</v>
      </c>
    </row>
    <row r="590" spans="2:5" x14ac:dyDescent="0.2">
      <c r="B590" s="23">
        <v>8</v>
      </c>
      <c r="C590" s="20">
        <v>14071</v>
      </c>
      <c r="D590" s="22" t="s">
        <v>1433</v>
      </c>
      <c r="E590" s="22" t="s">
        <v>1434</v>
      </c>
    </row>
    <row r="591" spans="2:5" x14ac:dyDescent="0.2">
      <c r="B591" s="21">
        <v>8</v>
      </c>
      <c r="C591" s="19">
        <v>14072</v>
      </c>
      <c r="D591" s="22" t="s">
        <v>1435</v>
      </c>
      <c r="E591" s="22" t="s">
        <v>1436</v>
      </c>
    </row>
    <row r="592" spans="2:5" x14ac:dyDescent="0.2">
      <c r="B592" s="23">
        <v>8</v>
      </c>
      <c r="C592" s="20">
        <v>14073</v>
      </c>
      <c r="D592" s="22" t="s">
        <v>1437</v>
      </c>
      <c r="E592" s="22" t="s">
        <v>1438</v>
      </c>
    </row>
    <row r="593" spans="2:5" x14ac:dyDescent="0.2">
      <c r="B593" s="21">
        <v>8</v>
      </c>
      <c r="C593" s="19">
        <v>14074</v>
      </c>
      <c r="D593" s="22" t="s">
        <v>1439</v>
      </c>
      <c r="E593" s="22" t="s">
        <v>1440</v>
      </c>
    </row>
    <row r="594" spans="2:5" x14ac:dyDescent="0.2">
      <c r="B594" s="23">
        <v>8</v>
      </c>
      <c r="C594" s="20">
        <v>14075</v>
      </c>
      <c r="D594" s="22" t="s">
        <v>1441</v>
      </c>
      <c r="E594" s="22" t="s">
        <v>1442</v>
      </c>
    </row>
    <row r="595" spans="2:5" x14ac:dyDescent="0.2">
      <c r="B595" s="21">
        <v>8</v>
      </c>
      <c r="C595" s="19">
        <v>14076</v>
      </c>
      <c r="D595" s="22" t="s">
        <v>1443</v>
      </c>
      <c r="E595" s="22" t="s">
        <v>1444</v>
      </c>
    </row>
    <row r="596" spans="2:5" x14ac:dyDescent="0.2">
      <c r="B596" s="23">
        <v>8</v>
      </c>
      <c r="C596" s="20">
        <v>14077</v>
      </c>
      <c r="D596" s="22" t="s">
        <v>1445</v>
      </c>
      <c r="E596" s="22" t="s">
        <v>1446</v>
      </c>
    </row>
    <row r="597" spans="2:5" x14ac:dyDescent="0.2">
      <c r="B597" s="21">
        <v>8</v>
      </c>
      <c r="C597" s="19">
        <v>14078</v>
      </c>
      <c r="D597" s="22" t="s">
        <v>1447</v>
      </c>
      <c r="E597" s="22" t="s">
        <v>1448</v>
      </c>
    </row>
    <row r="598" spans="2:5" x14ac:dyDescent="0.2">
      <c r="B598" s="23">
        <v>8</v>
      </c>
      <c r="C598" s="20">
        <v>14079</v>
      </c>
      <c r="D598" s="22" t="s">
        <v>1449</v>
      </c>
      <c r="E598" s="22" t="s">
        <v>1450</v>
      </c>
    </row>
    <row r="599" spans="2:5" x14ac:dyDescent="0.2">
      <c r="B599" s="21">
        <v>8</v>
      </c>
      <c r="C599" s="19">
        <v>14080</v>
      </c>
      <c r="D599" s="22" t="s">
        <v>1451</v>
      </c>
      <c r="E599" s="22" t="s">
        <v>1452</v>
      </c>
    </row>
    <row r="600" spans="2:5" x14ac:dyDescent="0.2">
      <c r="B600" s="23">
        <v>8</v>
      </c>
      <c r="C600" s="20">
        <v>14081</v>
      </c>
      <c r="D600" s="22" t="s">
        <v>1453</v>
      </c>
      <c r="E600" s="22" t="s">
        <v>1454</v>
      </c>
    </row>
    <row r="601" spans="2:5" x14ac:dyDescent="0.2">
      <c r="B601" s="21">
        <v>8</v>
      </c>
      <c r="C601" s="19">
        <v>14082</v>
      </c>
      <c r="D601" s="22" t="s">
        <v>1455</v>
      </c>
      <c r="E601" s="22" t="s">
        <v>1456</v>
      </c>
    </row>
    <row r="602" spans="2:5" x14ac:dyDescent="0.2">
      <c r="B602" s="23">
        <v>8</v>
      </c>
      <c r="C602" s="20">
        <v>14083</v>
      </c>
      <c r="D602" s="22" t="s">
        <v>1457</v>
      </c>
      <c r="E602" s="22" t="s">
        <v>1458</v>
      </c>
    </row>
    <row r="603" spans="2:5" x14ac:dyDescent="0.2">
      <c r="B603" s="21">
        <v>8</v>
      </c>
      <c r="C603" s="19">
        <v>14084</v>
      </c>
      <c r="D603" s="22" t="s">
        <v>693</v>
      </c>
      <c r="E603" s="22" t="s">
        <v>1459</v>
      </c>
    </row>
    <row r="604" spans="2:5" x14ac:dyDescent="0.2">
      <c r="B604" s="23">
        <v>8</v>
      </c>
      <c r="C604" s="20">
        <v>14085</v>
      </c>
      <c r="D604" s="22" t="s">
        <v>1460</v>
      </c>
      <c r="E604" s="22" t="s">
        <v>1461</v>
      </c>
    </row>
    <row r="605" spans="2:5" x14ac:dyDescent="0.2">
      <c r="B605" s="21">
        <v>8</v>
      </c>
      <c r="C605" s="19">
        <v>14086</v>
      </c>
      <c r="D605" s="22" t="s">
        <v>1462</v>
      </c>
      <c r="E605" s="22" t="s">
        <v>1463</v>
      </c>
    </row>
    <row r="606" spans="2:5" x14ac:dyDescent="0.2">
      <c r="B606" s="23">
        <v>8</v>
      </c>
      <c r="C606" s="20">
        <v>14087</v>
      </c>
      <c r="D606" s="22" t="s">
        <v>1464</v>
      </c>
      <c r="E606" s="22" t="s">
        <v>1465</v>
      </c>
    </row>
    <row r="607" spans="2:5" x14ac:dyDescent="0.2">
      <c r="B607" s="21">
        <v>8</v>
      </c>
      <c r="C607" s="19">
        <v>14088</v>
      </c>
      <c r="D607" s="22" t="s">
        <v>1466</v>
      </c>
      <c r="E607" s="22" t="s">
        <v>1467</v>
      </c>
    </row>
    <row r="608" spans="2:5" x14ac:dyDescent="0.2">
      <c r="B608" s="23">
        <v>8</v>
      </c>
      <c r="C608" s="20">
        <v>14089</v>
      </c>
      <c r="D608" s="22" t="s">
        <v>1468</v>
      </c>
      <c r="E608" s="22" t="s">
        <v>1469</v>
      </c>
    </row>
    <row r="609" spans="2:5" x14ac:dyDescent="0.2">
      <c r="B609" s="21">
        <v>8</v>
      </c>
      <c r="C609" s="19">
        <v>14090</v>
      </c>
      <c r="D609" s="22" t="s">
        <v>1470</v>
      </c>
      <c r="E609" s="22" t="s">
        <v>1471</v>
      </c>
    </row>
    <row r="610" spans="2:5" x14ac:dyDescent="0.2">
      <c r="B610" s="23">
        <v>8</v>
      </c>
      <c r="C610" s="20">
        <v>14091</v>
      </c>
      <c r="D610" s="22" t="s">
        <v>1472</v>
      </c>
      <c r="E610" s="22" t="s">
        <v>1473</v>
      </c>
    </row>
    <row r="611" spans="2:5" x14ac:dyDescent="0.2">
      <c r="B611" s="21">
        <v>8</v>
      </c>
      <c r="C611" s="19">
        <v>14092</v>
      </c>
      <c r="D611" s="22" t="s">
        <v>1474</v>
      </c>
      <c r="E611" s="22" t="s">
        <v>1475</v>
      </c>
    </row>
    <row r="612" spans="2:5" x14ac:dyDescent="0.2">
      <c r="B612" s="23">
        <v>8</v>
      </c>
      <c r="C612" s="20">
        <v>14093</v>
      </c>
      <c r="D612" s="22" t="s">
        <v>1476</v>
      </c>
      <c r="E612" s="22" t="s">
        <v>1477</v>
      </c>
    </row>
    <row r="613" spans="2:5" x14ac:dyDescent="0.2">
      <c r="B613" s="21">
        <v>8</v>
      </c>
      <c r="C613" s="19">
        <v>14094</v>
      </c>
      <c r="D613" s="22" t="s">
        <v>675</v>
      </c>
      <c r="E613" s="22" t="s">
        <v>676</v>
      </c>
    </row>
    <row r="614" spans="2:5" x14ac:dyDescent="0.2">
      <c r="B614" s="23">
        <v>8</v>
      </c>
      <c r="C614" s="20">
        <v>14095</v>
      </c>
      <c r="D614" s="22" t="s">
        <v>1478</v>
      </c>
      <c r="E614" s="22" t="s">
        <v>1479</v>
      </c>
    </row>
    <row r="615" spans="2:5" x14ac:dyDescent="0.2">
      <c r="B615" s="21">
        <v>9</v>
      </c>
      <c r="C615" s="19">
        <v>14096</v>
      </c>
      <c r="D615" s="22" t="s">
        <v>719</v>
      </c>
      <c r="E615" s="22" t="s">
        <v>1480</v>
      </c>
    </row>
    <row r="616" spans="2:5" x14ac:dyDescent="0.2">
      <c r="B616" s="23">
        <v>9</v>
      </c>
      <c r="C616" s="20">
        <v>14097</v>
      </c>
      <c r="D616" s="22" t="s">
        <v>1481</v>
      </c>
      <c r="E616" s="22" t="s">
        <v>1482</v>
      </c>
    </row>
    <row r="617" spans="2:5" x14ac:dyDescent="0.2">
      <c r="B617" s="21">
        <v>9</v>
      </c>
      <c r="C617" s="19">
        <v>14098</v>
      </c>
      <c r="D617" s="22" t="s">
        <v>1483</v>
      </c>
      <c r="E617" s="22" t="s">
        <v>1484</v>
      </c>
    </row>
    <row r="618" spans="2:5" x14ac:dyDescent="0.2">
      <c r="B618" s="23">
        <v>9</v>
      </c>
      <c r="C618" s="20">
        <v>14099</v>
      </c>
      <c r="D618" s="22" t="s">
        <v>1485</v>
      </c>
      <c r="E618" s="22" t="s">
        <v>1486</v>
      </c>
    </row>
    <row r="619" spans="2:5" x14ac:dyDescent="0.2">
      <c r="B619" s="21">
        <v>9</v>
      </c>
      <c r="C619" s="19">
        <v>14100</v>
      </c>
      <c r="D619" s="22" t="s">
        <v>1487</v>
      </c>
      <c r="E619" s="22" t="s">
        <v>1488</v>
      </c>
    </row>
    <row r="620" spans="2:5" x14ac:dyDescent="0.2">
      <c r="B620" s="23">
        <v>9</v>
      </c>
      <c r="C620" s="20">
        <v>14101</v>
      </c>
      <c r="D620" s="22" t="s">
        <v>723</v>
      </c>
      <c r="E620" s="22" t="s">
        <v>724</v>
      </c>
    </row>
    <row r="621" spans="2:5" x14ac:dyDescent="0.2">
      <c r="B621" s="21">
        <v>9</v>
      </c>
      <c r="C621" s="19">
        <v>14102</v>
      </c>
      <c r="D621" s="22" t="s">
        <v>1489</v>
      </c>
      <c r="E621" s="22" t="s">
        <v>1490</v>
      </c>
    </row>
    <row r="622" spans="2:5" x14ac:dyDescent="0.2">
      <c r="B622" s="23">
        <v>9</v>
      </c>
      <c r="C622" s="20">
        <v>14103</v>
      </c>
      <c r="D622" s="22" t="s">
        <v>1491</v>
      </c>
      <c r="E622" s="22" t="s">
        <v>742</v>
      </c>
    </row>
    <row r="623" spans="2:5" x14ac:dyDescent="0.2">
      <c r="B623" s="21">
        <v>9</v>
      </c>
      <c r="C623" s="19">
        <v>14104</v>
      </c>
      <c r="D623" s="22" t="s">
        <v>1492</v>
      </c>
      <c r="E623" s="22" t="s">
        <v>1493</v>
      </c>
    </row>
    <row r="624" spans="2:5" x14ac:dyDescent="0.2">
      <c r="B624" s="23">
        <v>9</v>
      </c>
      <c r="C624" s="20">
        <v>14105</v>
      </c>
      <c r="D624" s="22" t="s">
        <v>1494</v>
      </c>
      <c r="E624" s="22" t="s">
        <v>1495</v>
      </c>
    </row>
    <row r="625" spans="2:5" x14ac:dyDescent="0.2">
      <c r="B625" s="21">
        <v>9</v>
      </c>
      <c r="C625" s="19">
        <v>14106</v>
      </c>
      <c r="D625" s="22" t="s">
        <v>1496</v>
      </c>
      <c r="E625" s="22" t="s">
        <v>1480</v>
      </c>
    </row>
    <row r="626" spans="2:5" x14ac:dyDescent="0.2">
      <c r="B626" s="23">
        <v>9</v>
      </c>
      <c r="C626" s="20">
        <v>14107</v>
      </c>
      <c r="D626" s="22" t="s">
        <v>1497</v>
      </c>
      <c r="E626" s="22" t="s">
        <v>1498</v>
      </c>
    </row>
    <row r="627" spans="2:5" x14ac:dyDescent="0.2">
      <c r="B627" s="21">
        <v>9</v>
      </c>
      <c r="C627" s="19">
        <v>14108</v>
      </c>
      <c r="D627" s="22" t="s">
        <v>1499</v>
      </c>
      <c r="E627" s="22" t="s">
        <v>1500</v>
      </c>
    </row>
    <row r="628" spans="2:5" x14ac:dyDescent="0.2">
      <c r="B628" s="23">
        <v>9</v>
      </c>
      <c r="C628" s="20">
        <v>14109</v>
      </c>
      <c r="D628" s="22" t="s">
        <v>1501</v>
      </c>
      <c r="E628" s="22" t="s">
        <v>1502</v>
      </c>
    </row>
    <row r="629" spans="2:5" x14ac:dyDescent="0.2">
      <c r="B629" s="21">
        <v>9</v>
      </c>
      <c r="C629" s="19">
        <v>14110</v>
      </c>
      <c r="D629" s="22" t="s">
        <v>1503</v>
      </c>
      <c r="E629" s="22" t="s">
        <v>1504</v>
      </c>
    </row>
    <row r="630" spans="2:5" x14ac:dyDescent="0.2">
      <c r="B630" s="23">
        <v>9</v>
      </c>
      <c r="C630" s="20">
        <v>14111</v>
      </c>
      <c r="D630" s="22" t="s">
        <v>1505</v>
      </c>
      <c r="E630" s="22" t="s">
        <v>1506</v>
      </c>
    </row>
    <row r="631" spans="2:5" x14ac:dyDescent="0.2">
      <c r="B631" s="21">
        <v>9</v>
      </c>
      <c r="C631" s="19">
        <v>14112</v>
      </c>
      <c r="D631" s="22" t="s">
        <v>1507</v>
      </c>
      <c r="E631" s="22" t="s">
        <v>1508</v>
      </c>
    </row>
    <row r="632" spans="2:5" x14ac:dyDescent="0.2">
      <c r="B632" s="23">
        <v>9</v>
      </c>
      <c r="C632" s="20">
        <v>14113</v>
      </c>
      <c r="D632" s="22" t="s">
        <v>1509</v>
      </c>
      <c r="E632" s="22" t="s">
        <v>1510</v>
      </c>
    </row>
    <row r="633" spans="2:5" x14ac:dyDescent="0.2">
      <c r="B633" s="21">
        <v>9</v>
      </c>
      <c r="C633" s="19">
        <v>14114</v>
      </c>
      <c r="D633" s="22" t="s">
        <v>1511</v>
      </c>
      <c r="E633" s="22" t="s">
        <v>1512</v>
      </c>
    </row>
    <row r="634" spans="2:5" x14ac:dyDescent="0.2">
      <c r="B634" s="23">
        <v>9</v>
      </c>
      <c r="C634" s="20">
        <v>14115</v>
      </c>
      <c r="D634" s="22" t="s">
        <v>1513</v>
      </c>
      <c r="E634" s="22" t="s">
        <v>1514</v>
      </c>
    </row>
    <row r="635" spans="2:5" x14ac:dyDescent="0.2">
      <c r="B635" s="21">
        <v>9</v>
      </c>
      <c r="C635" s="19">
        <v>14116</v>
      </c>
      <c r="D635" s="22" t="s">
        <v>1515</v>
      </c>
      <c r="E635" s="22" t="s">
        <v>1516</v>
      </c>
    </row>
    <row r="636" spans="2:5" x14ac:dyDescent="0.2">
      <c r="B636" s="23">
        <v>9</v>
      </c>
      <c r="C636" s="20">
        <v>14117</v>
      </c>
      <c r="D636" s="22" t="s">
        <v>1517</v>
      </c>
      <c r="E636" s="22" t="s">
        <v>1518</v>
      </c>
    </row>
    <row r="637" spans="2:5" x14ac:dyDescent="0.2">
      <c r="B637" s="21">
        <v>9</v>
      </c>
      <c r="C637" s="19">
        <v>14118</v>
      </c>
      <c r="D637" s="22" t="s">
        <v>749</v>
      </c>
      <c r="E637" s="22" t="s">
        <v>1519</v>
      </c>
    </row>
    <row r="638" spans="2:5" x14ac:dyDescent="0.2">
      <c r="B638" s="23">
        <v>9</v>
      </c>
      <c r="C638" s="20">
        <v>14119</v>
      </c>
      <c r="D638" s="22" t="s">
        <v>1520</v>
      </c>
      <c r="E638" s="22" t="s">
        <v>1521</v>
      </c>
    </row>
    <row r="639" spans="2:5" x14ac:dyDescent="0.2">
      <c r="B639" s="21">
        <v>9</v>
      </c>
      <c r="C639" s="19">
        <v>14120</v>
      </c>
      <c r="D639" s="22" t="s">
        <v>1522</v>
      </c>
      <c r="E639" s="22" t="s">
        <v>1523</v>
      </c>
    </row>
    <row r="640" spans="2:5" x14ac:dyDescent="0.2">
      <c r="B640" s="23">
        <v>10</v>
      </c>
      <c r="C640" s="20">
        <v>14121</v>
      </c>
      <c r="D640" s="22" t="s">
        <v>769</v>
      </c>
      <c r="E640" s="22" t="s">
        <v>1524</v>
      </c>
    </row>
    <row r="641" spans="2:5" x14ac:dyDescent="0.2">
      <c r="B641" s="21">
        <v>10</v>
      </c>
      <c r="C641" s="19">
        <v>14122</v>
      </c>
      <c r="D641" s="22" t="s">
        <v>1525</v>
      </c>
      <c r="E641" s="22" t="s">
        <v>1526</v>
      </c>
    </row>
    <row r="642" spans="2:5" x14ac:dyDescent="0.2">
      <c r="B642" s="23">
        <v>10</v>
      </c>
      <c r="C642" s="20">
        <v>14123</v>
      </c>
      <c r="D642" s="22" t="s">
        <v>1527</v>
      </c>
      <c r="E642" s="22" t="s">
        <v>1528</v>
      </c>
    </row>
    <row r="643" spans="2:5" x14ac:dyDescent="0.2">
      <c r="B643" s="21">
        <v>10</v>
      </c>
      <c r="C643" s="19">
        <v>14124</v>
      </c>
      <c r="D643" s="22" t="s">
        <v>1529</v>
      </c>
      <c r="E643" s="22" t="s">
        <v>1530</v>
      </c>
    </row>
    <row r="644" spans="2:5" x14ac:dyDescent="0.2">
      <c r="B644" s="23">
        <v>10</v>
      </c>
      <c r="C644" s="20">
        <v>14125</v>
      </c>
      <c r="D644" s="22" t="s">
        <v>1531</v>
      </c>
      <c r="E644" s="22" t="s">
        <v>1532</v>
      </c>
    </row>
    <row r="645" spans="2:5" x14ac:dyDescent="0.2">
      <c r="B645" s="21">
        <v>10</v>
      </c>
      <c r="C645" s="19">
        <v>14126</v>
      </c>
      <c r="D645" s="22" t="s">
        <v>1533</v>
      </c>
      <c r="E645" s="22" t="s">
        <v>1534</v>
      </c>
    </row>
    <row r="646" spans="2:5" x14ac:dyDescent="0.2">
      <c r="B646" s="23">
        <v>10</v>
      </c>
      <c r="C646" s="20">
        <v>14127</v>
      </c>
      <c r="D646" s="22" t="s">
        <v>1535</v>
      </c>
      <c r="E646" s="22" t="s">
        <v>1536</v>
      </c>
    </row>
    <row r="647" spans="2:5" x14ac:dyDescent="0.2">
      <c r="B647" s="21">
        <v>10</v>
      </c>
      <c r="C647" s="19">
        <v>14128</v>
      </c>
      <c r="D647" s="22" t="s">
        <v>1537</v>
      </c>
      <c r="E647" s="22" t="s">
        <v>1538</v>
      </c>
    </row>
    <row r="648" spans="2:5" x14ac:dyDescent="0.2">
      <c r="B648" s="23">
        <v>10</v>
      </c>
      <c r="C648" s="20">
        <v>14129</v>
      </c>
      <c r="D648" s="22" t="s">
        <v>1539</v>
      </c>
      <c r="E648" s="22" t="s">
        <v>1540</v>
      </c>
    </row>
    <row r="649" spans="2:5" x14ac:dyDescent="0.2">
      <c r="B649" s="21">
        <v>10</v>
      </c>
      <c r="C649" s="19">
        <v>14130</v>
      </c>
      <c r="D649" s="22" t="s">
        <v>1541</v>
      </c>
      <c r="E649" s="22" t="s">
        <v>1542</v>
      </c>
    </row>
    <row r="650" spans="2:5" x14ac:dyDescent="0.2">
      <c r="B650" s="23">
        <v>10</v>
      </c>
      <c r="C650" s="20">
        <v>14131</v>
      </c>
      <c r="D650" s="22" t="s">
        <v>1543</v>
      </c>
      <c r="E650" s="22" t="s">
        <v>1544</v>
      </c>
    </row>
    <row r="651" spans="2:5" x14ac:dyDescent="0.2">
      <c r="B651" s="21">
        <v>10</v>
      </c>
      <c r="C651" s="19">
        <v>14132</v>
      </c>
      <c r="D651" s="22" t="s">
        <v>1545</v>
      </c>
      <c r="E651" s="22" t="s">
        <v>1546</v>
      </c>
    </row>
    <row r="652" spans="2:5" x14ac:dyDescent="0.2">
      <c r="B652" s="23">
        <v>10</v>
      </c>
      <c r="C652" s="20">
        <v>14133</v>
      </c>
      <c r="D652" s="22" t="s">
        <v>1547</v>
      </c>
      <c r="E652" s="22" t="s">
        <v>1548</v>
      </c>
    </row>
    <row r="653" spans="2:5" x14ac:dyDescent="0.2">
      <c r="B653" s="21">
        <v>10</v>
      </c>
      <c r="C653" s="19">
        <v>14134</v>
      </c>
      <c r="D653" s="22" t="s">
        <v>792</v>
      </c>
      <c r="E653" s="22" t="s">
        <v>793</v>
      </c>
    </row>
    <row r="654" spans="2:5" x14ac:dyDescent="0.2">
      <c r="B654" s="23">
        <v>10</v>
      </c>
      <c r="C654" s="20">
        <v>14135</v>
      </c>
      <c r="D654" s="22" t="s">
        <v>1549</v>
      </c>
      <c r="E654" s="22" t="s">
        <v>1550</v>
      </c>
    </row>
    <row r="655" spans="2:5" x14ac:dyDescent="0.2">
      <c r="B655" s="21">
        <v>10</v>
      </c>
      <c r="C655" s="19">
        <v>14136</v>
      </c>
      <c r="D655" s="22" t="s">
        <v>1551</v>
      </c>
      <c r="E655" s="22" t="s">
        <v>1552</v>
      </c>
    </row>
    <row r="656" spans="2:5" x14ac:dyDescent="0.2">
      <c r="B656" s="23">
        <v>10</v>
      </c>
      <c r="C656" s="20">
        <v>14137</v>
      </c>
      <c r="D656" s="22" t="s">
        <v>1553</v>
      </c>
      <c r="E656" s="22" t="s">
        <v>1554</v>
      </c>
    </row>
    <row r="657" spans="2:5" x14ac:dyDescent="0.2">
      <c r="B657" s="21">
        <v>10</v>
      </c>
      <c r="C657" s="19">
        <v>14138</v>
      </c>
      <c r="D657" s="22" t="s">
        <v>1555</v>
      </c>
      <c r="E657" s="22" t="s">
        <v>1556</v>
      </c>
    </row>
    <row r="658" spans="2:5" x14ac:dyDescent="0.2">
      <c r="B658" s="23">
        <v>10</v>
      </c>
      <c r="C658" s="20">
        <v>14139</v>
      </c>
      <c r="D658" s="22" t="s">
        <v>1557</v>
      </c>
      <c r="E658" s="22" t="s">
        <v>1558</v>
      </c>
    </row>
    <row r="659" spans="2:5" x14ac:dyDescent="0.2">
      <c r="B659" s="21">
        <v>10</v>
      </c>
      <c r="C659" s="19">
        <v>14140</v>
      </c>
      <c r="D659" s="22" t="s">
        <v>1559</v>
      </c>
      <c r="E659" s="22" t="s">
        <v>1560</v>
      </c>
    </row>
    <row r="660" spans="2:5" x14ac:dyDescent="0.2">
      <c r="B660" s="23">
        <v>10</v>
      </c>
      <c r="C660" s="20">
        <v>14141</v>
      </c>
      <c r="D660" s="22" t="s">
        <v>1561</v>
      </c>
      <c r="E660" s="22" t="s">
        <v>1562</v>
      </c>
    </row>
    <row r="661" spans="2:5" x14ac:dyDescent="0.2">
      <c r="B661" s="21">
        <v>10</v>
      </c>
      <c r="C661" s="19">
        <v>14142</v>
      </c>
      <c r="D661" s="22" t="s">
        <v>1563</v>
      </c>
      <c r="E661" s="22" t="s">
        <v>1564</v>
      </c>
    </row>
    <row r="662" spans="2:5" x14ac:dyDescent="0.2">
      <c r="B662" s="23">
        <v>10</v>
      </c>
      <c r="C662" s="20">
        <v>14143</v>
      </c>
      <c r="D662" s="22" t="s">
        <v>1565</v>
      </c>
      <c r="E662" s="22" t="s">
        <v>1566</v>
      </c>
    </row>
    <row r="663" spans="2:5" x14ac:dyDescent="0.2">
      <c r="B663" s="21">
        <v>10</v>
      </c>
      <c r="C663" s="19">
        <v>14144</v>
      </c>
      <c r="D663" s="22" t="s">
        <v>1567</v>
      </c>
      <c r="E663" s="22" t="s">
        <v>1568</v>
      </c>
    </row>
    <row r="664" spans="2:5" x14ac:dyDescent="0.2">
      <c r="B664" s="23">
        <v>10</v>
      </c>
      <c r="C664" s="20">
        <v>14145</v>
      </c>
      <c r="D664" s="22" t="s">
        <v>1569</v>
      </c>
      <c r="E664" s="22" t="s">
        <v>1570</v>
      </c>
    </row>
    <row r="665" spans="2:5" x14ac:dyDescent="0.2">
      <c r="B665" s="21">
        <v>11</v>
      </c>
      <c r="C665" s="19">
        <v>14146</v>
      </c>
      <c r="D665" s="22" t="s">
        <v>1571</v>
      </c>
      <c r="E665" s="22" t="s">
        <v>1572</v>
      </c>
    </row>
    <row r="666" spans="2:5" x14ac:dyDescent="0.2">
      <c r="B666" s="23">
        <v>11</v>
      </c>
      <c r="C666" s="20">
        <v>14147</v>
      </c>
      <c r="D666" s="22" t="s">
        <v>1573</v>
      </c>
      <c r="E666" s="22" t="s">
        <v>1574</v>
      </c>
    </row>
    <row r="667" spans="2:5" x14ac:dyDescent="0.2">
      <c r="B667" s="21">
        <v>11</v>
      </c>
      <c r="C667" s="19">
        <v>14148</v>
      </c>
      <c r="D667" s="22" t="s">
        <v>1575</v>
      </c>
      <c r="E667" s="22" t="s">
        <v>1576</v>
      </c>
    </row>
    <row r="668" spans="2:5" x14ac:dyDescent="0.2">
      <c r="B668" s="23">
        <v>11</v>
      </c>
      <c r="C668" s="20">
        <v>14149</v>
      </c>
      <c r="D668" s="22" t="s">
        <v>1577</v>
      </c>
      <c r="E668" s="22" t="s">
        <v>1578</v>
      </c>
    </row>
    <row r="669" spans="2:5" x14ac:dyDescent="0.2">
      <c r="B669" s="21">
        <v>11</v>
      </c>
      <c r="C669" s="19">
        <v>14150</v>
      </c>
      <c r="D669" s="22" t="s">
        <v>1579</v>
      </c>
      <c r="E669" s="22" t="s">
        <v>1580</v>
      </c>
    </row>
    <row r="670" spans="2:5" x14ac:dyDescent="0.2">
      <c r="B670" s="23">
        <v>11</v>
      </c>
      <c r="C670" s="20">
        <v>14151</v>
      </c>
      <c r="D670" s="22" t="s">
        <v>1581</v>
      </c>
      <c r="E670" s="22" t="s">
        <v>1582</v>
      </c>
    </row>
    <row r="671" spans="2:5" x14ac:dyDescent="0.2">
      <c r="B671" s="21">
        <v>11</v>
      </c>
      <c r="C671" s="19">
        <v>14152</v>
      </c>
      <c r="D671" s="22" t="s">
        <v>1583</v>
      </c>
      <c r="E671" s="22" t="s">
        <v>1584</v>
      </c>
    </row>
    <row r="672" spans="2:5" x14ac:dyDescent="0.2">
      <c r="B672" s="23">
        <v>11</v>
      </c>
      <c r="C672" s="20">
        <v>14153</v>
      </c>
      <c r="D672" s="22" t="s">
        <v>1585</v>
      </c>
      <c r="E672" s="22" t="s">
        <v>1586</v>
      </c>
    </row>
    <row r="673" spans="2:5" x14ac:dyDescent="0.2">
      <c r="B673" s="21">
        <v>11</v>
      </c>
      <c r="C673" s="19">
        <v>14154</v>
      </c>
      <c r="D673" s="22" t="s">
        <v>1587</v>
      </c>
      <c r="E673" s="22" t="s">
        <v>1588</v>
      </c>
    </row>
    <row r="674" spans="2:5" x14ac:dyDescent="0.2">
      <c r="B674" s="23">
        <v>11</v>
      </c>
      <c r="C674" s="20">
        <v>14155</v>
      </c>
      <c r="D674" s="22" t="s">
        <v>1589</v>
      </c>
      <c r="E674" s="22" t="s">
        <v>1590</v>
      </c>
    </row>
    <row r="675" spans="2:5" x14ac:dyDescent="0.2">
      <c r="B675" s="21">
        <v>11</v>
      </c>
      <c r="C675" s="19">
        <v>14156</v>
      </c>
      <c r="D675" s="22" t="s">
        <v>1591</v>
      </c>
      <c r="E675" s="22" t="s">
        <v>1592</v>
      </c>
    </row>
    <row r="676" spans="2:5" x14ac:dyDescent="0.2">
      <c r="B676" s="23">
        <v>11</v>
      </c>
      <c r="C676" s="20">
        <v>14157</v>
      </c>
      <c r="D676" s="22" t="s">
        <v>1593</v>
      </c>
      <c r="E676" s="22" t="s">
        <v>1594</v>
      </c>
    </row>
    <row r="677" spans="2:5" x14ac:dyDescent="0.2">
      <c r="B677" s="21">
        <v>11</v>
      </c>
      <c r="C677" s="19">
        <v>14158</v>
      </c>
      <c r="D677" s="22" t="s">
        <v>1595</v>
      </c>
      <c r="E677" s="22" t="s">
        <v>1596</v>
      </c>
    </row>
    <row r="678" spans="2:5" x14ac:dyDescent="0.2">
      <c r="B678" s="23">
        <v>11</v>
      </c>
      <c r="C678" s="20">
        <v>14159</v>
      </c>
      <c r="D678" s="22" t="s">
        <v>1597</v>
      </c>
      <c r="E678" s="22" t="s">
        <v>1598</v>
      </c>
    </row>
    <row r="679" spans="2:5" x14ac:dyDescent="0.2">
      <c r="B679" s="21">
        <v>21</v>
      </c>
      <c r="C679" s="19">
        <v>14160</v>
      </c>
      <c r="D679" s="22" t="s">
        <v>842</v>
      </c>
      <c r="E679" s="22" t="s">
        <v>1599</v>
      </c>
    </row>
    <row r="680" spans="2:5" x14ac:dyDescent="0.2">
      <c r="B680" s="23">
        <v>21</v>
      </c>
      <c r="C680" s="20">
        <v>14161</v>
      </c>
      <c r="D680" s="22" t="s">
        <v>848</v>
      </c>
      <c r="E680" s="22" t="s">
        <v>1600</v>
      </c>
    </row>
    <row r="681" spans="2:5" x14ac:dyDescent="0.2">
      <c r="B681" s="21">
        <v>21</v>
      </c>
      <c r="C681" s="19">
        <v>14162</v>
      </c>
      <c r="D681" s="22" t="s">
        <v>1601</v>
      </c>
      <c r="E681" s="22" t="s">
        <v>1602</v>
      </c>
    </row>
    <row r="682" spans="2:5" x14ac:dyDescent="0.2">
      <c r="B682" s="23">
        <v>21</v>
      </c>
      <c r="C682" s="20">
        <v>14163</v>
      </c>
      <c r="D682" s="22" t="s">
        <v>1603</v>
      </c>
      <c r="E682" s="22" t="s">
        <v>1604</v>
      </c>
    </row>
    <row r="683" spans="2:5" x14ac:dyDescent="0.2">
      <c r="B683" s="21">
        <v>21</v>
      </c>
      <c r="C683" s="19">
        <v>14164</v>
      </c>
      <c r="D683" s="22" t="s">
        <v>1605</v>
      </c>
      <c r="E683" s="22" t="s">
        <v>1606</v>
      </c>
    </row>
    <row r="684" spans="2:5" x14ac:dyDescent="0.2">
      <c r="B684" s="23">
        <v>21</v>
      </c>
      <c r="C684" s="20">
        <v>14165</v>
      </c>
      <c r="D684" s="22" t="s">
        <v>1607</v>
      </c>
      <c r="E684" s="22" t="s">
        <v>1608</v>
      </c>
    </row>
    <row r="685" spans="2:5" x14ac:dyDescent="0.2">
      <c r="B685" s="21">
        <v>21</v>
      </c>
      <c r="C685" s="19">
        <v>14166</v>
      </c>
      <c r="D685" s="22" t="s">
        <v>1609</v>
      </c>
      <c r="E685" s="22" t="s">
        <v>1610</v>
      </c>
    </row>
    <row r="686" spans="2:5" x14ac:dyDescent="0.2">
      <c r="B686" s="23">
        <v>21</v>
      </c>
      <c r="C686" s="20">
        <v>14167</v>
      </c>
      <c r="D686" s="22" t="s">
        <v>1611</v>
      </c>
      <c r="E686" s="22" t="s">
        <v>1612</v>
      </c>
    </row>
    <row r="687" spans="2:5" x14ac:dyDescent="0.2">
      <c r="B687" s="21">
        <v>21</v>
      </c>
      <c r="C687" s="19">
        <v>14168</v>
      </c>
      <c r="D687" s="22" t="s">
        <v>1613</v>
      </c>
      <c r="E687" s="22" t="s">
        <v>1614</v>
      </c>
    </row>
    <row r="688" spans="2:5" x14ac:dyDescent="0.2">
      <c r="B688" s="23">
        <v>21</v>
      </c>
      <c r="C688" s="20">
        <v>14169</v>
      </c>
      <c r="D688" s="22" t="s">
        <v>1615</v>
      </c>
      <c r="E688" s="22" t="s">
        <v>1616</v>
      </c>
    </row>
    <row r="689" spans="2:5" x14ac:dyDescent="0.2">
      <c r="B689" s="21">
        <v>21</v>
      </c>
      <c r="C689" s="19">
        <v>14170</v>
      </c>
      <c r="D689" s="22" t="s">
        <v>1617</v>
      </c>
      <c r="E689" s="22" t="s">
        <v>1618</v>
      </c>
    </row>
    <row r="690" spans="2:5" x14ac:dyDescent="0.2">
      <c r="B690" s="23">
        <v>21</v>
      </c>
      <c r="C690" s="20">
        <v>14171</v>
      </c>
      <c r="D690" s="22" t="s">
        <v>1619</v>
      </c>
      <c r="E690" s="22" t="s">
        <v>1620</v>
      </c>
    </row>
    <row r="691" spans="2:5" x14ac:dyDescent="0.2">
      <c r="B691" s="21">
        <v>21</v>
      </c>
      <c r="C691" s="19">
        <v>14172</v>
      </c>
      <c r="D691" s="22" t="s">
        <v>1621</v>
      </c>
      <c r="E691" s="22" t="s">
        <v>1622</v>
      </c>
    </row>
    <row r="692" spans="2:5" x14ac:dyDescent="0.2">
      <c r="B692" s="23">
        <v>21</v>
      </c>
      <c r="C692" s="20">
        <v>14173</v>
      </c>
      <c r="D692" s="22" t="s">
        <v>1623</v>
      </c>
      <c r="E692" s="22" t="s">
        <v>1624</v>
      </c>
    </row>
    <row r="693" spans="2:5" x14ac:dyDescent="0.2">
      <c r="B693" s="21">
        <v>21</v>
      </c>
      <c r="C693" s="19">
        <v>14174</v>
      </c>
      <c r="D693" s="22" t="s">
        <v>1625</v>
      </c>
      <c r="E693" s="22" t="s">
        <v>1626</v>
      </c>
    </row>
    <row r="694" spans="2:5" x14ac:dyDescent="0.2">
      <c r="B694" s="23">
        <v>21</v>
      </c>
      <c r="C694" s="20">
        <v>14175</v>
      </c>
      <c r="D694" s="22" t="s">
        <v>1627</v>
      </c>
      <c r="E694" s="22" t="s">
        <v>1628</v>
      </c>
    </row>
    <row r="695" spans="2:5" x14ac:dyDescent="0.2">
      <c r="B695" s="21">
        <v>21</v>
      </c>
      <c r="C695" s="19">
        <v>14176</v>
      </c>
      <c r="D695" s="22" t="s">
        <v>1629</v>
      </c>
      <c r="E695" s="22" t="s">
        <v>1630</v>
      </c>
    </row>
    <row r="696" spans="2:5" x14ac:dyDescent="0.2">
      <c r="B696" s="23">
        <v>21</v>
      </c>
      <c r="C696" s="20">
        <v>14177</v>
      </c>
      <c r="D696" s="22" t="s">
        <v>884</v>
      </c>
      <c r="E696" s="22" t="s">
        <v>1631</v>
      </c>
    </row>
    <row r="697" spans="2:5" x14ac:dyDescent="0.2">
      <c r="B697" s="21">
        <v>21</v>
      </c>
      <c r="C697" s="19">
        <v>14178</v>
      </c>
      <c r="D697" s="22" t="s">
        <v>1632</v>
      </c>
      <c r="E697" s="22" t="s">
        <v>1633</v>
      </c>
    </row>
    <row r="698" spans="2:5" x14ac:dyDescent="0.2">
      <c r="B698" s="23">
        <v>21</v>
      </c>
      <c r="C698" s="20">
        <v>14179</v>
      </c>
      <c r="D698" s="22" t="s">
        <v>1634</v>
      </c>
      <c r="E698" s="22" t="s">
        <v>1635</v>
      </c>
    </row>
    <row r="699" spans="2:5" x14ac:dyDescent="0.2">
      <c r="B699" s="21">
        <v>21</v>
      </c>
      <c r="C699" s="19">
        <v>14180</v>
      </c>
      <c r="D699" s="22" t="s">
        <v>1636</v>
      </c>
      <c r="E699" s="22" t="s">
        <v>1637</v>
      </c>
    </row>
    <row r="700" spans="2:5" x14ac:dyDescent="0.2">
      <c r="B700" s="23">
        <v>21</v>
      </c>
      <c r="C700" s="20">
        <v>14181</v>
      </c>
      <c r="D700" s="22" t="s">
        <v>1638</v>
      </c>
      <c r="E700" s="22" t="s">
        <v>1639</v>
      </c>
    </row>
    <row r="701" spans="2:5" x14ac:dyDescent="0.2">
      <c r="B701" s="21">
        <v>21</v>
      </c>
      <c r="C701" s="19">
        <v>14182</v>
      </c>
      <c r="D701" s="22" t="s">
        <v>1640</v>
      </c>
      <c r="E701" s="22" t="s">
        <v>1641</v>
      </c>
    </row>
    <row r="702" spans="2:5" x14ac:dyDescent="0.2">
      <c r="B702" s="23">
        <v>21</v>
      </c>
      <c r="C702" s="20">
        <v>14183</v>
      </c>
      <c r="D702" s="22" t="s">
        <v>1642</v>
      </c>
      <c r="E702" s="22" t="s">
        <v>1643</v>
      </c>
    </row>
    <row r="703" spans="2:5" x14ac:dyDescent="0.2">
      <c r="B703" s="21">
        <v>21</v>
      </c>
      <c r="C703" s="19">
        <v>14184</v>
      </c>
      <c r="D703" s="22" t="s">
        <v>1644</v>
      </c>
      <c r="E703" s="22" t="s">
        <v>1645</v>
      </c>
    </row>
    <row r="704" spans="2:5" x14ac:dyDescent="0.2">
      <c r="B704" s="23">
        <v>22</v>
      </c>
      <c r="C704" s="20">
        <v>14185</v>
      </c>
      <c r="D704" s="22" t="s">
        <v>892</v>
      </c>
      <c r="E704" s="22" t="s">
        <v>1646</v>
      </c>
    </row>
    <row r="705" spans="2:5" x14ac:dyDescent="0.2">
      <c r="B705" s="21">
        <v>22</v>
      </c>
      <c r="C705" s="19">
        <v>14186</v>
      </c>
      <c r="D705" s="22" t="s">
        <v>1647</v>
      </c>
      <c r="E705" s="22" t="s">
        <v>1648</v>
      </c>
    </row>
    <row r="706" spans="2:5" x14ac:dyDescent="0.2">
      <c r="B706" s="23">
        <v>22</v>
      </c>
      <c r="C706" s="20">
        <v>14187</v>
      </c>
      <c r="D706" s="22" t="s">
        <v>1649</v>
      </c>
      <c r="E706" s="22" t="s">
        <v>1650</v>
      </c>
    </row>
    <row r="707" spans="2:5" x14ac:dyDescent="0.2">
      <c r="B707" s="21">
        <v>22</v>
      </c>
      <c r="C707" s="19">
        <v>14188</v>
      </c>
      <c r="D707" s="22" t="s">
        <v>1651</v>
      </c>
      <c r="E707" s="22" t="s">
        <v>1652</v>
      </c>
    </row>
    <row r="708" spans="2:5" x14ac:dyDescent="0.2">
      <c r="B708" s="23">
        <v>22</v>
      </c>
      <c r="C708" s="20">
        <v>14189</v>
      </c>
      <c r="D708" s="22" t="s">
        <v>1653</v>
      </c>
      <c r="E708" s="22" t="s">
        <v>1654</v>
      </c>
    </row>
    <row r="709" spans="2:5" x14ac:dyDescent="0.2">
      <c r="B709" s="21">
        <v>22</v>
      </c>
      <c r="C709" s="19">
        <v>14190</v>
      </c>
      <c r="D709" s="22" t="s">
        <v>1655</v>
      </c>
      <c r="E709" s="22" t="s">
        <v>1656</v>
      </c>
    </row>
    <row r="710" spans="2:5" x14ac:dyDescent="0.2">
      <c r="B710" s="23">
        <v>22</v>
      </c>
      <c r="C710" s="20">
        <v>14191</v>
      </c>
      <c r="D710" s="22" t="s">
        <v>1657</v>
      </c>
      <c r="E710" s="22" t="s">
        <v>1658</v>
      </c>
    </row>
    <row r="711" spans="2:5" x14ac:dyDescent="0.2">
      <c r="B711" s="21">
        <v>22</v>
      </c>
      <c r="C711" s="19">
        <v>14192</v>
      </c>
      <c r="D711" s="22" t="s">
        <v>1659</v>
      </c>
      <c r="E711" s="22" t="s">
        <v>1660</v>
      </c>
    </row>
    <row r="712" spans="2:5" x14ac:dyDescent="0.2">
      <c r="B712" s="23">
        <v>22</v>
      </c>
      <c r="C712" s="20">
        <v>14193</v>
      </c>
      <c r="D712" s="22" t="s">
        <v>1661</v>
      </c>
      <c r="E712" s="22" t="s">
        <v>1662</v>
      </c>
    </row>
    <row r="713" spans="2:5" x14ac:dyDescent="0.2">
      <c r="B713" s="21">
        <v>22</v>
      </c>
      <c r="C713" s="19">
        <v>14194</v>
      </c>
      <c r="D713" s="22" t="s">
        <v>1663</v>
      </c>
      <c r="E713" s="22" t="s">
        <v>1664</v>
      </c>
    </row>
    <row r="714" spans="2:5" x14ac:dyDescent="0.2">
      <c r="B714" s="23">
        <v>22</v>
      </c>
      <c r="C714" s="20">
        <v>14195</v>
      </c>
      <c r="D714" s="22" t="s">
        <v>1665</v>
      </c>
      <c r="E714" s="22" t="s">
        <v>1666</v>
      </c>
    </row>
    <row r="715" spans="2:5" x14ac:dyDescent="0.2">
      <c r="B715" s="21">
        <v>22</v>
      </c>
      <c r="C715" s="19">
        <v>14196</v>
      </c>
      <c r="D715" s="22" t="s">
        <v>1667</v>
      </c>
      <c r="E715" s="22" t="s">
        <v>1668</v>
      </c>
    </row>
    <row r="716" spans="2:5" x14ac:dyDescent="0.2">
      <c r="B716" s="23">
        <v>22</v>
      </c>
      <c r="C716" s="20">
        <v>14197</v>
      </c>
      <c r="D716" s="22" t="s">
        <v>1669</v>
      </c>
      <c r="E716" s="22" t="s">
        <v>1670</v>
      </c>
    </row>
    <row r="717" spans="2:5" x14ac:dyDescent="0.2">
      <c r="B717" s="21">
        <v>22</v>
      </c>
      <c r="C717" s="19">
        <v>14198</v>
      </c>
      <c r="D717" s="22" t="s">
        <v>1671</v>
      </c>
      <c r="E717" s="22" t="s">
        <v>1672</v>
      </c>
    </row>
    <row r="718" spans="2:5" x14ac:dyDescent="0.2">
      <c r="B718" s="23">
        <v>22</v>
      </c>
      <c r="C718" s="20">
        <v>14199</v>
      </c>
      <c r="D718" s="22" t="s">
        <v>1673</v>
      </c>
      <c r="E718" s="22" t="s">
        <v>1674</v>
      </c>
    </row>
    <row r="719" spans="2:5" x14ac:dyDescent="0.2">
      <c r="B719" s="21">
        <v>22</v>
      </c>
      <c r="C719" s="19">
        <v>14200</v>
      </c>
      <c r="D719" s="22" t="s">
        <v>1675</v>
      </c>
      <c r="E719" s="22" t="s">
        <v>1676</v>
      </c>
    </row>
    <row r="720" spans="2:5" x14ac:dyDescent="0.2">
      <c r="B720" s="23">
        <v>22</v>
      </c>
      <c r="C720" s="20">
        <v>14201</v>
      </c>
      <c r="D720" s="22" t="s">
        <v>1677</v>
      </c>
      <c r="E720" s="22" t="s">
        <v>1678</v>
      </c>
    </row>
    <row r="721" spans="2:5" x14ac:dyDescent="0.2">
      <c r="B721" s="21">
        <v>22</v>
      </c>
      <c r="C721" s="19">
        <v>14202</v>
      </c>
      <c r="D721" s="22" t="s">
        <v>1679</v>
      </c>
      <c r="E721" s="22" t="s">
        <v>1680</v>
      </c>
    </row>
    <row r="722" spans="2:5" x14ac:dyDescent="0.2">
      <c r="B722" s="23">
        <v>22</v>
      </c>
      <c r="C722" s="20">
        <v>14203</v>
      </c>
      <c r="D722" s="22" t="s">
        <v>1681</v>
      </c>
      <c r="E722" s="22" t="s">
        <v>1682</v>
      </c>
    </row>
    <row r="723" spans="2:5" x14ac:dyDescent="0.2">
      <c r="B723" s="21">
        <v>22</v>
      </c>
      <c r="C723" s="19">
        <v>14204</v>
      </c>
      <c r="D723" s="22" t="s">
        <v>1683</v>
      </c>
      <c r="E723" s="22" t="s">
        <v>1684</v>
      </c>
    </row>
    <row r="724" spans="2:5" x14ac:dyDescent="0.2">
      <c r="B724" s="23">
        <v>22</v>
      </c>
      <c r="C724" s="20">
        <v>14205</v>
      </c>
      <c r="D724" s="22" t="s">
        <v>1685</v>
      </c>
      <c r="E724" s="22" t="s">
        <v>1686</v>
      </c>
    </row>
    <row r="725" spans="2:5" x14ac:dyDescent="0.2">
      <c r="B725" s="21">
        <v>22</v>
      </c>
      <c r="C725" s="19">
        <v>14206</v>
      </c>
      <c r="D725" s="22" t="s">
        <v>1687</v>
      </c>
      <c r="E725" s="22" t="s">
        <v>1688</v>
      </c>
    </row>
    <row r="726" spans="2:5" x14ac:dyDescent="0.2">
      <c r="B726" s="23">
        <v>22</v>
      </c>
      <c r="C726" s="20">
        <v>14207</v>
      </c>
      <c r="D726" s="22" t="s">
        <v>1689</v>
      </c>
      <c r="E726" s="22" t="s">
        <v>1690</v>
      </c>
    </row>
    <row r="727" spans="2:5" x14ac:dyDescent="0.2">
      <c r="B727" s="21">
        <v>22</v>
      </c>
      <c r="C727" s="19">
        <v>14208</v>
      </c>
      <c r="D727" s="22" t="s">
        <v>1691</v>
      </c>
      <c r="E727" s="22" t="s">
        <v>1692</v>
      </c>
    </row>
    <row r="728" spans="2:5" x14ac:dyDescent="0.2">
      <c r="B728" s="23">
        <v>22</v>
      </c>
      <c r="C728" s="20">
        <v>14209</v>
      </c>
      <c r="D728" s="22" t="s">
        <v>1693</v>
      </c>
      <c r="E728" s="22" t="s">
        <v>1694</v>
      </c>
    </row>
    <row r="729" spans="2:5" x14ac:dyDescent="0.2">
      <c r="B729" s="21">
        <v>23</v>
      </c>
      <c r="C729" s="19">
        <v>14210</v>
      </c>
      <c r="D729" s="22" t="s">
        <v>1695</v>
      </c>
      <c r="E729" s="22" t="s">
        <v>1696</v>
      </c>
    </row>
    <row r="730" spans="2:5" x14ac:dyDescent="0.2">
      <c r="B730" s="23">
        <v>23</v>
      </c>
      <c r="C730" s="20">
        <v>14211</v>
      </c>
      <c r="D730" s="22" t="s">
        <v>1697</v>
      </c>
      <c r="E730" s="22" t="s">
        <v>1698</v>
      </c>
    </row>
    <row r="731" spans="2:5" x14ac:dyDescent="0.2">
      <c r="B731" s="21">
        <v>23</v>
      </c>
      <c r="C731" s="19">
        <v>14212</v>
      </c>
      <c r="D731" s="22" t="s">
        <v>1699</v>
      </c>
      <c r="E731" s="22" t="s">
        <v>1700</v>
      </c>
    </row>
    <row r="732" spans="2:5" x14ac:dyDescent="0.2">
      <c r="B732" s="23">
        <v>23</v>
      </c>
      <c r="C732" s="20">
        <v>14213</v>
      </c>
      <c r="D732" s="22" t="s">
        <v>1701</v>
      </c>
      <c r="E732" s="22" t="s">
        <v>1702</v>
      </c>
    </row>
    <row r="733" spans="2:5" x14ac:dyDescent="0.2">
      <c r="B733" s="21">
        <v>23</v>
      </c>
      <c r="C733" s="19">
        <v>14214</v>
      </c>
      <c r="D733" s="22" t="s">
        <v>1703</v>
      </c>
      <c r="E733" s="22" t="s">
        <v>1704</v>
      </c>
    </row>
    <row r="734" spans="2:5" x14ac:dyDescent="0.2">
      <c r="B734" s="23">
        <v>23</v>
      </c>
      <c r="C734" s="20">
        <v>14215</v>
      </c>
      <c r="D734" s="22" t="s">
        <v>1705</v>
      </c>
      <c r="E734" s="22" t="s">
        <v>1706</v>
      </c>
    </row>
    <row r="735" spans="2:5" x14ac:dyDescent="0.2">
      <c r="B735" s="21">
        <v>23</v>
      </c>
      <c r="C735" s="19">
        <v>14216</v>
      </c>
      <c r="D735" s="22" t="s">
        <v>1707</v>
      </c>
      <c r="E735" s="22" t="s">
        <v>1708</v>
      </c>
    </row>
    <row r="736" spans="2:5" x14ac:dyDescent="0.2">
      <c r="B736" s="23">
        <v>23</v>
      </c>
      <c r="C736" s="20">
        <v>14217</v>
      </c>
      <c r="D736" s="22" t="s">
        <v>1709</v>
      </c>
      <c r="E736" s="22" t="s">
        <v>1710</v>
      </c>
    </row>
    <row r="737" spans="2:5" x14ac:dyDescent="0.2">
      <c r="B737" s="21">
        <v>23</v>
      </c>
      <c r="C737" s="19">
        <v>14218</v>
      </c>
      <c r="D737" s="22" t="s">
        <v>1711</v>
      </c>
      <c r="E737" s="22" t="s">
        <v>1712</v>
      </c>
    </row>
    <row r="738" spans="2:5" x14ac:dyDescent="0.2">
      <c r="B738" s="23">
        <v>23</v>
      </c>
      <c r="C738" s="20">
        <v>14219</v>
      </c>
      <c r="D738" s="22" t="s">
        <v>1713</v>
      </c>
      <c r="E738" s="22" t="s">
        <v>1714</v>
      </c>
    </row>
    <row r="739" spans="2:5" x14ac:dyDescent="0.2">
      <c r="B739" s="21">
        <v>23</v>
      </c>
      <c r="C739" s="19">
        <v>14220</v>
      </c>
      <c r="D739" s="22" t="s">
        <v>1715</v>
      </c>
      <c r="E739" s="22" t="s">
        <v>1716</v>
      </c>
    </row>
    <row r="740" spans="2:5" x14ac:dyDescent="0.2">
      <c r="B740" s="23">
        <v>23</v>
      </c>
      <c r="C740" s="20">
        <v>14221</v>
      </c>
      <c r="D740" s="22" t="s">
        <v>1717</v>
      </c>
      <c r="E740" s="22" t="s">
        <v>1718</v>
      </c>
    </row>
    <row r="741" spans="2:5" x14ac:dyDescent="0.2">
      <c r="B741" s="21">
        <v>23</v>
      </c>
      <c r="C741" s="19">
        <v>14222</v>
      </c>
      <c r="D741" s="22" t="s">
        <v>1719</v>
      </c>
      <c r="E741" s="22" t="s">
        <v>1720</v>
      </c>
    </row>
    <row r="742" spans="2:5" x14ac:dyDescent="0.2">
      <c r="B742" s="23">
        <v>23</v>
      </c>
      <c r="C742" s="20">
        <v>14223</v>
      </c>
      <c r="D742" s="22" t="s">
        <v>1721</v>
      </c>
      <c r="E742" s="22" t="s">
        <v>1722</v>
      </c>
    </row>
    <row r="743" spans="2:5" x14ac:dyDescent="0.2">
      <c r="B743" s="21">
        <v>23</v>
      </c>
      <c r="C743" s="19">
        <v>14224</v>
      </c>
      <c r="D743" s="22" t="s">
        <v>1723</v>
      </c>
      <c r="E743" s="22" t="s">
        <v>1724</v>
      </c>
    </row>
    <row r="744" spans="2:5" x14ac:dyDescent="0.2">
      <c r="B744" s="23">
        <v>23</v>
      </c>
      <c r="C744" s="20">
        <v>14225</v>
      </c>
      <c r="D744" s="22" t="s">
        <v>1725</v>
      </c>
      <c r="E744" s="22" t="s">
        <v>1726</v>
      </c>
    </row>
    <row r="745" spans="2:5" x14ac:dyDescent="0.2">
      <c r="B745" s="21">
        <v>23</v>
      </c>
      <c r="C745" s="19">
        <v>14226</v>
      </c>
      <c r="D745" s="22" t="s">
        <v>1727</v>
      </c>
      <c r="E745" s="22" t="s">
        <v>1728</v>
      </c>
    </row>
    <row r="746" spans="2:5" x14ac:dyDescent="0.2">
      <c r="B746" s="23">
        <v>23</v>
      </c>
      <c r="C746" s="20">
        <v>14227</v>
      </c>
      <c r="D746" s="22" t="s">
        <v>1729</v>
      </c>
      <c r="E746" s="22" t="s">
        <v>1730</v>
      </c>
    </row>
    <row r="747" spans="2:5" x14ac:dyDescent="0.2">
      <c r="B747" s="21">
        <v>23</v>
      </c>
      <c r="C747" s="19">
        <v>14228</v>
      </c>
      <c r="D747" s="22" t="s">
        <v>1731</v>
      </c>
      <c r="E747" s="22" t="s">
        <v>1732</v>
      </c>
    </row>
    <row r="748" spans="2:5" x14ac:dyDescent="0.2">
      <c r="B748" s="23">
        <v>23</v>
      </c>
      <c r="C748" s="20">
        <v>14229</v>
      </c>
      <c r="D748" s="22" t="s">
        <v>1733</v>
      </c>
      <c r="E748" s="22" t="s">
        <v>1734</v>
      </c>
    </row>
    <row r="749" spans="2:5" x14ac:dyDescent="0.2">
      <c r="B749" s="21">
        <v>23</v>
      </c>
      <c r="C749" s="19">
        <v>14230</v>
      </c>
      <c r="D749" s="22" t="s">
        <v>1735</v>
      </c>
      <c r="E749" s="22" t="s">
        <v>1736</v>
      </c>
    </row>
    <row r="750" spans="2:5" x14ac:dyDescent="0.2">
      <c r="B750" s="23">
        <v>23</v>
      </c>
      <c r="C750" s="20">
        <v>14231</v>
      </c>
      <c r="D750" s="22" t="s">
        <v>1737</v>
      </c>
      <c r="E750" s="22" t="s">
        <v>1738</v>
      </c>
    </row>
    <row r="751" spans="2:5" x14ac:dyDescent="0.2">
      <c r="B751" s="21">
        <v>23</v>
      </c>
      <c r="C751" s="19">
        <v>14232</v>
      </c>
      <c r="D751" s="22" t="s">
        <v>1739</v>
      </c>
      <c r="E751" s="22" t="s">
        <v>1740</v>
      </c>
    </row>
    <row r="752" spans="2:5" x14ac:dyDescent="0.2">
      <c r="B752" s="23">
        <v>23</v>
      </c>
      <c r="C752" s="20">
        <v>14233</v>
      </c>
      <c r="D752" s="22" t="s">
        <v>1741</v>
      </c>
      <c r="E752" s="22" t="s">
        <v>1742</v>
      </c>
    </row>
    <row r="753" spans="2:5" x14ac:dyDescent="0.2">
      <c r="B753" s="21">
        <v>23</v>
      </c>
      <c r="C753" s="19">
        <v>14234</v>
      </c>
      <c r="D753" s="22" t="s">
        <v>1743</v>
      </c>
      <c r="E753" s="22" t="s">
        <v>1744</v>
      </c>
    </row>
    <row r="754" spans="2:5" x14ac:dyDescent="0.2">
      <c r="B754" s="23">
        <v>24</v>
      </c>
      <c r="C754" s="20">
        <v>14235</v>
      </c>
      <c r="D754" s="22" t="s">
        <v>1745</v>
      </c>
      <c r="E754" s="22" t="s">
        <v>1746</v>
      </c>
    </row>
    <row r="755" spans="2:5" x14ac:dyDescent="0.2">
      <c r="B755" s="21">
        <v>24</v>
      </c>
      <c r="C755" s="19">
        <v>14236</v>
      </c>
      <c r="D755" s="22" t="s">
        <v>998</v>
      </c>
      <c r="E755" s="22" t="s">
        <v>1747</v>
      </c>
    </row>
    <row r="756" spans="2:5" x14ac:dyDescent="0.2">
      <c r="B756" s="23">
        <v>24</v>
      </c>
      <c r="C756" s="20">
        <v>14237</v>
      </c>
      <c r="D756" s="22" t="s">
        <v>1748</v>
      </c>
      <c r="E756" s="22" t="s">
        <v>1749</v>
      </c>
    </row>
    <row r="757" spans="2:5" x14ac:dyDescent="0.2">
      <c r="B757" s="21">
        <v>24</v>
      </c>
      <c r="C757" s="19">
        <v>14238</v>
      </c>
      <c r="D757" s="22" t="s">
        <v>1750</v>
      </c>
      <c r="E757" s="22" t="s">
        <v>1751</v>
      </c>
    </row>
    <row r="758" spans="2:5" x14ac:dyDescent="0.2">
      <c r="B758" s="23">
        <v>25</v>
      </c>
      <c r="C758" s="20">
        <v>14239</v>
      </c>
      <c r="D758" s="22" t="s">
        <v>1006</v>
      </c>
      <c r="E758" s="22" t="s">
        <v>1752</v>
      </c>
    </row>
    <row r="759" spans="2:5" x14ac:dyDescent="0.2">
      <c r="B759" s="21">
        <v>25</v>
      </c>
      <c r="C759" s="19">
        <v>14240</v>
      </c>
      <c r="D759" s="22" t="s">
        <v>1753</v>
      </c>
      <c r="E759" s="22" t="s">
        <v>1754</v>
      </c>
    </row>
    <row r="760" spans="2:5" x14ac:dyDescent="0.2">
      <c r="B760" s="23">
        <v>25</v>
      </c>
      <c r="C760" s="20">
        <v>14241</v>
      </c>
      <c r="D760" s="22" t="s">
        <v>1755</v>
      </c>
      <c r="E760" s="22" t="s">
        <v>1756</v>
      </c>
    </row>
    <row r="761" spans="2:5" x14ac:dyDescent="0.2">
      <c r="B761" s="21">
        <v>25</v>
      </c>
      <c r="C761" s="19">
        <v>14242</v>
      </c>
      <c r="D761" s="22" t="s">
        <v>1757</v>
      </c>
      <c r="E761" s="22" t="s">
        <v>1758</v>
      </c>
    </row>
    <row r="762" spans="2:5" x14ac:dyDescent="0.2">
      <c r="B762" s="23">
        <v>25</v>
      </c>
      <c r="C762" s="20">
        <v>14243</v>
      </c>
      <c r="D762" s="22" t="s">
        <v>1759</v>
      </c>
      <c r="E762" s="22" t="s">
        <v>1760</v>
      </c>
    </row>
    <row r="763" spans="2:5" x14ac:dyDescent="0.2">
      <c r="B763" s="21">
        <v>25</v>
      </c>
      <c r="C763" s="19">
        <v>14244</v>
      </c>
      <c r="D763" s="22" t="s">
        <v>1761</v>
      </c>
      <c r="E763" s="22" t="s">
        <v>1762</v>
      </c>
    </row>
    <row r="764" spans="2:5" x14ac:dyDescent="0.2">
      <c r="B764" s="23">
        <v>25</v>
      </c>
      <c r="C764" s="20">
        <v>14245</v>
      </c>
      <c r="D764" s="22" t="s">
        <v>1763</v>
      </c>
      <c r="E764" s="22" t="s">
        <v>1764</v>
      </c>
    </row>
    <row r="765" spans="2:5" x14ac:dyDescent="0.2">
      <c r="B765" s="21">
        <v>25</v>
      </c>
      <c r="C765" s="19">
        <v>14246</v>
      </c>
      <c r="D765" s="22" t="s">
        <v>1765</v>
      </c>
      <c r="E765" s="22" t="s">
        <v>1766</v>
      </c>
    </row>
    <row r="766" spans="2:5" x14ac:dyDescent="0.2">
      <c r="B766" s="23">
        <v>25</v>
      </c>
      <c r="C766" s="20">
        <v>14247</v>
      </c>
      <c r="D766" s="22" t="s">
        <v>1767</v>
      </c>
      <c r="E766" s="22" t="s">
        <v>1768</v>
      </c>
    </row>
    <row r="767" spans="2:5" x14ac:dyDescent="0.2">
      <c r="B767" s="21">
        <v>25</v>
      </c>
      <c r="C767" s="19">
        <v>14248</v>
      </c>
      <c r="D767" s="22" t="s">
        <v>1769</v>
      </c>
      <c r="E767" s="22" t="s">
        <v>1770</v>
      </c>
    </row>
    <row r="768" spans="2:5" x14ac:dyDescent="0.2">
      <c r="B768" s="23">
        <v>25</v>
      </c>
      <c r="C768" s="20">
        <v>14249</v>
      </c>
      <c r="D768" s="22" t="s">
        <v>1771</v>
      </c>
      <c r="E768" s="22" t="s">
        <v>1772</v>
      </c>
    </row>
    <row r="769" spans="2:5" x14ac:dyDescent="0.2">
      <c r="B769" s="21">
        <v>25</v>
      </c>
      <c r="C769" s="19">
        <v>14250</v>
      </c>
      <c r="D769" s="22" t="s">
        <v>1773</v>
      </c>
      <c r="E769" s="22" t="s">
        <v>1774</v>
      </c>
    </row>
    <row r="770" spans="2:5" x14ac:dyDescent="0.2">
      <c r="B770" s="23">
        <v>25</v>
      </c>
      <c r="C770" s="20">
        <v>14251</v>
      </c>
      <c r="D770" s="22" t="s">
        <v>1775</v>
      </c>
      <c r="E770" s="22" t="s">
        <v>1776</v>
      </c>
    </row>
    <row r="771" spans="2:5" x14ac:dyDescent="0.2">
      <c r="B771" s="21">
        <v>25</v>
      </c>
      <c r="C771" s="19">
        <v>14252</v>
      </c>
      <c r="D771" s="22" t="s">
        <v>1777</v>
      </c>
      <c r="E771" s="22" t="s">
        <v>1778</v>
      </c>
    </row>
    <row r="772" spans="2:5" x14ac:dyDescent="0.2">
      <c r="B772" s="23">
        <v>25</v>
      </c>
      <c r="C772" s="20">
        <v>14253</v>
      </c>
      <c r="D772" s="22" t="s">
        <v>1779</v>
      </c>
      <c r="E772" s="22" t="s">
        <v>1780</v>
      </c>
    </row>
    <row r="773" spans="2:5" x14ac:dyDescent="0.2">
      <c r="B773" s="21">
        <v>25</v>
      </c>
      <c r="C773" s="19">
        <v>14254</v>
      </c>
      <c r="D773" s="22" t="s">
        <v>1781</v>
      </c>
      <c r="E773" s="22" t="s">
        <v>1782</v>
      </c>
    </row>
    <row r="774" spans="2:5" x14ac:dyDescent="0.2">
      <c r="B774" s="23">
        <v>25</v>
      </c>
      <c r="C774" s="20">
        <v>14255</v>
      </c>
      <c r="D774" s="22" t="s">
        <v>1783</v>
      </c>
      <c r="E774" s="22" t="s">
        <v>1784</v>
      </c>
    </row>
    <row r="775" spans="2:5" x14ac:dyDescent="0.2">
      <c r="B775" s="21">
        <v>25</v>
      </c>
      <c r="C775" s="19">
        <v>14256</v>
      </c>
      <c r="D775" s="22" t="s">
        <v>1785</v>
      </c>
      <c r="E775" s="22" t="s">
        <v>1786</v>
      </c>
    </row>
    <row r="776" spans="2:5" x14ac:dyDescent="0.2">
      <c r="B776" s="23">
        <v>31</v>
      </c>
      <c r="C776" s="20">
        <v>14257</v>
      </c>
      <c r="D776" s="22" t="s">
        <v>1787</v>
      </c>
      <c r="E776" s="22" t="s">
        <v>1788</v>
      </c>
    </row>
    <row r="777" spans="2:5" x14ac:dyDescent="0.2">
      <c r="B777" s="21">
        <v>31</v>
      </c>
      <c r="C777" s="19">
        <v>14258</v>
      </c>
      <c r="D777" s="22" t="s">
        <v>1789</v>
      </c>
      <c r="E777" s="22" t="s">
        <v>1790</v>
      </c>
    </row>
    <row r="778" spans="2:5" x14ac:dyDescent="0.2">
      <c r="B778" s="23">
        <v>31</v>
      </c>
      <c r="C778" s="20">
        <v>14259</v>
      </c>
      <c r="D778" s="22" t="s">
        <v>1791</v>
      </c>
      <c r="E778" s="22" t="s">
        <v>1792</v>
      </c>
    </row>
    <row r="779" spans="2:5" x14ac:dyDescent="0.2">
      <c r="B779" s="21">
        <v>31</v>
      </c>
      <c r="C779" s="19">
        <v>14260</v>
      </c>
      <c r="D779" s="22" t="s">
        <v>1793</v>
      </c>
      <c r="E779" s="22" t="s">
        <v>1794</v>
      </c>
    </row>
    <row r="780" spans="2:5" x14ac:dyDescent="0.2">
      <c r="B780" s="23">
        <v>31</v>
      </c>
      <c r="C780" s="20">
        <v>14261</v>
      </c>
      <c r="D780" s="22" t="s">
        <v>1795</v>
      </c>
      <c r="E780" s="22" t="s">
        <v>1796</v>
      </c>
    </row>
    <row r="781" spans="2:5" x14ac:dyDescent="0.2">
      <c r="B781" s="21">
        <v>31</v>
      </c>
      <c r="C781" s="19">
        <v>14262</v>
      </c>
      <c r="D781" s="22" t="s">
        <v>1797</v>
      </c>
      <c r="E781" s="22" t="s">
        <v>1798</v>
      </c>
    </row>
    <row r="782" spans="2:5" x14ac:dyDescent="0.2">
      <c r="B782" s="23">
        <v>31</v>
      </c>
      <c r="C782" s="20">
        <v>14263</v>
      </c>
      <c r="D782" s="22" t="s">
        <v>1799</v>
      </c>
      <c r="E782" s="22" t="s">
        <v>1800</v>
      </c>
    </row>
    <row r="783" spans="2:5" x14ac:dyDescent="0.2">
      <c r="B783" s="21">
        <v>31</v>
      </c>
      <c r="C783" s="19">
        <v>14264</v>
      </c>
      <c r="D783" s="22" t="s">
        <v>1801</v>
      </c>
      <c r="E783" s="22" t="s">
        <v>1802</v>
      </c>
    </row>
    <row r="784" spans="2:5" x14ac:dyDescent="0.2">
      <c r="B784" s="23">
        <v>31</v>
      </c>
      <c r="C784" s="20">
        <v>14265</v>
      </c>
      <c r="D784" s="22" t="s">
        <v>1803</v>
      </c>
      <c r="E784" s="22" t="s">
        <v>1804</v>
      </c>
    </row>
    <row r="785" spans="2:5" x14ac:dyDescent="0.2">
      <c r="B785" s="21">
        <v>31</v>
      </c>
      <c r="C785" s="19">
        <v>14266</v>
      </c>
      <c r="D785" s="22" t="s">
        <v>1805</v>
      </c>
      <c r="E785" s="22" t="s">
        <v>1806</v>
      </c>
    </row>
    <row r="786" spans="2:5" x14ac:dyDescent="0.2">
      <c r="B786" s="23">
        <v>31</v>
      </c>
      <c r="C786" s="20">
        <v>14267</v>
      </c>
      <c r="D786" s="22" t="s">
        <v>1807</v>
      </c>
      <c r="E786" s="22" t="s">
        <v>1808</v>
      </c>
    </row>
    <row r="787" spans="2:5" x14ac:dyDescent="0.2">
      <c r="B787" s="21">
        <v>31</v>
      </c>
      <c r="C787" s="19">
        <v>14268</v>
      </c>
      <c r="D787" s="22" t="s">
        <v>1809</v>
      </c>
      <c r="E787" s="22" t="s">
        <v>1810</v>
      </c>
    </row>
    <row r="788" spans="2:5" x14ac:dyDescent="0.2">
      <c r="B788" s="23">
        <v>31</v>
      </c>
      <c r="C788" s="20">
        <v>14269</v>
      </c>
      <c r="D788" s="22" t="s">
        <v>1811</v>
      </c>
      <c r="E788" s="22" t="s">
        <v>1812</v>
      </c>
    </row>
    <row r="789" spans="2:5" x14ac:dyDescent="0.2">
      <c r="B789" s="21">
        <v>31</v>
      </c>
      <c r="C789" s="19">
        <v>14270</v>
      </c>
      <c r="D789" s="22" t="s">
        <v>1813</v>
      </c>
      <c r="E789" s="22" t="s">
        <v>1814</v>
      </c>
    </row>
    <row r="790" spans="2:5" x14ac:dyDescent="0.2">
      <c r="B790" s="23">
        <v>31</v>
      </c>
      <c r="C790" s="20">
        <v>14271</v>
      </c>
      <c r="D790" s="22" t="s">
        <v>1815</v>
      </c>
      <c r="E790" s="22" t="s">
        <v>1816</v>
      </c>
    </row>
    <row r="791" spans="2:5" x14ac:dyDescent="0.2">
      <c r="B791" s="21">
        <v>31</v>
      </c>
      <c r="C791" s="19">
        <v>14272</v>
      </c>
      <c r="D791" s="22" t="s">
        <v>1817</v>
      </c>
      <c r="E791" s="22" t="s">
        <v>1818</v>
      </c>
    </row>
    <row r="792" spans="2:5" x14ac:dyDescent="0.2">
      <c r="B792" s="23">
        <v>31</v>
      </c>
      <c r="C792" s="20">
        <v>14273</v>
      </c>
      <c r="D792" s="22" t="s">
        <v>1819</v>
      </c>
      <c r="E792" s="22" t="s">
        <v>1820</v>
      </c>
    </row>
    <row r="793" spans="2:5" x14ac:dyDescent="0.2">
      <c r="B793" s="21">
        <v>31</v>
      </c>
      <c r="C793" s="19">
        <v>14274</v>
      </c>
      <c r="D793" s="22" t="s">
        <v>1821</v>
      </c>
      <c r="E793" s="22" t="s">
        <v>1822</v>
      </c>
    </row>
    <row r="794" spans="2:5" x14ac:dyDescent="0.2">
      <c r="B794" s="23">
        <v>31</v>
      </c>
      <c r="C794" s="20">
        <v>14275</v>
      </c>
      <c r="D794" s="22" t="s">
        <v>1823</v>
      </c>
      <c r="E794" s="22" t="s">
        <v>1824</v>
      </c>
    </row>
    <row r="795" spans="2:5" x14ac:dyDescent="0.2">
      <c r="B795" s="21">
        <v>31</v>
      </c>
      <c r="C795" s="19">
        <v>14276</v>
      </c>
      <c r="D795" s="22" t="s">
        <v>1825</v>
      </c>
      <c r="E795" s="22" t="s">
        <v>1826</v>
      </c>
    </row>
    <row r="796" spans="2:5" x14ac:dyDescent="0.2">
      <c r="B796" s="23">
        <v>31</v>
      </c>
      <c r="C796" s="20">
        <v>14277</v>
      </c>
      <c r="D796" s="22" t="s">
        <v>1827</v>
      </c>
      <c r="E796" s="22" t="s">
        <v>1828</v>
      </c>
    </row>
    <row r="797" spans="2:5" x14ac:dyDescent="0.2">
      <c r="B797" s="21">
        <v>31</v>
      </c>
      <c r="C797" s="19">
        <v>14278</v>
      </c>
      <c r="D797" s="22" t="s">
        <v>1829</v>
      </c>
      <c r="E797" s="22" t="s">
        <v>1830</v>
      </c>
    </row>
    <row r="798" spans="2:5" x14ac:dyDescent="0.2">
      <c r="B798" s="23">
        <v>31</v>
      </c>
      <c r="C798" s="20">
        <v>14279</v>
      </c>
      <c r="D798" s="22" t="s">
        <v>1831</v>
      </c>
      <c r="E798" s="22" t="s">
        <v>1808</v>
      </c>
    </row>
    <row r="799" spans="2:5" x14ac:dyDescent="0.2">
      <c r="B799" s="21">
        <v>31</v>
      </c>
      <c r="C799" s="19">
        <v>14280</v>
      </c>
      <c r="D799" s="22" t="s">
        <v>1832</v>
      </c>
      <c r="E799" s="22" t="s">
        <v>1833</v>
      </c>
    </row>
    <row r="800" spans="2:5" x14ac:dyDescent="0.2">
      <c r="B800" s="23">
        <v>31</v>
      </c>
      <c r="C800" s="20">
        <v>14281</v>
      </c>
      <c r="D800" s="22" t="s">
        <v>1834</v>
      </c>
      <c r="E800" s="22" t="s">
        <v>1835</v>
      </c>
    </row>
    <row r="801" spans="2:5" x14ac:dyDescent="0.2">
      <c r="B801" s="21">
        <v>32</v>
      </c>
      <c r="C801" s="19">
        <v>14282</v>
      </c>
      <c r="D801" s="22" t="s">
        <v>1836</v>
      </c>
      <c r="E801" s="22" t="s">
        <v>1837</v>
      </c>
    </row>
    <row r="802" spans="2:5" x14ac:dyDescent="0.2">
      <c r="B802" s="23">
        <v>32</v>
      </c>
      <c r="C802" s="20">
        <v>14283</v>
      </c>
      <c r="D802" s="22" t="s">
        <v>1838</v>
      </c>
      <c r="E802" s="22" t="s">
        <v>1839</v>
      </c>
    </row>
    <row r="803" spans="2:5" x14ac:dyDescent="0.2">
      <c r="B803" s="21">
        <v>32</v>
      </c>
      <c r="C803" s="19">
        <v>14284</v>
      </c>
      <c r="D803" s="22" t="s">
        <v>1840</v>
      </c>
      <c r="E803" s="22" t="s">
        <v>1841</v>
      </c>
    </row>
    <row r="804" spans="2:5" x14ac:dyDescent="0.2">
      <c r="B804" s="23">
        <v>32</v>
      </c>
      <c r="C804" s="20">
        <v>14285</v>
      </c>
      <c r="D804" s="22" t="s">
        <v>1842</v>
      </c>
      <c r="E804" s="22" t="s">
        <v>1843</v>
      </c>
    </row>
    <row r="805" spans="2:5" x14ac:dyDescent="0.2">
      <c r="B805" s="21">
        <v>32</v>
      </c>
      <c r="C805" s="19">
        <v>14286</v>
      </c>
      <c r="D805" s="22" t="s">
        <v>1844</v>
      </c>
      <c r="E805" s="22" t="s">
        <v>1845</v>
      </c>
    </row>
    <row r="806" spans="2:5" x14ac:dyDescent="0.2">
      <c r="B806" s="23">
        <v>32</v>
      </c>
      <c r="C806" s="20">
        <v>14287</v>
      </c>
      <c r="D806" s="22" t="s">
        <v>1846</v>
      </c>
      <c r="E806" s="22" t="s">
        <v>1847</v>
      </c>
    </row>
    <row r="807" spans="2:5" x14ac:dyDescent="0.2">
      <c r="B807" s="21">
        <v>32</v>
      </c>
      <c r="C807" s="19">
        <v>14288</v>
      </c>
      <c r="D807" s="22" t="s">
        <v>1848</v>
      </c>
      <c r="E807" s="22" t="s">
        <v>1849</v>
      </c>
    </row>
    <row r="808" spans="2:5" x14ac:dyDescent="0.2">
      <c r="B808" s="23">
        <v>32</v>
      </c>
      <c r="C808" s="20">
        <v>14289</v>
      </c>
      <c r="D808" s="22" t="s">
        <v>1850</v>
      </c>
      <c r="E808" s="22" t="s">
        <v>1851</v>
      </c>
    </row>
    <row r="809" spans="2:5" x14ac:dyDescent="0.2">
      <c r="B809" s="21">
        <v>32</v>
      </c>
      <c r="C809" s="19">
        <v>14290</v>
      </c>
      <c r="D809" s="22" t="s">
        <v>1852</v>
      </c>
      <c r="E809" s="22" t="s">
        <v>1853</v>
      </c>
    </row>
    <row r="810" spans="2:5" x14ac:dyDescent="0.2">
      <c r="B810" s="23">
        <v>32</v>
      </c>
      <c r="C810" s="20">
        <v>14291</v>
      </c>
      <c r="D810" s="22" t="s">
        <v>1854</v>
      </c>
      <c r="E810" s="22" t="s">
        <v>1855</v>
      </c>
    </row>
    <row r="811" spans="2:5" x14ac:dyDescent="0.2">
      <c r="B811" s="21">
        <v>32</v>
      </c>
      <c r="C811" s="19">
        <v>14292</v>
      </c>
      <c r="D811" s="22" t="s">
        <v>1856</v>
      </c>
      <c r="E811" s="22" t="s">
        <v>1857</v>
      </c>
    </row>
    <row r="812" spans="2:5" x14ac:dyDescent="0.2">
      <c r="B812" s="23">
        <v>32</v>
      </c>
      <c r="C812" s="20">
        <v>14293</v>
      </c>
      <c r="D812" s="22" t="s">
        <v>1858</v>
      </c>
      <c r="E812" s="22" t="s">
        <v>1859</v>
      </c>
    </row>
    <row r="813" spans="2:5" x14ac:dyDescent="0.2">
      <c r="B813" s="21">
        <v>32</v>
      </c>
      <c r="C813" s="19">
        <v>14294</v>
      </c>
      <c r="D813" s="22" t="s">
        <v>1860</v>
      </c>
      <c r="E813" s="22" t="s">
        <v>1861</v>
      </c>
    </row>
    <row r="814" spans="2:5" x14ac:dyDescent="0.2">
      <c r="B814" s="23">
        <v>32</v>
      </c>
      <c r="C814" s="20">
        <v>14295</v>
      </c>
      <c r="D814" s="22" t="s">
        <v>1862</v>
      </c>
      <c r="E814" s="22" t="s">
        <v>1863</v>
      </c>
    </row>
    <row r="815" spans="2:5" x14ac:dyDescent="0.2">
      <c r="B815" s="21">
        <v>32</v>
      </c>
      <c r="C815" s="19">
        <v>14296</v>
      </c>
      <c r="D815" s="22" t="s">
        <v>1864</v>
      </c>
      <c r="E815" s="22" t="s">
        <v>1865</v>
      </c>
    </row>
    <row r="816" spans="2:5" x14ac:dyDescent="0.2">
      <c r="B816" s="23">
        <v>1</v>
      </c>
      <c r="C816" s="20">
        <v>14297</v>
      </c>
      <c r="D816" s="22" t="s">
        <v>1866</v>
      </c>
      <c r="E816" s="22" t="s">
        <v>1867</v>
      </c>
    </row>
    <row r="817" spans="2:5" x14ac:dyDescent="0.2">
      <c r="B817" s="21">
        <v>1</v>
      </c>
      <c r="C817" s="19">
        <v>14298</v>
      </c>
      <c r="D817" s="22" t="s">
        <v>1868</v>
      </c>
      <c r="E817" s="22" t="s">
        <v>1869</v>
      </c>
    </row>
    <row r="818" spans="2:5" x14ac:dyDescent="0.2">
      <c r="B818" s="23">
        <v>1</v>
      </c>
      <c r="C818" s="20">
        <v>14299</v>
      </c>
      <c r="D818" s="22" t="s">
        <v>1870</v>
      </c>
      <c r="E818" s="22" t="s">
        <v>1871</v>
      </c>
    </row>
    <row r="819" spans="2:5" x14ac:dyDescent="0.2">
      <c r="B819" s="21">
        <v>1</v>
      </c>
      <c r="C819" s="19">
        <v>14300</v>
      </c>
      <c r="D819" s="22" t="s">
        <v>1872</v>
      </c>
      <c r="E819" s="22" t="s">
        <v>1873</v>
      </c>
    </row>
    <row r="820" spans="2:5" x14ac:dyDescent="0.2">
      <c r="B820" s="23">
        <v>1</v>
      </c>
      <c r="C820" s="20">
        <v>14301</v>
      </c>
      <c r="D820" s="22" t="s">
        <v>1874</v>
      </c>
      <c r="E820" s="22" t="s">
        <v>1875</v>
      </c>
    </row>
    <row r="821" spans="2:5" x14ac:dyDescent="0.2">
      <c r="B821" s="21">
        <v>1</v>
      </c>
      <c r="C821" s="19">
        <v>14302</v>
      </c>
      <c r="D821" s="22" t="s">
        <v>1876</v>
      </c>
      <c r="E821" s="22" t="s">
        <v>1877</v>
      </c>
    </row>
    <row r="822" spans="2:5" x14ac:dyDescent="0.2">
      <c r="B822" s="23">
        <v>1</v>
      </c>
      <c r="C822" s="20">
        <v>14303</v>
      </c>
      <c r="D822" s="22" t="s">
        <v>1878</v>
      </c>
      <c r="E822" s="22" t="s">
        <v>1879</v>
      </c>
    </row>
    <row r="823" spans="2:5" x14ac:dyDescent="0.2">
      <c r="B823" s="21">
        <v>1</v>
      </c>
      <c r="C823" s="19">
        <v>14304</v>
      </c>
      <c r="D823" s="22" t="s">
        <v>1880</v>
      </c>
      <c r="E823" s="22" t="s">
        <v>1881</v>
      </c>
    </row>
    <row r="824" spans="2:5" x14ac:dyDescent="0.2">
      <c r="B824" s="23">
        <v>1</v>
      </c>
      <c r="C824" s="20">
        <v>14305</v>
      </c>
      <c r="D824" s="22" t="s">
        <v>1882</v>
      </c>
      <c r="E824" s="22" t="s">
        <v>1883</v>
      </c>
    </row>
    <row r="825" spans="2:5" x14ac:dyDescent="0.2">
      <c r="B825" s="21">
        <v>1</v>
      </c>
      <c r="C825" s="19">
        <v>14306</v>
      </c>
      <c r="D825" s="22" t="s">
        <v>1884</v>
      </c>
      <c r="E825" s="22" t="s">
        <v>1885</v>
      </c>
    </row>
    <row r="826" spans="2:5" x14ac:dyDescent="0.2">
      <c r="B826" s="23">
        <v>1</v>
      </c>
      <c r="C826" s="20">
        <v>14307</v>
      </c>
      <c r="D826" s="22" t="s">
        <v>1886</v>
      </c>
      <c r="E826" s="22" t="s">
        <v>1887</v>
      </c>
    </row>
    <row r="827" spans="2:5" x14ac:dyDescent="0.2">
      <c r="B827" s="21">
        <v>1</v>
      </c>
      <c r="C827" s="19">
        <v>14308</v>
      </c>
      <c r="D827" s="22" t="s">
        <v>1888</v>
      </c>
      <c r="E827" s="22" t="s">
        <v>1889</v>
      </c>
    </row>
    <row r="828" spans="2:5" x14ac:dyDescent="0.2">
      <c r="B828" s="23">
        <v>1</v>
      </c>
      <c r="C828" s="20">
        <v>14309</v>
      </c>
      <c r="D828" s="22" t="s">
        <v>1890</v>
      </c>
      <c r="E828" s="22" t="s">
        <v>1891</v>
      </c>
    </row>
    <row r="829" spans="2:5" x14ac:dyDescent="0.2">
      <c r="B829" s="21">
        <v>1</v>
      </c>
      <c r="C829" s="19">
        <v>14310</v>
      </c>
      <c r="D829" s="22" t="s">
        <v>1892</v>
      </c>
      <c r="E829" s="22" t="s">
        <v>1893</v>
      </c>
    </row>
    <row r="830" spans="2:5" x14ac:dyDescent="0.2">
      <c r="B830" s="23">
        <v>1</v>
      </c>
      <c r="C830" s="20">
        <v>14311</v>
      </c>
      <c r="D830" s="22" t="s">
        <v>1894</v>
      </c>
      <c r="E830" s="22" t="s">
        <v>1895</v>
      </c>
    </row>
    <row r="831" spans="2:5" x14ac:dyDescent="0.2">
      <c r="B831" s="21">
        <v>1</v>
      </c>
      <c r="C831" s="19">
        <v>14312</v>
      </c>
      <c r="D831" s="22" t="s">
        <v>1896</v>
      </c>
      <c r="E831" s="22" t="s">
        <v>1897</v>
      </c>
    </row>
    <row r="832" spans="2:5" x14ac:dyDescent="0.2">
      <c r="B832" s="23">
        <v>1</v>
      </c>
      <c r="C832" s="20">
        <v>14313</v>
      </c>
      <c r="D832" s="22" t="s">
        <v>1898</v>
      </c>
      <c r="E832" s="22" t="s">
        <v>1899</v>
      </c>
    </row>
    <row r="833" spans="2:5" x14ac:dyDescent="0.2">
      <c r="B833" s="21">
        <v>1</v>
      </c>
      <c r="C833" s="19">
        <v>14314</v>
      </c>
      <c r="D833" s="22" t="s">
        <v>1900</v>
      </c>
      <c r="E833" s="22" t="s">
        <v>1901</v>
      </c>
    </row>
    <row r="834" spans="2:5" x14ac:dyDescent="0.2">
      <c r="B834" s="23">
        <v>1</v>
      </c>
      <c r="C834" s="20">
        <v>14315</v>
      </c>
      <c r="D834" s="22" t="s">
        <v>1902</v>
      </c>
      <c r="E834" s="22" t="s">
        <v>1903</v>
      </c>
    </row>
    <row r="835" spans="2:5" x14ac:dyDescent="0.2">
      <c r="B835" s="21">
        <v>1</v>
      </c>
      <c r="C835" s="19">
        <v>14316</v>
      </c>
      <c r="D835" s="22" t="s">
        <v>1904</v>
      </c>
      <c r="E835" s="22" t="s">
        <v>1905</v>
      </c>
    </row>
    <row r="836" spans="2:5" x14ac:dyDescent="0.2">
      <c r="B836" s="23">
        <v>1</v>
      </c>
      <c r="C836" s="20">
        <v>14317</v>
      </c>
      <c r="D836" s="22" t="s">
        <v>1906</v>
      </c>
      <c r="E836" s="22" t="s">
        <v>1907</v>
      </c>
    </row>
    <row r="837" spans="2:5" x14ac:dyDescent="0.2">
      <c r="B837" s="21">
        <v>1</v>
      </c>
      <c r="C837" s="19">
        <v>14318</v>
      </c>
      <c r="D837" s="22" t="s">
        <v>1908</v>
      </c>
      <c r="E837" s="22" t="s">
        <v>1909</v>
      </c>
    </row>
    <row r="838" spans="2:5" x14ac:dyDescent="0.2">
      <c r="B838" s="23">
        <v>1</v>
      </c>
      <c r="C838" s="20">
        <v>14319</v>
      </c>
      <c r="D838" s="22" t="s">
        <v>1910</v>
      </c>
      <c r="E838" s="22" t="s">
        <v>1911</v>
      </c>
    </row>
    <row r="839" spans="2:5" x14ac:dyDescent="0.2">
      <c r="B839" s="21">
        <v>1</v>
      </c>
      <c r="C839" s="19">
        <v>14320</v>
      </c>
      <c r="D839" s="22" t="s">
        <v>1912</v>
      </c>
      <c r="E839" s="22" t="s">
        <v>1913</v>
      </c>
    </row>
    <row r="840" spans="2:5" x14ac:dyDescent="0.2">
      <c r="B840" s="23">
        <v>1</v>
      </c>
      <c r="C840" s="20">
        <v>14321</v>
      </c>
      <c r="D840" s="22" t="s">
        <v>1914</v>
      </c>
      <c r="E840" s="22" t="s">
        <v>1915</v>
      </c>
    </row>
    <row r="841" spans="2:5" x14ac:dyDescent="0.2">
      <c r="B841" s="21">
        <v>2</v>
      </c>
      <c r="C841" s="19">
        <v>14322</v>
      </c>
      <c r="D841" s="22" t="s">
        <v>1916</v>
      </c>
      <c r="E841" s="22" t="s">
        <v>1917</v>
      </c>
    </row>
    <row r="842" spans="2:5" x14ac:dyDescent="0.2">
      <c r="B842" s="23">
        <v>2</v>
      </c>
      <c r="C842" s="20">
        <v>14323</v>
      </c>
      <c r="D842" s="22" t="s">
        <v>1918</v>
      </c>
      <c r="E842" s="22" t="s">
        <v>1919</v>
      </c>
    </row>
    <row r="843" spans="2:5" x14ac:dyDescent="0.2">
      <c r="B843" s="21">
        <v>2</v>
      </c>
      <c r="C843" s="19">
        <v>14324</v>
      </c>
      <c r="D843" s="22" t="s">
        <v>1920</v>
      </c>
      <c r="E843" s="22" t="s">
        <v>1921</v>
      </c>
    </row>
    <row r="844" spans="2:5" x14ac:dyDescent="0.2">
      <c r="B844" s="23">
        <v>2</v>
      </c>
      <c r="C844" s="20">
        <v>14325</v>
      </c>
      <c r="D844" s="22" t="s">
        <v>1922</v>
      </c>
      <c r="E844" s="22" t="s">
        <v>1923</v>
      </c>
    </row>
    <row r="845" spans="2:5" x14ac:dyDescent="0.2">
      <c r="B845" s="21">
        <v>2</v>
      </c>
      <c r="C845" s="19">
        <v>14326</v>
      </c>
      <c r="D845" s="22" t="s">
        <v>1924</v>
      </c>
      <c r="E845" s="22" t="s">
        <v>1925</v>
      </c>
    </row>
    <row r="846" spans="2:5" x14ac:dyDescent="0.2">
      <c r="B846" s="23">
        <v>2</v>
      </c>
      <c r="C846" s="20">
        <v>14327</v>
      </c>
      <c r="D846" s="22" t="s">
        <v>1926</v>
      </c>
      <c r="E846" s="22" t="s">
        <v>1927</v>
      </c>
    </row>
    <row r="847" spans="2:5" x14ac:dyDescent="0.2">
      <c r="B847" s="21">
        <v>2</v>
      </c>
      <c r="C847" s="19">
        <v>14328</v>
      </c>
      <c r="D847" s="22" t="s">
        <v>1928</v>
      </c>
      <c r="E847" s="22" t="s">
        <v>1929</v>
      </c>
    </row>
    <row r="848" spans="2:5" x14ac:dyDescent="0.2">
      <c r="B848" s="23">
        <v>2</v>
      </c>
      <c r="C848" s="20">
        <v>14329</v>
      </c>
      <c r="D848" s="22" t="s">
        <v>1930</v>
      </c>
      <c r="E848" s="22" t="s">
        <v>1931</v>
      </c>
    </row>
    <row r="849" spans="2:5" x14ac:dyDescent="0.2">
      <c r="B849" s="21">
        <v>2</v>
      </c>
      <c r="C849" s="19">
        <v>14330</v>
      </c>
      <c r="D849" s="22" t="s">
        <v>1932</v>
      </c>
      <c r="E849" s="22" t="s">
        <v>1933</v>
      </c>
    </row>
    <row r="850" spans="2:5" x14ac:dyDescent="0.2">
      <c r="B850" s="23">
        <v>2</v>
      </c>
      <c r="C850" s="20">
        <v>14331</v>
      </c>
      <c r="D850" s="22" t="s">
        <v>1934</v>
      </c>
      <c r="E850" s="22" t="s">
        <v>1935</v>
      </c>
    </row>
    <row r="851" spans="2:5" x14ac:dyDescent="0.2">
      <c r="B851" s="21">
        <v>2</v>
      </c>
      <c r="C851" s="19">
        <v>14332</v>
      </c>
      <c r="D851" s="22" t="s">
        <v>1936</v>
      </c>
      <c r="E851" s="22" t="s">
        <v>1937</v>
      </c>
    </row>
    <row r="852" spans="2:5" x14ac:dyDescent="0.2">
      <c r="B852" s="23">
        <v>2</v>
      </c>
      <c r="C852" s="20">
        <v>14333</v>
      </c>
      <c r="D852" s="22" t="s">
        <v>1938</v>
      </c>
      <c r="E852" s="22" t="s">
        <v>1939</v>
      </c>
    </row>
    <row r="853" spans="2:5" x14ac:dyDescent="0.2">
      <c r="B853" s="21">
        <v>2</v>
      </c>
      <c r="C853" s="19">
        <v>14334</v>
      </c>
      <c r="D853" s="22" t="s">
        <v>1940</v>
      </c>
      <c r="E853" s="22" t="s">
        <v>1941</v>
      </c>
    </row>
    <row r="854" spans="2:5" x14ac:dyDescent="0.2">
      <c r="B854" s="23">
        <v>2</v>
      </c>
      <c r="C854" s="20">
        <v>14335</v>
      </c>
      <c r="D854" s="22" t="s">
        <v>1942</v>
      </c>
      <c r="E854" s="22" t="s">
        <v>1943</v>
      </c>
    </row>
    <row r="855" spans="2:5" x14ac:dyDescent="0.2">
      <c r="B855" s="21">
        <v>2</v>
      </c>
      <c r="C855" s="19">
        <v>14336</v>
      </c>
      <c r="D855" s="22" t="s">
        <v>1944</v>
      </c>
      <c r="E855" s="22" t="s">
        <v>1945</v>
      </c>
    </row>
    <row r="856" spans="2:5" x14ac:dyDescent="0.2">
      <c r="B856" s="23">
        <v>2</v>
      </c>
      <c r="C856" s="20">
        <v>14337</v>
      </c>
      <c r="D856" s="22" t="s">
        <v>1946</v>
      </c>
      <c r="E856" s="22" t="s">
        <v>1947</v>
      </c>
    </row>
    <row r="857" spans="2:5" x14ac:dyDescent="0.2">
      <c r="B857" s="21">
        <v>2</v>
      </c>
      <c r="C857" s="19">
        <v>14338</v>
      </c>
      <c r="D857" s="22" t="s">
        <v>1948</v>
      </c>
      <c r="E857" s="22" t="s">
        <v>1949</v>
      </c>
    </row>
    <row r="858" spans="2:5" x14ac:dyDescent="0.2">
      <c r="B858" s="23">
        <v>2</v>
      </c>
      <c r="C858" s="20">
        <v>14339</v>
      </c>
      <c r="D858" s="22" t="s">
        <v>1950</v>
      </c>
      <c r="E858" s="22" t="s">
        <v>1951</v>
      </c>
    </row>
    <row r="859" spans="2:5" x14ac:dyDescent="0.2">
      <c r="B859" s="21">
        <v>2</v>
      </c>
      <c r="C859" s="19">
        <v>14340</v>
      </c>
      <c r="D859" s="22" t="s">
        <v>1952</v>
      </c>
      <c r="E859" s="22" t="s">
        <v>1953</v>
      </c>
    </row>
    <row r="860" spans="2:5" x14ac:dyDescent="0.2">
      <c r="B860" s="23">
        <v>2</v>
      </c>
      <c r="C860" s="20">
        <v>14341</v>
      </c>
      <c r="D860" s="22" t="s">
        <v>1954</v>
      </c>
      <c r="E860" s="22" t="s">
        <v>1955</v>
      </c>
    </row>
    <row r="861" spans="2:5" x14ac:dyDescent="0.2">
      <c r="B861" s="21">
        <v>2</v>
      </c>
      <c r="C861" s="19">
        <v>14342</v>
      </c>
      <c r="D861" s="22" t="s">
        <v>1956</v>
      </c>
      <c r="E861" s="22" t="s">
        <v>1957</v>
      </c>
    </row>
    <row r="862" spans="2:5" x14ac:dyDescent="0.2">
      <c r="B862" s="23">
        <v>2</v>
      </c>
      <c r="C862" s="20">
        <v>14343</v>
      </c>
      <c r="D862" s="22" t="s">
        <v>1958</v>
      </c>
      <c r="E862" s="22" t="s">
        <v>1959</v>
      </c>
    </row>
    <row r="863" spans="2:5" x14ac:dyDescent="0.2">
      <c r="B863" s="21">
        <v>2</v>
      </c>
      <c r="C863" s="19">
        <v>14344</v>
      </c>
      <c r="D863" s="22" t="s">
        <v>1960</v>
      </c>
      <c r="E863" s="22" t="s">
        <v>1961</v>
      </c>
    </row>
    <row r="864" spans="2:5" x14ac:dyDescent="0.2">
      <c r="B864" s="23">
        <v>2</v>
      </c>
      <c r="C864" s="20">
        <v>14345</v>
      </c>
      <c r="D864" s="22" t="s">
        <v>1962</v>
      </c>
      <c r="E864" s="22" t="s">
        <v>1963</v>
      </c>
    </row>
    <row r="865" spans="2:5" x14ac:dyDescent="0.2">
      <c r="B865" s="21">
        <v>2</v>
      </c>
      <c r="C865" s="19">
        <v>14346</v>
      </c>
      <c r="D865" s="22" t="s">
        <v>1964</v>
      </c>
      <c r="E865" s="22" t="s">
        <v>1965</v>
      </c>
    </row>
    <row r="866" spans="2:5" x14ac:dyDescent="0.2">
      <c r="B866" s="23">
        <v>3</v>
      </c>
      <c r="C866" s="20">
        <v>14347</v>
      </c>
      <c r="D866" s="22" t="s">
        <v>1966</v>
      </c>
      <c r="E866" s="22" t="s">
        <v>1967</v>
      </c>
    </row>
    <row r="867" spans="2:5" x14ac:dyDescent="0.2">
      <c r="B867" s="21">
        <v>3</v>
      </c>
      <c r="C867" s="19">
        <v>14348</v>
      </c>
      <c r="D867" s="22" t="s">
        <v>1968</v>
      </c>
      <c r="E867" s="22" t="s">
        <v>1969</v>
      </c>
    </row>
    <row r="868" spans="2:5" x14ac:dyDescent="0.2">
      <c r="B868" s="23">
        <v>3</v>
      </c>
      <c r="C868" s="20">
        <v>14349</v>
      </c>
      <c r="D868" s="22" t="s">
        <v>1970</v>
      </c>
      <c r="E868" s="22" t="s">
        <v>1971</v>
      </c>
    </row>
    <row r="869" spans="2:5" x14ac:dyDescent="0.2">
      <c r="B869" s="21">
        <v>3</v>
      </c>
      <c r="C869" s="19">
        <v>14350</v>
      </c>
      <c r="D869" s="22" t="s">
        <v>1972</v>
      </c>
      <c r="E869" s="22" t="s">
        <v>1973</v>
      </c>
    </row>
    <row r="870" spans="2:5" x14ac:dyDescent="0.2">
      <c r="B870" s="23">
        <v>3</v>
      </c>
      <c r="C870" s="20">
        <v>14351</v>
      </c>
      <c r="D870" s="22" t="s">
        <v>1974</v>
      </c>
      <c r="E870" s="22" t="s">
        <v>1975</v>
      </c>
    </row>
    <row r="871" spans="2:5" x14ac:dyDescent="0.2">
      <c r="B871" s="21">
        <v>3</v>
      </c>
      <c r="C871" s="19">
        <v>14352</v>
      </c>
      <c r="D871" s="22" t="s">
        <v>1976</v>
      </c>
      <c r="E871" s="22" t="s">
        <v>1977</v>
      </c>
    </row>
    <row r="872" spans="2:5" x14ac:dyDescent="0.2">
      <c r="B872" s="23">
        <v>3</v>
      </c>
      <c r="C872" s="20">
        <v>14353</v>
      </c>
      <c r="D872" s="22" t="s">
        <v>1978</v>
      </c>
      <c r="E872" s="22" t="s">
        <v>1979</v>
      </c>
    </row>
    <row r="873" spans="2:5" x14ac:dyDescent="0.2">
      <c r="B873" s="21">
        <v>3</v>
      </c>
      <c r="C873" s="19">
        <v>14354</v>
      </c>
      <c r="D873" s="22" t="s">
        <v>1980</v>
      </c>
      <c r="E873" s="22" t="s">
        <v>1981</v>
      </c>
    </row>
    <row r="874" spans="2:5" x14ac:dyDescent="0.2">
      <c r="B874" s="23">
        <v>3</v>
      </c>
      <c r="C874" s="20">
        <v>14355</v>
      </c>
      <c r="D874" s="22" t="s">
        <v>1982</v>
      </c>
      <c r="E874" s="22" t="s">
        <v>1983</v>
      </c>
    </row>
    <row r="875" spans="2:5" x14ac:dyDescent="0.2">
      <c r="B875" s="21">
        <v>3</v>
      </c>
      <c r="C875" s="19">
        <v>14356</v>
      </c>
      <c r="D875" s="22" t="s">
        <v>1984</v>
      </c>
      <c r="E875" s="22" t="s">
        <v>1985</v>
      </c>
    </row>
    <row r="876" spans="2:5" x14ac:dyDescent="0.2">
      <c r="B876" s="23">
        <v>3</v>
      </c>
      <c r="C876" s="20">
        <v>14357</v>
      </c>
      <c r="D876" s="22" t="s">
        <v>1986</v>
      </c>
      <c r="E876" s="22" t="s">
        <v>1987</v>
      </c>
    </row>
    <row r="877" spans="2:5" x14ac:dyDescent="0.2">
      <c r="B877" s="21">
        <v>3</v>
      </c>
      <c r="C877" s="19">
        <v>14358</v>
      </c>
      <c r="D877" s="22" t="s">
        <v>1988</v>
      </c>
      <c r="E877" s="22" t="s">
        <v>1989</v>
      </c>
    </row>
    <row r="878" spans="2:5" x14ac:dyDescent="0.2">
      <c r="B878" s="23">
        <v>3</v>
      </c>
      <c r="C878" s="20">
        <v>14359</v>
      </c>
      <c r="D878" s="22" t="s">
        <v>1990</v>
      </c>
      <c r="E878" s="22" t="s">
        <v>1991</v>
      </c>
    </row>
    <row r="879" spans="2:5" x14ac:dyDescent="0.2">
      <c r="B879" s="21">
        <v>3</v>
      </c>
      <c r="C879" s="19">
        <v>14360</v>
      </c>
      <c r="D879" s="22" t="s">
        <v>1992</v>
      </c>
      <c r="E879" s="22" t="s">
        <v>1993</v>
      </c>
    </row>
    <row r="880" spans="2:5" x14ac:dyDescent="0.2">
      <c r="B880" s="23">
        <v>3</v>
      </c>
      <c r="C880" s="20">
        <v>14361</v>
      </c>
      <c r="D880" s="22" t="s">
        <v>1994</v>
      </c>
      <c r="E880" s="22" t="s">
        <v>1995</v>
      </c>
    </row>
    <row r="881" spans="2:5" x14ac:dyDescent="0.2">
      <c r="B881" s="21">
        <v>3</v>
      </c>
      <c r="C881" s="19">
        <v>14362</v>
      </c>
      <c r="D881" s="22" t="s">
        <v>1996</v>
      </c>
      <c r="E881" s="22" t="s">
        <v>1997</v>
      </c>
    </row>
    <row r="882" spans="2:5" x14ac:dyDescent="0.2">
      <c r="B882" s="23">
        <v>3</v>
      </c>
      <c r="C882" s="20">
        <v>14363</v>
      </c>
      <c r="D882" s="22" t="s">
        <v>1998</v>
      </c>
      <c r="E882" s="22" t="s">
        <v>1999</v>
      </c>
    </row>
    <row r="883" spans="2:5" x14ac:dyDescent="0.2">
      <c r="B883" s="21">
        <v>3</v>
      </c>
      <c r="C883" s="19">
        <v>14364</v>
      </c>
      <c r="D883" s="22" t="s">
        <v>2000</v>
      </c>
      <c r="E883" s="22" t="s">
        <v>2001</v>
      </c>
    </row>
    <row r="884" spans="2:5" x14ac:dyDescent="0.2">
      <c r="B884" s="23">
        <v>3</v>
      </c>
      <c r="C884" s="20">
        <v>14365</v>
      </c>
      <c r="D884" s="22" t="s">
        <v>2002</v>
      </c>
      <c r="E884" s="22" t="s">
        <v>2003</v>
      </c>
    </row>
    <row r="885" spans="2:5" x14ac:dyDescent="0.2">
      <c r="B885" s="21">
        <v>3</v>
      </c>
      <c r="C885" s="19">
        <v>14366</v>
      </c>
      <c r="D885" s="22" t="s">
        <v>2004</v>
      </c>
      <c r="E885" s="22" t="s">
        <v>2005</v>
      </c>
    </row>
    <row r="886" spans="2:5" x14ac:dyDescent="0.2">
      <c r="B886" s="23">
        <v>3</v>
      </c>
      <c r="C886" s="20">
        <v>14367</v>
      </c>
      <c r="D886" s="22" t="s">
        <v>2006</v>
      </c>
      <c r="E886" s="22" t="s">
        <v>2007</v>
      </c>
    </row>
    <row r="887" spans="2:5" x14ac:dyDescent="0.2">
      <c r="B887" s="21">
        <v>3</v>
      </c>
      <c r="C887" s="19">
        <v>14368</v>
      </c>
      <c r="D887" s="22" t="s">
        <v>2008</v>
      </c>
      <c r="E887" s="22" t="s">
        <v>2009</v>
      </c>
    </row>
    <row r="888" spans="2:5" x14ac:dyDescent="0.2">
      <c r="B888" s="23">
        <v>3</v>
      </c>
      <c r="C888" s="20">
        <v>14369</v>
      </c>
      <c r="D888" s="22" t="s">
        <v>2010</v>
      </c>
      <c r="E888" s="22" t="s">
        <v>2011</v>
      </c>
    </row>
    <row r="889" spans="2:5" x14ac:dyDescent="0.2">
      <c r="B889" s="21">
        <v>3</v>
      </c>
      <c r="C889" s="19">
        <v>14370</v>
      </c>
      <c r="D889" s="22" t="s">
        <v>2012</v>
      </c>
      <c r="E889" s="22" t="s">
        <v>2013</v>
      </c>
    </row>
    <row r="890" spans="2:5" x14ac:dyDescent="0.2">
      <c r="B890" s="23">
        <v>3</v>
      </c>
      <c r="C890" s="20">
        <v>14371</v>
      </c>
      <c r="D890" s="22" t="s">
        <v>2014</v>
      </c>
      <c r="E890" s="22" t="s">
        <v>2015</v>
      </c>
    </row>
    <row r="891" spans="2:5" x14ac:dyDescent="0.2">
      <c r="B891" s="21">
        <v>4</v>
      </c>
      <c r="C891" s="19">
        <v>14372</v>
      </c>
      <c r="D891" s="22" t="s">
        <v>1866</v>
      </c>
      <c r="E891" s="22" t="s">
        <v>1867</v>
      </c>
    </row>
    <row r="892" spans="2:5" x14ac:dyDescent="0.2">
      <c r="B892" s="23">
        <v>4</v>
      </c>
      <c r="C892" s="20">
        <v>14373</v>
      </c>
      <c r="D892" s="22" t="s">
        <v>2016</v>
      </c>
      <c r="E892" s="22" t="s">
        <v>2017</v>
      </c>
    </row>
    <row r="893" spans="2:5" x14ac:dyDescent="0.2">
      <c r="B893" s="21">
        <v>4</v>
      </c>
      <c r="C893" s="19">
        <v>14374</v>
      </c>
      <c r="D893" s="22" t="s">
        <v>2018</v>
      </c>
      <c r="E893" s="22" t="s">
        <v>2019</v>
      </c>
    </row>
    <row r="894" spans="2:5" x14ac:dyDescent="0.2">
      <c r="B894" s="23">
        <v>4</v>
      </c>
      <c r="C894" s="20">
        <v>14375</v>
      </c>
      <c r="D894" s="22" t="s">
        <v>2020</v>
      </c>
      <c r="E894" s="22" t="s">
        <v>2021</v>
      </c>
    </row>
    <row r="895" spans="2:5" x14ac:dyDescent="0.2">
      <c r="B895" s="21">
        <v>4</v>
      </c>
      <c r="C895" s="19">
        <v>14376</v>
      </c>
      <c r="D895" s="22" t="s">
        <v>2022</v>
      </c>
      <c r="E895" s="22" t="s">
        <v>2023</v>
      </c>
    </row>
    <row r="896" spans="2:5" x14ac:dyDescent="0.2">
      <c r="B896" s="23">
        <v>4</v>
      </c>
      <c r="C896" s="20">
        <v>14377</v>
      </c>
      <c r="D896" s="22" t="s">
        <v>2024</v>
      </c>
      <c r="E896" s="22" t="s">
        <v>2025</v>
      </c>
    </row>
    <row r="897" spans="2:5" x14ac:dyDescent="0.2">
      <c r="B897" s="21">
        <v>4</v>
      </c>
      <c r="C897" s="19">
        <v>14378</v>
      </c>
      <c r="D897" s="22" t="s">
        <v>2026</v>
      </c>
      <c r="E897" s="22" t="s">
        <v>2027</v>
      </c>
    </row>
    <row r="898" spans="2:5" x14ac:dyDescent="0.2">
      <c r="B898" s="23">
        <v>4</v>
      </c>
      <c r="C898" s="20">
        <v>14379</v>
      </c>
      <c r="D898" s="22" t="s">
        <v>2028</v>
      </c>
      <c r="E898" s="22" t="s">
        <v>2029</v>
      </c>
    </row>
    <row r="899" spans="2:5" x14ac:dyDescent="0.2">
      <c r="B899" s="21">
        <v>4</v>
      </c>
      <c r="C899" s="19">
        <v>14380</v>
      </c>
      <c r="D899" s="22" t="s">
        <v>2030</v>
      </c>
      <c r="E899" s="22" t="s">
        <v>2031</v>
      </c>
    </row>
    <row r="900" spans="2:5" x14ac:dyDescent="0.2">
      <c r="B900" s="23">
        <v>4</v>
      </c>
      <c r="C900" s="20">
        <v>14381</v>
      </c>
      <c r="D900" s="22" t="s">
        <v>2032</v>
      </c>
      <c r="E900" s="22" t="s">
        <v>2033</v>
      </c>
    </row>
    <row r="901" spans="2:5" x14ac:dyDescent="0.2">
      <c r="B901" s="21">
        <v>4</v>
      </c>
      <c r="C901" s="19">
        <v>14382</v>
      </c>
      <c r="D901" s="22" t="s">
        <v>2034</v>
      </c>
      <c r="E901" s="22" t="s">
        <v>2035</v>
      </c>
    </row>
    <row r="902" spans="2:5" x14ac:dyDescent="0.2">
      <c r="B902" s="23">
        <v>4</v>
      </c>
      <c r="C902" s="20">
        <v>14383</v>
      </c>
      <c r="D902" s="22" t="s">
        <v>2036</v>
      </c>
      <c r="E902" s="22" t="s">
        <v>2037</v>
      </c>
    </row>
    <row r="903" spans="2:5" x14ac:dyDescent="0.2">
      <c r="B903" s="21">
        <v>4</v>
      </c>
      <c r="C903" s="19">
        <v>14384</v>
      </c>
      <c r="D903" s="22" t="s">
        <v>2038</v>
      </c>
      <c r="E903" s="22" t="s">
        <v>2039</v>
      </c>
    </row>
    <row r="904" spans="2:5" x14ac:dyDescent="0.2">
      <c r="B904" s="23">
        <v>4</v>
      </c>
      <c r="C904" s="20">
        <v>14385</v>
      </c>
      <c r="D904" s="22" t="s">
        <v>2040</v>
      </c>
      <c r="E904" s="22" t="s">
        <v>2041</v>
      </c>
    </row>
    <row r="905" spans="2:5" x14ac:dyDescent="0.2">
      <c r="B905" s="21">
        <v>4</v>
      </c>
      <c r="C905" s="19">
        <v>14386</v>
      </c>
      <c r="D905" s="22" t="s">
        <v>2042</v>
      </c>
      <c r="E905" s="22" t="s">
        <v>2043</v>
      </c>
    </row>
    <row r="906" spans="2:5" x14ac:dyDescent="0.2">
      <c r="B906" s="23">
        <v>4</v>
      </c>
      <c r="C906" s="20">
        <v>14387</v>
      </c>
      <c r="D906" s="22" t="s">
        <v>2044</v>
      </c>
      <c r="E906" s="22" t="s">
        <v>2045</v>
      </c>
    </row>
    <row r="907" spans="2:5" x14ac:dyDescent="0.2">
      <c r="B907" s="21">
        <v>4</v>
      </c>
      <c r="C907" s="19">
        <v>14388</v>
      </c>
      <c r="D907" s="22" t="s">
        <v>2046</v>
      </c>
      <c r="E907" s="22" t="s">
        <v>2047</v>
      </c>
    </row>
    <row r="908" spans="2:5" x14ac:dyDescent="0.2">
      <c r="B908" s="23">
        <v>4</v>
      </c>
      <c r="C908" s="20">
        <v>14389</v>
      </c>
      <c r="D908" s="22" t="s">
        <v>2048</v>
      </c>
      <c r="E908" s="22" t="s">
        <v>2049</v>
      </c>
    </row>
    <row r="909" spans="2:5" x14ac:dyDescent="0.2">
      <c r="B909" s="21">
        <v>4</v>
      </c>
      <c r="C909" s="19">
        <v>14390</v>
      </c>
      <c r="D909" s="22" t="s">
        <v>2050</v>
      </c>
      <c r="E909" s="22" t="s">
        <v>2051</v>
      </c>
    </row>
    <row r="910" spans="2:5" x14ac:dyDescent="0.2">
      <c r="B910" s="23">
        <v>4</v>
      </c>
      <c r="C910" s="20">
        <v>14391</v>
      </c>
      <c r="D910" s="22" t="s">
        <v>2052</v>
      </c>
      <c r="E910" s="22" t="s">
        <v>2053</v>
      </c>
    </row>
    <row r="911" spans="2:5" x14ac:dyDescent="0.2">
      <c r="B911" s="21">
        <v>4</v>
      </c>
      <c r="C911" s="19">
        <v>14392</v>
      </c>
      <c r="D911" s="22" t="s">
        <v>2054</v>
      </c>
      <c r="E911" s="22" t="s">
        <v>2055</v>
      </c>
    </row>
    <row r="912" spans="2:5" x14ac:dyDescent="0.2">
      <c r="B912" s="23">
        <v>4</v>
      </c>
      <c r="C912" s="20">
        <v>14393</v>
      </c>
      <c r="D912" s="22" t="s">
        <v>2056</v>
      </c>
      <c r="E912" s="22" t="s">
        <v>2057</v>
      </c>
    </row>
    <row r="913" spans="2:5" x14ac:dyDescent="0.2">
      <c r="B913" s="21">
        <v>4</v>
      </c>
      <c r="C913" s="19">
        <v>14394</v>
      </c>
      <c r="D913" s="22" t="s">
        <v>2058</v>
      </c>
      <c r="E913" s="22" t="s">
        <v>2059</v>
      </c>
    </row>
    <row r="914" spans="2:5" x14ac:dyDescent="0.2">
      <c r="B914" s="23">
        <v>4</v>
      </c>
      <c r="C914" s="20">
        <v>14395</v>
      </c>
      <c r="D914" s="22" t="s">
        <v>2060</v>
      </c>
      <c r="E914" s="22" t="s">
        <v>2061</v>
      </c>
    </row>
    <row r="915" spans="2:5" x14ac:dyDescent="0.2">
      <c r="B915" s="21">
        <v>4</v>
      </c>
      <c r="C915" s="19">
        <v>14396</v>
      </c>
      <c r="D915" s="22" t="s">
        <v>2062</v>
      </c>
      <c r="E915" s="22" t="s">
        <v>2063</v>
      </c>
    </row>
    <row r="916" spans="2:5" x14ac:dyDescent="0.2">
      <c r="B916" s="23">
        <v>5</v>
      </c>
      <c r="C916" s="20">
        <v>14397</v>
      </c>
      <c r="D916" s="22" t="s">
        <v>2064</v>
      </c>
      <c r="E916" s="22" t="s">
        <v>2065</v>
      </c>
    </row>
    <row r="917" spans="2:5" x14ac:dyDescent="0.2">
      <c r="B917" s="21">
        <v>5</v>
      </c>
      <c r="C917" s="19">
        <v>14398</v>
      </c>
      <c r="D917" s="22" t="s">
        <v>2066</v>
      </c>
      <c r="E917" s="22" t="s">
        <v>2067</v>
      </c>
    </row>
    <row r="918" spans="2:5" x14ac:dyDescent="0.2">
      <c r="B918" s="23">
        <v>5</v>
      </c>
      <c r="C918" s="20">
        <v>14399</v>
      </c>
      <c r="D918" s="22" t="s">
        <v>2068</v>
      </c>
      <c r="E918" s="22" t="s">
        <v>2069</v>
      </c>
    </row>
    <row r="919" spans="2:5" x14ac:dyDescent="0.2">
      <c r="B919" s="21">
        <v>5</v>
      </c>
      <c r="C919" s="19">
        <v>14400</v>
      </c>
      <c r="D919" s="22" t="s">
        <v>2070</v>
      </c>
      <c r="E919" s="22" t="s">
        <v>2071</v>
      </c>
    </row>
    <row r="920" spans="2:5" x14ac:dyDescent="0.2">
      <c r="B920" s="23">
        <v>5</v>
      </c>
      <c r="C920" s="20">
        <v>14401</v>
      </c>
      <c r="D920" s="22" t="s">
        <v>2072</v>
      </c>
      <c r="E920" s="22" t="s">
        <v>2073</v>
      </c>
    </row>
    <row r="921" spans="2:5" x14ac:dyDescent="0.2">
      <c r="B921" s="21">
        <v>5</v>
      </c>
      <c r="C921" s="19">
        <v>14402</v>
      </c>
      <c r="D921" s="22" t="s">
        <v>2074</v>
      </c>
      <c r="E921" s="22" t="s">
        <v>2075</v>
      </c>
    </row>
    <row r="922" spans="2:5" x14ac:dyDescent="0.2">
      <c r="B922" s="23">
        <v>5</v>
      </c>
      <c r="C922" s="20">
        <v>14403</v>
      </c>
      <c r="D922" s="22" t="s">
        <v>2076</v>
      </c>
      <c r="E922" s="22" t="s">
        <v>2077</v>
      </c>
    </row>
    <row r="923" spans="2:5" x14ac:dyDescent="0.2">
      <c r="B923" s="21">
        <v>5</v>
      </c>
      <c r="C923" s="19">
        <v>14404</v>
      </c>
      <c r="D923" s="22" t="s">
        <v>2078</v>
      </c>
      <c r="E923" s="22" t="s">
        <v>2079</v>
      </c>
    </row>
    <row r="924" spans="2:5" x14ac:dyDescent="0.2">
      <c r="B924" s="23">
        <v>5</v>
      </c>
      <c r="C924" s="20">
        <v>14405</v>
      </c>
      <c r="D924" s="22" t="s">
        <v>2080</v>
      </c>
      <c r="E924" s="22" t="s">
        <v>2081</v>
      </c>
    </row>
    <row r="925" spans="2:5" x14ac:dyDescent="0.2">
      <c r="B925" s="21">
        <v>5</v>
      </c>
      <c r="C925" s="19">
        <v>14406</v>
      </c>
      <c r="D925" s="22" t="s">
        <v>2082</v>
      </c>
      <c r="E925" s="22" t="s">
        <v>2083</v>
      </c>
    </row>
    <row r="926" spans="2:5" x14ac:dyDescent="0.2">
      <c r="B926" s="23">
        <v>5</v>
      </c>
      <c r="C926" s="20">
        <v>14407</v>
      </c>
      <c r="D926" s="22" t="s">
        <v>2084</v>
      </c>
      <c r="E926" s="22" t="s">
        <v>2085</v>
      </c>
    </row>
    <row r="927" spans="2:5" x14ac:dyDescent="0.2">
      <c r="B927" s="21">
        <v>5</v>
      </c>
      <c r="C927" s="19">
        <v>14408</v>
      </c>
      <c r="D927" s="22" t="s">
        <v>2086</v>
      </c>
      <c r="E927" s="22" t="s">
        <v>2087</v>
      </c>
    </row>
    <row r="928" spans="2:5" x14ac:dyDescent="0.2">
      <c r="B928" s="23">
        <v>5</v>
      </c>
      <c r="C928" s="20">
        <v>14409</v>
      </c>
      <c r="D928" s="22" t="s">
        <v>2088</v>
      </c>
      <c r="E928" s="22" t="s">
        <v>2089</v>
      </c>
    </row>
    <row r="929" spans="2:5" x14ac:dyDescent="0.2">
      <c r="B929" s="21">
        <v>5</v>
      </c>
      <c r="C929" s="19">
        <v>14410</v>
      </c>
      <c r="D929" s="22" t="s">
        <v>2090</v>
      </c>
      <c r="E929" s="22" t="s">
        <v>2091</v>
      </c>
    </row>
    <row r="930" spans="2:5" x14ac:dyDescent="0.2">
      <c r="B930" s="23">
        <v>5</v>
      </c>
      <c r="C930" s="20">
        <v>14411</v>
      </c>
      <c r="D930" s="22" t="s">
        <v>2092</v>
      </c>
      <c r="E930" s="22" t="s">
        <v>2093</v>
      </c>
    </row>
    <row r="931" spans="2:5" x14ac:dyDescent="0.2">
      <c r="B931" s="21">
        <v>5</v>
      </c>
      <c r="C931" s="19">
        <v>14412</v>
      </c>
      <c r="D931" s="22" t="s">
        <v>2094</v>
      </c>
      <c r="E931" s="22" t="s">
        <v>2095</v>
      </c>
    </row>
    <row r="932" spans="2:5" x14ac:dyDescent="0.2">
      <c r="B932" s="23">
        <v>5</v>
      </c>
      <c r="C932" s="20">
        <v>14413</v>
      </c>
      <c r="D932" s="22" t="s">
        <v>2096</v>
      </c>
      <c r="E932" s="22" t="s">
        <v>2097</v>
      </c>
    </row>
    <row r="933" spans="2:5" x14ac:dyDescent="0.2">
      <c r="B933" s="21">
        <v>5</v>
      </c>
      <c r="C933" s="19">
        <v>14414</v>
      </c>
      <c r="D933" s="22" t="s">
        <v>2098</v>
      </c>
      <c r="E933" s="22" t="s">
        <v>1311</v>
      </c>
    </row>
    <row r="934" spans="2:5" x14ac:dyDescent="0.2">
      <c r="B934" s="23">
        <v>5</v>
      </c>
      <c r="C934" s="20">
        <v>14415</v>
      </c>
      <c r="D934" s="22" t="s">
        <v>2099</v>
      </c>
      <c r="E934" s="22" t="s">
        <v>2100</v>
      </c>
    </row>
    <row r="935" spans="2:5" x14ac:dyDescent="0.2">
      <c r="B935" s="21">
        <v>5</v>
      </c>
      <c r="C935" s="19">
        <v>14416</v>
      </c>
      <c r="D935" s="22" t="s">
        <v>2101</v>
      </c>
      <c r="E935" s="22" t="s">
        <v>2102</v>
      </c>
    </row>
    <row r="936" spans="2:5" x14ac:dyDescent="0.2">
      <c r="B936" s="23">
        <v>5</v>
      </c>
      <c r="C936" s="20">
        <v>14417</v>
      </c>
      <c r="D936" s="22" t="s">
        <v>2103</v>
      </c>
      <c r="E936" s="22" t="s">
        <v>2104</v>
      </c>
    </row>
    <row r="937" spans="2:5" x14ac:dyDescent="0.2">
      <c r="B937" s="21">
        <v>5</v>
      </c>
      <c r="C937" s="19">
        <v>14418</v>
      </c>
      <c r="D937" s="22" t="s">
        <v>2105</v>
      </c>
      <c r="E937" s="22" t="s">
        <v>2106</v>
      </c>
    </row>
    <row r="938" spans="2:5" x14ac:dyDescent="0.2">
      <c r="B938" s="23">
        <v>5</v>
      </c>
      <c r="C938" s="20">
        <v>14419</v>
      </c>
      <c r="D938" s="22" t="s">
        <v>557</v>
      </c>
      <c r="E938" s="22" t="s">
        <v>2107</v>
      </c>
    </row>
    <row r="939" spans="2:5" x14ac:dyDescent="0.2">
      <c r="B939" s="21">
        <v>5</v>
      </c>
      <c r="C939" s="19">
        <v>14420</v>
      </c>
      <c r="D939" s="22" t="s">
        <v>2108</v>
      </c>
      <c r="E939" s="22" t="s">
        <v>2109</v>
      </c>
    </row>
    <row r="940" spans="2:5" x14ac:dyDescent="0.2">
      <c r="B940" s="23">
        <v>5</v>
      </c>
      <c r="C940" s="20">
        <v>14421</v>
      </c>
      <c r="D940" s="22" t="s">
        <v>2110</v>
      </c>
      <c r="E940" s="22" t="s">
        <v>2111</v>
      </c>
    </row>
    <row r="941" spans="2:5" x14ac:dyDescent="0.2">
      <c r="B941" s="21">
        <v>6</v>
      </c>
      <c r="C941" s="19">
        <v>14422</v>
      </c>
      <c r="D941" s="22" t="s">
        <v>2112</v>
      </c>
      <c r="E941" s="22" t="s">
        <v>2113</v>
      </c>
    </row>
    <row r="942" spans="2:5" x14ac:dyDescent="0.2">
      <c r="B942" s="23">
        <v>6</v>
      </c>
      <c r="C942" s="20">
        <v>14423</v>
      </c>
      <c r="D942" s="22" t="s">
        <v>2114</v>
      </c>
      <c r="E942" s="22" t="s">
        <v>2115</v>
      </c>
    </row>
    <row r="943" spans="2:5" x14ac:dyDescent="0.2">
      <c r="B943" s="21">
        <v>6</v>
      </c>
      <c r="C943" s="19">
        <v>14424</v>
      </c>
      <c r="D943" s="22" t="s">
        <v>2116</v>
      </c>
      <c r="E943" s="22" t="s">
        <v>2117</v>
      </c>
    </row>
    <row r="944" spans="2:5" x14ac:dyDescent="0.2">
      <c r="B944" s="23">
        <v>6</v>
      </c>
      <c r="C944" s="20">
        <v>14425</v>
      </c>
      <c r="D944" s="22" t="s">
        <v>2118</v>
      </c>
      <c r="E944" s="22" t="s">
        <v>2119</v>
      </c>
    </row>
    <row r="945" spans="2:5" x14ac:dyDescent="0.2">
      <c r="B945" s="21">
        <v>6</v>
      </c>
      <c r="C945" s="19">
        <v>14426</v>
      </c>
      <c r="D945" s="22" t="s">
        <v>2120</v>
      </c>
      <c r="E945" s="22" t="s">
        <v>2121</v>
      </c>
    </row>
    <row r="946" spans="2:5" x14ac:dyDescent="0.2">
      <c r="B946" s="23">
        <v>6</v>
      </c>
      <c r="C946" s="20">
        <v>14427</v>
      </c>
      <c r="D946" s="22" t="s">
        <v>2122</v>
      </c>
      <c r="E946" s="22" t="s">
        <v>2123</v>
      </c>
    </row>
    <row r="947" spans="2:5" x14ac:dyDescent="0.2">
      <c r="B947" s="21">
        <v>6</v>
      </c>
      <c r="C947" s="19">
        <v>14428</v>
      </c>
      <c r="D947" s="22" t="s">
        <v>2124</v>
      </c>
      <c r="E947" s="22" t="s">
        <v>2125</v>
      </c>
    </row>
    <row r="948" spans="2:5" x14ac:dyDescent="0.2">
      <c r="B948" s="23">
        <v>6</v>
      </c>
      <c r="C948" s="20">
        <v>14429</v>
      </c>
      <c r="D948" s="22" t="s">
        <v>2126</v>
      </c>
      <c r="E948" s="22" t="s">
        <v>2127</v>
      </c>
    </row>
    <row r="949" spans="2:5" x14ac:dyDescent="0.2">
      <c r="B949" s="21">
        <v>6</v>
      </c>
      <c r="C949" s="19">
        <v>14430</v>
      </c>
      <c r="D949" s="22" t="s">
        <v>2128</v>
      </c>
      <c r="E949" s="22" t="s">
        <v>1933</v>
      </c>
    </row>
    <row r="950" spans="2:5" x14ac:dyDescent="0.2">
      <c r="B950" s="23">
        <v>6</v>
      </c>
      <c r="C950" s="20">
        <v>14431</v>
      </c>
      <c r="D950" s="22" t="s">
        <v>2129</v>
      </c>
      <c r="E950" s="22" t="s">
        <v>2130</v>
      </c>
    </row>
    <row r="951" spans="2:5" x14ac:dyDescent="0.2">
      <c r="B951" s="21">
        <v>6</v>
      </c>
      <c r="C951" s="19">
        <v>14432</v>
      </c>
      <c r="D951" s="22" t="s">
        <v>2131</v>
      </c>
      <c r="E951" s="22" t="s">
        <v>2132</v>
      </c>
    </row>
    <row r="952" spans="2:5" x14ac:dyDescent="0.2">
      <c r="B952" s="23">
        <v>6</v>
      </c>
      <c r="C952" s="20">
        <v>14433</v>
      </c>
      <c r="D952" s="22" t="s">
        <v>2133</v>
      </c>
      <c r="E952" s="22" t="s">
        <v>2134</v>
      </c>
    </row>
    <row r="953" spans="2:5" x14ac:dyDescent="0.2">
      <c r="B953" s="21">
        <v>6</v>
      </c>
      <c r="C953" s="19">
        <v>14434</v>
      </c>
      <c r="D953" s="22" t="s">
        <v>590</v>
      </c>
      <c r="E953" s="22" t="s">
        <v>2135</v>
      </c>
    </row>
    <row r="954" spans="2:5" x14ac:dyDescent="0.2">
      <c r="B954" s="23">
        <v>6</v>
      </c>
      <c r="C954" s="20">
        <v>14435</v>
      </c>
      <c r="D954" s="22" t="s">
        <v>2136</v>
      </c>
      <c r="E954" s="22" t="s">
        <v>2137</v>
      </c>
    </row>
    <row r="955" spans="2:5" x14ac:dyDescent="0.2">
      <c r="B955" s="21">
        <v>6</v>
      </c>
      <c r="C955" s="19">
        <v>14436</v>
      </c>
      <c r="D955" s="22" t="s">
        <v>2138</v>
      </c>
      <c r="E955" s="22" t="s">
        <v>2139</v>
      </c>
    </row>
    <row r="956" spans="2:5" x14ac:dyDescent="0.2">
      <c r="B956" s="23">
        <v>6</v>
      </c>
      <c r="C956" s="20">
        <v>14437</v>
      </c>
      <c r="D956" s="22" t="s">
        <v>2140</v>
      </c>
      <c r="E956" s="22" t="s">
        <v>2141</v>
      </c>
    </row>
    <row r="957" spans="2:5" x14ac:dyDescent="0.2">
      <c r="B957" s="21">
        <v>6</v>
      </c>
      <c r="C957" s="19">
        <v>14438</v>
      </c>
      <c r="D957" s="22" t="s">
        <v>2142</v>
      </c>
      <c r="E957" s="22" t="s">
        <v>2143</v>
      </c>
    </row>
    <row r="958" spans="2:5" x14ac:dyDescent="0.2">
      <c r="B958" s="23">
        <v>6</v>
      </c>
      <c r="C958" s="20">
        <v>14439</v>
      </c>
      <c r="D958" s="22" t="s">
        <v>2144</v>
      </c>
      <c r="E958" s="22" t="s">
        <v>2145</v>
      </c>
    </row>
    <row r="959" spans="2:5" x14ac:dyDescent="0.2">
      <c r="B959" s="21">
        <v>6</v>
      </c>
      <c r="C959" s="19">
        <v>14440</v>
      </c>
      <c r="D959" s="22" t="s">
        <v>2146</v>
      </c>
      <c r="E959" s="22" t="s">
        <v>2147</v>
      </c>
    </row>
    <row r="960" spans="2:5" x14ac:dyDescent="0.2">
      <c r="B960" s="23">
        <v>6</v>
      </c>
      <c r="C960" s="20">
        <v>14441</v>
      </c>
      <c r="D960" s="22" t="s">
        <v>2148</v>
      </c>
      <c r="E960" s="22" t="s">
        <v>2149</v>
      </c>
    </row>
    <row r="961" spans="2:5" x14ac:dyDescent="0.2">
      <c r="B961" s="21">
        <v>6</v>
      </c>
      <c r="C961" s="19">
        <v>14442</v>
      </c>
      <c r="D961" s="22" t="s">
        <v>2150</v>
      </c>
      <c r="E961" s="22" t="s">
        <v>2151</v>
      </c>
    </row>
    <row r="962" spans="2:5" x14ac:dyDescent="0.2">
      <c r="B962" s="23">
        <v>6</v>
      </c>
      <c r="C962" s="20">
        <v>14443</v>
      </c>
      <c r="D962" s="22" t="s">
        <v>2152</v>
      </c>
      <c r="E962" s="22" t="s">
        <v>2153</v>
      </c>
    </row>
    <row r="963" spans="2:5" x14ac:dyDescent="0.2">
      <c r="B963" s="21">
        <v>6</v>
      </c>
      <c r="C963" s="19">
        <v>14444</v>
      </c>
      <c r="D963" s="22" t="s">
        <v>2154</v>
      </c>
      <c r="E963" s="22" t="s">
        <v>2155</v>
      </c>
    </row>
    <row r="964" spans="2:5" x14ac:dyDescent="0.2">
      <c r="B964" s="23">
        <v>6</v>
      </c>
      <c r="C964" s="20">
        <v>14445</v>
      </c>
      <c r="D964" s="22" t="s">
        <v>2156</v>
      </c>
      <c r="E964" s="22" t="s">
        <v>2157</v>
      </c>
    </row>
    <row r="965" spans="2:5" x14ac:dyDescent="0.2">
      <c r="B965" s="21">
        <v>6</v>
      </c>
      <c r="C965" s="19">
        <v>14446</v>
      </c>
      <c r="D965" s="22" t="s">
        <v>2158</v>
      </c>
      <c r="E965" s="22" t="s">
        <v>2159</v>
      </c>
    </row>
    <row r="966" spans="2:5" x14ac:dyDescent="0.2">
      <c r="B966" s="23">
        <v>7</v>
      </c>
      <c r="C966" s="20">
        <v>14447</v>
      </c>
      <c r="D966" s="22" t="s">
        <v>1966</v>
      </c>
      <c r="E966" s="22" t="s">
        <v>2160</v>
      </c>
    </row>
    <row r="967" spans="2:5" x14ac:dyDescent="0.2">
      <c r="B967" s="21">
        <v>7</v>
      </c>
      <c r="C967" s="19">
        <v>14448</v>
      </c>
      <c r="D967" s="22" t="s">
        <v>2161</v>
      </c>
      <c r="E967" s="22" t="s">
        <v>2162</v>
      </c>
    </row>
    <row r="968" spans="2:5" x14ac:dyDescent="0.2">
      <c r="B968" s="23">
        <v>7</v>
      </c>
      <c r="C968" s="20">
        <v>14449</v>
      </c>
      <c r="D968" s="22" t="s">
        <v>2163</v>
      </c>
      <c r="E968" s="22" t="s">
        <v>2164</v>
      </c>
    </row>
    <row r="969" spans="2:5" x14ac:dyDescent="0.2">
      <c r="B969" s="21">
        <v>7</v>
      </c>
      <c r="C969" s="19">
        <v>14450</v>
      </c>
      <c r="D969" s="22" t="s">
        <v>2165</v>
      </c>
      <c r="E969" s="22" t="s">
        <v>2166</v>
      </c>
    </row>
    <row r="970" spans="2:5" x14ac:dyDescent="0.2">
      <c r="B970" s="23">
        <v>7</v>
      </c>
      <c r="C970" s="20">
        <v>14451</v>
      </c>
      <c r="D970" s="22" t="s">
        <v>2167</v>
      </c>
      <c r="E970" s="22" t="s">
        <v>2168</v>
      </c>
    </row>
    <row r="971" spans="2:5" x14ac:dyDescent="0.2">
      <c r="B971" s="21">
        <v>7</v>
      </c>
      <c r="C971" s="19">
        <v>14452</v>
      </c>
      <c r="D971" s="22" t="s">
        <v>2169</v>
      </c>
      <c r="E971" s="22" t="s">
        <v>1977</v>
      </c>
    </row>
    <row r="972" spans="2:5" x14ac:dyDescent="0.2">
      <c r="B972" s="23">
        <v>7</v>
      </c>
      <c r="C972" s="20">
        <v>14453</v>
      </c>
      <c r="D972" s="22" t="s">
        <v>2170</v>
      </c>
      <c r="E972" s="22" t="s">
        <v>2171</v>
      </c>
    </row>
    <row r="973" spans="2:5" x14ac:dyDescent="0.2">
      <c r="B973" s="21">
        <v>7</v>
      </c>
      <c r="C973" s="19">
        <v>14454</v>
      </c>
      <c r="D973" s="22" t="s">
        <v>2172</v>
      </c>
      <c r="E973" s="22" t="s">
        <v>2173</v>
      </c>
    </row>
    <row r="974" spans="2:5" x14ac:dyDescent="0.2">
      <c r="B974" s="23">
        <v>7</v>
      </c>
      <c r="C974" s="20">
        <v>14455</v>
      </c>
      <c r="D974" s="22" t="s">
        <v>2174</v>
      </c>
      <c r="E974" s="22" t="s">
        <v>2175</v>
      </c>
    </row>
    <row r="975" spans="2:5" x14ac:dyDescent="0.2">
      <c r="B975" s="21">
        <v>7</v>
      </c>
      <c r="C975" s="19">
        <v>14456</v>
      </c>
      <c r="D975" s="22" t="s">
        <v>2176</v>
      </c>
      <c r="E975" s="22" t="s">
        <v>2177</v>
      </c>
    </row>
    <row r="976" spans="2:5" x14ac:dyDescent="0.2">
      <c r="B976" s="23">
        <v>7</v>
      </c>
      <c r="C976" s="20">
        <v>14457</v>
      </c>
      <c r="D976" s="22" t="s">
        <v>2178</v>
      </c>
      <c r="E976" s="22" t="s">
        <v>2179</v>
      </c>
    </row>
    <row r="977" spans="2:5" x14ac:dyDescent="0.2">
      <c r="B977" s="21">
        <v>7</v>
      </c>
      <c r="C977" s="19">
        <v>14458</v>
      </c>
      <c r="D977" s="22" t="s">
        <v>2180</v>
      </c>
      <c r="E977" s="22" t="s">
        <v>2181</v>
      </c>
    </row>
    <row r="978" spans="2:5" x14ac:dyDescent="0.2">
      <c r="B978" s="23">
        <v>7</v>
      </c>
      <c r="C978" s="20">
        <v>14459</v>
      </c>
      <c r="D978" s="22" t="s">
        <v>2182</v>
      </c>
      <c r="E978" s="22" t="s">
        <v>2183</v>
      </c>
    </row>
    <row r="979" spans="2:5" x14ac:dyDescent="0.2">
      <c r="B979" s="21">
        <v>7</v>
      </c>
      <c r="C979" s="19">
        <v>14460</v>
      </c>
      <c r="D979" s="22" t="s">
        <v>2184</v>
      </c>
      <c r="E979" s="22" t="s">
        <v>2185</v>
      </c>
    </row>
    <row r="980" spans="2:5" x14ac:dyDescent="0.2">
      <c r="B980" s="23">
        <v>7</v>
      </c>
      <c r="C980" s="20">
        <v>14461</v>
      </c>
      <c r="D980" s="22" t="s">
        <v>2186</v>
      </c>
      <c r="E980" s="22" t="s">
        <v>2187</v>
      </c>
    </row>
    <row r="981" spans="2:5" x14ac:dyDescent="0.2">
      <c r="B981" s="21">
        <v>7</v>
      </c>
      <c r="C981" s="19">
        <v>14462</v>
      </c>
      <c r="D981" s="22" t="s">
        <v>2188</v>
      </c>
      <c r="E981" s="22" t="s">
        <v>2189</v>
      </c>
    </row>
    <row r="982" spans="2:5" x14ac:dyDescent="0.2">
      <c r="B982" s="23">
        <v>7</v>
      </c>
      <c r="C982" s="20">
        <v>14463</v>
      </c>
      <c r="D982" s="22" t="s">
        <v>2190</v>
      </c>
      <c r="E982" s="22" t="s">
        <v>2191</v>
      </c>
    </row>
    <row r="983" spans="2:5" x14ac:dyDescent="0.2">
      <c r="B983" s="21">
        <v>7</v>
      </c>
      <c r="C983" s="19">
        <v>14464</v>
      </c>
      <c r="D983" s="22" t="s">
        <v>2192</v>
      </c>
      <c r="E983" s="22" t="s">
        <v>2193</v>
      </c>
    </row>
    <row r="984" spans="2:5" x14ac:dyDescent="0.2">
      <c r="B984" s="23">
        <v>7</v>
      </c>
      <c r="C984" s="20">
        <v>14465</v>
      </c>
      <c r="D984" s="22" t="s">
        <v>2194</v>
      </c>
      <c r="E984" s="22" t="s">
        <v>2195</v>
      </c>
    </row>
    <row r="985" spans="2:5" x14ac:dyDescent="0.2">
      <c r="B985" s="21">
        <v>7</v>
      </c>
      <c r="C985" s="19">
        <v>14466</v>
      </c>
      <c r="D985" s="22" t="s">
        <v>2196</v>
      </c>
      <c r="E985" s="22" t="s">
        <v>2197</v>
      </c>
    </row>
    <row r="986" spans="2:5" x14ac:dyDescent="0.2">
      <c r="B986" s="23">
        <v>7</v>
      </c>
      <c r="C986" s="20">
        <v>14467</v>
      </c>
      <c r="D986" s="22" t="s">
        <v>2006</v>
      </c>
      <c r="E986" s="22" t="s">
        <v>2007</v>
      </c>
    </row>
    <row r="987" spans="2:5" x14ac:dyDescent="0.2">
      <c r="B987" s="21">
        <v>7</v>
      </c>
      <c r="C987" s="19">
        <v>14468</v>
      </c>
      <c r="D987" s="22" t="s">
        <v>2008</v>
      </c>
      <c r="E987" s="22" t="s">
        <v>2009</v>
      </c>
    </row>
    <row r="988" spans="2:5" x14ac:dyDescent="0.2">
      <c r="B988" s="23">
        <v>7</v>
      </c>
      <c r="C988" s="20">
        <v>14469</v>
      </c>
      <c r="D988" s="22" t="s">
        <v>649</v>
      </c>
      <c r="E988" s="22" t="s">
        <v>2198</v>
      </c>
    </row>
    <row r="989" spans="2:5" x14ac:dyDescent="0.2">
      <c r="B989" s="21">
        <v>7</v>
      </c>
      <c r="C989" s="19">
        <v>14470</v>
      </c>
      <c r="D989" s="22" t="s">
        <v>2199</v>
      </c>
      <c r="E989" s="22" t="s">
        <v>2200</v>
      </c>
    </row>
    <row r="990" spans="2:5" x14ac:dyDescent="0.2">
      <c r="B990" s="23">
        <v>7</v>
      </c>
      <c r="C990" s="20">
        <v>14471</v>
      </c>
      <c r="D990" s="22" t="s">
        <v>2201</v>
      </c>
      <c r="E990" s="22" t="s">
        <v>2202</v>
      </c>
    </row>
    <row r="991" spans="2:5" x14ac:dyDescent="0.2">
      <c r="B991" s="21">
        <v>8</v>
      </c>
      <c r="C991" s="19">
        <v>14472</v>
      </c>
      <c r="D991" s="22" t="s">
        <v>2203</v>
      </c>
      <c r="E991" s="22" t="s">
        <v>2204</v>
      </c>
    </row>
    <row r="992" spans="2:5" x14ac:dyDescent="0.2">
      <c r="B992" s="23">
        <v>8</v>
      </c>
      <c r="C992" s="20">
        <v>14473</v>
      </c>
      <c r="D992" s="22" t="s">
        <v>2205</v>
      </c>
      <c r="E992" s="22" t="s">
        <v>2206</v>
      </c>
    </row>
    <row r="993" spans="2:5" x14ac:dyDescent="0.2">
      <c r="B993" s="21">
        <v>8</v>
      </c>
      <c r="C993" s="19">
        <v>14474</v>
      </c>
      <c r="D993" s="22" t="s">
        <v>2207</v>
      </c>
      <c r="E993" s="22" t="s">
        <v>2208</v>
      </c>
    </row>
    <row r="994" spans="2:5" x14ac:dyDescent="0.2">
      <c r="B994" s="23">
        <v>8</v>
      </c>
      <c r="C994" s="20">
        <v>14475</v>
      </c>
      <c r="D994" s="22" t="s">
        <v>2209</v>
      </c>
      <c r="E994" s="22" t="s">
        <v>2210</v>
      </c>
    </row>
    <row r="995" spans="2:5" x14ac:dyDescent="0.2">
      <c r="B995" s="21">
        <v>8</v>
      </c>
      <c r="C995" s="19">
        <v>14476</v>
      </c>
      <c r="D995" s="22" t="s">
        <v>2211</v>
      </c>
      <c r="E995" s="22" t="s">
        <v>2212</v>
      </c>
    </row>
    <row r="996" spans="2:5" x14ac:dyDescent="0.2">
      <c r="B996" s="23">
        <v>8</v>
      </c>
      <c r="C996" s="20">
        <v>14477</v>
      </c>
      <c r="D996" s="22" t="s">
        <v>2213</v>
      </c>
      <c r="E996" s="22" t="s">
        <v>2214</v>
      </c>
    </row>
    <row r="997" spans="2:5" x14ac:dyDescent="0.2">
      <c r="B997" s="21">
        <v>8</v>
      </c>
      <c r="C997" s="19">
        <v>14478</v>
      </c>
      <c r="D997" s="22" t="s">
        <v>2215</v>
      </c>
      <c r="E997" s="22" t="s">
        <v>2216</v>
      </c>
    </row>
    <row r="998" spans="2:5" x14ac:dyDescent="0.2">
      <c r="B998" s="23">
        <v>8</v>
      </c>
      <c r="C998" s="20">
        <v>14479</v>
      </c>
      <c r="D998" s="22" t="s">
        <v>2217</v>
      </c>
      <c r="E998" s="22" t="s">
        <v>2218</v>
      </c>
    </row>
    <row r="999" spans="2:5" x14ac:dyDescent="0.2">
      <c r="B999" s="21">
        <v>8</v>
      </c>
      <c r="C999" s="19">
        <v>14480</v>
      </c>
      <c r="D999" s="22" t="s">
        <v>2219</v>
      </c>
      <c r="E999" s="22" t="s">
        <v>2220</v>
      </c>
    </row>
    <row r="1000" spans="2:5" x14ac:dyDescent="0.2">
      <c r="B1000" s="23">
        <v>8</v>
      </c>
      <c r="C1000" s="20">
        <v>14481</v>
      </c>
      <c r="D1000" s="22" t="s">
        <v>2221</v>
      </c>
      <c r="E1000" s="22" t="s">
        <v>2222</v>
      </c>
    </row>
    <row r="1001" spans="2:5" x14ac:dyDescent="0.2">
      <c r="B1001" s="21">
        <v>8</v>
      </c>
      <c r="C1001" s="19">
        <v>14482</v>
      </c>
      <c r="D1001" s="22" t="s">
        <v>2223</v>
      </c>
      <c r="E1001" s="22" t="s">
        <v>2224</v>
      </c>
    </row>
    <row r="1002" spans="2:5" x14ac:dyDescent="0.2">
      <c r="B1002" s="23">
        <v>8</v>
      </c>
      <c r="C1002" s="20">
        <v>14483</v>
      </c>
      <c r="D1002" s="22" t="s">
        <v>2225</v>
      </c>
      <c r="E1002" s="22" t="s">
        <v>2226</v>
      </c>
    </row>
    <row r="1003" spans="2:5" x14ac:dyDescent="0.2">
      <c r="B1003" s="21">
        <v>8</v>
      </c>
      <c r="C1003" s="19">
        <v>14484</v>
      </c>
      <c r="D1003" s="22" t="s">
        <v>2227</v>
      </c>
      <c r="E1003" s="22" t="s">
        <v>2228</v>
      </c>
    </row>
    <row r="1004" spans="2:5" x14ac:dyDescent="0.2">
      <c r="B1004" s="23">
        <v>8</v>
      </c>
      <c r="C1004" s="20">
        <v>14485</v>
      </c>
      <c r="D1004" s="22" t="s">
        <v>2229</v>
      </c>
      <c r="E1004" s="22" t="s">
        <v>2230</v>
      </c>
    </row>
    <row r="1005" spans="2:5" x14ac:dyDescent="0.2">
      <c r="B1005" s="21">
        <v>8</v>
      </c>
      <c r="C1005" s="19">
        <v>14486</v>
      </c>
      <c r="D1005" s="22" t="s">
        <v>2231</v>
      </c>
      <c r="E1005" s="22" t="s">
        <v>2232</v>
      </c>
    </row>
    <row r="1006" spans="2:5" x14ac:dyDescent="0.2">
      <c r="B1006" s="23">
        <v>8</v>
      </c>
      <c r="C1006" s="20">
        <v>14487</v>
      </c>
      <c r="D1006" s="22" t="s">
        <v>2233</v>
      </c>
      <c r="E1006" s="22" t="s">
        <v>2234</v>
      </c>
    </row>
    <row r="1007" spans="2:5" x14ac:dyDescent="0.2">
      <c r="B1007" s="21">
        <v>8</v>
      </c>
      <c r="C1007" s="19">
        <v>14488</v>
      </c>
      <c r="D1007" s="22" t="s">
        <v>2235</v>
      </c>
      <c r="E1007" s="22" t="s">
        <v>2236</v>
      </c>
    </row>
    <row r="1008" spans="2:5" x14ac:dyDescent="0.2">
      <c r="B1008" s="23">
        <v>8</v>
      </c>
      <c r="C1008" s="20">
        <v>14489</v>
      </c>
      <c r="D1008" s="22" t="s">
        <v>2237</v>
      </c>
      <c r="E1008" s="22" t="s">
        <v>2238</v>
      </c>
    </row>
    <row r="1009" spans="2:5" x14ac:dyDescent="0.2">
      <c r="B1009" s="21">
        <v>8</v>
      </c>
      <c r="C1009" s="19">
        <v>14490</v>
      </c>
      <c r="D1009" s="22" t="s">
        <v>2239</v>
      </c>
      <c r="E1009" s="22" t="s">
        <v>2240</v>
      </c>
    </row>
    <row r="1010" spans="2:5" x14ac:dyDescent="0.2">
      <c r="B1010" s="23">
        <v>8</v>
      </c>
      <c r="C1010" s="20">
        <v>14491</v>
      </c>
      <c r="D1010" s="22" t="s">
        <v>2241</v>
      </c>
      <c r="E1010" s="22" t="s">
        <v>2242</v>
      </c>
    </row>
    <row r="1011" spans="2:5" x14ac:dyDescent="0.2">
      <c r="B1011" s="21">
        <v>8</v>
      </c>
      <c r="C1011" s="19">
        <v>14492</v>
      </c>
      <c r="D1011" s="22" t="s">
        <v>2243</v>
      </c>
      <c r="E1011" s="22" t="s">
        <v>2244</v>
      </c>
    </row>
    <row r="1012" spans="2:5" x14ac:dyDescent="0.2">
      <c r="B1012" s="23">
        <v>8</v>
      </c>
      <c r="C1012" s="20">
        <v>14493</v>
      </c>
      <c r="D1012" s="22" t="s">
        <v>2245</v>
      </c>
      <c r="E1012" s="22" t="s">
        <v>2246</v>
      </c>
    </row>
    <row r="1013" spans="2:5" x14ac:dyDescent="0.2">
      <c r="B1013" s="21">
        <v>8</v>
      </c>
      <c r="C1013" s="19">
        <v>14494</v>
      </c>
      <c r="D1013" s="22" t="s">
        <v>2247</v>
      </c>
      <c r="E1013" s="22" t="s">
        <v>2248</v>
      </c>
    </row>
    <row r="1014" spans="2:5" x14ac:dyDescent="0.2">
      <c r="B1014" s="23">
        <v>8</v>
      </c>
      <c r="C1014" s="20">
        <v>14495</v>
      </c>
      <c r="D1014" s="22" t="s">
        <v>2249</v>
      </c>
      <c r="E1014" s="22" t="s">
        <v>2250</v>
      </c>
    </row>
    <row r="1015" spans="2:5" x14ac:dyDescent="0.2">
      <c r="B1015" s="21">
        <v>8</v>
      </c>
      <c r="C1015" s="19">
        <v>14496</v>
      </c>
      <c r="D1015" s="22" t="s">
        <v>2251</v>
      </c>
      <c r="E1015" s="22" t="s">
        <v>2252</v>
      </c>
    </row>
    <row r="1016" spans="2:5" x14ac:dyDescent="0.2">
      <c r="B1016" s="23">
        <v>9</v>
      </c>
      <c r="C1016" s="20">
        <v>14497</v>
      </c>
      <c r="D1016" s="22" t="s">
        <v>2253</v>
      </c>
      <c r="E1016" s="22" t="s">
        <v>2254</v>
      </c>
    </row>
    <row r="1017" spans="2:5" x14ac:dyDescent="0.2">
      <c r="B1017" s="21">
        <v>9</v>
      </c>
      <c r="C1017" s="19">
        <v>14498</v>
      </c>
      <c r="D1017" s="22" t="s">
        <v>2255</v>
      </c>
      <c r="E1017" s="22" t="s">
        <v>2256</v>
      </c>
    </row>
    <row r="1018" spans="2:5" x14ac:dyDescent="0.2">
      <c r="B1018" s="23">
        <v>9</v>
      </c>
      <c r="C1018" s="20">
        <v>14499</v>
      </c>
      <c r="D1018" s="22" t="s">
        <v>2257</v>
      </c>
      <c r="E1018" s="22" t="s">
        <v>2258</v>
      </c>
    </row>
    <row r="1019" spans="2:5" x14ac:dyDescent="0.2">
      <c r="B1019" s="21">
        <v>9</v>
      </c>
      <c r="C1019" s="19">
        <v>14500</v>
      </c>
      <c r="D1019" s="22" t="s">
        <v>2259</v>
      </c>
      <c r="E1019" s="22" t="s">
        <v>2260</v>
      </c>
    </row>
    <row r="1020" spans="2:5" x14ac:dyDescent="0.2">
      <c r="B1020" s="23">
        <v>9</v>
      </c>
      <c r="C1020" s="20">
        <v>14501</v>
      </c>
      <c r="D1020" s="22" t="s">
        <v>2261</v>
      </c>
      <c r="E1020" s="22" t="s">
        <v>2262</v>
      </c>
    </row>
    <row r="1021" spans="2:5" x14ac:dyDescent="0.2">
      <c r="B1021" s="21">
        <v>9</v>
      </c>
      <c r="C1021" s="19">
        <v>14502</v>
      </c>
      <c r="D1021" s="22" t="s">
        <v>2263</v>
      </c>
      <c r="E1021" s="22" t="s">
        <v>2264</v>
      </c>
    </row>
    <row r="1022" spans="2:5" x14ac:dyDescent="0.2">
      <c r="B1022" s="23">
        <v>9</v>
      </c>
      <c r="C1022" s="20">
        <v>14503</v>
      </c>
      <c r="D1022" s="22" t="s">
        <v>2265</v>
      </c>
      <c r="E1022" s="22" t="s">
        <v>2266</v>
      </c>
    </row>
    <row r="1023" spans="2:5" x14ac:dyDescent="0.2">
      <c r="B1023" s="21">
        <v>9</v>
      </c>
      <c r="C1023" s="19">
        <v>14504</v>
      </c>
      <c r="D1023" s="22" t="s">
        <v>2267</v>
      </c>
      <c r="E1023" s="22" t="s">
        <v>2268</v>
      </c>
    </row>
    <row r="1024" spans="2:5" x14ac:dyDescent="0.2">
      <c r="B1024" s="23">
        <v>9</v>
      </c>
      <c r="C1024" s="20">
        <v>14505</v>
      </c>
      <c r="D1024" s="22" t="s">
        <v>2269</v>
      </c>
      <c r="E1024" s="22" t="s">
        <v>2270</v>
      </c>
    </row>
    <row r="1025" spans="2:5" x14ac:dyDescent="0.2">
      <c r="B1025" s="21">
        <v>9</v>
      </c>
      <c r="C1025" s="19">
        <v>14506</v>
      </c>
      <c r="D1025" s="22" t="s">
        <v>2271</v>
      </c>
      <c r="E1025" s="22" t="s">
        <v>2272</v>
      </c>
    </row>
    <row r="1026" spans="2:5" x14ac:dyDescent="0.2">
      <c r="B1026" s="23">
        <v>9</v>
      </c>
      <c r="C1026" s="20">
        <v>14507</v>
      </c>
      <c r="D1026" s="22" t="s">
        <v>2273</v>
      </c>
      <c r="E1026" s="22" t="s">
        <v>2274</v>
      </c>
    </row>
    <row r="1027" spans="2:5" x14ac:dyDescent="0.2">
      <c r="B1027" s="21">
        <v>9</v>
      </c>
      <c r="C1027" s="19">
        <v>14508</v>
      </c>
      <c r="D1027" s="22" t="s">
        <v>2275</v>
      </c>
      <c r="E1027" s="22" t="s">
        <v>2276</v>
      </c>
    </row>
    <row r="1028" spans="2:5" x14ac:dyDescent="0.2">
      <c r="B1028" s="23">
        <v>9</v>
      </c>
      <c r="C1028" s="20">
        <v>14509</v>
      </c>
      <c r="D1028" s="22" t="s">
        <v>2277</v>
      </c>
      <c r="E1028" s="22" t="s">
        <v>2278</v>
      </c>
    </row>
    <row r="1029" spans="2:5" x14ac:dyDescent="0.2">
      <c r="B1029" s="21">
        <v>9</v>
      </c>
      <c r="C1029" s="19">
        <v>14510</v>
      </c>
      <c r="D1029" s="22" t="s">
        <v>2279</v>
      </c>
      <c r="E1029" s="22" t="s">
        <v>2280</v>
      </c>
    </row>
    <row r="1030" spans="2:5" x14ac:dyDescent="0.2">
      <c r="B1030" s="23">
        <v>9</v>
      </c>
      <c r="C1030" s="20">
        <v>14511</v>
      </c>
      <c r="D1030" s="22" t="s">
        <v>2281</v>
      </c>
      <c r="E1030" s="22" t="s">
        <v>2282</v>
      </c>
    </row>
    <row r="1031" spans="2:5" x14ac:dyDescent="0.2">
      <c r="B1031" s="21">
        <v>9</v>
      </c>
      <c r="C1031" s="19">
        <v>14512</v>
      </c>
      <c r="D1031" s="22" t="s">
        <v>2283</v>
      </c>
      <c r="E1031" s="22" t="s">
        <v>2284</v>
      </c>
    </row>
    <row r="1032" spans="2:5" x14ac:dyDescent="0.2">
      <c r="B1032" s="23">
        <v>9</v>
      </c>
      <c r="C1032" s="20">
        <v>14513</v>
      </c>
      <c r="D1032" s="22" t="s">
        <v>2285</v>
      </c>
      <c r="E1032" s="22" t="s">
        <v>2286</v>
      </c>
    </row>
    <row r="1033" spans="2:5" x14ac:dyDescent="0.2">
      <c r="B1033" s="21">
        <v>9</v>
      </c>
      <c r="C1033" s="19">
        <v>14514</v>
      </c>
      <c r="D1033" s="22" t="s">
        <v>2287</v>
      </c>
      <c r="E1033" s="22" t="s">
        <v>2288</v>
      </c>
    </row>
    <row r="1034" spans="2:5" x14ac:dyDescent="0.2">
      <c r="B1034" s="23">
        <v>9</v>
      </c>
      <c r="C1034" s="20">
        <v>14515</v>
      </c>
      <c r="D1034" s="22" t="s">
        <v>2289</v>
      </c>
      <c r="E1034" s="22" t="s">
        <v>2290</v>
      </c>
    </row>
    <row r="1035" spans="2:5" x14ac:dyDescent="0.2">
      <c r="B1035" s="21">
        <v>9</v>
      </c>
      <c r="C1035" s="19">
        <v>14516</v>
      </c>
      <c r="D1035" s="22" t="s">
        <v>2291</v>
      </c>
      <c r="E1035" s="22" t="s">
        <v>2292</v>
      </c>
    </row>
    <row r="1036" spans="2:5" x14ac:dyDescent="0.2">
      <c r="B1036" s="23">
        <v>9</v>
      </c>
      <c r="C1036" s="20">
        <v>14517</v>
      </c>
      <c r="D1036" s="22" t="s">
        <v>2293</v>
      </c>
      <c r="E1036" s="22" t="s">
        <v>2294</v>
      </c>
    </row>
    <row r="1037" spans="2:5" x14ac:dyDescent="0.2">
      <c r="B1037" s="21">
        <v>9</v>
      </c>
      <c r="C1037" s="19">
        <v>14518</v>
      </c>
      <c r="D1037" s="22" t="s">
        <v>1481</v>
      </c>
      <c r="E1037" s="22" t="s">
        <v>2295</v>
      </c>
    </row>
    <row r="1038" spans="2:5" x14ac:dyDescent="0.2">
      <c r="B1038" s="23">
        <v>9</v>
      </c>
      <c r="C1038" s="20">
        <v>14519</v>
      </c>
      <c r="D1038" s="22" t="s">
        <v>2296</v>
      </c>
      <c r="E1038" s="22" t="s">
        <v>2297</v>
      </c>
    </row>
    <row r="1039" spans="2:5" x14ac:dyDescent="0.2">
      <c r="B1039" s="21">
        <v>9</v>
      </c>
      <c r="C1039" s="19">
        <v>14520</v>
      </c>
      <c r="D1039" s="22" t="s">
        <v>2298</v>
      </c>
      <c r="E1039" s="22" t="s">
        <v>2299</v>
      </c>
    </row>
    <row r="1040" spans="2:5" x14ac:dyDescent="0.2">
      <c r="B1040" s="23">
        <v>9</v>
      </c>
      <c r="C1040" s="20">
        <v>14521</v>
      </c>
      <c r="D1040" s="22" t="s">
        <v>2300</v>
      </c>
      <c r="E1040" s="22" t="s">
        <v>2301</v>
      </c>
    </row>
    <row r="1041" spans="2:5" x14ac:dyDescent="0.2">
      <c r="B1041" s="21">
        <v>10</v>
      </c>
      <c r="C1041" s="19">
        <v>14522</v>
      </c>
      <c r="D1041" s="22" t="s">
        <v>2302</v>
      </c>
      <c r="E1041" s="22" t="s">
        <v>2303</v>
      </c>
    </row>
    <row r="1042" spans="2:5" x14ac:dyDescent="0.2">
      <c r="B1042" s="23">
        <v>10</v>
      </c>
      <c r="C1042" s="20">
        <v>14523</v>
      </c>
      <c r="D1042" s="22" t="s">
        <v>2304</v>
      </c>
      <c r="E1042" s="22" t="s">
        <v>2305</v>
      </c>
    </row>
    <row r="1043" spans="2:5" x14ac:dyDescent="0.2">
      <c r="B1043" s="21">
        <v>10</v>
      </c>
      <c r="C1043" s="19">
        <v>14524</v>
      </c>
      <c r="D1043" s="22" t="s">
        <v>2306</v>
      </c>
      <c r="E1043" s="22" t="s">
        <v>2307</v>
      </c>
    </row>
    <row r="1044" spans="2:5" x14ac:dyDescent="0.2">
      <c r="B1044" s="23">
        <v>10</v>
      </c>
      <c r="C1044" s="20">
        <v>14525</v>
      </c>
      <c r="D1044" s="22" t="s">
        <v>2308</v>
      </c>
      <c r="E1044" s="22" t="s">
        <v>2309</v>
      </c>
    </row>
    <row r="1045" spans="2:5" x14ac:dyDescent="0.2">
      <c r="B1045" s="21">
        <v>10</v>
      </c>
      <c r="C1045" s="19">
        <v>14526</v>
      </c>
      <c r="D1045" s="22" t="s">
        <v>2310</v>
      </c>
      <c r="E1045" s="22" t="s">
        <v>2311</v>
      </c>
    </row>
    <row r="1046" spans="2:5" x14ac:dyDescent="0.2">
      <c r="B1046" s="23">
        <v>10</v>
      </c>
      <c r="C1046" s="20">
        <v>14527</v>
      </c>
      <c r="D1046" s="22" t="s">
        <v>2312</v>
      </c>
      <c r="E1046" s="22" t="s">
        <v>2313</v>
      </c>
    </row>
    <row r="1047" spans="2:5" x14ac:dyDescent="0.2">
      <c r="B1047" s="21">
        <v>10</v>
      </c>
      <c r="C1047" s="19">
        <v>14528</v>
      </c>
      <c r="D1047" s="22" t="s">
        <v>2314</v>
      </c>
      <c r="E1047" s="22" t="s">
        <v>2315</v>
      </c>
    </row>
    <row r="1048" spans="2:5" x14ac:dyDescent="0.2">
      <c r="B1048" s="23">
        <v>10</v>
      </c>
      <c r="C1048" s="20">
        <v>14529</v>
      </c>
      <c r="D1048" s="22" t="s">
        <v>2316</v>
      </c>
      <c r="E1048" s="22" t="s">
        <v>2317</v>
      </c>
    </row>
    <row r="1049" spans="2:5" x14ac:dyDescent="0.2">
      <c r="B1049" s="21">
        <v>10</v>
      </c>
      <c r="C1049" s="19">
        <v>14530</v>
      </c>
      <c r="D1049" s="22" t="s">
        <v>2318</v>
      </c>
      <c r="E1049" s="22" t="s">
        <v>2319</v>
      </c>
    </row>
    <row r="1050" spans="2:5" x14ac:dyDescent="0.2">
      <c r="B1050" s="23">
        <v>10</v>
      </c>
      <c r="C1050" s="20">
        <v>14531</v>
      </c>
      <c r="D1050" s="22" t="s">
        <v>2320</v>
      </c>
      <c r="E1050" s="22" t="s">
        <v>2321</v>
      </c>
    </row>
    <row r="1051" spans="2:5" x14ac:dyDescent="0.2">
      <c r="B1051" s="21">
        <v>10</v>
      </c>
      <c r="C1051" s="19">
        <v>14532</v>
      </c>
      <c r="D1051" s="22" t="s">
        <v>2322</v>
      </c>
      <c r="E1051" s="22" t="s">
        <v>2323</v>
      </c>
    </row>
    <row r="1052" spans="2:5" x14ac:dyDescent="0.2">
      <c r="B1052" s="23">
        <v>10</v>
      </c>
      <c r="C1052" s="20">
        <v>14533</v>
      </c>
      <c r="D1052" s="22" t="s">
        <v>2324</v>
      </c>
      <c r="E1052" s="22" t="s">
        <v>2325</v>
      </c>
    </row>
    <row r="1053" spans="2:5" x14ac:dyDescent="0.2">
      <c r="B1053" s="21">
        <v>10</v>
      </c>
      <c r="C1053" s="19">
        <v>14534</v>
      </c>
      <c r="D1053" s="22" t="s">
        <v>2326</v>
      </c>
      <c r="E1053" s="22" t="s">
        <v>2327</v>
      </c>
    </row>
    <row r="1054" spans="2:5" x14ac:dyDescent="0.2">
      <c r="B1054" s="23">
        <v>10</v>
      </c>
      <c r="C1054" s="20">
        <v>14535</v>
      </c>
      <c r="D1054" s="22" t="s">
        <v>2328</v>
      </c>
      <c r="E1054" s="22" t="s">
        <v>2329</v>
      </c>
    </row>
    <row r="1055" spans="2:5" x14ac:dyDescent="0.2">
      <c r="B1055" s="21">
        <v>10</v>
      </c>
      <c r="C1055" s="19">
        <v>14536</v>
      </c>
      <c r="D1055" s="22" t="s">
        <v>2330</v>
      </c>
      <c r="E1055" s="22" t="s">
        <v>2331</v>
      </c>
    </row>
    <row r="1056" spans="2:5" x14ac:dyDescent="0.2">
      <c r="B1056" s="23">
        <v>10</v>
      </c>
      <c r="C1056" s="20">
        <v>14537</v>
      </c>
      <c r="D1056" s="22" t="s">
        <v>2332</v>
      </c>
      <c r="E1056" s="22" t="s">
        <v>2333</v>
      </c>
    </row>
    <row r="1057" spans="2:5" x14ac:dyDescent="0.2">
      <c r="B1057" s="21">
        <v>10</v>
      </c>
      <c r="C1057" s="19">
        <v>14538</v>
      </c>
      <c r="D1057" s="22" t="s">
        <v>2334</v>
      </c>
      <c r="E1057" s="22" t="s">
        <v>2335</v>
      </c>
    </row>
    <row r="1058" spans="2:5" x14ac:dyDescent="0.2">
      <c r="B1058" s="23">
        <v>10</v>
      </c>
      <c r="C1058" s="20">
        <v>14539</v>
      </c>
      <c r="D1058" s="22" t="s">
        <v>2336</v>
      </c>
      <c r="E1058" s="22" t="s">
        <v>2337</v>
      </c>
    </row>
    <row r="1059" spans="2:5" x14ac:dyDescent="0.2">
      <c r="B1059" s="21">
        <v>10</v>
      </c>
      <c r="C1059" s="19">
        <v>14540</v>
      </c>
      <c r="D1059" s="22" t="s">
        <v>2338</v>
      </c>
      <c r="E1059" s="22" t="s">
        <v>2339</v>
      </c>
    </row>
    <row r="1060" spans="2:5" x14ac:dyDescent="0.2">
      <c r="B1060" s="23">
        <v>10</v>
      </c>
      <c r="C1060" s="20">
        <v>14541</v>
      </c>
      <c r="D1060" s="22" t="s">
        <v>2340</v>
      </c>
      <c r="E1060" s="22" t="s">
        <v>2341</v>
      </c>
    </row>
    <row r="1061" spans="2:5" x14ac:dyDescent="0.2">
      <c r="B1061" s="21">
        <v>10</v>
      </c>
      <c r="C1061" s="19">
        <v>14542</v>
      </c>
      <c r="D1061" s="22" t="s">
        <v>2342</v>
      </c>
      <c r="E1061" s="22" t="s">
        <v>2343</v>
      </c>
    </row>
    <row r="1062" spans="2:5" x14ac:dyDescent="0.2">
      <c r="B1062" s="23">
        <v>10</v>
      </c>
      <c r="C1062" s="20">
        <v>14543</v>
      </c>
      <c r="D1062" s="22" t="s">
        <v>2344</v>
      </c>
      <c r="E1062" s="22" t="s">
        <v>2345</v>
      </c>
    </row>
    <row r="1063" spans="2:5" x14ac:dyDescent="0.2">
      <c r="B1063" s="21">
        <v>10</v>
      </c>
      <c r="C1063" s="19">
        <v>14544</v>
      </c>
      <c r="D1063" s="22" t="s">
        <v>2346</v>
      </c>
      <c r="E1063" s="22" t="s">
        <v>2347</v>
      </c>
    </row>
    <row r="1064" spans="2:5" x14ac:dyDescent="0.2">
      <c r="B1064" s="23">
        <v>10</v>
      </c>
      <c r="C1064" s="20">
        <v>14545</v>
      </c>
      <c r="D1064" s="22" t="s">
        <v>2348</v>
      </c>
      <c r="E1064" s="22" t="s">
        <v>2349</v>
      </c>
    </row>
    <row r="1065" spans="2:5" x14ac:dyDescent="0.2">
      <c r="B1065" s="21">
        <v>10</v>
      </c>
      <c r="C1065" s="19">
        <v>14546</v>
      </c>
      <c r="D1065" s="22" t="s">
        <v>2350</v>
      </c>
      <c r="E1065" s="22" t="s">
        <v>2351</v>
      </c>
    </row>
    <row r="1066" spans="2:5" x14ac:dyDescent="0.2">
      <c r="B1066" s="23">
        <v>11</v>
      </c>
      <c r="C1066" s="20">
        <v>14547</v>
      </c>
      <c r="D1066" s="22" t="s">
        <v>2352</v>
      </c>
      <c r="E1066" s="22" t="s">
        <v>2353</v>
      </c>
    </row>
    <row r="1067" spans="2:5" x14ac:dyDescent="0.2">
      <c r="B1067" s="21">
        <v>11</v>
      </c>
      <c r="C1067" s="19">
        <v>14548</v>
      </c>
      <c r="D1067" s="22" t="s">
        <v>2354</v>
      </c>
      <c r="E1067" s="22" t="s">
        <v>2355</v>
      </c>
    </row>
    <row r="1068" spans="2:5" x14ac:dyDescent="0.2">
      <c r="B1068" s="23">
        <v>11</v>
      </c>
      <c r="C1068" s="20">
        <v>14549</v>
      </c>
      <c r="D1068" s="22" t="s">
        <v>2356</v>
      </c>
      <c r="E1068" s="22" t="s">
        <v>2357</v>
      </c>
    </row>
    <row r="1069" spans="2:5" x14ac:dyDescent="0.2">
      <c r="B1069" s="21">
        <v>11</v>
      </c>
      <c r="C1069" s="19">
        <v>14550</v>
      </c>
      <c r="D1069" s="22" t="s">
        <v>2358</v>
      </c>
      <c r="E1069" s="22" t="s">
        <v>2359</v>
      </c>
    </row>
    <row r="1070" spans="2:5" x14ac:dyDescent="0.2">
      <c r="B1070" s="23">
        <v>11</v>
      </c>
      <c r="C1070" s="20">
        <v>14551</v>
      </c>
      <c r="D1070" s="22" t="s">
        <v>2360</v>
      </c>
      <c r="E1070" s="22" t="s">
        <v>2361</v>
      </c>
    </row>
    <row r="1071" spans="2:5" x14ac:dyDescent="0.2">
      <c r="B1071" s="21">
        <v>11</v>
      </c>
      <c r="C1071" s="19">
        <v>14552</v>
      </c>
      <c r="D1071" s="22" t="s">
        <v>2362</v>
      </c>
      <c r="E1071" s="22" t="s">
        <v>2363</v>
      </c>
    </row>
    <row r="1072" spans="2:5" x14ac:dyDescent="0.2">
      <c r="B1072" s="23">
        <v>11</v>
      </c>
      <c r="C1072" s="20">
        <v>14553</v>
      </c>
      <c r="D1072" s="22" t="s">
        <v>2364</v>
      </c>
      <c r="E1072" s="22" t="s">
        <v>2365</v>
      </c>
    </row>
    <row r="1073" spans="2:5" x14ac:dyDescent="0.2">
      <c r="B1073" s="21">
        <v>11</v>
      </c>
      <c r="C1073" s="19">
        <v>14554</v>
      </c>
      <c r="D1073" s="22" t="s">
        <v>2366</v>
      </c>
      <c r="E1073" s="22" t="s">
        <v>2367</v>
      </c>
    </row>
    <row r="1074" spans="2:5" x14ac:dyDescent="0.2">
      <c r="B1074" s="23">
        <v>11</v>
      </c>
      <c r="C1074" s="20">
        <v>14555</v>
      </c>
      <c r="D1074" s="22" t="s">
        <v>2368</v>
      </c>
      <c r="E1074" s="22" t="s">
        <v>2369</v>
      </c>
    </row>
    <row r="1075" spans="2:5" x14ac:dyDescent="0.2">
      <c r="B1075" s="21">
        <v>11</v>
      </c>
      <c r="C1075" s="19">
        <v>14556</v>
      </c>
      <c r="D1075" s="22" t="s">
        <v>2370</v>
      </c>
      <c r="E1075" s="22" t="s">
        <v>2371</v>
      </c>
    </row>
    <row r="1076" spans="2:5" x14ac:dyDescent="0.2">
      <c r="B1076" s="23">
        <v>21</v>
      </c>
      <c r="C1076" s="20">
        <v>14557</v>
      </c>
      <c r="D1076" s="22" t="s">
        <v>2372</v>
      </c>
      <c r="E1076" s="22" t="s">
        <v>2373</v>
      </c>
    </row>
    <row r="1077" spans="2:5" x14ac:dyDescent="0.2">
      <c r="B1077" s="21">
        <v>21</v>
      </c>
      <c r="C1077" s="19">
        <v>14558</v>
      </c>
      <c r="D1077" s="22" t="s">
        <v>2374</v>
      </c>
      <c r="E1077" s="22" t="s">
        <v>2375</v>
      </c>
    </row>
    <row r="1078" spans="2:5" x14ac:dyDescent="0.2">
      <c r="B1078" s="23">
        <v>21</v>
      </c>
      <c r="C1078" s="20">
        <v>14559</v>
      </c>
      <c r="D1078" s="22" t="s">
        <v>2376</v>
      </c>
      <c r="E1078" s="22" t="s">
        <v>2377</v>
      </c>
    </row>
    <row r="1079" spans="2:5" x14ac:dyDescent="0.2">
      <c r="B1079" s="21">
        <v>21</v>
      </c>
      <c r="C1079" s="19">
        <v>14560</v>
      </c>
      <c r="D1079" s="22" t="s">
        <v>2378</v>
      </c>
      <c r="E1079" s="22" t="s">
        <v>2379</v>
      </c>
    </row>
    <row r="1080" spans="2:5" x14ac:dyDescent="0.2">
      <c r="B1080" s="23">
        <v>21</v>
      </c>
      <c r="C1080" s="20">
        <v>14561</v>
      </c>
      <c r="D1080" s="22" t="s">
        <v>2380</v>
      </c>
      <c r="E1080" s="22" t="s">
        <v>2381</v>
      </c>
    </row>
    <row r="1081" spans="2:5" x14ac:dyDescent="0.2">
      <c r="B1081" s="21">
        <v>21</v>
      </c>
      <c r="C1081" s="19">
        <v>14562</v>
      </c>
      <c r="D1081" s="22" t="s">
        <v>2382</v>
      </c>
      <c r="E1081" s="22" t="s">
        <v>2383</v>
      </c>
    </row>
    <row r="1082" spans="2:5" x14ac:dyDescent="0.2">
      <c r="B1082" s="23">
        <v>21</v>
      </c>
      <c r="C1082" s="20">
        <v>14563</v>
      </c>
      <c r="D1082" s="22" t="s">
        <v>2384</v>
      </c>
      <c r="E1082" s="22" t="s">
        <v>2385</v>
      </c>
    </row>
    <row r="1083" spans="2:5" x14ac:dyDescent="0.2">
      <c r="B1083" s="21">
        <v>21</v>
      </c>
      <c r="C1083" s="19">
        <v>14564</v>
      </c>
      <c r="D1083" s="22" t="s">
        <v>2386</v>
      </c>
      <c r="E1083" s="22" t="s">
        <v>2387</v>
      </c>
    </row>
    <row r="1084" spans="2:5" x14ac:dyDescent="0.2">
      <c r="B1084" s="23">
        <v>21</v>
      </c>
      <c r="C1084" s="20">
        <v>14565</v>
      </c>
      <c r="D1084" s="22" t="s">
        <v>2388</v>
      </c>
      <c r="E1084" s="22" t="s">
        <v>2389</v>
      </c>
    </row>
    <row r="1085" spans="2:5" x14ac:dyDescent="0.2">
      <c r="B1085" s="21">
        <v>21</v>
      </c>
      <c r="C1085" s="19">
        <v>14566</v>
      </c>
      <c r="D1085" s="22" t="s">
        <v>2390</v>
      </c>
      <c r="E1085" s="22" t="s">
        <v>2391</v>
      </c>
    </row>
    <row r="1086" spans="2:5" x14ac:dyDescent="0.2">
      <c r="B1086" s="23">
        <v>21</v>
      </c>
      <c r="C1086" s="20">
        <v>14567</v>
      </c>
      <c r="D1086" s="22" t="s">
        <v>2392</v>
      </c>
      <c r="E1086" s="22" t="s">
        <v>2393</v>
      </c>
    </row>
    <row r="1087" spans="2:5" x14ac:dyDescent="0.2">
      <c r="B1087" s="21">
        <v>21</v>
      </c>
      <c r="C1087" s="19">
        <v>14568</v>
      </c>
      <c r="D1087" s="22" t="s">
        <v>2394</v>
      </c>
      <c r="E1087" s="22" t="s">
        <v>2395</v>
      </c>
    </row>
    <row r="1088" spans="2:5" x14ac:dyDescent="0.2">
      <c r="B1088" s="23">
        <v>21</v>
      </c>
      <c r="C1088" s="20">
        <v>14569</v>
      </c>
      <c r="D1088" s="22" t="s">
        <v>2396</v>
      </c>
      <c r="E1088" s="22" t="s">
        <v>2397</v>
      </c>
    </row>
    <row r="1089" spans="2:5" x14ac:dyDescent="0.2">
      <c r="B1089" s="21">
        <v>21</v>
      </c>
      <c r="C1089" s="19">
        <v>14570</v>
      </c>
      <c r="D1089" s="22" t="s">
        <v>2398</v>
      </c>
      <c r="E1089" s="22" t="s">
        <v>2399</v>
      </c>
    </row>
    <row r="1090" spans="2:5" x14ac:dyDescent="0.2">
      <c r="B1090" s="23">
        <v>21</v>
      </c>
      <c r="C1090" s="20">
        <v>14571</v>
      </c>
      <c r="D1090" s="22" t="s">
        <v>2400</v>
      </c>
      <c r="E1090" s="22" t="s">
        <v>2401</v>
      </c>
    </row>
    <row r="1091" spans="2:5" x14ac:dyDescent="0.2">
      <c r="B1091" s="21">
        <v>21</v>
      </c>
      <c r="C1091" s="19">
        <v>14572</v>
      </c>
      <c r="D1091" s="22" t="s">
        <v>2402</v>
      </c>
      <c r="E1091" s="22" t="s">
        <v>2403</v>
      </c>
    </row>
    <row r="1092" spans="2:5" x14ac:dyDescent="0.2">
      <c r="B1092" s="23">
        <v>21</v>
      </c>
      <c r="C1092" s="20">
        <v>14573</v>
      </c>
      <c r="D1092" s="22" t="s">
        <v>2404</v>
      </c>
      <c r="E1092" s="22" t="s">
        <v>2405</v>
      </c>
    </row>
    <row r="1093" spans="2:5" x14ac:dyDescent="0.2">
      <c r="B1093" s="21">
        <v>21</v>
      </c>
      <c r="C1093" s="19">
        <v>14574</v>
      </c>
      <c r="D1093" s="22" t="s">
        <v>2406</v>
      </c>
      <c r="E1093" s="22" t="s">
        <v>2407</v>
      </c>
    </row>
    <row r="1094" spans="2:5" x14ac:dyDescent="0.2">
      <c r="B1094" s="23">
        <v>21</v>
      </c>
      <c r="C1094" s="20">
        <v>14575</v>
      </c>
      <c r="D1094" s="22" t="s">
        <v>2408</v>
      </c>
      <c r="E1094" s="22" t="s">
        <v>2409</v>
      </c>
    </row>
    <row r="1095" spans="2:5" x14ac:dyDescent="0.2">
      <c r="B1095" s="21">
        <v>21</v>
      </c>
      <c r="C1095" s="19">
        <v>14576</v>
      </c>
      <c r="D1095" s="22" t="s">
        <v>2410</v>
      </c>
      <c r="E1095" s="22" t="s">
        <v>2411</v>
      </c>
    </row>
    <row r="1096" spans="2:5" x14ac:dyDescent="0.2">
      <c r="B1096" s="23">
        <v>21</v>
      </c>
      <c r="C1096" s="20">
        <v>14577</v>
      </c>
      <c r="D1096" s="22" t="s">
        <v>2412</v>
      </c>
      <c r="E1096" s="22" t="s">
        <v>2413</v>
      </c>
    </row>
    <row r="1097" spans="2:5" x14ac:dyDescent="0.2">
      <c r="B1097" s="21">
        <v>21</v>
      </c>
      <c r="C1097" s="19">
        <v>14578</v>
      </c>
      <c r="D1097" s="22" t="s">
        <v>2414</v>
      </c>
      <c r="E1097" s="22" t="s">
        <v>2415</v>
      </c>
    </row>
    <row r="1098" spans="2:5" x14ac:dyDescent="0.2">
      <c r="B1098" s="23">
        <v>21</v>
      </c>
      <c r="C1098" s="20">
        <v>14579</v>
      </c>
      <c r="D1098" s="22" t="s">
        <v>2416</v>
      </c>
      <c r="E1098" s="22" t="s">
        <v>2417</v>
      </c>
    </row>
    <row r="1099" spans="2:5" x14ac:dyDescent="0.2">
      <c r="B1099" s="21">
        <v>21</v>
      </c>
      <c r="C1099" s="19">
        <v>14580</v>
      </c>
      <c r="D1099" s="22" t="s">
        <v>2418</v>
      </c>
      <c r="E1099" s="22" t="s">
        <v>2419</v>
      </c>
    </row>
    <row r="1100" spans="2:5" x14ac:dyDescent="0.2">
      <c r="B1100" s="23">
        <v>21</v>
      </c>
      <c r="C1100" s="20">
        <v>14581</v>
      </c>
      <c r="D1100" s="22" t="s">
        <v>2420</v>
      </c>
      <c r="E1100" s="22" t="s">
        <v>2421</v>
      </c>
    </row>
    <row r="1101" spans="2:5" x14ac:dyDescent="0.2">
      <c r="B1101" s="21">
        <v>22</v>
      </c>
      <c r="C1101" s="19">
        <v>14582</v>
      </c>
      <c r="D1101" s="22" t="s">
        <v>2422</v>
      </c>
      <c r="E1101" s="22" t="s">
        <v>2423</v>
      </c>
    </row>
    <row r="1102" spans="2:5" x14ac:dyDescent="0.2">
      <c r="B1102" s="23">
        <v>22</v>
      </c>
      <c r="C1102" s="20">
        <v>14583</v>
      </c>
      <c r="D1102" s="22" t="s">
        <v>2424</v>
      </c>
      <c r="E1102" s="22" t="s">
        <v>2425</v>
      </c>
    </row>
    <row r="1103" spans="2:5" x14ac:dyDescent="0.2">
      <c r="B1103" s="21">
        <v>22</v>
      </c>
      <c r="C1103" s="19">
        <v>14584</v>
      </c>
      <c r="D1103" s="22" t="s">
        <v>2426</v>
      </c>
      <c r="E1103" s="22" t="s">
        <v>2427</v>
      </c>
    </row>
    <row r="1104" spans="2:5" x14ac:dyDescent="0.2">
      <c r="B1104" s="23">
        <v>22</v>
      </c>
      <c r="C1104" s="20">
        <v>14585</v>
      </c>
      <c r="D1104" s="22" t="s">
        <v>2428</v>
      </c>
      <c r="E1104" s="22" t="s">
        <v>2429</v>
      </c>
    </row>
    <row r="1105" spans="2:5" x14ac:dyDescent="0.2">
      <c r="B1105" s="21">
        <v>22</v>
      </c>
      <c r="C1105" s="19">
        <v>14586</v>
      </c>
      <c r="D1105" s="22" t="s">
        <v>2430</v>
      </c>
      <c r="E1105" s="22" t="s">
        <v>2431</v>
      </c>
    </row>
    <row r="1106" spans="2:5" x14ac:dyDescent="0.2">
      <c r="B1106" s="23">
        <v>22</v>
      </c>
      <c r="C1106" s="20">
        <v>14587</v>
      </c>
      <c r="D1106" s="22" t="s">
        <v>2432</v>
      </c>
      <c r="E1106" s="22" t="s">
        <v>2433</v>
      </c>
    </row>
    <row r="1107" spans="2:5" x14ac:dyDescent="0.2">
      <c r="B1107" s="21">
        <v>22</v>
      </c>
      <c r="C1107" s="19">
        <v>14588</v>
      </c>
      <c r="D1107" s="22" t="s">
        <v>2434</v>
      </c>
      <c r="E1107" s="22" t="s">
        <v>2435</v>
      </c>
    </row>
    <row r="1108" spans="2:5" x14ac:dyDescent="0.2">
      <c r="B1108" s="23">
        <v>22</v>
      </c>
      <c r="C1108" s="20">
        <v>14589</v>
      </c>
      <c r="D1108" s="22" t="s">
        <v>2436</v>
      </c>
      <c r="E1108" s="22" t="s">
        <v>2437</v>
      </c>
    </row>
    <row r="1109" spans="2:5" x14ac:dyDescent="0.2">
      <c r="B1109" s="21">
        <v>22</v>
      </c>
      <c r="C1109" s="19">
        <v>14590</v>
      </c>
      <c r="D1109" s="22" t="s">
        <v>2438</v>
      </c>
      <c r="E1109" s="22" t="s">
        <v>2439</v>
      </c>
    </row>
    <row r="1110" spans="2:5" x14ac:dyDescent="0.2">
      <c r="B1110" s="23">
        <v>22</v>
      </c>
      <c r="C1110" s="20">
        <v>14591</v>
      </c>
      <c r="D1110" s="22" t="s">
        <v>2440</v>
      </c>
      <c r="E1110" s="22" t="s">
        <v>2441</v>
      </c>
    </row>
    <row r="1111" spans="2:5" x14ac:dyDescent="0.2">
      <c r="B1111" s="21">
        <v>22</v>
      </c>
      <c r="C1111" s="19">
        <v>14592</v>
      </c>
      <c r="D1111" s="22" t="s">
        <v>2442</v>
      </c>
      <c r="E1111" s="22" t="s">
        <v>2443</v>
      </c>
    </row>
    <row r="1112" spans="2:5" x14ac:dyDescent="0.2">
      <c r="B1112" s="23">
        <v>22</v>
      </c>
      <c r="C1112" s="20">
        <v>14593</v>
      </c>
      <c r="D1112" s="22" t="s">
        <v>2444</v>
      </c>
      <c r="E1112" s="22" t="s">
        <v>2445</v>
      </c>
    </row>
    <row r="1113" spans="2:5" x14ac:dyDescent="0.2">
      <c r="B1113" s="21">
        <v>22</v>
      </c>
      <c r="C1113" s="19">
        <v>14594</v>
      </c>
      <c r="D1113" s="22" t="s">
        <v>2446</v>
      </c>
      <c r="E1113" s="22" t="s">
        <v>2447</v>
      </c>
    </row>
    <row r="1114" spans="2:5" x14ac:dyDescent="0.2">
      <c r="B1114" s="23">
        <v>22</v>
      </c>
      <c r="C1114" s="20">
        <v>14595</v>
      </c>
      <c r="D1114" s="22" t="s">
        <v>2448</v>
      </c>
      <c r="E1114" s="22" t="s">
        <v>2449</v>
      </c>
    </row>
    <row r="1115" spans="2:5" x14ac:dyDescent="0.2">
      <c r="B1115" s="21">
        <v>22</v>
      </c>
      <c r="C1115" s="19">
        <v>14596</v>
      </c>
      <c r="D1115" s="22" t="s">
        <v>2450</v>
      </c>
      <c r="E1115" s="22" t="s">
        <v>2451</v>
      </c>
    </row>
    <row r="1116" spans="2:5" x14ac:dyDescent="0.2">
      <c r="B1116" s="23">
        <v>22</v>
      </c>
      <c r="C1116" s="20">
        <v>14597</v>
      </c>
      <c r="D1116" s="22" t="s">
        <v>2452</v>
      </c>
      <c r="E1116" s="22" t="s">
        <v>2453</v>
      </c>
    </row>
    <row r="1117" spans="2:5" x14ac:dyDescent="0.2">
      <c r="B1117" s="21">
        <v>22</v>
      </c>
      <c r="C1117" s="19">
        <v>14598</v>
      </c>
      <c r="D1117" s="22" t="s">
        <v>2454</v>
      </c>
      <c r="E1117" s="22" t="s">
        <v>2455</v>
      </c>
    </row>
    <row r="1118" spans="2:5" x14ac:dyDescent="0.2">
      <c r="B1118" s="23">
        <v>22</v>
      </c>
      <c r="C1118" s="20">
        <v>14599</v>
      </c>
      <c r="D1118" s="22" t="s">
        <v>2456</v>
      </c>
      <c r="E1118" s="22" t="s">
        <v>2457</v>
      </c>
    </row>
    <row r="1119" spans="2:5" x14ac:dyDescent="0.2">
      <c r="B1119" s="21">
        <v>23</v>
      </c>
      <c r="C1119" s="19">
        <v>14600</v>
      </c>
      <c r="D1119" s="22" t="s">
        <v>2458</v>
      </c>
      <c r="E1119" s="22" t="s">
        <v>2459</v>
      </c>
    </row>
    <row r="1120" spans="2:5" x14ac:dyDescent="0.2">
      <c r="B1120" s="23">
        <v>23</v>
      </c>
      <c r="C1120" s="20">
        <v>14601</v>
      </c>
      <c r="D1120" s="22" t="s">
        <v>2460</v>
      </c>
      <c r="E1120" s="22" t="s">
        <v>2461</v>
      </c>
    </row>
    <row r="1121" spans="2:5" x14ac:dyDescent="0.2">
      <c r="B1121" s="21">
        <v>23</v>
      </c>
      <c r="C1121" s="19">
        <v>14602</v>
      </c>
      <c r="D1121" s="22" t="s">
        <v>2462</v>
      </c>
      <c r="E1121" s="22" t="s">
        <v>2463</v>
      </c>
    </row>
    <row r="1122" spans="2:5" x14ac:dyDescent="0.2">
      <c r="B1122" s="23">
        <v>23</v>
      </c>
      <c r="C1122" s="20">
        <v>14603</v>
      </c>
      <c r="D1122" s="22" t="s">
        <v>2464</v>
      </c>
      <c r="E1122" s="22" t="s">
        <v>2465</v>
      </c>
    </row>
    <row r="1123" spans="2:5" x14ac:dyDescent="0.2">
      <c r="B1123" s="21">
        <v>23</v>
      </c>
      <c r="C1123" s="19">
        <v>14604</v>
      </c>
      <c r="D1123" s="22" t="s">
        <v>2466</v>
      </c>
      <c r="E1123" s="22" t="s">
        <v>2467</v>
      </c>
    </row>
    <row r="1124" spans="2:5" x14ac:dyDescent="0.2">
      <c r="B1124" s="23">
        <v>23</v>
      </c>
      <c r="C1124" s="20">
        <v>14605</v>
      </c>
      <c r="D1124" s="22" t="s">
        <v>2468</v>
      </c>
      <c r="E1124" s="22" t="s">
        <v>2469</v>
      </c>
    </row>
    <row r="1125" spans="2:5" x14ac:dyDescent="0.2">
      <c r="B1125" s="21">
        <v>23</v>
      </c>
      <c r="C1125" s="19">
        <v>14606</v>
      </c>
      <c r="D1125" s="22" t="s">
        <v>2470</v>
      </c>
      <c r="E1125" s="22" t="s">
        <v>2471</v>
      </c>
    </row>
    <row r="1126" spans="2:5" x14ac:dyDescent="0.2">
      <c r="B1126" s="23">
        <v>23</v>
      </c>
      <c r="C1126" s="20">
        <v>14607</v>
      </c>
      <c r="D1126" s="22" t="s">
        <v>2472</v>
      </c>
      <c r="E1126" s="22" t="s">
        <v>2473</v>
      </c>
    </row>
    <row r="1127" spans="2:5" x14ac:dyDescent="0.2">
      <c r="B1127" s="21">
        <v>23</v>
      </c>
      <c r="C1127" s="19">
        <v>14608</v>
      </c>
      <c r="D1127" s="22" t="s">
        <v>2474</v>
      </c>
      <c r="E1127" s="22" t="s">
        <v>2475</v>
      </c>
    </row>
    <row r="1128" spans="2:5" x14ac:dyDescent="0.2">
      <c r="B1128" s="23">
        <v>23</v>
      </c>
      <c r="C1128" s="20">
        <v>14609</v>
      </c>
      <c r="D1128" s="22" t="s">
        <v>2476</v>
      </c>
      <c r="E1128" s="22" t="s">
        <v>2477</v>
      </c>
    </row>
    <row r="1129" spans="2:5" x14ac:dyDescent="0.2">
      <c r="B1129" s="21">
        <v>23</v>
      </c>
      <c r="C1129" s="19">
        <v>14610</v>
      </c>
      <c r="D1129" s="22" t="s">
        <v>2478</v>
      </c>
      <c r="E1129" s="22" t="s">
        <v>2479</v>
      </c>
    </row>
    <row r="1130" spans="2:5" x14ac:dyDescent="0.2">
      <c r="B1130" s="23">
        <v>23</v>
      </c>
      <c r="C1130" s="20">
        <v>14611</v>
      </c>
      <c r="D1130" s="22" t="s">
        <v>2480</v>
      </c>
      <c r="E1130" s="22" t="s">
        <v>2481</v>
      </c>
    </row>
    <row r="1131" spans="2:5" x14ac:dyDescent="0.2">
      <c r="B1131" s="21">
        <v>23</v>
      </c>
      <c r="C1131" s="19">
        <v>14612</v>
      </c>
      <c r="D1131" s="22" t="s">
        <v>2482</v>
      </c>
      <c r="E1131" s="22" t="s">
        <v>2483</v>
      </c>
    </row>
    <row r="1132" spans="2:5" x14ac:dyDescent="0.2">
      <c r="B1132" s="23">
        <v>23</v>
      </c>
      <c r="C1132" s="20">
        <v>14613</v>
      </c>
      <c r="D1132" s="22" t="s">
        <v>2484</v>
      </c>
      <c r="E1132" s="22" t="s">
        <v>2485</v>
      </c>
    </row>
    <row r="1133" spans="2:5" x14ac:dyDescent="0.2">
      <c r="B1133" s="21">
        <v>23</v>
      </c>
      <c r="C1133" s="19">
        <v>14614</v>
      </c>
      <c r="D1133" s="22" t="s">
        <v>2486</v>
      </c>
      <c r="E1133" s="22" t="s">
        <v>2487</v>
      </c>
    </row>
    <row r="1134" spans="2:5" x14ac:dyDescent="0.2">
      <c r="B1134" s="23">
        <v>23</v>
      </c>
      <c r="C1134" s="20">
        <v>14615</v>
      </c>
      <c r="D1134" s="22" t="s">
        <v>2488</v>
      </c>
      <c r="E1134" s="22" t="s">
        <v>2489</v>
      </c>
    </row>
    <row r="1135" spans="2:5" x14ac:dyDescent="0.2">
      <c r="B1135" s="21">
        <v>23</v>
      </c>
      <c r="C1135" s="19">
        <v>14616</v>
      </c>
      <c r="D1135" s="22" t="s">
        <v>2490</v>
      </c>
      <c r="E1135" s="22" t="s">
        <v>2491</v>
      </c>
    </row>
    <row r="1136" spans="2:5" x14ac:dyDescent="0.2">
      <c r="B1136" s="23">
        <v>23</v>
      </c>
      <c r="C1136" s="20">
        <v>14617</v>
      </c>
      <c r="D1136" s="22" t="s">
        <v>2492</v>
      </c>
      <c r="E1136" s="22" t="s">
        <v>2493</v>
      </c>
    </row>
    <row r="1137" spans="2:5" x14ac:dyDescent="0.2">
      <c r="B1137" s="21">
        <v>23</v>
      </c>
      <c r="C1137" s="19">
        <v>14618</v>
      </c>
      <c r="D1137" s="22" t="s">
        <v>2494</v>
      </c>
      <c r="E1137" s="22" t="s">
        <v>2495</v>
      </c>
    </row>
    <row r="1138" spans="2:5" x14ac:dyDescent="0.2">
      <c r="B1138" s="23">
        <v>23</v>
      </c>
      <c r="C1138" s="20">
        <v>14619</v>
      </c>
      <c r="D1138" s="22" t="s">
        <v>2496</v>
      </c>
      <c r="E1138" s="22" t="s">
        <v>2497</v>
      </c>
    </row>
    <row r="1139" spans="2:5" x14ac:dyDescent="0.2">
      <c r="B1139" s="21">
        <v>23</v>
      </c>
      <c r="C1139" s="19">
        <v>14620</v>
      </c>
      <c r="D1139" s="22" t="s">
        <v>2498</v>
      </c>
      <c r="E1139" s="22" t="s">
        <v>2499</v>
      </c>
    </row>
    <row r="1140" spans="2:5" x14ac:dyDescent="0.2">
      <c r="B1140" s="23">
        <v>23</v>
      </c>
      <c r="C1140" s="20">
        <v>14621</v>
      </c>
      <c r="D1140" s="22" t="s">
        <v>2500</v>
      </c>
      <c r="E1140" s="22" t="s">
        <v>2501</v>
      </c>
    </row>
    <row r="1141" spans="2:5" x14ac:dyDescent="0.2">
      <c r="B1141" s="21">
        <v>23</v>
      </c>
      <c r="C1141" s="19">
        <v>14622</v>
      </c>
      <c r="D1141" s="22" t="s">
        <v>2502</v>
      </c>
      <c r="E1141" s="22" t="s">
        <v>1696</v>
      </c>
    </row>
    <row r="1142" spans="2:5" x14ac:dyDescent="0.2">
      <c r="B1142" s="23">
        <v>23</v>
      </c>
      <c r="C1142" s="20">
        <v>14623</v>
      </c>
      <c r="D1142" s="22" t="s">
        <v>2503</v>
      </c>
      <c r="E1142" s="22" t="s">
        <v>2504</v>
      </c>
    </row>
    <row r="1143" spans="2:5" x14ac:dyDescent="0.2">
      <c r="B1143" s="21">
        <v>23</v>
      </c>
      <c r="C1143" s="19">
        <v>14624</v>
      </c>
      <c r="D1143" s="22" t="s">
        <v>2505</v>
      </c>
      <c r="E1143" s="22" t="s">
        <v>2506</v>
      </c>
    </row>
    <row r="1144" spans="2:5" x14ac:dyDescent="0.2">
      <c r="B1144" s="23">
        <v>24</v>
      </c>
      <c r="C1144" s="20">
        <v>14625</v>
      </c>
      <c r="D1144" s="22" t="s">
        <v>2507</v>
      </c>
      <c r="E1144" s="22" t="s">
        <v>2508</v>
      </c>
    </row>
    <row r="1145" spans="2:5" x14ac:dyDescent="0.2">
      <c r="B1145" s="21">
        <v>24</v>
      </c>
      <c r="C1145" s="19">
        <v>14626</v>
      </c>
      <c r="D1145" s="22" t="s">
        <v>2509</v>
      </c>
      <c r="E1145" s="22" t="s">
        <v>2510</v>
      </c>
    </row>
    <row r="1146" spans="2:5" x14ac:dyDescent="0.2">
      <c r="B1146" s="23">
        <v>24</v>
      </c>
      <c r="C1146" s="20">
        <v>14627</v>
      </c>
      <c r="D1146" s="22" t="s">
        <v>2511</v>
      </c>
      <c r="E1146" s="22" t="s">
        <v>2512</v>
      </c>
    </row>
    <row r="1147" spans="2:5" x14ac:dyDescent="0.2">
      <c r="B1147" s="21">
        <v>24</v>
      </c>
      <c r="C1147" s="19">
        <v>14628</v>
      </c>
      <c r="D1147" s="22" t="s">
        <v>2513</v>
      </c>
      <c r="E1147" s="22" t="s">
        <v>2514</v>
      </c>
    </row>
    <row r="1148" spans="2:5" x14ac:dyDescent="0.2">
      <c r="B1148" s="23">
        <v>25</v>
      </c>
      <c r="C1148" s="20">
        <v>14629</v>
      </c>
      <c r="D1148" s="22" t="s">
        <v>2515</v>
      </c>
      <c r="E1148" s="22" t="s">
        <v>2516</v>
      </c>
    </row>
    <row r="1149" spans="2:5" x14ac:dyDescent="0.2">
      <c r="B1149" s="21">
        <v>25</v>
      </c>
      <c r="C1149" s="19">
        <v>14630</v>
      </c>
      <c r="D1149" s="22" t="s">
        <v>2517</v>
      </c>
      <c r="E1149" s="22" t="s">
        <v>2518</v>
      </c>
    </row>
    <row r="1150" spans="2:5" x14ac:dyDescent="0.2">
      <c r="B1150" s="23">
        <v>25</v>
      </c>
      <c r="C1150" s="20">
        <v>14631</v>
      </c>
      <c r="D1150" s="22" t="s">
        <v>2519</v>
      </c>
      <c r="E1150" s="22" t="s">
        <v>2520</v>
      </c>
    </row>
    <row r="1151" spans="2:5" x14ac:dyDescent="0.2">
      <c r="B1151" s="21">
        <v>25</v>
      </c>
      <c r="C1151" s="19">
        <v>14632</v>
      </c>
      <c r="D1151" s="22" t="s">
        <v>2521</v>
      </c>
      <c r="E1151" s="22" t="s">
        <v>2522</v>
      </c>
    </row>
    <row r="1152" spans="2:5" x14ac:dyDescent="0.2">
      <c r="B1152" s="23">
        <v>25</v>
      </c>
      <c r="C1152" s="20">
        <v>14633</v>
      </c>
      <c r="D1152" s="22" t="s">
        <v>2523</v>
      </c>
      <c r="E1152" s="22" t="s">
        <v>2524</v>
      </c>
    </row>
    <row r="1153" spans="2:5" x14ac:dyDescent="0.2">
      <c r="B1153" s="21">
        <v>25</v>
      </c>
      <c r="C1153" s="19">
        <v>14634</v>
      </c>
      <c r="D1153" s="22" t="s">
        <v>2525</v>
      </c>
      <c r="E1153" s="22" t="s">
        <v>2526</v>
      </c>
    </row>
    <row r="1154" spans="2:5" x14ac:dyDescent="0.2">
      <c r="B1154" s="23">
        <v>25</v>
      </c>
      <c r="C1154" s="20">
        <v>14635</v>
      </c>
      <c r="D1154" s="22" t="s">
        <v>2527</v>
      </c>
      <c r="E1154" s="22" t="s">
        <v>2528</v>
      </c>
    </row>
    <row r="1155" spans="2:5" x14ac:dyDescent="0.2">
      <c r="B1155" s="21">
        <v>25</v>
      </c>
      <c r="C1155" s="19">
        <v>14636</v>
      </c>
      <c r="D1155" s="22" t="s">
        <v>2529</v>
      </c>
      <c r="E1155" s="22" t="s">
        <v>2530</v>
      </c>
    </row>
    <row r="1156" spans="2:5" x14ac:dyDescent="0.2">
      <c r="B1156" s="23">
        <v>25</v>
      </c>
      <c r="C1156" s="20">
        <v>14637</v>
      </c>
      <c r="D1156" s="22" t="s">
        <v>2531</v>
      </c>
      <c r="E1156" s="22" t="s">
        <v>2532</v>
      </c>
    </row>
    <row r="1157" spans="2:5" x14ac:dyDescent="0.2">
      <c r="B1157" s="21">
        <v>25</v>
      </c>
      <c r="C1157" s="19">
        <v>14638</v>
      </c>
      <c r="D1157" s="22" t="s">
        <v>2533</v>
      </c>
      <c r="E1157" s="22" t="s">
        <v>2534</v>
      </c>
    </row>
    <row r="1158" spans="2:5" x14ac:dyDescent="0.2">
      <c r="B1158" s="23">
        <v>25</v>
      </c>
      <c r="C1158" s="20">
        <v>14639</v>
      </c>
      <c r="D1158" s="22" t="s">
        <v>2535</v>
      </c>
      <c r="E1158" s="22" t="s">
        <v>2536</v>
      </c>
    </row>
    <row r="1159" spans="2:5" x14ac:dyDescent="0.2">
      <c r="B1159" s="21">
        <v>25</v>
      </c>
      <c r="C1159" s="19">
        <v>14640</v>
      </c>
      <c r="D1159" s="22" t="s">
        <v>2537</v>
      </c>
      <c r="E1159" s="22" t="s">
        <v>2538</v>
      </c>
    </row>
    <row r="1160" spans="2:5" x14ac:dyDescent="0.2">
      <c r="B1160" s="23">
        <v>25</v>
      </c>
      <c r="C1160" s="20">
        <v>14641</v>
      </c>
      <c r="D1160" s="22" t="s">
        <v>2539</v>
      </c>
      <c r="E1160" s="22" t="s">
        <v>2540</v>
      </c>
    </row>
    <row r="1161" spans="2:5" x14ac:dyDescent="0.2">
      <c r="B1161" s="21">
        <v>25</v>
      </c>
      <c r="C1161" s="19">
        <v>14642</v>
      </c>
      <c r="D1161" s="22" t="s">
        <v>2541</v>
      </c>
      <c r="E1161" s="22" t="s">
        <v>2542</v>
      </c>
    </row>
    <row r="1162" spans="2:5" x14ac:dyDescent="0.2">
      <c r="B1162" s="23">
        <v>25</v>
      </c>
      <c r="C1162" s="20">
        <v>14643</v>
      </c>
      <c r="D1162" s="22" t="s">
        <v>2543</v>
      </c>
      <c r="E1162" s="22" t="s">
        <v>2544</v>
      </c>
    </row>
    <row r="1163" spans="2:5" x14ac:dyDescent="0.2">
      <c r="B1163" s="21">
        <v>31</v>
      </c>
      <c r="C1163" s="19">
        <v>14644</v>
      </c>
      <c r="D1163" s="22" t="s">
        <v>2545</v>
      </c>
      <c r="E1163" s="22" t="s">
        <v>2546</v>
      </c>
    </row>
    <row r="1164" spans="2:5" x14ac:dyDescent="0.2">
      <c r="B1164" s="23">
        <v>31</v>
      </c>
      <c r="C1164" s="20">
        <v>14645</v>
      </c>
      <c r="D1164" s="22" t="s">
        <v>2547</v>
      </c>
      <c r="E1164" s="22" t="s">
        <v>2548</v>
      </c>
    </row>
    <row r="1165" spans="2:5" x14ac:dyDescent="0.2">
      <c r="B1165" s="21">
        <v>31</v>
      </c>
      <c r="C1165" s="19">
        <v>14646</v>
      </c>
      <c r="D1165" s="22" t="s">
        <v>2549</v>
      </c>
      <c r="E1165" s="22" t="s">
        <v>2550</v>
      </c>
    </row>
    <row r="1166" spans="2:5" x14ac:dyDescent="0.2">
      <c r="B1166" s="23">
        <v>31</v>
      </c>
      <c r="C1166" s="20">
        <v>14647</v>
      </c>
      <c r="D1166" s="22" t="s">
        <v>2551</v>
      </c>
      <c r="E1166" s="22" t="s">
        <v>2552</v>
      </c>
    </row>
    <row r="1167" spans="2:5" x14ac:dyDescent="0.2">
      <c r="B1167" s="21">
        <v>31</v>
      </c>
      <c r="C1167" s="19">
        <v>14648</v>
      </c>
      <c r="D1167" s="22" t="s">
        <v>2553</v>
      </c>
      <c r="E1167" s="22" t="s">
        <v>2554</v>
      </c>
    </row>
    <row r="1168" spans="2:5" x14ac:dyDescent="0.2">
      <c r="B1168" s="23">
        <v>31</v>
      </c>
      <c r="C1168" s="20">
        <v>14649</v>
      </c>
      <c r="D1168" s="22" t="s">
        <v>2555</v>
      </c>
      <c r="E1168" s="22" t="s">
        <v>2556</v>
      </c>
    </row>
    <row r="1169" spans="2:5" x14ac:dyDescent="0.2">
      <c r="B1169" s="21">
        <v>31</v>
      </c>
      <c r="C1169" s="19">
        <v>14650</v>
      </c>
      <c r="D1169" s="22" t="s">
        <v>2557</v>
      </c>
      <c r="E1169" s="22" t="s">
        <v>2558</v>
      </c>
    </row>
    <row r="1170" spans="2:5" x14ac:dyDescent="0.2">
      <c r="B1170" s="23">
        <v>31</v>
      </c>
      <c r="C1170" s="20">
        <v>14651</v>
      </c>
      <c r="D1170" s="22" t="s">
        <v>2559</v>
      </c>
      <c r="E1170" s="22" t="s">
        <v>2560</v>
      </c>
    </row>
    <row r="1171" spans="2:5" x14ac:dyDescent="0.2">
      <c r="B1171" s="21">
        <v>31</v>
      </c>
      <c r="C1171" s="19">
        <v>14652</v>
      </c>
      <c r="D1171" s="22" t="s">
        <v>2561</v>
      </c>
      <c r="E1171" s="22" t="s">
        <v>2562</v>
      </c>
    </row>
    <row r="1172" spans="2:5" x14ac:dyDescent="0.2">
      <c r="B1172" s="23">
        <v>31</v>
      </c>
      <c r="C1172" s="20">
        <v>14653</v>
      </c>
      <c r="D1172" s="22" t="s">
        <v>2563</v>
      </c>
      <c r="E1172" s="22" t="s">
        <v>2564</v>
      </c>
    </row>
    <row r="1173" spans="2:5" x14ac:dyDescent="0.2">
      <c r="B1173" s="21">
        <v>31</v>
      </c>
      <c r="C1173" s="19">
        <v>14654</v>
      </c>
      <c r="D1173" s="22" t="s">
        <v>2565</v>
      </c>
      <c r="E1173" s="22" t="s">
        <v>2566</v>
      </c>
    </row>
    <row r="1174" spans="2:5" x14ac:dyDescent="0.2">
      <c r="B1174" s="23">
        <v>31</v>
      </c>
      <c r="C1174" s="20">
        <v>14655</v>
      </c>
      <c r="D1174" s="22" t="s">
        <v>2567</v>
      </c>
      <c r="E1174" s="22" t="s">
        <v>2568</v>
      </c>
    </row>
    <row r="1175" spans="2:5" x14ac:dyDescent="0.2">
      <c r="B1175" s="21">
        <v>31</v>
      </c>
      <c r="C1175" s="19">
        <v>14656</v>
      </c>
      <c r="D1175" s="22" t="s">
        <v>2569</v>
      </c>
      <c r="E1175" s="22" t="s">
        <v>2570</v>
      </c>
    </row>
    <row r="1176" spans="2:5" x14ac:dyDescent="0.2">
      <c r="B1176" s="23">
        <v>31</v>
      </c>
      <c r="C1176" s="20">
        <v>14657</v>
      </c>
      <c r="D1176" s="22" t="s">
        <v>2571</v>
      </c>
      <c r="E1176" s="22" t="s">
        <v>2572</v>
      </c>
    </row>
    <row r="1177" spans="2:5" x14ac:dyDescent="0.2">
      <c r="B1177" s="21">
        <v>31</v>
      </c>
      <c r="C1177" s="19">
        <v>14658</v>
      </c>
      <c r="D1177" s="22" t="s">
        <v>2573</v>
      </c>
      <c r="E1177" s="22" t="s">
        <v>2574</v>
      </c>
    </row>
    <row r="1178" spans="2:5" x14ac:dyDescent="0.2">
      <c r="B1178" s="23">
        <v>31</v>
      </c>
      <c r="C1178" s="20">
        <v>14659</v>
      </c>
      <c r="D1178" s="22" t="s">
        <v>2575</v>
      </c>
      <c r="E1178" s="22" t="s">
        <v>2576</v>
      </c>
    </row>
    <row r="1179" spans="2:5" x14ac:dyDescent="0.2">
      <c r="B1179" s="21">
        <v>31</v>
      </c>
      <c r="C1179" s="19">
        <v>14660</v>
      </c>
      <c r="D1179" s="22" t="s">
        <v>2577</v>
      </c>
      <c r="E1179" s="22" t="s">
        <v>2578</v>
      </c>
    </row>
    <row r="1180" spans="2:5" x14ac:dyDescent="0.2">
      <c r="B1180" s="23">
        <v>31</v>
      </c>
      <c r="C1180" s="20">
        <v>14661</v>
      </c>
      <c r="D1180" s="22" t="s">
        <v>2579</v>
      </c>
      <c r="E1180" s="22" t="s">
        <v>2580</v>
      </c>
    </row>
    <row r="1181" spans="2:5" x14ac:dyDescent="0.2">
      <c r="B1181" s="21">
        <v>31</v>
      </c>
      <c r="C1181" s="19">
        <v>14662</v>
      </c>
      <c r="D1181" s="22" t="s">
        <v>2581</v>
      </c>
      <c r="E1181" s="22" t="s">
        <v>2582</v>
      </c>
    </row>
    <row r="1182" spans="2:5" x14ac:dyDescent="0.2">
      <c r="B1182" s="23">
        <v>31</v>
      </c>
      <c r="C1182" s="20">
        <v>14663</v>
      </c>
      <c r="D1182" s="22" t="s">
        <v>2583</v>
      </c>
      <c r="E1182" s="22" t="s">
        <v>2584</v>
      </c>
    </row>
    <row r="1183" spans="2:5" x14ac:dyDescent="0.2">
      <c r="B1183" s="21">
        <v>31</v>
      </c>
      <c r="C1183" s="19">
        <v>14664</v>
      </c>
      <c r="D1183" s="22" t="s">
        <v>2585</v>
      </c>
      <c r="E1183" s="22" t="s">
        <v>2586</v>
      </c>
    </row>
    <row r="1184" spans="2:5" x14ac:dyDescent="0.2">
      <c r="B1184" s="23">
        <v>31</v>
      </c>
      <c r="C1184" s="20">
        <v>14665</v>
      </c>
      <c r="D1184" s="22" t="s">
        <v>2587</v>
      </c>
      <c r="E1184" s="22" t="s">
        <v>2588</v>
      </c>
    </row>
    <row r="1185" spans="2:5" x14ac:dyDescent="0.2">
      <c r="B1185" s="21">
        <v>31</v>
      </c>
      <c r="C1185" s="19">
        <v>14666</v>
      </c>
      <c r="D1185" s="22" t="s">
        <v>2589</v>
      </c>
      <c r="E1185" s="22" t="s">
        <v>1788</v>
      </c>
    </row>
    <row r="1186" spans="2:5" x14ac:dyDescent="0.2">
      <c r="B1186" s="23">
        <v>31</v>
      </c>
      <c r="C1186" s="20">
        <v>14667</v>
      </c>
      <c r="D1186" s="22" t="s">
        <v>2590</v>
      </c>
      <c r="E1186" s="22" t="s">
        <v>2591</v>
      </c>
    </row>
    <row r="1187" spans="2:5" x14ac:dyDescent="0.2">
      <c r="B1187" s="21">
        <v>31</v>
      </c>
      <c r="C1187" s="19">
        <v>14668</v>
      </c>
      <c r="D1187" s="22" t="s">
        <v>2592</v>
      </c>
      <c r="E1187" s="22" t="s">
        <v>2593</v>
      </c>
    </row>
    <row r="1188" spans="2:5" x14ac:dyDescent="0.2">
      <c r="B1188" s="23">
        <v>32</v>
      </c>
      <c r="C1188" s="20">
        <v>14669</v>
      </c>
      <c r="D1188" s="22" t="s">
        <v>2594</v>
      </c>
      <c r="E1188" s="22" t="s">
        <v>2595</v>
      </c>
    </row>
    <row r="1189" spans="2:5" x14ac:dyDescent="0.2">
      <c r="B1189" s="21">
        <v>32</v>
      </c>
      <c r="C1189" s="19">
        <v>14670</v>
      </c>
      <c r="D1189" s="22" t="s">
        <v>2596</v>
      </c>
      <c r="E1189" s="22" t="s">
        <v>2597</v>
      </c>
    </row>
    <row r="1190" spans="2:5" x14ac:dyDescent="0.2">
      <c r="B1190" s="23">
        <v>32</v>
      </c>
      <c r="C1190" s="20">
        <v>14671</v>
      </c>
      <c r="D1190" s="22" t="s">
        <v>2598</v>
      </c>
      <c r="E1190" s="22" t="s">
        <v>2599</v>
      </c>
    </row>
    <row r="1191" spans="2:5" x14ac:dyDescent="0.2">
      <c r="B1191" s="21">
        <v>32</v>
      </c>
      <c r="C1191" s="19">
        <v>14672</v>
      </c>
      <c r="D1191" s="22" t="s">
        <v>2600</v>
      </c>
      <c r="E1191" s="22" t="s">
        <v>2601</v>
      </c>
    </row>
    <row r="1192" spans="2:5" x14ac:dyDescent="0.2">
      <c r="B1192" s="23">
        <v>32</v>
      </c>
      <c r="C1192" s="20">
        <v>14673</v>
      </c>
      <c r="D1192" s="22" t="s">
        <v>2602</v>
      </c>
      <c r="E1192" s="22" t="s">
        <v>2603</v>
      </c>
    </row>
    <row r="1193" spans="2:5" x14ac:dyDescent="0.2">
      <c r="B1193" s="21">
        <v>32</v>
      </c>
      <c r="C1193" s="19">
        <v>14674</v>
      </c>
      <c r="D1193" s="22" t="s">
        <v>2604</v>
      </c>
      <c r="E1193" s="22" t="s">
        <v>2605</v>
      </c>
    </row>
    <row r="1194" spans="2:5" x14ac:dyDescent="0.2">
      <c r="B1194" s="23">
        <v>32</v>
      </c>
      <c r="C1194" s="20">
        <v>14675</v>
      </c>
      <c r="D1194" s="22" t="s">
        <v>2606</v>
      </c>
      <c r="E1194" s="22" t="s">
        <v>2607</v>
      </c>
    </row>
    <row r="1195" spans="2:5" x14ac:dyDescent="0.2">
      <c r="B1195" s="21">
        <v>32</v>
      </c>
      <c r="C1195" s="19">
        <v>14676</v>
      </c>
      <c r="D1195" s="22" t="s">
        <v>2608</v>
      </c>
      <c r="E1195" s="22" t="s">
        <v>2609</v>
      </c>
    </row>
    <row r="1196" spans="2:5" x14ac:dyDescent="0.2">
      <c r="B1196" s="23">
        <v>32</v>
      </c>
      <c r="C1196" s="20">
        <v>14677</v>
      </c>
      <c r="D1196" s="22" t="s">
        <v>2610</v>
      </c>
      <c r="E1196" s="22" t="s">
        <v>2611</v>
      </c>
    </row>
    <row r="1197" spans="2:5" x14ac:dyDescent="0.2">
      <c r="B1197" s="21">
        <v>32</v>
      </c>
      <c r="C1197" s="19">
        <v>14678</v>
      </c>
      <c r="D1197" s="22" t="s">
        <v>2612</v>
      </c>
      <c r="E1197" s="22" t="s">
        <v>2613</v>
      </c>
    </row>
    <row r="1198" spans="2:5" x14ac:dyDescent="0.2">
      <c r="B1198" s="23">
        <v>32</v>
      </c>
      <c r="C1198" s="20">
        <v>14679</v>
      </c>
      <c r="D1198" s="22" t="s">
        <v>2614</v>
      </c>
      <c r="E1198" s="22" t="s">
        <v>2615</v>
      </c>
    </row>
    <row r="1199" spans="2:5" x14ac:dyDescent="0.2">
      <c r="B1199" s="21">
        <v>32</v>
      </c>
      <c r="C1199" s="19">
        <v>14680</v>
      </c>
      <c r="D1199" s="22" t="s">
        <v>2616</v>
      </c>
      <c r="E1199" s="22" t="s">
        <v>2617</v>
      </c>
    </row>
    <row r="1200" spans="2:5" x14ac:dyDescent="0.2">
      <c r="B1200" s="23">
        <v>32</v>
      </c>
      <c r="C1200" s="20">
        <v>14681</v>
      </c>
      <c r="D1200" s="22" t="s">
        <v>2618</v>
      </c>
      <c r="E1200" s="22" t="s">
        <v>2619</v>
      </c>
    </row>
    <row r="1201" spans="2:5" x14ac:dyDescent="0.2">
      <c r="B1201" s="21">
        <v>32</v>
      </c>
      <c r="C1201" s="19">
        <v>14682</v>
      </c>
      <c r="D1201" s="22" t="s">
        <v>2620</v>
      </c>
      <c r="E1201" s="22" t="s">
        <v>2621</v>
      </c>
    </row>
    <row r="1202" spans="2:5" x14ac:dyDescent="0.2">
      <c r="B1202" s="23">
        <v>32</v>
      </c>
      <c r="C1202" s="20">
        <v>14683</v>
      </c>
      <c r="D1202" s="22" t="s">
        <v>2622</v>
      </c>
      <c r="E1202" s="22" t="s">
        <v>2623</v>
      </c>
    </row>
    <row r="1203" spans="2:5" x14ac:dyDescent="0.2">
      <c r="B1203" s="21">
        <v>32</v>
      </c>
      <c r="C1203" s="19">
        <v>14684</v>
      </c>
      <c r="D1203" s="22" t="s">
        <v>2624</v>
      </c>
      <c r="E1203" s="22" t="s">
        <v>2625</v>
      </c>
    </row>
    <row r="1204" spans="2:5" x14ac:dyDescent="0.2">
      <c r="B1204" s="23">
        <v>32</v>
      </c>
      <c r="C1204" s="20">
        <v>14685</v>
      </c>
      <c r="D1204" s="22" t="s">
        <v>2626</v>
      </c>
      <c r="E1204" s="22" t="s">
        <v>2627</v>
      </c>
    </row>
    <row r="1205" spans="2:5" x14ac:dyDescent="0.2">
      <c r="B1205" s="21">
        <v>32</v>
      </c>
      <c r="C1205" s="19">
        <v>14686</v>
      </c>
      <c r="D1205" s="22" t="s">
        <v>2628</v>
      </c>
      <c r="E1205" s="22" t="s">
        <v>2629</v>
      </c>
    </row>
    <row r="1206" spans="2:5" x14ac:dyDescent="0.2">
      <c r="B1206" s="23">
        <v>32</v>
      </c>
      <c r="C1206" s="20">
        <v>14687</v>
      </c>
      <c r="D1206" s="22" t="s">
        <v>2630</v>
      </c>
      <c r="E1206" s="22" t="s">
        <v>2631</v>
      </c>
    </row>
    <row r="1207" spans="2:5" x14ac:dyDescent="0.2">
      <c r="B1207" s="21">
        <v>32</v>
      </c>
      <c r="C1207" s="19">
        <v>14688</v>
      </c>
      <c r="D1207" s="22" t="s">
        <v>2632</v>
      </c>
      <c r="E1207" s="22" t="s">
        <v>2633</v>
      </c>
    </row>
    <row r="1208" spans="2:5" x14ac:dyDescent="0.2">
      <c r="B1208" s="23">
        <v>32</v>
      </c>
      <c r="C1208" s="20">
        <v>14689</v>
      </c>
      <c r="D1208" s="22" t="s">
        <v>2634</v>
      </c>
      <c r="E1208" s="22" t="s">
        <v>2635</v>
      </c>
    </row>
    <row r="1209" spans="2:5" x14ac:dyDescent="0.2">
      <c r="B1209" s="21">
        <v>32</v>
      </c>
      <c r="C1209" s="19">
        <v>14690</v>
      </c>
      <c r="D1209" s="22" t="s">
        <v>2636</v>
      </c>
      <c r="E1209" s="22" t="s">
        <v>2637</v>
      </c>
    </row>
    <row r="1210" spans="2:5" x14ac:dyDescent="0.2">
      <c r="B1210" s="23">
        <v>32</v>
      </c>
      <c r="C1210" s="20">
        <v>14691</v>
      </c>
      <c r="D1210" s="22" t="s">
        <v>2638</v>
      </c>
      <c r="E1210" s="22" t="s">
        <v>2639</v>
      </c>
    </row>
    <row r="1211" spans="2:5" x14ac:dyDescent="0.2">
      <c r="B1211" s="21">
        <v>32</v>
      </c>
      <c r="C1211" s="19">
        <v>14692</v>
      </c>
      <c r="D1211" s="22" t="s">
        <v>2640</v>
      </c>
      <c r="E1211" s="22" t="s">
        <v>2641</v>
      </c>
    </row>
    <row r="1212" spans="2:5" x14ac:dyDescent="0.2">
      <c r="B1212" s="23">
        <v>32</v>
      </c>
      <c r="C1212" s="20">
        <v>14693</v>
      </c>
      <c r="D1212" s="22" t="s">
        <v>2642</v>
      </c>
      <c r="E1212" s="22" t="s">
        <v>2643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87BF-3170-471F-8F9F-C96A41C877E1}">
  <sheetPr codeName="Sheet9"/>
  <dimension ref="C3:CW1245"/>
  <sheetViews>
    <sheetView workbookViewId="0">
      <selection activeCell="L9" sqref="L9"/>
    </sheetView>
  </sheetViews>
  <sheetFormatPr defaultRowHeight="14.25" x14ac:dyDescent="0.2"/>
  <cols>
    <col min="5" max="9" width="14.375" bestFit="1" customWidth="1"/>
    <col min="10" max="10" width="22.625" customWidth="1"/>
  </cols>
  <sheetData>
    <row r="3" spans="3:101" x14ac:dyDescent="0.2">
      <c r="D3" s="18" t="s">
        <v>105</v>
      </c>
      <c r="E3" s="18">
        <v>1</v>
      </c>
      <c r="F3" s="18">
        <v>2</v>
      </c>
      <c r="G3" s="18">
        <v>3</v>
      </c>
      <c r="H3" s="18">
        <v>4</v>
      </c>
      <c r="I3" s="18">
        <v>5</v>
      </c>
      <c r="J3" s="18">
        <v>6</v>
      </c>
    </row>
    <row r="4" spans="3:101" x14ac:dyDescent="0.2">
      <c r="C4">
        <v>10001</v>
      </c>
      <c r="D4" s="18">
        <f>装备表!L7</f>
        <v>1</v>
      </c>
      <c r="E4" s="18" t="str">
        <f>IF(装备表!$O7=0,"xxx",IFERROR(IF(INT(IF($D4=E$3,装备表!$E7,"xxx")/10000)=1,IF($D4=E$3,装备表!$E7,"xxx")&amp;":2,1,1,"&amp;装备表!$O7&amp;";","xxx"),"xxx"))</f>
        <v>10001:2,1,1,100;</v>
      </c>
      <c r="F4" s="18" t="str">
        <f>IF(装备表!$O7=0,"xxx",IFERROR(IF(INT(IF($D4=F$3,装备表!$E7,"xxx")/10000)=1,IF($D4=F$3,装备表!$E7,"xxx")&amp;":2,1,1,"&amp;装备表!$O7&amp;";","xxx"),"xxx"))</f>
        <v>xxx</v>
      </c>
      <c r="G4" s="18" t="str">
        <f>IF(装备表!$O7=0,"xxx",IFERROR(IF(INT(IF($D4=G$3,装备表!$E7,"xxx")/10000)=1,IF($D4=G$3,装备表!$E7,"xxx")&amp;":2,1,1,"&amp;装备表!$O7&amp;";","xxx"),"xxx"))</f>
        <v>xxx</v>
      </c>
      <c r="H4" s="18" t="str">
        <f>IF(装备表!$O7=0,"xxx",IFERROR(IF(INT(IF($D4=H$3,装备表!$E7,"xxx")/10000)=1,IF($D4=H$3,装备表!$E7,"xxx")&amp;":2,1,1,"&amp;装备表!$O7&amp;";","xxx"),"xxx"))</f>
        <v>xxx</v>
      </c>
      <c r="I4" s="18" t="str">
        <f>IF(装备表!$O7=0,"xxx",IFERROR(IF(INT(IF($D4=I$3,装备表!$E7,"xxx")/10000)=1,IF($D4=I$3,装备表!$E7,"xxx")&amp;":2,1,1,"&amp;装备表!$O7&amp;";","xxx"),"xxx"))</f>
        <v>xxx</v>
      </c>
      <c r="J4" s="18" t="str">
        <f>IF(装备表!$O7=0,"xxx",IFERROR(IF(INT(IF($D4=J$3,装备表!$E7,"xxx")/10000)=3,IF($D4=J$3,装备表!$E7,"xxx")&amp;":2,1,1,"&amp;装备表!$O7&amp;";","xxx"),"xxx"))</f>
        <v>xxx</v>
      </c>
      <c r="K4" s="18">
        <v>1</v>
      </c>
      <c r="L4" t="e">
        <f ca="1">LEFT(SUBSTITUTE(CONCAT($E$4:$E$1245),"x",""),LEN(SUBSTITUTE(CONCAT($E$4:$E$1245),"x",""))-1)</f>
        <v>#NAME?</v>
      </c>
    </row>
    <row r="5" spans="3:101" x14ac:dyDescent="0.2">
      <c r="C5">
        <v>10201</v>
      </c>
      <c r="D5" s="18">
        <f>装备表!L8</f>
        <v>1</v>
      </c>
      <c r="E5" s="18" t="str">
        <f>IF(装备表!$O8=0,"xxx",IFERROR(IF(INT(IF($D5=E$3,装备表!$E8,"xxx")/10000)=1,IF($D5=E$3,装备表!$E8,"xxx")&amp;":2,1,1,"&amp;装备表!$O8&amp;";","xxx"),"xxx"))</f>
        <v>10201:2,1,1,100;</v>
      </c>
      <c r="F5" s="18" t="str">
        <f>IF(装备表!$O8=0,"xxx",IFERROR(IF(INT(IF($D5=F$3,装备表!$E8,"xxx")/10000)=1,IF($D5=F$3,装备表!$E8,"xxx")&amp;":2,1,1,"&amp;装备表!$O8&amp;";","xxx"),"xxx"))</f>
        <v>xxx</v>
      </c>
      <c r="G5" s="18" t="str">
        <f>IF(装备表!$O8=0,"xxx",IFERROR(IF(INT(IF($D5=G$3,装备表!$E8,"xxx")/10000)=1,IF($D5=G$3,装备表!$E8,"xxx")&amp;":2,1,1,"&amp;装备表!$O8&amp;";","xxx"),"xxx"))</f>
        <v>xxx</v>
      </c>
      <c r="H5" s="18" t="str">
        <f>IF(装备表!$O8=0,"xxx",IFERROR(IF(INT(IF($D5=H$3,装备表!$E8,"xxx")/10000)=1,IF($D5=H$3,装备表!$E8,"xxx")&amp;":2,1,1,"&amp;装备表!$O8&amp;";","xxx"),"xxx"))</f>
        <v>xxx</v>
      </c>
      <c r="I5" s="18" t="str">
        <f>IF(装备表!$O8=0,"xxx",IFERROR(IF(INT(IF($D5=I$3,装备表!$E8,"xxx")/10000)=1,IF($D5=I$3,装备表!$E8,"xxx")&amp;":2,1,1,"&amp;装备表!$O8&amp;";","xxx"),"xxx"))</f>
        <v>xxx</v>
      </c>
      <c r="J5" s="18" t="str">
        <f>IF(装备表!$O8=0,"xxx",IFERROR(IF(INT(IF($D5=J$3,装备表!$E8,"xxx")/10000)=3,IF($D5=J$3,装备表!$E8,"xxx")&amp;":2,1,1,"&amp;装备表!$O8&amp;";","xxx"),"xxx"))</f>
        <v>xxx</v>
      </c>
      <c r="K5" s="18">
        <v>2</v>
      </c>
      <c r="L5" t="e">
        <f ca="1">LEFT(SUBSTITUTE(_xlfn.CONCAT($F$4:$F$1245),"x",""),LEN(SUBSTITUTE(_xlfn.CONCAT($F$4:$F$1245),"x",""))-1)</f>
        <v>#NAME?</v>
      </c>
    </row>
    <row r="6" spans="3:101" x14ac:dyDescent="0.2">
      <c r="C6">
        <v>10301</v>
      </c>
      <c r="D6" s="18">
        <f>装备表!L9</f>
        <v>1</v>
      </c>
      <c r="E6" s="18" t="str">
        <f>IF(装备表!$O9=0,"xxx",IFERROR(IF(INT(IF($D6=E$3,装备表!$E9,"xxx")/10000)=1,IF($D6=E$3,装备表!$E9,"xxx")&amp;":2,1,1,"&amp;装备表!$O9&amp;";","xxx"),"xxx"))</f>
        <v>10301:2,1,1,100;</v>
      </c>
      <c r="F6" s="18" t="str">
        <f>IF(装备表!$O9=0,"xxx",IFERROR(IF(INT(IF($D6=F$3,装备表!$E9,"xxx")/10000)=1,IF($D6=F$3,装备表!$E9,"xxx")&amp;":2,1,1,"&amp;装备表!$O9&amp;";","xxx"),"xxx"))</f>
        <v>xxx</v>
      </c>
      <c r="G6" s="18" t="str">
        <f>IF(装备表!$O9=0,"xxx",IFERROR(IF(INT(IF($D6=G$3,装备表!$E9,"xxx")/10000)=1,IF($D6=G$3,装备表!$E9,"xxx")&amp;":2,1,1,"&amp;装备表!$O9&amp;";","xxx"),"xxx"))</f>
        <v>xxx</v>
      </c>
      <c r="H6" s="18" t="str">
        <f>IF(装备表!$O9=0,"xxx",IFERROR(IF(INT(IF($D6=H$3,装备表!$E9,"xxx")/10000)=1,IF($D6=H$3,装备表!$E9,"xxx")&amp;":2,1,1,"&amp;装备表!$O9&amp;";","xxx"),"xxx"))</f>
        <v>xxx</v>
      </c>
      <c r="I6" s="18" t="str">
        <f>IF(装备表!$O9=0,"xxx",IFERROR(IF(INT(IF($D6=I$3,装备表!$E9,"xxx")/10000)=1,IF($D6=I$3,装备表!$E9,"xxx")&amp;":2,1,1,"&amp;装备表!$O9&amp;";","xxx"),"xxx"))</f>
        <v>xxx</v>
      </c>
      <c r="J6" s="18" t="str">
        <f>IF(装备表!$O9=0,"xxx",IFERROR(IF(INT(IF($D6=J$3,装备表!$E9,"xxx")/10000)=3,IF($D6=J$3,装备表!$E9,"xxx")&amp;":2,1,1,"&amp;装备表!$O9&amp;";","xxx"),"xxx"))</f>
        <v>xxx</v>
      </c>
      <c r="K6" s="18">
        <v>3</v>
      </c>
      <c r="L6" t="e">
        <f ca="1">LEFT(SUBSTITUTE(_xlfn.CONCAT($G$4:$G$1245),"x",""),LEN(SUBSTITUTE(_xlfn.CONCAT($G$4:$G$1245),"x",""))-1)</f>
        <v>#NAME?</v>
      </c>
    </row>
    <row r="7" spans="3:101" x14ac:dyDescent="0.2">
      <c r="C7">
        <v>10401</v>
      </c>
      <c r="D7" s="18">
        <f>装备表!L10</f>
        <v>1</v>
      </c>
      <c r="E7" s="18" t="str">
        <f>IF(装备表!$O10=0,"xxx",IFERROR(IF(INT(IF($D7=E$3,装备表!$E10,"xxx")/10000)=1,IF($D7=E$3,装备表!$E10,"xxx")&amp;":2,1,1,"&amp;装备表!$O10&amp;";","xxx"),"xxx"))</f>
        <v>10401:2,1,1,100;</v>
      </c>
      <c r="F7" s="18" t="str">
        <f>IF(装备表!$O10=0,"xxx",IFERROR(IF(INT(IF($D7=F$3,装备表!$E10,"xxx")/10000)=1,IF($D7=F$3,装备表!$E10,"xxx")&amp;":2,1,1,"&amp;装备表!$O10&amp;";","xxx"),"xxx"))</f>
        <v>xxx</v>
      </c>
      <c r="G7" s="18" t="str">
        <f>IF(装备表!$O10=0,"xxx",IFERROR(IF(INT(IF($D7=G$3,装备表!$E10,"xxx")/10000)=1,IF($D7=G$3,装备表!$E10,"xxx")&amp;":2,1,1,"&amp;装备表!$O10&amp;";","xxx"),"xxx"))</f>
        <v>xxx</v>
      </c>
      <c r="H7" s="18" t="str">
        <f>IF(装备表!$O10=0,"xxx",IFERROR(IF(INT(IF($D7=H$3,装备表!$E10,"xxx")/10000)=1,IF($D7=H$3,装备表!$E10,"xxx")&amp;":2,1,1,"&amp;装备表!$O10&amp;";","xxx"),"xxx"))</f>
        <v>xxx</v>
      </c>
      <c r="I7" s="18" t="str">
        <f>IF(装备表!$O10=0,"xxx",IFERROR(IF(INT(IF($D7=I$3,装备表!$E10,"xxx")/10000)=1,IF($D7=I$3,装备表!$E10,"xxx")&amp;":2,1,1,"&amp;装备表!$O10&amp;";","xxx"),"xxx"))</f>
        <v>xxx</v>
      </c>
      <c r="J7" s="18" t="str">
        <f>IF(装备表!$O10=0,"xxx",IFERROR(IF(INT(IF($D7=J$3,装备表!$E10,"xxx")/10000)=3,IF($D7=J$3,装备表!$E10,"xxx")&amp;":2,1,1,"&amp;装备表!$O10&amp;";","xxx"),"xxx"))</f>
        <v>xxx</v>
      </c>
      <c r="K7" s="18">
        <v>4</v>
      </c>
      <c r="L7" t="e">
        <f ca="1">LEFT(SUBSTITUTE(_xlfn.CONCAT($H$4:$H$1245),"x",""),LEN(SUBSTITUTE(_xlfn.CONCAT($H$4:$H$1245),"x",""))-1)</f>
        <v>#NAME?</v>
      </c>
    </row>
    <row r="8" spans="3:101" x14ac:dyDescent="0.2">
      <c r="C8">
        <v>10501</v>
      </c>
      <c r="D8" s="18">
        <f>装备表!L11</f>
        <v>1</v>
      </c>
      <c r="E8" s="18" t="str">
        <f>IF(装备表!$O11=0,"xxx",IFERROR(IF(INT(IF($D8=E$3,装备表!$E11,"xxx")/10000)=1,IF($D8=E$3,装备表!$E11,"xxx")&amp;":2,1,1,"&amp;装备表!$O11&amp;";","xxx"),"xxx"))</f>
        <v>10501:2,1,1,100;</v>
      </c>
      <c r="F8" s="18" t="str">
        <f>IF(装备表!$O11=0,"xxx",IFERROR(IF(INT(IF($D8=F$3,装备表!$E11,"xxx")/10000)=1,IF($D8=F$3,装备表!$E11,"xxx")&amp;":2,1,1,"&amp;装备表!$O11&amp;";","xxx"),"xxx"))</f>
        <v>xxx</v>
      </c>
      <c r="G8" s="18" t="str">
        <f>IF(装备表!$O11=0,"xxx",IFERROR(IF(INT(IF($D8=G$3,装备表!$E11,"xxx")/10000)=1,IF($D8=G$3,装备表!$E11,"xxx")&amp;":2,1,1,"&amp;装备表!$O11&amp;";","xxx"),"xxx"))</f>
        <v>xxx</v>
      </c>
      <c r="H8" s="18" t="str">
        <f>IF(装备表!$O11=0,"xxx",IFERROR(IF(INT(IF($D8=H$3,装备表!$E11,"xxx")/10000)=1,IF($D8=H$3,装备表!$E11,"xxx")&amp;":2,1,1,"&amp;装备表!$O11&amp;";","xxx"),"xxx"))</f>
        <v>xxx</v>
      </c>
      <c r="I8" s="18" t="str">
        <f>IF(装备表!$O11=0,"xxx",IFERROR(IF(INT(IF($D8=I$3,装备表!$E11,"xxx")/10000)=1,IF($D8=I$3,装备表!$E11,"xxx")&amp;":2,1,1,"&amp;装备表!$O11&amp;";","xxx"),"xxx"))</f>
        <v>xxx</v>
      </c>
      <c r="J8" s="18" t="str">
        <f>IF(装备表!$O11=0,"xxx",IFERROR(IF(INT(IF($D8=J$3,装备表!$E11,"xxx")/10000)=3,IF($D8=J$3,装备表!$E11,"xxx")&amp;":2,1,1,"&amp;装备表!$O11&amp;";","xxx"),"xxx"))</f>
        <v>xxx</v>
      </c>
      <c r="K8" s="18">
        <v>5</v>
      </c>
      <c r="L8" t="e">
        <f ca="1">LEFT(SUBSTITUTE(_xlfn.CONCAT($I$4:$I$1245),"x",""),LEN(SUBSTITUTE(_xlfn.CONCAT($I$4:$I$1245),"x",""))-1)</f>
        <v>#NAME?</v>
      </c>
    </row>
    <row r="9" spans="3:101" x14ac:dyDescent="0.2">
      <c r="C9">
        <v>10601</v>
      </c>
      <c r="D9" s="18">
        <f>装备表!L12</f>
        <v>1</v>
      </c>
      <c r="E9" s="18" t="str">
        <f>IF(装备表!$O12=0,"xxx",IFERROR(IF(INT(IF($D9=E$3,装备表!$E12,"xxx")/10000)=1,IF($D9=E$3,装备表!$E12,"xxx")&amp;":2,1,1,"&amp;装备表!$O12&amp;";","xxx"),"xxx"))</f>
        <v>10601:2,1,1,100;</v>
      </c>
      <c r="F9" s="18" t="str">
        <f>IF(装备表!$O12=0,"xxx",IFERROR(IF(INT(IF($D9=F$3,装备表!$E12,"xxx")/10000)=1,IF($D9=F$3,装备表!$E12,"xxx")&amp;":2,1,1,"&amp;装备表!$O12&amp;";","xxx"),"xxx"))</f>
        <v>xxx</v>
      </c>
      <c r="G9" s="18" t="str">
        <f>IF(装备表!$O12=0,"xxx",IFERROR(IF(INT(IF($D9=G$3,装备表!$E12,"xxx")/10000)=1,IF($D9=G$3,装备表!$E12,"xxx")&amp;":2,1,1,"&amp;装备表!$O12&amp;";","xxx"),"xxx"))</f>
        <v>xxx</v>
      </c>
      <c r="H9" s="18" t="str">
        <f>IF(装备表!$O12=0,"xxx",IFERROR(IF(INT(IF($D9=H$3,装备表!$E12,"xxx")/10000)=1,IF($D9=H$3,装备表!$E12,"xxx")&amp;":2,1,1,"&amp;装备表!$O12&amp;";","xxx"),"xxx"))</f>
        <v>xxx</v>
      </c>
      <c r="I9" s="18" t="str">
        <f>IF(装备表!$O12=0,"xxx",IFERROR(IF(INT(IF($D9=I$3,装备表!$E12,"xxx")/10000)=1,IF($D9=I$3,装备表!$E12,"xxx")&amp;":2,1,1,"&amp;装备表!$O12&amp;";","xxx"),"xxx"))</f>
        <v>xxx</v>
      </c>
      <c r="J9" s="18" t="str">
        <f>IF(装备表!$O12=0,"xxx",IFERROR(IF(INT(IF($D9=J$3,装备表!$E12,"xxx")/10000)=3,IF($D9=J$3,装备表!$E12,"xxx")&amp;":2,1,1,"&amp;装备表!$O12&amp;";","xxx"),"xxx"))</f>
        <v>xxx</v>
      </c>
      <c r="K9" s="18">
        <v>6</v>
      </c>
      <c r="L9" t="e">
        <f ca="1">LEFT(SUBSTITUTE(_xlfn.CONCAT($J$4:$J$1245),"x",""),LEN(SUBSTITUTE(_xlfn.CONCAT($J$4:$J$1245),"x",""))-1)</f>
        <v>#NAME?</v>
      </c>
    </row>
    <row r="10" spans="3:101" x14ac:dyDescent="0.2">
      <c r="C10">
        <v>10701</v>
      </c>
      <c r="D10" s="18">
        <f>装备表!L13</f>
        <v>1</v>
      </c>
      <c r="E10" s="18" t="str">
        <f>IF(装备表!$O13=0,"xxx",IFERROR(IF(INT(IF($D10=E$3,装备表!$E13,"xxx")/10000)=1,IF($D10=E$3,装备表!$E13,"xxx")&amp;":2,1,1,"&amp;装备表!$O13&amp;";","xxx"),"xxx"))</f>
        <v>10701:2,1,1,100;</v>
      </c>
      <c r="F10" s="18" t="str">
        <f>IF(装备表!$O13=0,"xxx",IFERROR(IF(INT(IF($D10=F$3,装备表!$E13,"xxx")/10000)=1,IF($D10=F$3,装备表!$E13,"xxx")&amp;":2,1,1,"&amp;装备表!$O13&amp;";","xxx"),"xxx"))</f>
        <v>xxx</v>
      </c>
      <c r="G10" s="18" t="str">
        <f>IF(装备表!$O13=0,"xxx",IFERROR(IF(INT(IF($D10=G$3,装备表!$E13,"xxx")/10000)=1,IF($D10=G$3,装备表!$E13,"xxx")&amp;":2,1,1,"&amp;装备表!$O13&amp;";","xxx"),"xxx"))</f>
        <v>xxx</v>
      </c>
      <c r="H10" s="18" t="str">
        <f>IF(装备表!$O13=0,"xxx",IFERROR(IF(INT(IF($D10=H$3,装备表!$E13,"xxx")/10000)=1,IF($D10=H$3,装备表!$E13,"xxx")&amp;":2,1,1,"&amp;装备表!$O13&amp;";","xxx"),"xxx"))</f>
        <v>xxx</v>
      </c>
      <c r="I10" s="18" t="str">
        <f>IF(装备表!$O13=0,"xxx",IFERROR(IF(INT(IF($D10=I$3,装备表!$E13,"xxx")/10000)=1,IF($D10=I$3,装备表!$E13,"xxx")&amp;":2,1,1,"&amp;装备表!$O13&amp;";","xxx"),"xxx"))</f>
        <v>xxx</v>
      </c>
      <c r="J10" s="18" t="str">
        <f>IF(装备表!$O13=0,"xxx",IFERROR(IF(INT(IF($D10=J$3,装备表!$E13,"xxx")/10000)=3,IF($D10=J$3,装备表!$E13,"xxx")&amp;":2,1,1,"&amp;装备表!$O13&amp;";","xxx"),"xxx"))</f>
        <v>xxx</v>
      </c>
    </row>
    <row r="11" spans="3:101" x14ac:dyDescent="0.2">
      <c r="C11">
        <v>10801</v>
      </c>
      <c r="D11" s="18">
        <f>装备表!L14</f>
        <v>1</v>
      </c>
      <c r="E11" s="18" t="str">
        <f>IF(装备表!$O14=0,"xxx",IFERROR(IF(INT(IF($D11=E$3,装备表!$E14,"xxx")/10000)=1,IF($D11=E$3,装备表!$E14,"xxx")&amp;":2,1,1,"&amp;装备表!$O14&amp;";","xxx"),"xxx"))</f>
        <v>10801:2,1,1,100;</v>
      </c>
      <c r="F11" s="18" t="str">
        <f>IF(装备表!$O14=0,"xxx",IFERROR(IF(INT(IF($D11=F$3,装备表!$E14,"xxx")/10000)=1,IF($D11=F$3,装备表!$E14,"xxx")&amp;":2,1,1,"&amp;装备表!$O14&amp;";","xxx"),"xxx"))</f>
        <v>xxx</v>
      </c>
      <c r="G11" s="18" t="str">
        <f>IF(装备表!$O14=0,"xxx",IFERROR(IF(INT(IF($D11=G$3,装备表!$E14,"xxx")/10000)=1,IF($D11=G$3,装备表!$E14,"xxx")&amp;":2,1,1,"&amp;装备表!$O14&amp;";","xxx"),"xxx"))</f>
        <v>xxx</v>
      </c>
      <c r="H11" s="18" t="str">
        <f>IF(装备表!$O14=0,"xxx",IFERROR(IF(INT(IF($D11=H$3,装备表!$E14,"xxx")/10000)=1,IF($D11=H$3,装备表!$E14,"xxx")&amp;":2,1,1,"&amp;装备表!$O14&amp;";","xxx"),"xxx"))</f>
        <v>xxx</v>
      </c>
      <c r="I11" s="18" t="str">
        <f>IF(装备表!$O14=0,"xxx",IFERROR(IF(INT(IF($D11=I$3,装备表!$E14,"xxx")/10000)=1,IF($D11=I$3,装备表!$E14,"xxx")&amp;":2,1,1,"&amp;装备表!$O14&amp;";","xxx"),"xxx"))</f>
        <v>xxx</v>
      </c>
      <c r="J11" s="18" t="str">
        <f>IF(装备表!$O14=0,"xxx",IFERROR(IF(INT(IF($D11=J$3,装备表!$E14,"xxx")/10000)=3,IF($D11=J$3,装备表!$E14,"xxx")&amp;":2,1,1,"&amp;装备表!$O14&amp;";","xxx"),"xxx"))</f>
        <v>xxx</v>
      </c>
    </row>
    <row r="12" spans="3:101" x14ac:dyDescent="0.2">
      <c r="C12">
        <v>10901</v>
      </c>
      <c r="D12" s="18">
        <f>装备表!L15</f>
        <v>1</v>
      </c>
      <c r="E12" s="18" t="str">
        <f>IF(装备表!$O15=0,"xxx",IFERROR(IF(INT(IF($D12=E$3,装备表!$E15,"xxx")/10000)=1,IF($D12=E$3,装备表!$E15,"xxx")&amp;":2,1,1,"&amp;装备表!$O15&amp;";","xxx"),"xxx"))</f>
        <v>10901:2,1,1,100;</v>
      </c>
      <c r="F12" s="18" t="str">
        <f>IF(装备表!$O15=0,"xxx",IFERROR(IF(INT(IF($D12=F$3,装备表!$E15,"xxx")/10000)=1,IF($D12=F$3,装备表!$E15,"xxx")&amp;":2,1,1,"&amp;装备表!$O15&amp;";","xxx"),"xxx"))</f>
        <v>xxx</v>
      </c>
      <c r="G12" s="18" t="str">
        <f>IF(装备表!$O15=0,"xxx",IFERROR(IF(INT(IF($D12=G$3,装备表!$E15,"xxx")/10000)=1,IF($D12=G$3,装备表!$E15,"xxx")&amp;":2,1,1,"&amp;装备表!$O15&amp;";","xxx"),"xxx"))</f>
        <v>xxx</v>
      </c>
      <c r="H12" s="18" t="str">
        <f>IF(装备表!$O15=0,"xxx",IFERROR(IF(INT(IF($D12=H$3,装备表!$E15,"xxx")/10000)=1,IF($D12=H$3,装备表!$E15,"xxx")&amp;":2,1,1,"&amp;装备表!$O15&amp;";","xxx"),"xxx"))</f>
        <v>xxx</v>
      </c>
      <c r="I12" s="18" t="str">
        <f>IF(装备表!$O15=0,"xxx",IFERROR(IF(INT(IF($D12=I$3,装备表!$E15,"xxx")/10000)=1,IF($D12=I$3,装备表!$E15,"xxx")&amp;":2,1,1,"&amp;装备表!$O15&amp;";","xxx"),"xxx"))</f>
        <v>xxx</v>
      </c>
      <c r="J12" s="18" t="str">
        <f>IF(装备表!$O15=0,"xxx",IFERROR(IF(INT(IF($D12=J$3,装备表!$E15,"xxx")/10000)=3,IF($D12=J$3,装备表!$E15,"xxx")&amp;":2,1,1,"&amp;装备表!$O15&amp;";","xxx"),"xxx"))</f>
        <v>xxx</v>
      </c>
    </row>
    <row r="13" spans="3:101" x14ac:dyDescent="0.2">
      <c r="C13">
        <v>11001</v>
      </c>
      <c r="D13" s="18">
        <f>装备表!L16</f>
        <v>1</v>
      </c>
      <c r="E13" s="18" t="str">
        <f>IF(装备表!$O16=0,"xxx",IFERROR(IF(INT(IF($D13=E$3,装备表!$E16,"xxx")/10000)=1,IF($D13=E$3,装备表!$E16,"xxx")&amp;":2,1,1,"&amp;装备表!$O16&amp;";","xxx"),"xxx"))</f>
        <v>11001:2,1,1,100;</v>
      </c>
      <c r="F13" s="18" t="str">
        <f>IF(装备表!$O16=0,"xxx",IFERROR(IF(INT(IF($D13=F$3,装备表!$E16,"xxx")/10000)=1,IF($D13=F$3,装备表!$E16,"xxx")&amp;":2,1,1,"&amp;装备表!$O16&amp;";","xxx"),"xxx"))</f>
        <v>xxx</v>
      </c>
      <c r="G13" s="18" t="str">
        <f>IF(装备表!$O16=0,"xxx",IFERROR(IF(INT(IF($D13=G$3,装备表!$E16,"xxx")/10000)=1,IF($D13=G$3,装备表!$E16,"xxx")&amp;":2,1,1,"&amp;装备表!$O16&amp;";","xxx"),"xxx"))</f>
        <v>xxx</v>
      </c>
      <c r="H13" s="18" t="str">
        <f>IF(装备表!$O16=0,"xxx",IFERROR(IF(INT(IF($D13=H$3,装备表!$E16,"xxx")/10000)=1,IF($D13=H$3,装备表!$E16,"xxx")&amp;":2,1,1,"&amp;装备表!$O16&amp;";","xxx"),"xxx"))</f>
        <v>xxx</v>
      </c>
      <c r="I13" s="18" t="str">
        <f>IF(装备表!$O16=0,"xxx",IFERROR(IF(INT(IF($D13=I$3,装备表!$E16,"xxx")/10000)=1,IF($D13=I$3,装备表!$E16,"xxx")&amp;":2,1,1,"&amp;装备表!$O16&amp;";","xxx"),"xxx"))</f>
        <v>xxx</v>
      </c>
      <c r="J13" s="18" t="str">
        <f>IF(装备表!$O16=0,"xxx",IFERROR(IF(INT(IF($D13=J$3,装备表!$E16,"xxx")/10000)=3,IF($D13=J$3,装备表!$E16,"xxx")&amp;":2,1,1,"&amp;装备表!$O16&amp;";","xxx"),"xxx"))</f>
        <v>xxx</v>
      </c>
    </row>
    <row r="14" spans="3:101" x14ac:dyDescent="0.2">
      <c r="C14">
        <v>11101</v>
      </c>
      <c r="D14" s="18">
        <f>装备表!L17</f>
        <v>1</v>
      </c>
      <c r="E14" s="18" t="str">
        <f>IF(装备表!$O17=0,"xxx",IFERROR(IF(INT(IF($D14=E$3,装备表!$E17,"xxx")/10000)=1,IF($D14=E$3,装备表!$E17,"xxx")&amp;":2,1,1,"&amp;装备表!$O17&amp;";","xxx"),"xxx"))</f>
        <v>11101:2,1,1,100;</v>
      </c>
      <c r="F14" s="18" t="str">
        <f>IF(装备表!$O17=0,"xxx",IFERROR(IF(INT(IF($D14=F$3,装备表!$E17,"xxx")/10000)=1,IF($D14=F$3,装备表!$E17,"xxx")&amp;":2,1,1,"&amp;装备表!$O17&amp;";","xxx"),"xxx"))</f>
        <v>xxx</v>
      </c>
      <c r="G14" s="18" t="str">
        <f>IF(装备表!$O17=0,"xxx",IFERROR(IF(INT(IF($D14=G$3,装备表!$E17,"xxx")/10000)=1,IF($D14=G$3,装备表!$E17,"xxx")&amp;":2,1,1,"&amp;装备表!$O17&amp;";","xxx"),"xxx"))</f>
        <v>xxx</v>
      </c>
      <c r="H14" s="18" t="str">
        <f>IF(装备表!$O17=0,"xxx",IFERROR(IF(INT(IF($D14=H$3,装备表!$E17,"xxx")/10000)=1,IF($D14=H$3,装备表!$E17,"xxx")&amp;":2,1,1,"&amp;装备表!$O17&amp;";","xxx"),"xxx"))</f>
        <v>xxx</v>
      </c>
      <c r="I14" s="18" t="str">
        <f>IF(装备表!$O17=0,"xxx",IFERROR(IF(INT(IF($D14=I$3,装备表!$E17,"xxx")/10000)=1,IF($D14=I$3,装备表!$E17,"xxx")&amp;":2,1,1,"&amp;装备表!$O17&amp;";","xxx"),"xxx"))</f>
        <v>xxx</v>
      </c>
      <c r="J14" s="18" t="str">
        <f>IF(装备表!$O17=0,"xxx",IFERROR(IF(INT(IF($D14=J$3,装备表!$E17,"xxx")/10000)=3,IF($D14=J$3,装备表!$E17,"xxx")&amp;":2,1,1,"&amp;装备表!$O17&amp;";","xxx"),"xxx"))</f>
        <v>xxx</v>
      </c>
      <c r="CW14">
        <f>762-694</f>
        <v>68</v>
      </c>
    </row>
    <row r="15" spans="3:101" x14ac:dyDescent="0.2">
      <c r="C15">
        <v>11201</v>
      </c>
      <c r="D15" s="18">
        <f>装备表!L18</f>
        <v>1</v>
      </c>
      <c r="E15" s="18" t="str">
        <f>IF(装备表!$O18=0,"xxx",IFERROR(IF(INT(IF($D15=E$3,装备表!$E18,"xxx")/10000)=1,IF($D15=E$3,装备表!$E18,"xxx")&amp;":2,1,1,"&amp;装备表!$O18&amp;";","xxx"),"xxx"))</f>
        <v>11201:2,1,1,100;</v>
      </c>
      <c r="F15" s="18" t="str">
        <f>IF(装备表!$O18=0,"xxx",IFERROR(IF(INT(IF($D15=F$3,装备表!$E18,"xxx")/10000)=1,IF($D15=F$3,装备表!$E18,"xxx")&amp;":2,1,1,"&amp;装备表!$O18&amp;";","xxx"),"xxx"))</f>
        <v>xxx</v>
      </c>
      <c r="G15" s="18" t="str">
        <f>IF(装备表!$O18=0,"xxx",IFERROR(IF(INT(IF($D15=G$3,装备表!$E18,"xxx")/10000)=1,IF($D15=G$3,装备表!$E18,"xxx")&amp;":2,1,1,"&amp;装备表!$O18&amp;";","xxx"),"xxx"))</f>
        <v>xxx</v>
      </c>
      <c r="H15" s="18" t="str">
        <f>IF(装备表!$O18=0,"xxx",IFERROR(IF(INT(IF($D15=H$3,装备表!$E18,"xxx")/10000)=1,IF($D15=H$3,装备表!$E18,"xxx")&amp;":2,1,1,"&amp;装备表!$O18&amp;";","xxx"),"xxx"))</f>
        <v>xxx</v>
      </c>
      <c r="I15" s="18" t="str">
        <f>IF(装备表!$O18=0,"xxx",IFERROR(IF(INT(IF($D15=I$3,装备表!$E18,"xxx")/10000)=1,IF($D15=I$3,装备表!$E18,"xxx")&amp;":2,1,1,"&amp;装备表!$O18&amp;";","xxx"),"xxx"))</f>
        <v>xxx</v>
      </c>
      <c r="J15" s="18" t="str">
        <f>IF(装备表!$O18=0,"xxx",IFERROR(IF(INT(IF($D15=J$3,装备表!$E18,"xxx")/10000)=3,IF($D15=J$3,装备表!$E18,"xxx")&amp;":2,1,1,"&amp;装备表!$O18&amp;";","xxx"),"xxx"))</f>
        <v>xxx</v>
      </c>
    </row>
    <row r="16" spans="3:101" x14ac:dyDescent="0.2">
      <c r="C16">
        <v>11301</v>
      </c>
      <c r="D16" s="18">
        <f>装备表!L19</f>
        <v>1</v>
      </c>
      <c r="E16" s="18" t="str">
        <f>IF(装备表!$O19=0,"xxx",IFERROR(IF(INT(IF($D16=E$3,装备表!$E19,"xxx")/10000)=1,IF($D16=E$3,装备表!$E19,"xxx")&amp;":2,1,1,"&amp;装备表!$O19&amp;";","xxx"),"xxx"))</f>
        <v>11301:2,1,1,100;</v>
      </c>
      <c r="F16" s="18" t="str">
        <f>IF(装备表!$O19=0,"xxx",IFERROR(IF(INT(IF($D16=F$3,装备表!$E19,"xxx")/10000)=1,IF($D16=F$3,装备表!$E19,"xxx")&amp;":2,1,1,"&amp;装备表!$O19&amp;";","xxx"),"xxx"))</f>
        <v>xxx</v>
      </c>
      <c r="G16" s="18" t="str">
        <f>IF(装备表!$O19=0,"xxx",IFERROR(IF(INT(IF($D16=G$3,装备表!$E19,"xxx")/10000)=1,IF($D16=G$3,装备表!$E19,"xxx")&amp;":2,1,1,"&amp;装备表!$O19&amp;";","xxx"),"xxx"))</f>
        <v>xxx</v>
      </c>
      <c r="H16" s="18" t="str">
        <f>IF(装备表!$O19=0,"xxx",IFERROR(IF(INT(IF($D16=H$3,装备表!$E19,"xxx")/10000)=1,IF($D16=H$3,装备表!$E19,"xxx")&amp;":2,1,1,"&amp;装备表!$O19&amp;";","xxx"),"xxx"))</f>
        <v>xxx</v>
      </c>
      <c r="I16" s="18" t="str">
        <f>IF(装备表!$O19=0,"xxx",IFERROR(IF(INT(IF($D16=I$3,装备表!$E19,"xxx")/10000)=1,IF($D16=I$3,装备表!$E19,"xxx")&amp;":2,1,1,"&amp;装备表!$O19&amp;";","xxx"),"xxx"))</f>
        <v>xxx</v>
      </c>
      <c r="J16" s="18" t="str">
        <f>IF(装备表!$O19=0,"xxx",IFERROR(IF(INT(IF($D16=J$3,装备表!$E19,"xxx")/10000)=3,IF($D16=J$3,装备表!$E19,"xxx")&amp;":2,1,1,"&amp;装备表!$O19&amp;";","xxx"),"xxx"))</f>
        <v>xxx</v>
      </c>
    </row>
    <row r="17" spans="3:10" x14ac:dyDescent="0.2">
      <c r="C17">
        <v>11401</v>
      </c>
      <c r="D17" s="18">
        <f>装备表!L20</f>
        <v>1</v>
      </c>
      <c r="E17" s="18" t="str">
        <f>IF(装备表!$O20=0,"xxx",IFERROR(IF(INT(IF($D17=E$3,装备表!$E20,"xxx")/10000)=1,IF($D17=E$3,装备表!$E20,"xxx")&amp;":2,1,1,"&amp;装备表!$O20&amp;";","xxx"),"xxx"))</f>
        <v>11401:2,1,1,100;</v>
      </c>
      <c r="F17" s="18" t="str">
        <f>IF(装备表!$O20=0,"xxx",IFERROR(IF(INT(IF($D17=F$3,装备表!$E20,"xxx")/10000)=1,IF($D17=F$3,装备表!$E20,"xxx")&amp;":2,1,1,"&amp;装备表!$O20&amp;";","xxx"),"xxx"))</f>
        <v>xxx</v>
      </c>
      <c r="G17" s="18" t="str">
        <f>IF(装备表!$O20=0,"xxx",IFERROR(IF(INT(IF($D17=G$3,装备表!$E20,"xxx")/10000)=1,IF($D17=G$3,装备表!$E20,"xxx")&amp;":2,1,1,"&amp;装备表!$O20&amp;";","xxx"),"xxx"))</f>
        <v>xxx</v>
      </c>
      <c r="H17" s="18" t="str">
        <f>IF(装备表!$O20=0,"xxx",IFERROR(IF(INT(IF($D17=H$3,装备表!$E20,"xxx")/10000)=1,IF($D17=H$3,装备表!$E20,"xxx")&amp;":2,1,1,"&amp;装备表!$O20&amp;";","xxx"),"xxx"))</f>
        <v>xxx</v>
      </c>
      <c r="I17" s="18" t="str">
        <f>IF(装备表!$O20=0,"xxx",IFERROR(IF(INT(IF($D17=I$3,装备表!$E20,"xxx")/10000)=1,IF($D17=I$3,装备表!$E20,"xxx")&amp;":2,1,1,"&amp;装备表!$O20&amp;";","xxx"),"xxx"))</f>
        <v>xxx</v>
      </c>
      <c r="J17" s="18" t="str">
        <f>IF(装备表!$O20=0,"xxx",IFERROR(IF(INT(IF($D17=J$3,装备表!$E20,"xxx")/10000)=3,IF($D17=J$3,装备表!$E20,"xxx")&amp;":2,1,1,"&amp;装备表!$O20&amp;";","xxx"),"xxx"))</f>
        <v>xxx</v>
      </c>
    </row>
    <row r="18" spans="3:10" x14ac:dyDescent="0.2">
      <c r="C18">
        <v>11501</v>
      </c>
      <c r="D18" s="18">
        <f>装备表!L21</f>
        <v>1</v>
      </c>
      <c r="E18" s="18" t="str">
        <f>IF(装备表!$O21=0,"xxx",IFERROR(IF(INT(IF($D18=E$3,装备表!$E21,"xxx")/10000)=1,IF($D18=E$3,装备表!$E21,"xxx")&amp;":2,1,1,"&amp;装备表!$O21&amp;";","xxx"),"xxx"))</f>
        <v>11501:2,1,1,100;</v>
      </c>
      <c r="F18" s="18" t="str">
        <f>IF(装备表!$O21=0,"xxx",IFERROR(IF(INT(IF($D18=F$3,装备表!$E21,"xxx")/10000)=1,IF($D18=F$3,装备表!$E21,"xxx")&amp;":2,1,1,"&amp;装备表!$O21&amp;";","xxx"),"xxx"))</f>
        <v>xxx</v>
      </c>
      <c r="G18" s="18" t="str">
        <f>IF(装备表!$O21=0,"xxx",IFERROR(IF(INT(IF($D18=G$3,装备表!$E21,"xxx")/10000)=1,IF($D18=G$3,装备表!$E21,"xxx")&amp;":2,1,1,"&amp;装备表!$O21&amp;";","xxx"),"xxx"))</f>
        <v>xxx</v>
      </c>
      <c r="H18" s="18" t="str">
        <f>IF(装备表!$O21=0,"xxx",IFERROR(IF(INT(IF($D18=H$3,装备表!$E21,"xxx")/10000)=1,IF($D18=H$3,装备表!$E21,"xxx")&amp;":2,1,1,"&amp;装备表!$O21&amp;";","xxx"),"xxx"))</f>
        <v>xxx</v>
      </c>
      <c r="I18" s="18" t="str">
        <f>IF(装备表!$O21=0,"xxx",IFERROR(IF(INT(IF($D18=I$3,装备表!$E21,"xxx")/10000)=1,IF($D18=I$3,装备表!$E21,"xxx")&amp;":2,1,1,"&amp;装备表!$O21&amp;";","xxx"),"xxx"))</f>
        <v>xxx</v>
      </c>
      <c r="J18" s="18" t="str">
        <f>IF(装备表!$O21=0,"xxx",IFERROR(IF(INT(IF($D18=J$3,装备表!$E21,"xxx")/10000)=3,IF($D18=J$3,装备表!$E21,"xxx")&amp;":2,1,1,"&amp;装备表!$O21&amp;";","xxx"),"xxx"))</f>
        <v>xxx</v>
      </c>
    </row>
    <row r="19" spans="3:10" x14ac:dyDescent="0.2">
      <c r="C19">
        <v>12101</v>
      </c>
      <c r="D19" s="18">
        <f>装备表!L22</f>
        <v>1</v>
      </c>
      <c r="E19" s="18" t="str">
        <f>IF(装备表!$O22=0,"xxx",IFERROR(IF(INT(IF($D19=E$3,装备表!$E22,"xxx")/10000)=1,IF($D19=E$3,装备表!$E22,"xxx")&amp;":2,1,1,"&amp;装备表!$O22&amp;";","xxx"),"xxx"))</f>
        <v>12101:2,1,1,100;</v>
      </c>
      <c r="F19" s="18" t="str">
        <f>IF(装备表!$O22=0,"xxx",IFERROR(IF(INT(IF($D19=F$3,装备表!$E22,"xxx")/10000)=1,IF($D19=F$3,装备表!$E22,"xxx")&amp;":2,1,1,"&amp;装备表!$O22&amp;";","xxx"),"xxx"))</f>
        <v>xxx</v>
      </c>
      <c r="G19" s="18" t="str">
        <f>IF(装备表!$O22=0,"xxx",IFERROR(IF(INT(IF($D19=G$3,装备表!$E22,"xxx")/10000)=1,IF($D19=G$3,装备表!$E22,"xxx")&amp;":2,1,1,"&amp;装备表!$O22&amp;";","xxx"),"xxx"))</f>
        <v>xxx</v>
      </c>
      <c r="H19" s="18" t="str">
        <f>IF(装备表!$O22=0,"xxx",IFERROR(IF(INT(IF($D19=H$3,装备表!$E22,"xxx")/10000)=1,IF($D19=H$3,装备表!$E22,"xxx")&amp;":2,1,1,"&amp;装备表!$O22&amp;";","xxx"),"xxx"))</f>
        <v>xxx</v>
      </c>
      <c r="I19" s="18" t="str">
        <f>IF(装备表!$O22=0,"xxx",IFERROR(IF(INT(IF($D19=I$3,装备表!$E22,"xxx")/10000)=1,IF($D19=I$3,装备表!$E22,"xxx")&amp;":2,1,1,"&amp;装备表!$O22&amp;";","xxx"),"xxx"))</f>
        <v>xxx</v>
      </c>
      <c r="J19" s="18" t="str">
        <f>IF(装备表!$O22=0,"xxx",IFERROR(IF(INT(IF($D19=J$3,装备表!$E22,"xxx")/10000)=3,IF($D19=J$3,装备表!$E22,"xxx")&amp;":2,1,1,"&amp;装备表!$O22&amp;";","xxx"),"xxx"))</f>
        <v>xxx</v>
      </c>
    </row>
    <row r="20" spans="3:10" x14ac:dyDescent="0.2">
      <c r="C20">
        <v>12201</v>
      </c>
      <c r="D20" s="18">
        <f>装备表!L23</f>
        <v>1</v>
      </c>
      <c r="E20" s="18" t="str">
        <f>IF(装备表!$O23=0,"xxx",IFERROR(IF(INT(IF($D20=E$3,装备表!$E23,"xxx")/10000)=1,IF($D20=E$3,装备表!$E23,"xxx")&amp;":2,1,1,"&amp;装备表!$O23&amp;";","xxx"),"xxx"))</f>
        <v>12201:2,1,1,100;</v>
      </c>
      <c r="F20" s="18" t="str">
        <f>IF(装备表!$O23=0,"xxx",IFERROR(IF(INT(IF($D20=F$3,装备表!$E23,"xxx")/10000)=1,IF($D20=F$3,装备表!$E23,"xxx")&amp;":2,1,1,"&amp;装备表!$O23&amp;";","xxx"),"xxx"))</f>
        <v>xxx</v>
      </c>
      <c r="G20" s="18" t="str">
        <f>IF(装备表!$O23=0,"xxx",IFERROR(IF(INT(IF($D20=G$3,装备表!$E23,"xxx")/10000)=1,IF($D20=G$3,装备表!$E23,"xxx")&amp;":2,1,1,"&amp;装备表!$O23&amp;";","xxx"),"xxx"))</f>
        <v>xxx</v>
      </c>
      <c r="H20" s="18" t="str">
        <f>IF(装备表!$O23=0,"xxx",IFERROR(IF(INT(IF($D20=H$3,装备表!$E23,"xxx")/10000)=1,IF($D20=H$3,装备表!$E23,"xxx")&amp;":2,1,1,"&amp;装备表!$O23&amp;";","xxx"),"xxx"))</f>
        <v>xxx</v>
      </c>
      <c r="I20" s="18" t="str">
        <f>IF(装备表!$O23=0,"xxx",IFERROR(IF(INT(IF($D20=I$3,装备表!$E23,"xxx")/10000)=1,IF($D20=I$3,装备表!$E23,"xxx")&amp;":2,1,1,"&amp;装备表!$O23&amp;";","xxx"),"xxx"))</f>
        <v>xxx</v>
      </c>
      <c r="J20" s="18" t="str">
        <f>IF(装备表!$O23=0,"xxx",IFERROR(IF(INT(IF($D20=J$3,装备表!$E23,"xxx")/10000)=3,IF($D20=J$3,装备表!$E23,"xxx")&amp;":2,1,1,"&amp;装备表!$O23&amp;";","xxx"),"xxx"))</f>
        <v>xxx</v>
      </c>
    </row>
    <row r="21" spans="3:10" x14ac:dyDescent="0.2">
      <c r="C21">
        <v>12301</v>
      </c>
      <c r="D21" s="18">
        <f>装备表!L24</f>
        <v>1</v>
      </c>
      <c r="E21" s="18" t="str">
        <f>IF(装备表!$O24=0,"xxx",IFERROR(IF(INT(IF($D21=E$3,装备表!$E24,"xxx")/10000)=1,IF($D21=E$3,装备表!$E24,"xxx")&amp;":2,1,1,"&amp;装备表!$O24&amp;";","xxx"),"xxx"))</f>
        <v>12301:2,1,1,100;</v>
      </c>
      <c r="F21" s="18" t="str">
        <f>IF(装备表!$O24=0,"xxx",IFERROR(IF(INT(IF($D21=F$3,装备表!$E24,"xxx")/10000)=1,IF($D21=F$3,装备表!$E24,"xxx")&amp;":2,1,1,"&amp;装备表!$O24&amp;";","xxx"),"xxx"))</f>
        <v>xxx</v>
      </c>
      <c r="G21" s="18" t="str">
        <f>IF(装备表!$O24=0,"xxx",IFERROR(IF(INT(IF($D21=G$3,装备表!$E24,"xxx")/10000)=1,IF($D21=G$3,装备表!$E24,"xxx")&amp;":2,1,1,"&amp;装备表!$O24&amp;";","xxx"),"xxx"))</f>
        <v>xxx</v>
      </c>
      <c r="H21" s="18" t="str">
        <f>IF(装备表!$O24=0,"xxx",IFERROR(IF(INT(IF($D21=H$3,装备表!$E24,"xxx")/10000)=1,IF($D21=H$3,装备表!$E24,"xxx")&amp;":2,1,1,"&amp;装备表!$O24&amp;";","xxx"),"xxx"))</f>
        <v>xxx</v>
      </c>
      <c r="I21" s="18" t="str">
        <f>IF(装备表!$O24=0,"xxx",IFERROR(IF(INT(IF($D21=I$3,装备表!$E24,"xxx")/10000)=1,IF($D21=I$3,装备表!$E24,"xxx")&amp;":2,1,1,"&amp;装备表!$O24&amp;";","xxx"),"xxx"))</f>
        <v>xxx</v>
      </c>
      <c r="J21" s="18" t="str">
        <f>IF(装备表!$O24=0,"xxx",IFERROR(IF(INT(IF($D21=J$3,装备表!$E24,"xxx")/10000)=3,IF($D21=J$3,装备表!$E24,"xxx")&amp;":2,1,1,"&amp;装备表!$O24&amp;";","xxx"),"xxx"))</f>
        <v>xxx</v>
      </c>
    </row>
    <row r="22" spans="3:10" x14ac:dyDescent="0.2">
      <c r="C22">
        <v>12401</v>
      </c>
      <c r="D22" s="18">
        <f>装备表!L25</f>
        <v>1</v>
      </c>
      <c r="E22" s="18" t="str">
        <f>IF(装备表!$O25=0,"xxx",IFERROR(IF(INT(IF($D22=E$3,装备表!$E25,"xxx")/10000)=1,IF($D22=E$3,装备表!$E25,"xxx")&amp;":2,1,1,"&amp;装备表!$O25&amp;";","xxx"),"xxx"))</f>
        <v>12401:2,1,1,100;</v>
      </c>
      <c r="F22" s="18" t="str">
        <f>IF(装备表!$O25=0,"xxx",IFERROR(IF(INT(IF($D22=F$3,装备表!$E25,"xxx")/10000)=1,IF($D22=F$3,装备表!$E25,"xxx")&amp;":2,1,1,"&amp;装备表!$O25&amp;";","xxx"),"xxx"))</f>
        <v>xxx</v>
      </c>
      <c r="G22" s="18" t="str">
        <f>IF(装备表!$O25=0,"xxx",IFERROR(IF(INT(IF($D22=G$3,装备表!$E25,"xxx")/10000)=1,IF($D22=G$3,装备表!$E25,"xxx")&amp;":2,1,1,"&amp;装备表!$O25&amp;";","xxx"),"xxx"))</f>
        <v>xxx</v>
      </c>
      <c r="H22" s="18" t="str">
        <f>IF(装备表!$O25=0,"xxx",IFERROR(IF(INT(IF($D22=H$3,装备表!$E25,"xxx")/10000)=1,IF($D22=H$3,装备表!$E25,"xxx")&amp;":2,1,1,"&amp;装备表!$O25&amp;";","xxx"),"xxx"))</f>
        <v>xxx</v>
      </c>
      <c r="I22" s="18" t="str">
        <f>IF(装备表!$O25=0,"xxx",IFERROR(IF(INT(IF($D22=I$3,装备表!$E25,"xxx")/10000)=1,IF($D22=I$3,装备表!$E25,"xxx")&amp;":2,1,1,"&amp;装备表!$O25&amp;";","xxx"),"xxx"))</f>
        <v>xxx</v>
      </c>
      <c r="J22" s="18" t="str">
        <f>IF(装备表!$O25=0,"xxx",IFERROR(IF(INT(IF($D22=J$3,装备表!$E25,"xxx")/10000)=3,IF($D22=J$3,装备表!$E25,"xxx")&amp;":2,1,1,"&amp;装备表!$O25&amp;";","xxx"),"xxx"))</f>
        <v>xxx</v>
      </c>
    </row>
    <row r="23" spans="3:10" x14ac:dyDescent="0.2">
      <c r="C23">
        <v>12501</v>
      </c>
      <c r="D23" s="18">
        <f>装备表!L26</f>
        <v>1</v>
      </c>
      <c r="E23" s="18" t="str">
        <f>IF(装备表!$O26=0,"xxx",IFERROR(IF(INT(IF($D23=E$3,装备表!$E26,"xxx")/10000)=1,IF($D23=E$3,装备表!$E26,"xxx")&amp;":2,1,1,"&amp;装备表!$O26&amp;";","xxx"),"xxx"))</f>
        <v>12501:2,1,1,100;</v>
      </c>
      <c r="F23" s="18" t="str">
        <f>IF(装备表!$O26=0,"xxx",IFERROR(IF(INT(IF($D23=F$3,装备表!$E26,"xxx")/10000)=1,IF($D23=F$3,装备表!$E26,"xxx")&amp;":2,1,1,"&amp;装备表!$O26&amp;";","xxx"),"xxx"))</f>
        <v>xxx</v>
      </c>
      <c r="G23" s="18" t="str">
        <f>IF(装备表!$O26=0,"xxx",IFERROR(IF(INT(IF($D23=G$3,装备表!$E26,"xxx")/10000)=1,IF($D23=G$3,装备表!$E26,"xxx")&amp;":2,1,1,"&amp;装备表!$O26&amp;";","xxx"),"xxx"))</f>
        <v>xxx</v>
      </c>
      <c r="H23" s="18" t="str">
        <f>IF(装备表!$O26=0,"xxx",IFERROR(IF(INT(IF($D23=H$3,装备表!$E26,"xxx")/10000)=1,IF($D23=H$3,装备表!$E26,"xxx")&amp;":2,1,1,"&amp;装备表!$O26&amp;";","xxx"),"xxx"))</f>
        <v>xxx</v>
      </c>
      <c r="I23" s="18" t="str">
        <f>IF(装备表!$O26=0,"xxx",IFERROR(IF(INT(IF($D23=I$3,装备表!$E26,"xxx")/10000)=1,IF($D23=I$3,装备表!$E26,"xxx")&amp;":2,1,1,"&amp;装备表!$O26&amp;";","xxx"),"xxx"))</f>
        <v>xxx</v>
      </c>
      <c r="J23" s="18" t="str">
        <f>IF(装备表!$O26=0,"xxx",IFERROR(IF(INT(IF($D23=J$3,装备表!$E26,"xxx")/10000)=3,IF($D23=J$3,装备表!$E26,"xxx")&amp;":2,1,1,"&amp;装备表!$O26&amp;";","xxx"),"xxx"))</f>
        <v>xxx</v>
      </c>
    </row>
    <row r="24" spans="3:10" x14ac:dyDescent="0.2">
      <c r="C24">
        <v>13101</v>
      </c>
      <c r="D24" s="18">
        <f>装备表!L27</f>
        <v>1</v>
      </c>
      <c r="E24" s="18" t="str">
        <f>IF(装备表!$O27=0,"xxx",IFERROR(IF(INT(IF($D24=E$3,装备表!$E27,"xxx")/10000)=1,IF($D24=E$3,装备表!$E27,"xxx")&amp;":2,1,1,"&amp;装备表!$O27&amp;";","xxx"),"xxx"))</f>
        <v>xxx</v>
      </c>
      <c r="F24" s="18" t="str">
        <f>IF(装备表!$O27=0,"xxx",IFERROR(IF(INT(IF($D24=F$3,装备表!$E27,"xxx")/10000)=1,IF($D24=F$3,装备表!$E27,"xxx")&amp;":2,1,1,"&amp;装备表!$O27&amp;";","xxx"),"xxx"))</f>
        <v>xxx</v>
      </c>
      <c r="G24" s="18" t="str">
        <f>IF(装备表!$O27=0,"xxx",IFERROR(IF(INT(IF($D24=G$3,装备表!$E27,"xxx")/10000)=1,IF($D24=G$3,装备表!$E27,"xxx")&amp;":2,1,1,"&amp;装备表!$O27&amp;";","xxx"),"xxx"))</f>
        <v>xxx</v>
      </c>
      <c r="H24" s="18" t="str">
        <f>IF(装备表!$O27=0,"xxx",IFERROR(IF(INT(IF($D24=H$3,装备表!$E27,"xxx")/10000)=1,IF($D24=H$3,装备表!$E27,"xxx")&amp;":2,1,1,"&amp;装备表!$O27&amp;";","xxx"),"xxx"))</f>
        <v>xxx</v>
      </c>
      <c r="I24" s="18" t="str">
        <f>IF(装备表!$O27=0,"xxx",IFERROR(IF(INT(IF($D24=I$3,装备表!$E27,"xxx")/10000)=1,IF($D24=I$3,装备表!$E27,"xxx")&amp;":2,1,1,"&amp;装备表!$O27&amp;";","xxx"),"xxx"))</f>
        <v>xxx</v>
      </c>
      <c r="J24" s="18" t="str">
        <f>IF(装备表!$O27=0,"xxx",IFERROR(IF(INT(IF($D24=J$3,装备表!$E27,"xxx")/10000)=3,IF($D24=J$3,装备表!$E27,"xxx")&amp;":2,1,1,"&amp;装备表!$O27&amp;";","xxx"),"xxx"))</f>
        <v>xxx</v>
      </c>
    </row>
    <row r="25" spans="3:10" x14ac:dyDescent="0.2">
      <c r="C25">
        <v>13201</v>
      </c>
      <c r="D25" s="18">
        <f>装备表!L28</f>
        <v>1</v>
      </c>
      <c r="E25" s="18" t="str">
        <f>IF(装备表!$O28=0,"xxx",IFERROR(IF(INT(IF($D25=E$3,装备表!$E28,"xxx")/10000)=1,IF($D25=E$3,装备表!$E28,"xxx")&amp;":2,1,1,"&amp;装备表!$O28&amp;";","xxx"),"xxx"))</f>
        <v>xxx</v>
      </c>
      <c r="F25" s="18" t="str">
        <f>IF(装备表!$O28=0,"xxx",IFERROR(IF(INT(IF($D25=F$3,装备表!$E28,"xxx")/10000)=1,IF($D25=F$3,装备表!$E28,"xxx")&amp;":2,1,1,"&amp;装备表!$O28&amp;";","xxx"),"xxx"))</f>
        <v>xxx</v>
      </c>
      <c r="G25" s="18" t="str">
        <f>IF(装备表!$O28=0,"xxx",IFERROR(IF(INT(IF($D25=G$3,装备表!$E28,"xxx")/10000)=1,IF($D25=G$3,装备表!$E28,"xxx")&amp;":2,1,1,"&amp;装备表!$O28&amp;";","xxx"),"xxx"))</f>
        <v>xxx</v>
      </c>
      <c r="H25" s="18" t="str">
        <f>IF(装备表!$O28=0,"xxx",IFERROR(IF(INT(IF($D25=H$3,装备表!$E28,"xxx")/10000)=1,IF($D25=H$3,装备表!$E28,"xxx")&amp;":2,1,1,"&amp;装备表!$O28&amp;";","xxx"),"xxx"))</f>
        <v>xxx</v>
      </c>
      <c r="I25" s="18" t="str">
        <f>IF(装备表!$O28=0,"xxx",IFERROR(IF(INT(IF($D25=I$3,装备表!$E28,"xxx")/10000)=1,IF($D25=I$3,装备表!$E28,"xxx")&amp;":2,1,1,"&amp;装备表!$O28&amp;";","xxx"),"xxx"))</f>
        <v>xxx</v>
      </c>
      <c r="J25" s="18" t="str">
        <f>IF(装备表!$O28=0,"xxx",IFERROR(IF(INT(IF($D25=J$3,装备表!$E28,"xxx")/10000)=3,IF($D25=J$3,装备表!$E28,"xxx")&amp;":2,1,1,"&amp;装备表!$O28&amp;";","xxx"),"xxx"))</f>
        <v>xxx</v>
      </c>
    </row>
    <row r="26" spans="3:10" x14ac:dyDescent="0.2">
      <c r="C26">
        <v>10002</v>
      </c>
      <c r="D26" s="18">
        <f>装备表!L29</f>
        <v>2</v>
      </c>
      <c r="E26" s="18" t="str">
        <f>IF(装备表!$O29=0,"xxx",IFERROR(IF(INT(IF($D26=E$3,装备表!$E29,"xxx")/10000)=1,IF($D26=E$3,装备表!$E29,"xxx")&amp;":2,1,1,"&amp;装备表!$O29&amp;";","xxx"),"xxx"))</f>
        <v>xxx</v>
      </c>
      <c r="F26" s="18" t="str">
        <f>IF(装备表!$O29=0,"xxx",IFERROR(IF(INT(IF($D26=F$3,装备表!$E29,"xxx")/10000)=1,IF($D26=F$3,装备表!$E29,"xxx")&amp;":2,1,1,"&amp;装备表!$O29&amp;";","xxx"),"xxx"))</f>
        <v>10002:2,1,1,34;</v>
      </c>
      <c r="G26" s="18" t="str">
        <f>IF(装备表!$O29=0,"xxx",IFERROR(IF(INT(IF($D26=G$3,装备表!$E29,"xxx")/10000)=1,IF($D26=G$3,装备表!$E29,"xxx")&amp;":2,1,1,"&amp;装备表!$O29&amp;";","xxx"),"xxx"))</f>
        <v>xxx</v>
      </c>
      <c r="H26" s="18" t="str">
        <f>IF(装备表!$O29=0,"xxx",IFERROR(IF(INT(IF($D26=H$3,装备表!$E29,"xxx")/10000)=1,IF($D26=H$3,装备表!$E29,"xxx")&amp;":2,1,1,"&amp;装备表!$O29&amp;";","xxx"),"xxx"))</f>
        <v>xxx</v>
      </c>
      <c r="I26" s="18" t="str">
        <f>IF(装备表!$O29=0,"xxx",IFERROR(IF(INT(IF($D26=I$3,装备表!$E29,"xxx")/10000)=1,IF($D26=I$3,装备表!$E29,"xxx")&amp;":2,1,1,"&amp;装备表!$O29&amp;";","xxx"),"xxx"))</f>
        <v>xxx</v>
      </c>
      <c r="J26" s="18" t="str">
        <f>IF(装备表!$O29=0,"xxx",IFERROR(IF(INT(IF($D26=J$3,装备表!$E29,"xxx")/10000)=3,IF($D26=J$3,装备表!$E29,"xxx")&amp;":2,1,1,"&amp;装备表!$O29&amp;";","xxx"),"xxx"))</f>
        <v>xxx</v>
      </c>
    </row>
    <row r="27" spans="3:10" x14ac:dyDescent="0.2">
      <c r="C27">
        <v>10202</v>
      </c>
      <c r="D27" s="18">
        <f>装备表!L30</f>
        <v>2</v>
      </c>
      <c r="E27" s="18" t="str">
        <f>IF(装备表!$O30=0,"xxx",IFERROR(IF(INT(IF($D27=E$3,装备表!$E30,"xxx")/10000)=1,IF($D27=E$3,装备表!$E30,"xxx")&amp;":2,1,1,"&amp;装备表!$O30&amp;";","xxx"),"xxx"))</f>
        <v>xxx</v>
      </c>
      <c r="F27" s="18" t="str">
        <f>IF(装备表!$O30=0,"xxx",IFERROR(IF(INT(IF($D27=F$3,装备表!$E30,"xxx")/10000)=1,IF($D27=F$3,装备表!$E30,"xxx")&amp;":2,1,1,"&amp;装备表!$O30&amp;";","xxx"),"xxx"))</f>
        <v>10202:2,1,1,34;</v>
      </c>
      <c r="G27" s="18" t="str">
        <f>IF(装备表!$O30=0,"xxx",IFERROR(IF(INT(IF($D27=G$3,装备表!$E30,"xxx")/10000)=1,IF($D27=G$3,装备表!$E30,"xxx")&amp;":2,1,1,"&amp;装备表!$O30&amp;";","xxx"),"xxx"))</f>
        <v>xxx</v>
      </c>
      <c r="H27" s="18" t="str">
        <f>IF(装备表!$O30=0,"xxx",IFERROR(IF(INT(IF($D27=H$3,装备表!$E30,"xxx")/10000)=1,IF($D27=H$3,装备表!$E30,"xxx")&amp;":2,1,1,"&amp;装备表!$O30&amp;";","xxx"),"xxx"))</f>
        <v>xxx</v>
      </c>
      <c r="I27" s="18" t="str">
        <f>IF(装备表!$O30=0,"xxx",IFERROR(IF(INT(IF($D27=I$3,装备表!$E30,"xxx")/10000)=1,IF($D27=I$3,装备表!$E30,"xxx")&amp;":2,1,1,"&amp;装备表!$O30&amp;";","xxx"),"xxx"))</f>
        <v>xxx</v>
      </c>
      <c r="J27" s="18" t="str">
        <f>IF(装备表!$O30=0,"xxx",IFERROR(IF(INT(IF($D27=J$3,装备表!$E30,"xxx")/10000)=3,IF($D27=J$3,装备表!$E30,"xxx")&amp;":2,1,1,"&amp;装备表!$O30&amp;";","xxx"),"xxx"))</f>
        <v>xxx</v>
      </c>
    </row>
    <row r="28" spans="3:10" x14ac:dyDescent="0.2">
      <c r="C28">
        <v>10302</v>
      </c>
      <c r="D28" s="18">
        <f>装备表!L31</f>
        <v>2</v>
      </c>
      <c r="E28" s="18" t="str">
        <f>IF(装备表!$O31=0,"xxx",IFERROR(IF(INT(IF($D28=E$3,装备表!$E31,"xxx")/10000)=1,IF($D28=E$3,装备表!$E31,"xxx")&amp;":2,1,1,"&amp;装备表!$O31&amp;";","xxx"),"xxx"))</f>
        <v>xxx</v>
      </c>
      <c r="F28" s="18" t="str">
        <f>IF(装备表!$O31=0,"xxx",IFERROR(IF(INT(IF($D28=F$3,装备表!$E31,"xxx")/10000)=1,IF($D28=F$3,装备表!$E31,"xxx")&amp;":2,1,1,"&amp;装备表!$O31&amp;";","xxx"),"xxx"))</f>
        <v>10302:2,1,1,34;</v>
      </c>
      <c r="G28" s="18" t="str">
        <f>IF(装备表!$O31=0,"xxx",IFERROR(IF(INT(IF($D28=G$3,装备表!$E31,"xxx")/10000)=1,IF($D28=G$3,装备表!$E31,"xxx")&amp;":2,1,1,"&amp;装备表!$O31&amp;";","xxx"),"xxx"))</f>
        <v>xxx</v>
      </c>
      <c r="H28" s="18" t="str">
        <f>IF(装备表!$O31=0,"xxx",IFERROR(IF(INT(IF($D28=H$3,装备表!$E31,"xxx")/10000)=1,IF($D28=H$3,装备表!$E31,"xxx")&amp;":2,1,1,"&amp;装备表!$O31&amp;";","xxx"),"xxx"))</f>
        <v>xxx</v>
      </c>
      <c r="I28" s="18" t="str">
        <f>IF(装备表!$O31=0,"xxx",IFERROR(IF(INT(IF($D28=I$3,装备表!$E31,"xxx")/10000)=1,IF($D28=I$3,装备表!$E31,"xxx")&amp;":2,1,1,"&amp;装备表!$O31&amp;";","xxx"),"xxx"))</f>
        <v>xxx</v>
      </c>
      <c r="J28" s="18" t="str">
        <f>IF(装备表!$O31=0,"xxx",IFERROR(IF(INT(IF($D28=J$3,装备表!$E31,"xxx")/10000)=3,IF($D28=J$3,装备表!$E31,"xxx")&amp;":2,1,1,"&amp;装备表!$O31&amp;";","xxx"),"xxx"))</f>
        <v>xxx</v>
      </c>
    </row>
    <row r="29" spans="3:10" x14ac:dyDescent="0.2">
      <c r="C29">
        <v>10402</v>
      </c>
      <c r="D29" s="18">
        <f>装备表!L32</f>
        <v>2</v>
      </c>
      <c r="E29" s="18" t="str">
        <f>IF(装备表!$O32=0,"xxx",IFERROR(IF(INT(IF($D29=E$3,装备表!$E32,"xxx")/10000)=1,IF($D29=E$3,装备表!$E32,"xxx")&amp;":2,1,1,"&amp;装备表!$O32&amp;";","xxx"),"xxx"))</f>
        <v>xxx</v>
      </c>
      <c r="F29" s="18" t="str">
        <f>IF(装备表!$O32=0,"xxx",IFERROR(IF(INT(IF($D29=F$3,装备表!$E32,"xxx")/10000)=1,IF($D29=F$3,装备表!$E32,"xxx")&amp;":2,1,1,"&amp;装备表!$O32&amp;";","xxx"),"xxx"))</f>
        <v>10402:2,1,1,34;</v>
      </c>
      <c r="G29" s="18" t="str">
        <f>IF(装备表!$O32=0,"xxx",IFERROR(IF(INT(IF($D29=G$3,装备表!$E32,"xxx")/10000)=1,IF($D29=G$3,装备表!$E32,"xxx")&amp;":2,1,1,"&amp;装备表!$O32&amp;";","xxx"),"xxx"))</f>
        <v>xxx</v>
      </c>
      <c r="H29" s="18" t="str">
        <f>IF(装备表!$O32=0,"xxx",IFERROR(IF(INT(IF($D29=H$3,装备表!$E32,"xxx")/10000)=1,IF($D29=H$3,装备表!$E32,"xxx")&amp;":2,1,1,"&amp;装备表!$O32&amp;";","xxx"),"xxx"))</f>
        <v>xxx</v>
      </c>
      <c r="I29" s="18" t="str">
        <f>IF(装备表!$O32=0,"xxx",IFERROR(IF(INT(IF($D29=I$3,装备表!$E32,"xxx")/10000)=1,IF($D29=I$3,装备表!$E32,"xxx")&amp;":2,1,1,"&amp;装备表!$O32&amp;";","xxx"),"xxx"))</f>
        <v>xxx</v>
      </c>
      <c r="J29" s="18" t="str">
        <f>IF(装备表!$O32=0,"xxx",IFERROR(IF(INT(IF($D29=J$3,装备表!$E32,"xxx")/10000)=3,IF($D29=J$3,装备表!$E32,"xxx")&amp;":2,1,1,"&amp;装备表!$O32&amp;";","xxx"),"xxx"))</f>
        <v>xxx</v>
      </c>
    </row>
    <row r="30" spans="3:10" x14ac:dyDescent="0.2">
      <c r="C30">
        <v>10502</v>
      </c>
      <c r="D30" s="18">
        <f>装备表!L33</f>
        <v>2</v>
      </c>
      <c r="E30" s="18" t="str">
        <f>IF(装备表!$O33=0,"xxx",IFERROR(IF(INT(IF($D30=E$3,装备表!$E33,"xxx")/10000)=1,IF($D30=E$3,装备表!$E33,"xxx")&amp;":2,1,1,"&amp;装备表!$O33&amp;";","xxx"),"xxx"))</f>
        <v>xxx</v>
      </c>
      <c r="F30" s="18" t="str">
        <f>IF(装备表!$O33=0,"xxx",IFERROR(IF(INT(IF($D30=F$3,装备表!$E33,"xxx")/10000)=1,IF($D30=F$3,装备表!$E33,"xxx")&amp;":2,1,1,"&amp;装备表!$O33&amp;";","xxx"),"xxx"))</f>
        <v>10502:2,1,1,34;</v>
      </c>
      <c r="G30" s="18" t="str">
        <f>IF(装备表!$O33=0,"xxx",IFERROR(IF(INT(IF($D30=G$3,装备表!$E33,"xxx")/10000)=1,IF($D30=G$3,装备表!$E33,"xxx")&amp;":2,1,1,"&amp;装备表!$O33&amp;";","xxx"),"xxx"))</f>
        <v>xxx</v>
      </c>
      <c r="H30" s="18" t="str">
        <f>IF(装备表!$O33=0,"xxx",IFERROR(IF(INT(IF($D30=H$3,装备表!$E33,"xxx")/10000)=1,IF($D30=H$3,装备表!$E33,"xxx")&amp;":2,1,1,"&amp;装备表!$O33&amp;";","xxx"),"xxx"))</f>
        <v>xxx</v>
      </c>
      <c r="I30" s="18" t="str">
        <f>IF(装备表!$O33=0,"xxx",IFERROR(IF(INT(IF($D30=I$3,装备表!$E33,"xxx")/10000)=1,IF($D30=I$3,装备表!$E33,"xxx")&amp;":2,1,1,"&amp;装备表!$O33&amp;";","xxx"),"xxx"))</f>
        <v>xxx</v>
      </c>
      <c r="J30" s="18" t="str">
        <f>IF(装备表!$O33=0,"xxx",IFERROR(IF(INT(IF($D30=J$3,装备表!$E33,"xxx")/10000)=3,IF($D30=J$3,装备表!$E33,"xxx")&amp;":2,1,1,"&amp;装备表!$O33&amp;";","xxx"),"xxx"))</f>
        <v>xxx</v>
      </c>
    </row>
    <row r="31" spans="3:10" x14ac:dyDescent="0.2">
      <c r="C31">
        <v>10602</v>
      </c>
      <c r="D31" s="18">
        <f>装备表!L34</f>
        <v>2</v>
      </c>
      <c r="E31" s="18" t="str">
        <f>IF(装备表!$O34=0,"xxx",IFERROR(IF(INT(IF($D31=E$3,装备表!$E34,"xxx")/10000)=1,IF($D31=E$3,装备表!$E34,"xxx")&amp;":2,1,1,"&amp;装备表!$O34&amp;";","xxx"),"xxx"))</f>
        <v>xxx</v>
      </c>
      <c r="F31" s="18" t="str">
        <f>IF(装备表!$O34=0,"xxx",IFERROR(IF(INT(IF($D31=F$3,装备表!$E34,"xxx")/10000)=1,IF($D31=F$3,装备表!$E34,"xxx")&amp;":2,1,1,"&amp;装备表!$O34&amp;";","xxx"),"xxx"))</f>
        <v>10602:2,1,1,34;</v>
      </c>
      <c r="G31" s="18" t="str">
        <f>IF(装备表!$O34=0,"xxx",IFERROR(IF(INT(IF($D31=G$3,装备表!$E34,"xxx")/10000)=1,IF($D31=G$3,装备表!$E34,"xxx")&amp;":2,1,1,"&amp;装备表!$O34&amp;";","xxx"),"xxx"))</f>
        <v>xxx</v>
      </c>
      <c r="H31" s="18" t="str">
        <f>IF(装备表!$O34=0,"xxx",IFERROR(IF(INT(IF($D31=H$3,装备表!$E34,"xxx")/10000)=1,IF($D31=H$3,装备表!$E34,"xxx")&amp;":2,1,1,"&amp;装备表!$O34&amp;";","xxx"),"xxx"))</f>
        <v>xxx</v>
      </c>
      <c r="I31" s="18" t="str">
        <f>IF(装备表!$O34=0,"xxx",IFERROR(IF(INT(IF($D31=I$3,装备表!$E34,"xxx")/10000)=1,IF($D31=I$3,装备表!$E34,"xxx")&amp;":2,1,1,"&amp;装备表!$O34&amp;";","xxx"),"xxx"))</f>
        <v>xxx</v>
      </c>
      <c r="J31" s="18" t="str">
        <f>IF(装备表!$O34=0,"xxx",IFERROR(IF(INT(IF($D31=J$3,装备表!$E34,"xxx")/10000)=3,IF($D31=J$3,装备表!$E34,"xxx")&amp;":2,1,1,"&amp;装备表!$O34&amp;";","xxx"),"xxx"))</f>
        <v>xxx</v>
      </c>
    </row>
    <row r="32" spans="3:10" x14ac:dyDescent="0.2">
      <c r="C32">
        <v>10702</v>
      </c>
      <c r="D32" s="18">
        <f>装备表!L35</f>
        <v>2</v>
      </c>
      <c r="E32" s="18" t="str">
        <f>IF(装备表!$O35=0,"xxx",IFERROR(IF(INT(IF($D32=E$3,装备表!$E35,"xxx")/10000)=1,IF($D32=E$3,装备表!$E35,"xxx")&amp;":2,1,1,"&amp;装备表!$O35&amp;";","xxx"),"xxx"))</f>
        <v>xxx</v>
      </c>
      <c r="F32" s="18" t="str">
        <f>IF(装备表!$O35=0,"xxx",IFERROR(IF(INT(IF($D32=F$3,装备表!$E35,"xxx")/10000)=1,IF($D32=F$3,装备表!$E35,"xxx")&amp;":2,1,1,"&amp;装备表!$O35&amp;";","xxx"),"xxx"))</f>
        <v>10702:2,1,1,34;</v>
      </c>
      <c r="G32" s="18" t="str">
        <f>IF(装备表!$O35=0,"xxx",IFERROR(IF(INT(IF($D32=G$3,装备表!$E35,"xxx")/10000)=1,IF($D32=G$3,装备表!$E35,"xxx")&amp;":2,1,1,"&amp;装备表!$O35&amp;";","xxx"),"xxx"))</f>
        <v>xxx</v>
      </c>
      <c r="H32" s="18" t="str">
        <f>IF(装备表!$O35=0,"xxx",IFERROR(IF(INT(IF($D32=H$3,装备表!$E35,"xxx")/10000)=1,IF($D32=H$3,装备表!$E35,"xxx")&amp;":2,1,1,"&amp;装备表!$O35&amp;";","xxx"),"xxx"))</f>
        <v>xxx</v>
      </c>
      <c r="I32" s="18" t="str">
        <f>IF(装备表!$O35=0,"xxx",IFERROR(IF(INT(IF($D32=I$3,装备表!$E35,"xxx")/10000)=1,IF($D32=I$3,装备表!$E35,"xxx")&amp;":2,1,1,"&amp;装备表!$O35&amp;";","xxx"),"xxx"))</f>
        <v>xxx</v>
      </c>
      <c r="J32" s="18" t="str">
        <f>IF(装备表!$O35=0,"xxx",IFERROR(IF(INT(IF($D32=J$3,装备表!$E35,"xxx")/10000)=3,IF($D32=J$3,装备表!$E35,"xxx")&amp;":2,1,1,"&amp;装备表!$O35&amp;";","xxx"),"xxx"))</f>
        <v>xxx</v>
      </c>
    </row>
    <row r="33" spans="3:10" x14ac:dyDescent="0.2">
      <c r="C33">
        <v>10802</v>
      </c>
      <c r="D33" s="18">
        <f>装备表!L36</f>
        <v>2</v>
      </c>
      <c r="E33" s="18" t="str">
        <f>IF(装备表!$O36=0,"xxx",IFERROR(IF(INT(IF($D33=E$3,装备表!$E36,"xxx")/10000)=1,IF($D33=E$3,装备表!$E36,"xxx")&amp;":2,1,1,"&amp;装备表!$O36&amp;";","xxx"),"xxx"))</f>
        <v>xxx</v>
      </c>
      <c r="F33" s="18" t="str">
        <f>IF(装备表!$O36=0,"xxx",IFERROR(IF(INT(IF($D33=F$3,装备表!$E36,"xxx")/10000)=1,IF($D33=F$3,装备表!$E36,"xxx")&amp;":2,1,1,"&amp;装备表!$O36&amp;";","xxx"),"xxx"))</f>
        <v>10802:2,1,1,34;</v>
      </c>
      <c r="G33" s="18" t="str">
        <f>IF(装备表!$O36=0,"xxx",IFERROR(IF(INT(IF($D33=G$3,装备表!$E36,"xxx")/10000)=1,IF($D33=G$3,装备表!$E36,"xxx")&amp;":2,1,1,"&amp;装备表!$O36&amp;";","xxx"),"xxx"))</f>
        <v>xxx</v>
      </c>
      <c r="H33" s="18" t="str">
        <f>IF(装备表!$O36=0,"xxx",IFERROR(IF(INT(IF($D33=H$3,装备表!$E36,"xxx")/10000)=1,IF($D33=H$3,装备表!$E36,"xxx")&amp;":2,1,1,"&amp;装备表!$O36&amp;";","xxx"),"xxx"))</f>
        <v>xxx</v>
      </c>
      <c r="I33" s="18" t="str">
        <f>IF(装备表!$O36=0,"xxx",IFERROR(IF(INT(IF($D33=I$3,装备表!$E36,"xxx")/10000)=1,IF($D33=I$3,装备表!$E36,"xxx")&amp;":2,1,1,"&amp;装备表!$O36&amp;";","xxx"),"xxx"))</f>
        <v>xxx</v>
      </c>
      <c r="J33" s="18" t="str">
        <f>IF(装备表!$O36=0,"xxx",IFERROR(IF(INT(IF($D33=J$3,装备表!$E36,"xxx")/10000)=3,IF($D33=J$3,装备表!$E36,"xxx")&amp;":2,1,1,"&amp;装备表!$O36&amp;";","xxx"),"xxx"))</f>
        <v>xxx</v>
      </c>
    </row>
    <row r="34" spans="3:10" x14ac:dyDescent="0.2">
      <c r="C34">
        <v>10902</v>
      </c>
      <c r="D34" s="18">
        <f>装备表!L37</f>
        <v>2</v>
      </c>
      <c r="E34" s="18" t="str">
        <f>IF(装备表!$O37=0,"xxx",IFERROR(IF(INT(IF($D34=E$3,装备表!$E37,"xxx")/10000)=1,IF($D34=E$3,装备表!$E37,"xxx")&amp;":2,1,1,"&amp;装备表!$O37&amp;";","xxx"),"xxx"))</f>
        <v>xxx</v>
      </c>
      <c r="F34" s="18" t="str">
        <f>IF(装备表!$O37=0,"xxx",IFERROR(IF(INT(IF($D34=F$3,装备表!$E37,"xxx")/10000)=1,IF($D34=F$3,装备表!$E37,"xxx")&amp;":2,1,1,"&amp;装备表!$O37&amp;";","xxx"),"xxx"))</f>
        <v>10902:2,1,1,34;</v>
      </c>
      <c r="G34" s="18" t="str">
        <f>IF(装备表!$O37=0,"xxx",IFERROR(IF(INT(IF($D34=G$3,装备表!$E37,"xxx")/10000)=1,IF($D34=G$3,装备表!$E37,"xxx")&amp;":2,1,1,"&amp;装备表!$O37&amp;";","xxx"),"xxx"))</f>
        <v>xxx</v>
      </c>
      <c r="H34" s="18" t="str">
        <f>IF(装备表!$O37=0,"xxx",IFERROR(IF(INT(IF($D34=H$3,装备表!$E37,"xxx")/10000)=1,IF($D34=H$3,装备表!$E37,"xxx")&amp;":2,1,1,"&amp;装备表!$O37&amp;";","xxx"),"xxx"))</f>
        <v>xxx</v>
      </c>
      <c r="I34" s="18" t="str">
        <f>IF(装备表!$O37=0,"xxx",IFERROR(IF(INT(IF($D34=I$3,装备表!$E37,"xxx")/10000)=1,IF($D34=I$3,装备表!$E37,"xxx")&amp;":2,1,1,"&amp;装备表!$O37&amp;";","xxx"),"xxx"))</f>
        <v>xxx</v>
      </c>
      <c r="J34" s="18" t="str">
        <f>IF(装备表!$O37=0,"xxx",IFERROR(IF(INT(IF($D34=J$3,装备表!$E37,"xxx")/10000)=3,IF($D34=J$3,装备表!$E37,"xxx")&amp;":2,1,1,"&amp;装备表!$O37&amp;";","xxx"),"xxx"))</f>
        <v>xxx</v>
      </c>
    </row>
    <row r="35" spans="3:10" x14ac:dyDescent="0.2">
      <c r="C35">
        <v>11002</v>
      </c>
      <c r="D35" s="18">
        <f>装备表!L38</f>
        <v>2</v>
      </c>
      <c r="E35" s="18" t="str">
        <f>IF(装备表!$O38=0,"xxx",IFERROR(IF(INT(IF($D35=E$3,装备表!$E38,"xxx")/10000)=1,IF($D35=E$3,装备表!$E38,"xxx")&amp;":2,1,1,"&amp;装备表!$O38&amp;";","xxx"),"xxx"))</f>
        <v>xxx</v>
      </c>
      <c r="F35" s="18" t="str">
        <f>IF(装备表!$O38=0,"xxx",IFERROR(IF(INT(IF($D35=F$3,装备表!$E38,"xxx")/10000)=1,IF($D35=F$3,装备表!$E38,"xxx")&amp;":2,1,1,"&amp;装备表!$O38&amp;";","xxx"),"xxx"))</f>
        <v>11002:2,1,1,34;</v>
      </c>
      <c r="G35" s="18" t="str">
        <f>IF(装备表!$O38=0,"xxx",IFERROR(IF(INT(IF($D35=G$3,装备表!$E38,"xxx")/10000)=1,IF($D35=G$3,装备表!$E38,"xxx")&amp;":2,1,1,"&amp;装备表!$O38&amp;";","xxx"),"xxx"))</f>
        <v>xxx</v>
      </c>
      <c r="H35" s="18" t="str">
        <f>IF(装备表!$O38=0,"xxx",IFERROR(IF(INT(IF($D35=H$3,装备表!$E38,"xxx")/10000)=1,IF($D35=H$3,装备表!$E38,"xxx")&amp;":2,1,1,"&amp;装备表!$O38&amp;";","xxx"),"xxx"))</f>
        <v>xxx</v>
      </c>
      <c r="I35" s="18" t="str">
        <f>IF(装备表!$O38=0,"xxx",IFERROR(IF(INT(IF($D35=I$3,装备表!$E38,"xxx")/10000)=1,IF($D35=I$3,装备表!$E38,"xxx")&amp;":2,1,1,"&amp;装备表!$O38&amp;";","xxx"),"xxx"))</f>
        <v>xxx</v>
      </c>
      <c r="J35" s="18" t="str">
        <f>IF(装备表!$O38=0,"xxx",IFERROR(IF(INT(IF($D35=J$3,装备表!$E38,"xxx")/10000)=3,IF($D35=J$3,装备表!$E38,"xxx")&amp;":2,1,1,"&amp;装备表!$O38&amp;";","xxx"),"xxx"))</f>
        <v>xxx</v>
      </c>
    </row>
    <row r="36" spans="3:10" x14ac:dyDescent="0.2">
      <c r="C36">
        <v>11102</v>
      </c>
      <c r="D36" s="18">
        <f>装备表!L39</f>
        <v>2</v>
      </c>
      <c r="E36" s="18" t="str">
        <f>IF(装备表!$O39=0,"xxx",IFERROR(IF(INT(IF($D36=E$3,装备表!$E39,"xxx")/10000)=1,IF($D36=E$3,装备表!$E39,"xxx")&amp;":2,1,1,"&amp;装备表!$O39&amp;";","xxx"),"xxx"))</f>
        <v>xxx</v>
      </c>
      <c r="F36" s="18" t="str">
        <f>IF(装备表!$O39=0,"xxx",IFERROR(IF(INT(IF($D36=F$3,装备表!$E39,"xxx")/10000)=1,IF($D36=F$3,装备表!$E39,"xxx")&amp;":2,1,1,"&amp;装备表!$O39&amp;";","xxx"),"xxx"))</f>
        <v>11102:2,1,1,34;</v>
      </c>
      <c r="G36" s="18" t="str">
        <f>IF(装备表!$O39=0,"xxx",IFERROR(IF(INT(IF($D36=G$3,装备表!$E39,"xxx")/10000)=1,IF($D36=G$3,装备表!$E39,"xxx")&amp;":2,1,1,"&amp;装备表!$O39&amp;";","xxx"),"xxx"))</f>
        <v>xxx</v>
      </c>
      <c r="H36" s="18" t="str">
        <f>IF(装备表!$O39=0,"xxx",IFERROR(IF(INT(IF($D36=H$3,装备表!$E39,"xxx")/10000)=1,IF($D36=H$3,装备表!$E39,"xxx")&amp;":2,1,1,"&amp;装备表!$O39&amp;";","xxx"),"xxx"))</f>
        <v>xxx</v>
      </c>
      <c r="I36" s="18" t="str">
        <f>IF(装备表!$O39=0,"xxx",IFERROR(IF(INT(IF($D36=I$3,装备表!$E39,"xxx")/10000)=1,IF($D36=I$3,装备表!$E39,"xxx")&amp;":2,1,1,"&amp;装备表!$O39&amp;";","xxx"),"xxx"))</f>
        <v>xxx</v>
      </c>
      <c r="J36" s="18" t="str">
        <f>IF(装备表!$O39=0,"xxx",IFERROR(IF(INT(IF($D36=J$3,装备表!$E39,"xxx")/10000)=3,IF($D36=J$3,装备表!$E39,"xxx")&amp;":2,1,1,"&amp;装备表!$O39&amp;";","xxx"),"xxx"))</f>
        <v>xxx</v>
      </c>
    </row>
    <row r="37" spans="3:10" x14ac:dyDescent="0.2">
      <c r="C37">
        <v>11202</v>
      </c>
      <c r="D37" s="18">
        <f>装备表!L40</f>
        <v>2</v>
      </c>
      <c r="E37" s="18" t="str">
        <f>IF(装备表!$O40=0,"xxx",IFERROR(IF(INT(IF($D37=E$3,装备表!$E40,"xxx")/10000)=1,IF($D37=E$3,装备表!$E40,"xxx")&amp;":2,1,1,"&amp;装备表!$O40&amp;";","xxx"),"xxx"))</f>
        <v>xxx</v>
      </c>
      <c r="F37" s="18" t="str">
        <f>IF(装备表!$O40=0,"xxx",IFERROR(IF(INT(IF($D37=F$3,装备表!$E40,"xxx")/10000)=1,IF($D37=F$3,装备表!$E40,"xxx")&amp;":2,1,1,"&amp;装备表!$O40&amp;";","xxx"),"xxx"))</f>
        <v>11202:2,1,1,34;</v>
      </c>
      <c r="G37" s="18" t="str">
        <f>IF(装备表!$O40=0,"xxx",IFERROR(IF(INT(IF($D37=G$3,装备表!$E40,"xxx")/10000)=1,IF($D37=G$3,装备表!$E40,"xxx")&amp;":2,1,1,"&amp;装备表!$O40&amp;";","xxx"),"xxx"))</f>
        <v>xxx</v>
      </c>
      <c r="H37" s="18" t="str">
        <f>IF(装备表!$O40=0,"xxx",IFERROR(IF(INT(IF($D37=H$3,装备表!$E40,"xxx")/10000)=1,IF($D37=H$3,装备表!$E40,"xxx")&amp;":2,1,1,"&amp;装备表!$O40&amp;";","xxx"),"xxx"))</f>
        <v>xxx</v>
      </c>
      <c r="I37" s="18" t="str">
        <f>IF(装备表!$O40=0,"xxx",IFERROR(IF(INT(IF($D37=I$3,装备表!$E40,"xxx")/10000)=1,IF($D37=I$3,装备表!$E40,"xxx")&amp;":2,1,1,"&amp;装备表!$O40&amp;";","xxx"),"xxx"))</f>
        <v>xxx</v>
      </c>
      <c r="J37" s="18" t="str">
        <f>IF(装备表!$O40=0,"xxx",IFERROR(IF(INT(IF($D37=J$3,装备表!$E40,"xxx")/10000)=3,IF($D37=J$3,装备表!$E40,"xxx")&amp;":2,1,1,"&amp;装备表!$O40&amp;";","xxx"),"xxx"))</f>
        <v>xxx</v>
      </c>
    </row>
    <row r="38" spans="3:10" x14ac:dyDescent="0.2">
      <c r="C38">
        <v>11302</v>
      </c>
      <c r="D38" s="18">
        <f>装备表!L41</f>
        <v>2</v>
      </c>
      <c r="E38" s="18" t="str">
        <f>IF(装备表!$O41=0,"xxx",IFERROR(IF(INT(IF($D38=E$3,装备表!$E41,"xxx")/10000)=1,IF($D38=E$3,装备表!$E41,"xxx")&amp;":2,1,1,"&amp;装备表!$O41&amp;";","xxx"),"xxx"))</f>
        <v>xxx</v>
      </c>
      <c r="F38" s="18" t="str">
        <f>IF(装备表!$O41=0,"xxx",IFERROR(IF(INT(IF($D38=F$3,装备表!$E41,"xxx")/10000)=1,IF($D38=F$3,装备表!$E41,"xxx")&amp;":2,1,1,"&amp;装备表!$O41&amp;";","xxx"),"xxx"))</f>
        <v>11302:2,1,1,34;</v>
      </c>
      <c r="G38" s="18" t="str">
        <f>IF(装备表!$O41=0,"xxx",IFERROR(IF(INT(IF($D38=G$3,装备表!$E41,"xxx")/10000)=1,IF($D38=G$3,装备表!$E41,"xxx")&amp;":2,1,1,"&amp;装备表!$O41&amp;";","xxx"),"xxx"))</f>
        <v>xxx</v>
      </c>
      <c r="H38" s="18" t="str">
        <f>IF(装备表!$O41=0,"xxx",IFERROR(IF(INT(IF($D38=H$3,装备表!$E41,"xxx")/10000)=1,IF($D38=H$3,装备表!$E41,"xxx")&amp;":2,1,1,"&amp;装备表!$O41&amp;";","xxx"),"xxx"))</f>
        <v>xxx</v>
      </c>
      <c r="I38" s="18" t="str">
        <f>IF(装备表!$O41=0,"xxx",IFERROR(IF(INT(IF($D38=I$3,装备表!$E41,"xxx")/10000)=1,IF($D38=I$3,装备表!$E41,"xxx")&amp;":2,1,1,"&amp;装备表!$O41&amp;";","xxx"),"xxx"))</f>
        <v>xxx</v>
      </c>
      <c r="J38" s="18" t="str">
        <f>IF(装备表!$O41=0,"xxx",IFERROR(IF(INT(IF($D38=J$3,装备表!$E41,"xxx")/10000)=3,IF($D38=J$3,装备表!$E41,"xxx")&amp;":2,1,1,"&amp;装备表!$O41&amp;";","xxx"),"xxx"))</f>
        <v>xxx</v>
      </c>
    </row>
    <row r="39" spans="3:10" x14ac:dyDescent="0.2">
      <c r="C39">
        <v>11402</v>
      </c>
      <c r="D39" s="18">
        <f>装备表!L42</f>
        <v>2</v>
      </c>
      <c r="E39" s="18" t="str">
        <f>IF(装备表!$O42=0,"xxx",IFERROR(IF(INT(IF($D39=E$3,装备表!$E42,"xxx")/10000)=1,IF($D39=E$3,装备表!$E42,"xxx")&amp;":2,1,1,"&amp;装备表!$O42&amp;";","xxx"),"xxx"))</f>
        <v>xxx</v>
      </c>
      <c r="F39" s="18" t="str">
        <f>IF(装备表!$O42=0,"xxx",IFERROR(IF(INT(IF($D39=F$3,装备表!$E42,"xxx")/10000)=1,IF($D39=F$3,装备表!$E42,"xxx")&amp;":2,1,1,"&amp;装备表!$O42&amp;";","xxx"),"xxx"))</f>
        <v>11402:2,1,1,34;</v>
      </c>
      <c r="G39" s="18" t="str">
        <f>IF(装备表!$O42=0,"xxx",IFERROR(IF(INT(IF($D39=G$3,装备表!$E42,"xxx")/10000)=1,IF($D39=G$3,装备表!$E42,"xxx")&amp;":2,1,1,"&amp;装备表!$O42&amp;";","xxx"),"xxx"))</f>
        <v>xxx</v>
      </c>
      <c r="H39" s="18" t="str">
        <f>IF(装备表!$O42=0,"xxx",IFERROR(IF(INT(IF($D39=H$3,装备表!$E42,"xxx")/10000)=1,IF($D39=H$3,装备表!$E42,"xxx")&amp;":2,1,1,"&amp;装备表!$O42&amp;";","xxx"),"xxx"))</f>
        <v>xxx</v>
      </c>
      <c r="I39" s="18" t="str">
        <f>IF(装备表!$O42=0,"xxx",IFERROR(IF(INT(IF($D39=I$3,装备表!$E42,"xxx")/10000)=1,IF($D39=I$3,装备表!$E42,"xxx")&amp;":2,1,1,"&amp;装备表!$O42&amp;";","xxx"),"xxx"))</f>
        <v>xxx</v>
      </c>
      <c r="J39" s="18" t="str">
        <f>IF(装备表!$O42=0,"xxx",IFERROR(IF(INT(IF($D39=J$3,装备表!$E42,"xxx")/10000)=3,IF($D39=J$3,装备表!$E42,"xxx")&amp;":2,1,1,"&amp;装备表!$O42&amp;";","xxx"),"xxx"))</f>
        <v>xxx</v>
      </c>
    </row>
    <row r="40" spans="3:10" x14ac:dyDescent="0.2">
      <c r="C40">
        <v>11502</v>
      </c>
      <c r="D40" s="18">
        <f>装备表!L43</f>
        <v>2</v>
      </c>
      <c r="E40" s="18" t="str">
        <f>IF(装备表!$O43=0,"xxx",IFERROR(IF(INT(IF($D40=E$3,装备表!$E43,"xxx")/10000)=1,IF($D40=E$3,装备表!$E43,"xxx")&amp;":2,1,1,"&amp;装备表!$O43&amp;";","xxx"),"xxx"))</f>
        <v>xxx</v>
      </c>
      <c r="F40" s="18" t="str">
        <f>IF(装备表!$O43=0,"xxx",IFERROR(IF(INT(IF($D40=F$3,装备表!$E43,"xxx")/10000)=1,IF($D40=F$3,装备表!$E43,"xxx")&amp;":2,1,1,"&amp;装备表!$O43&amp;";","xxx"),"xxx"))</f>
        <v>11502:2,1,1,34;</v>
      </c>
      <c r="G40" s="18" t="str">
        <f>IF(装备表!$O43=0,"xxx",IFERROR(IF(INT(IF($D40=G$3,装备表!$E43,"xxx")/10000)=1,IF($D40=G$3,装备表!$E43,"xxx")&amp;":2,1,1,"&amp;装备表!$O43&amp;";","xxx"),"xxx"))</f>
        <v>xxx</v>
      </c>
      <c r="H40" s="18" t="str">
        <f>IF(装备表!$O43=0,"xxx",IFERROR(IF(INT(IF($D40=H$3,装备表!$E43,"xxx")/10000)=1,IF($D40=H$3,装备表!$E43,"xxx")&amp;":2,1,1,"&amp;装备表!$O43&amp;";","xxx"),"xxx"))</f>
        <v>xxx</v>
      </c>
      <c r="I40" s="18" t="str">
        <f>IF(装备表!$O43=0,"xxx",IFERROR(IF(INT(IF($D40=I$3,装备表!$E43,"xxx")/10000)=1,IF($D40=I$3,装备表!$E43,"xxx")&amp;":2,1,1,"&amp;装备表!$O43&amp;";","xxx"),"xxx"))</f>
        <v>xxx</v>
      </c>
      <c r="J40" s="18" t="str">
        <f>IF(装备表!$O43=0,"xxx",IFERROR(IF(INT(IF($D40=J$3,装备表!$E43,"xxx")/10000)=3,IF($D40=J$3,装备表!$E43,"xxx")&amp;":2,1,1,"&amp;装备表!$O43&amp;";","xxx"),"xxx"))</f>
        <v>xxx</v>
      </c>
    </row>
    <row r="41" spans="3:10" x14ac:dyDescent="0.2">
      <c r="C41">
        <v>12102</v>
      </c>
      <c r="D41" s="18">
        <f>装备表!L44</f>
        <v>2</v>
      </c>
      <c r="E41" s="18" t="str">
        <f>IF(装备表!$O44=0,"xxx",IFERROR(IF(INT(IF($D41=E$3,装备表!$E44,"xxx")/10000)=1,IF($D41=E$3,装备表!$E44,"xxx")&amp;":2,1,1,"&amp;装备表!$O44&amp;";","xxx"),"xxx"))</f>
        <v>xxx</v>
      </c>
      <c r="F41" s="18" t="str">
        <f>IF(装备表!$O44=0,"xxx",IFERROR(IF(INT(IF($D41=F$3,装备表!$E44,"xxx")/10000)=1,IF($D41=F$3,装备表!$E44,"xxx")&amp;":2,1,1,"&amp;装备表!$O44&amp;";","xxx"),"xxx"))</f>
        <v>12102:2,1,1,85;</v>
      </c>
      <c r="G41" s="18" t="str">
        <f>IF(装备表!$O44=0,"xxx",IFERROR(IF(INT(IF($D41=G$3,装备表!$E44,"xxx")/10000)=1,IF($D41=G$3,装备表!$E44,"xxx")&amp;":2,1,1,"&amp;装备表!$O44&amp;";","xxx"),"xxx"))</f>
        <v>xxx</v>
      </c>
      <c r="H41" s="18" t="str">
        <f>IF(装备表!$O44=0,"xxx",IFERROR(IF(INT(IF($D41=H$3,装备表!$E44,"xxx")/10000)=1,IF($D41=H$3,装备表!$E44,"xxx")&amp;":2,1,1,"&amp;装备表!$O44&amp;";","xxx"),"xxx"))</f>
        <v>xxx</v>
      </c>
      <c r="I41" s="18" t="str">
        <f>IF(装备表!$O44=0,"xxx",IFERROR(IF(INT(IF($D41=I$3,装备表!$E44,"xxx")/10000)=1,IF($D41=I$3,装备表!$E44,"xxx")&amp;":2,1,1,"&amp;装备表!$O44&amp;";","xxx"),"xxx"))</f>
        <v>xxx</v>
      </c>
      <c r="J41" s="18" t="str">
        <f>IF(装备表!$O44=0,"xxx",IFERROR(IF(INT(IF($D41=J$3,装备表!$E44,"xxx")/10000)=3,IF($D41=J$3,装备表!$E44,"xxx")&amp;":2,1,1,"&amp;装备表!$O44&amp;";","xxx"),"xxx"))</f>
        <v>xxx</v>
      </c>
    </row>
    <row r="42" spans="3:10" x14ac:dyDescent="0.2">
      <c r="C42">
        <v>12202</v>
      </c>
      <c r="D42" s="18">
        <f>装备表!L45</f>
        <v>2</v>
      </c>
      <c r="E42" s="18" t="str">
        <f>IF(装备表!$O45=0,"xxx",IFERROR(IF(INT(IF($D42=E$3,装备表!$E45,"xxx")/10000)=1,IF($D42=E$3,装备表!$E45,"xxx")&amp;":2,1,1,"&amp;装备表!$O45&amp;";","xxx"),"xxx"))</f>
        <v>xxx</v>
      </c>
      <c r="F42" s="18" t="str">
        <f>IF(装备表!$O45=0,"xxx",IFERROR(IF(INT(IF($D42=F$3,装备表!$E45,"xxx")/10000)=1,IF($D42=F$3,装备表!$E45,"xxx")&amp;":2,1,1,"&amp;装备表!$O45&amp;";","xxx"),"xxx"))</f>
        <v>12202:2,1,1,85;</v>
      </c>
      <c r="G42" s="18" t="str">
        <f>IF(装备表!$O45=0,"xxx",IFERROR(IF(INT(IF($D42=G$3,装备表!$E45,"xxx")/10000)=1,IF($D42=G$3,装备表!$E45,"xxx")&amp;":2,1,1,"&amp;装备表!$O45&amp;";","xxx"),"xxx"))</f>
        <v>xxx</v>
      </c>
      <c r="H42" s="18" t="str">
        <f>IF(装备表!$O45=0,"xxx",IFERROR(IF(INT(IF($D42=H$3,装备表!$E45,"xxx")/10000)=1,IF($D42=H$3,装备表!$E45,"xxx")&amp;":2,1,1,"&amp;装备表!$O45&amp;";","xxx"),"xxx"))</f>
        <v>xxx</v>
      </c>
      <c r="I42" s="18" t="str">
        <f>IF(装备表!$O45=0,"xxx",IFERROR(IF(INT(IF($D42=I$3,装备表!$E45,"xxx")/10000)=1,IF($D42=I$3,装备表!$E45,"xxx")&amp;":2,1,1,"&amp;装备表!$O45&amp;";","xxx"),"xxx"))</f>
        <v>xxx</v>
      </c>
      <c r="J42" s="18" t="str">
        <f>IF(装备表!$O45=0,"xxx",IFERROR(IF(INT(IF($D42=J$3,装备表!$E45,"xxx")/10000)=3,IF($D42=J$3,装备表!$E45,"xxx")&amp;":2,1,1,"&amp;装备表!$O45&amp;";","xxx"),"xxx"))</f>
        <v>xxx</v>
      </c>
    </row>
    <row r="43" spans="3:10" x14ac:dyDescent="0.2">
      <c r="C43">
        <v>12302</v>
      </c>
      <c r="D43" s="18">
        <f>装备表!L46</f>
        <v>2</v>
      </c>
      <c r="E43" s="18" t="str">
        <f>IF(装备表!$O46=0,"xxx",IFERROR(IF(INT(IF($D43=E$3,装备表!$E46,"xxx")/10000)=1,IF($D43=E$3,装备表!$E46,"xxx")&amp;":2,1,1,"&amp;装备表!$O46&amp;";","xxx"),"xxx"))</f>
        <v>xxx</v>
      </c>
      <c r="F43" s="18" t="str">
        <f>IF(装备表!$O46=0,"xxx",IFERROR(IF(INT(IF($D43=F$3,装备表!$E46,"xxx")/10000)=1,IF($D43=F$3,装备表!$E46,"xxx")&amp;":2,1,1,"&amp;装备表!$O46&amp;";","xxx"),"xxx"))</f>
        <v>12302:2,1,1,85;</v>
      </c>
      <c r="G43" s="18" t="str">
        <f>IF(装备表!$O46=0,"xxx",IFERROR(IF(INT(IF($D43=G$3,装备表!$E46,"xxx")/10000)=1,IF($D43=G$3,装备表!$E46,"xxx")&amp;":2,1,1,"&amp;装备表!$O46&amp;";","xxx"),"xxx"))</f>
        <v>xxx</v>
      </c>
      <c r="H43" s="18" t="str">
        <f>IF(装备表!$O46=0,"xxx",IFERROR(IF(INT(IF($D43=H$3,装备表!$E46,"xxx")/10000)=1,IF($D43=H$3,装备表!$E46,"xxx")&amp;":2,1,1,"&amp;装备表!$O46&amp;";","xxx"),"xxx"))</f>
        <v>xxx</v>
      </c>
      <c r="I43" s="18" t="str">
        <f>IF(装备表!$O46=0,"xxx",IFERROR(IF(INT(IF($D43=I$3,装备表!$E46,"xxx")/10000)=1,IF($D43=I$3,装备表!$E46,"xxx")&amp;":2,1,1,"&amp;装备表!$O46&amp;";","xxx"),"xxx"))</f>
        <v>xxx</v>
      </c>
      <c r="J43" s="18" t="str">
        <f>IF(装备表!$O46=0,"xxx",IFERROR(IF(INT(IF($D43=J$3,装备表!$E46,"xxx")/10000)=3,IF($D43=J$3,装备表!$E46,"xxx")&amp;":2,1,1,"&amp;装备表!$O46&amp;";","xxx"),"xxx"))</f>
        <v>xxx</v>
      </c>
    </row>
    <row r="44" spans="3:10" x14ac:dyDescent="0.2">
      <c r="C44">
        <v>12402</v>
      </c>
      <c r="D44" s="18">
        <f>装备表!L47</f>
        <v>2</v>
      </c>
      <c r="E44" s="18" t="str">
        <f>IF(装备表!$O47=0,"xxx",IFERROR(IF(INT(IF($D44=E$3,装备表!$E47,"xxx")/10000)=1,IF($D44=E$3,装备表!$E47,"xxx")&amp;":2,1,1,"&amp;装备表!$O47&amp;";","xxx"),"xxx"))</f>
        <v>xxx</v>
      </c>
      <c r="F44" s="18" t="str">
        <f>IF(装备表!$O47=0,"xxx",IFERROR(IF(INT(IF($D44=F$3,装备表!$E47,"xxx")/10000)=1,IF($D44=F$3,装备表!$E47,"xxx")&amp;":2,1,1,"&amp;装备表!$O47&amp;";","xxx"),"xxx"))</f>
        <v>12402:2,1,1,85;</v>
      </c>
      <c r="G44" s="18" t="str">
        <f>IF(装备表!$O47=0,"xxx",IFERROR(IF(INT(IF($D44=G$3,装备表!$E47,"xxx")/10000)=1,IF($D44=G$3,装备表!$E47,"xxx")&amp;":2,1,1,"&amp;装备表!$O47&amp;";","xxx"),"xxx"))</f>
        <v>xxx</v>
      </c>
      <c r="H44" s="18" t="str">
        <f>IF(装备表!$O47=0,"xxx",IFERROR(IF(INT(IF($D44=H$3,装备表!$E47,"xxx")/10000)=1,IF($D44=H$3,装备表!$E47,"xxx")&amp;":2,1,1,"&amp;装备表!$O47&amp;";","xxx"),"xxx"))</f>
        <v>xxx</v>
      </c>
      <c r="I44" s="18" t="str">
        <f>IF(装备表!$O47=0,"xxx",IFERROR(IF(INT(IF($D44=I$3,装备表!$E47,"xxx")/10000)=1,IF($D44=I$3,装备表!$E47,"xxx")&amp;":2,1,1,"&amp;装备表!$O47&amp;";","xxx"),"xxx"))</f>
        <v>xxx</v>
      </c>
      <c r="J44" s="18" t="str">
        <f>IF(装备表!$O47=0,"xxx",IFERROR(IF(INT(IF($D44=J$3,装备表!$E47,"xxx")/10000)=3,IF($D44=J$3,装备表!$E47,"xxx")&amp;":2,1,1,"&amp;装备表!$O47&amp;";","xxx"),"xxx"))</f>
        <v>xxx</v>
      </c>
    </row>
    <row r="45" spans="3:10" x14ac:dyDescent="0.2">
      <c r="C45">
        <v>12502</v>
      </c>
      <c r="D45" s="18">
        <f>装备表!L48</f>
        <v>2</v>
      </c>
      <c r="E45" s="18" t="str">
        <f>IF(装备表!$O48=0,"xxx",IFERROR(IF(INT(IF($D45=E$3,装备表!$E48,"xxx")/10000)=1,IF($D45=E$3,装备表!$E48,"xxx")&amp;":2,1,1,"&amp;装备表!$O48&amp;";","xxx"),"xxx"))</f>
        <v>xxx</v>
      </c>
      <c r="F45" s="18" t="str">
        <f>IF(装备表!$O48=0,"xxx",IFERROR(IF(INT(IF($D45=F$3,装备表!$E48,"xxx")/10000)=1,IF($D45=F$3,装备表!$E48,"xxx")&amp;":2,1,1,"&amp;装备表!$O48&amp;";","xxx"),"xxx"))</f>
        <v>12502:2,1,1,85;</v>
      </c>
      <c r="G45" s="18" t="str">
        <f>IF(装备表!$O48=0,"xxx",IFERROR(IF(INT(IF($D45=G$3,装备表!$E48,"xxx")/10000)=1,IF($D45=G$3,装备表!$E48,"xxx")&amp;":2,1,1,"&amp;装备表!$O48&amp;";","xxx"),"xxx"))</f>
        <v>xxx</v>
      </c>
      <c r="H45" s="18" t="str">
        <f>IF(装备表!$O48=0,"xxx",IFERROR(IF(INT(IF($D45=H$3,装备表!$E48,"xxx")/10000)=1,IF($D45=H$3,装备表!$E48,"xxx")&amp;":2,1,1,"&amp;装备表!$O48&amp;";","xxx"),"xxx"))</f>
        <v>xxx</v>
      </c>
      <c r="I45" s="18" t="str">
        <f>IF(装备表!$O48=0,"xxx",IFERROR(IF(INT(IF($D45=I$3,装备表!$E48,"xxx")/10000)=1,IF($D45=I$3,装备表!$E48,"xxx")&amp;":2,1,1,"&amp;装备表!$O48&amp;";","xxx"),"xxx"))</f>
        <v>xxx</v>
      </c>
      <c r="J45" s="18" t="str">
        <f>IF(装备表!$O48=0,"xxx",IFERROR(IF(INT(IF($D45=J$3,装备表!$E48,"xxx")/10000)=3,IF($D45=J$3,装备表!$E48,"xxx")&amp;":2,1,1,"&amp;装备表!$O48&amp;";","xxx"),"xxx"))</f>
        <v>xxx</v>
      </c>
    </row>
    <row r="46" spans="3:10" x14ac:dyDescent="0.2">
      <c r="C46">
        <v>13102</v>
      </c>
      <c r="D46" s="18">
        <f>装备表!L49</f>
        <v>2</v>
      </c>
      <c r="E46" s="18" t="str">
        <f>IF(装备表!$O49=0,"xxx",IFERROR(IF(INT(IF($D46=E$3,装备表!$E49,"xxx")/10000)=1,IF($D46=E$3,装备表!$E49,"xxx")&amp;":2,1,1,"&amp;装备表!$O49&amp;";","xxx"),"xxx"))</f>
        <v>xxx</v>
      </c>
      <c r="F46" s="18" t="str">
        <f>IF(装备表!$O49=0,"xxx",IFERROR(IF(INT(IF($D46=F$3,装备表!$E49,"xxx")/10000)=1,IF($D46=F$3,装备表!$E49,"xxx")&amp;":2,1,1,"&amp;装备表!$O49&amp;";","xxx"),"xxx"))</f>
        <v>13102:2,1,1,50;</v>
      </c>
      <c r="G46" s="18" t="str">
        <f>IF(装备表!$O49=0,"xxx",IFERROR(IF(INT(IF($D46=G$3,装备表!$E49,"xxx")/10000)=1,IF($D46=G$3,装备表!$E49,"xxx")&amp;":2,1,1,"&amp;装备表!$O49&amp;";","xxx"),"xxx"))</f>
        <v>xxx</v>
      </c>
      <c r="H46" s="18" t="str">
        <f>IF(装备表!$O49=0,"xxx",IFERROR(IF(INT(IF($D46=H$3,装备表!$E49,"xxx")/10000)=1,IF($D46=H$3,装备表!$E49,"xxx")&amp;":2,1,1,"&amp;装备表!$O49&amp;";","xxx"),"xxx"))</f>
        <v>xxx</v>
      </c>
      <c r="I46" s="18" t="str">
        <f>IF(装备表!$O49=0,"xxx",IFERROR(IF(INT(IF($D46=I$3,装备表!$E49,"xxx")/10000)=1,IF($D46=I$3,装备表!$E49,"xxx")&amp;":2,1,1,"&amp;装备表!$O49&amp;";","xxx"),"xxx"))</f>
        <v>xxx</v>
      </c>
      <c r="J46" s="18" t="str">
        <f>IF(装备表!$O49=0,"xxx",IFERROR(IF(INT(IF($D46=J$3,装备表!$E49,"xxx")/10000)=3,IF($D46=J$3,装备表!$E49,"xxx")&amp;":2,1,1,"&amp;装备表!$O49&amp;";","xxx"),"xxx"))</f>
        <v>xxx</v>
      </c>
    </row>
    <row r="47" spans="3:10" x14ac:dyDescent="0.2">
      <c r="C47">
        <v>13202</v>
      </c>
      <c r="D47" s="18">
        <f>装备表!L50</f>
        <v>2</v>
      </c>
      <c r="E47" s="18" t="str">
        <f>IF(装备表!$O50=0,"xxx",IFERROR(IF(INT(IF($D47=E$3,装备表!$E50,"xxx")/10000)=1,IF($D47=E$3,装备表!$E50,"xxx")&amp;":2,1,1,"&amp;装备表!$O50&amp;";","xxx"),"xxx"))</f>
        <v>xxx</v>
      </c>
      <c r="F47" s="18" t="str">
        <f>IF(装备表!$O50=0,"xxx",IFERROR(IF(INT(IF($D47=F$3,装备表!$E50,"xxx")/10000)=1,IF($D47=F$3,装备表!$E50,"xxx")&amp;":2,1,1,"&amp;装备表!$O50&amp;";","xxx"),"xxx"))</f>
        <v>13202:2,1,1,100;</v>
      </c>
      <c r="G47" s="18" t="str">
        <f>IF(装备表!$O50=0,"xxx",IFERROR(IF(INT(IF($D47=G$3,装备表!$E50,"xxx")/10000)=1,IF($D47=G$3,装备表!$E50,"xxx")&amp;":2,1,1,"&amp;装备表!$O50&amp;";","xxx"),"xxx"))</f>
        <v>xxx</v>
      </c>
      <c r="H47" s="18" t="str">
        <f>IF(装备表!$O50=0,"xxx",IFERROR(IF(INT(IF($D47=H$3,装备表!$E50,"xxx")/10000)=1,IF($D47=H$3,装备表!$E50,"xxx")&amp;":2,1,1,"&amp;装备表!$O50&amp;";","xxx"),"xxx"))</f>
        <v>xxx</v>
      </c>
      <c r="I47" s="18" t="str">
        <f>IF(装备表!$O50=0,"xxx",IFERROR(IF(INT(IF($D47=I$3,装备表!$E50,"xxx")/10000)=1,IF($D47=I$3,装备表!$E50,"xxx")&amp;":2,1,1,"&amp;装备表!$O50&amp;";","xxx"),"xxx"))</f>
        <v>xxx</v>
      </c>
      <c r="J47" s="18" t="str">
        <f>IF(装备表!$O50=0,"xxx",IFERROR(IF(INT(IF($D47=J$3,装备表!$E50,"xxx")/10000)=3,IF($D47=J$3,装备表!$E50,"xxx")&amp;":2,1,1,"&amp;装备表!$O50&amp;";","xxx"),"xxx"))</f>
        <v>xxx</v>
      </c>
    </row>
    <row r="48" spans="3:10" x14ac:dyDescent="0.2">
      <c r="C48">
        <v>10003</v>
      </c>
      <c r="D48" s="18">
        <f>装备表!L51</f>
        <v>3</v>
      </c>
      <c r="E48" s="18" t="str">
        <f>IF(装备表!$O51=0,"xxx",IFERROR(IF(INT(IF($D48=E$3,装备表!$E51,"xxx")/10000)=1,IF($D48=E$3,装备表!$E51,"xxx")&amp;":2,1,1,"&amp;装备表!$O51&amp;";","xxx"),"xxx"))</f>
        <v>xxx</v>
      </c>
      <c r="F48" s="18" t="str">
        <f>IF(装备表!$O51=0,"xxx",IFERROR(IF(INT(IF($D48=F$3,装备表!$E51,"xxx")/10000)=1,IF($D48=F$3,装备表!$E51,"xxx")&amp;":2,1,1,"&amp;装备表!$O51&amp;";","xxx"),"xxx"))</f>
        <v>xxx</v>
      </c>
      <c r="G48" s="18" t="str">
        <f>IF(装备表!$O51=0,"xxx",IFERROR(IF(INT(IF($D48=G$3,装备表!$E51,"xxx")/10000)=1,IF($D48=G$3,装备表!$E51,"xxx")&amp;":2,1,1,"&amp;装备表!$O51&amp;";","xxx"),"xxx"))</f>
        <v>10003:2,1,1,34;</v>
      </c>
      <c r="H48" s="18" t="str">
        <f>IF(装备表!$O51=0,"xxx",IFERROR(IF(INT(IF($D48=H$3,装备表!$E51,"xxx")/10000)=1,IF($D48=H$3,装备表!$E51,"xxx")&amp;":2,1,1,"&amp;装备表!$O51&amp;";","xxx"),"xxx"))</f>
        <v>xxx</v>
      </c>
      <c r="I48" s="18" t="str">
        <f>IF(装备表!$O51=0,"xxx",IFERROR(IF(INT(IF($D48=I$3,装备表!$E51,"xxx")/10000)=1,IF($D48=I$3,装备表!$E51,"xxx")&amp;":2,1,1,"&amp;装备表!$O51&amp;";","xxx"),"xxx"))</f>
        <v>xxx</v>
      </c>
      <c r="J48" s="18" t="str">
        <f>IF(装备表!$O51=0,"xxx",IFERROR(IF(INT(IF($D48=J$3,装备表!$E51,"xxx")/10000)=3,IF($D48=J$3,装备表!$E51,"xxx")&amp;":2,1,1,"&amp;装备表!$O51&amp;";","xxx"),"xxx"))</f>
        <v>xxx</v>
      </c>
    </row>
    <row r="49" spans="3:10" x14ac:dyDescent="0.2">
      <c r="C49">
        <v>10203</v>
      </c>
      <c r="D49" s="18">
        <f>装备表!L52</f>
        <v>3</v>
      </c>
      <c r="E49" s="18" t="str">
        <f>IF(装备表!$O52=0,"xxx",IFERROR(IF(INT(IF($D49=E$3,装备表!$E52,"xxx")/10000)=1,IF($D49=E$3,装备表!$E52,"xxx")&amp;":2,1,1,"&amp;装备表!$O52&amp;";","xxx"),"xxx"))</f>
        <v>xxx</v>
      </c>
      <c r="F49" s="18" t="str">
        <f>IF(装备表!$O52=0,"xxx",IFERROR(IF(INT(IF($D49=F$3,装备表!$E52,"xxx")/10000)=1,IF($D49=F$3,装备表!$E52,"xxx")&amp;":2,1,1,"&amp;装备表!$O52&amp;";","xxx"),"xxx"))</f>
        <v>xxx</v>
      </c>
      <c r="G49" s="18" t="str">
        <f>IF(装备表!$O52=0,"xxx",IFERROR(IF(INT(IF($D49=G$3,装备表!$E52,"xxx")/10000)=1,IF($D49=G$3,装备表!$E52,"xxx")&amp;":2,1,1,"&amp;装备表!$O52&amp;";","xxx"),"xxx"))</f>
        <v>10203:2,1,1,34;</v>
      </c>
      <c r="H49" s="18" t="str">
        <f>IF(装备表!$O52=0,"xxx",IFERROR(IF(INT(IF($D49=H$3,装备表!$E52,"xxx")/10000)=1,IF($D49=H$3,装备表!$E52,"xxx")&amp;":2,1,1,"&amp;装备表!$O52&amp;";","xxx"),"xxx"))</f>
        <v>xxx</v>
      </c>
      <c r="I49" s="18" t="str">
        <f>IF(装备表!$O52=0,"xxx",IFERROR(IF(INT(IF($D49=I$3,装备表!$E52,"xxx")/10000)=1,IF($D49=I$3,装备表!$E52,"xxx")&amp;":2,1,1,"&amp;装备表!$O52&amp;";","xxx"),"xxx"))</f>
        <v>xxx</v>
      </c>
      <c r="J49" s="18" t="str">
        <f>IF(装备表!$O52=0,"xxx",IFERROR(IF(INT(IF($D49=J$3,装备表!$E52,"xxx")/10000)=3,IF($D49=J$3,装备表!$E52,"xxx")&amp;":2,1,1,"&amp;装备表!$O52&amp;";","xxx"),"xxx"))</f>
        <v>xxx</v>
      </c>
    </row>
    <row r="50" spans="3:10" x14ac:dyDescent="0.2">
      <c r="C50">
        <v>10303</v>
      </c>
      <c r="D50" s="18">
        <f>装备表!L53</f>
        <v>3</v>
      </c>
      <c r="E50" s="18" t="str">
        <f>IF(装备表!$O53=0,"xxx",IFERROR(IF(INT(IF($D50=E$3,装备表!$E53,"xxx")/10000)=1,IF($D50=E$3,装备表!$E53,"xxx")&amp;":2,1,1,"&amp;装备表!$O53&amp;";","xxx"),"xxx"))</f>
        <v>xxx</v>
      </c>
      <c r="F50" s="18" t="str">
        <f>IF(装备表!$O53=0,"xxx",IFERROR(IF(INT(IF($D50=F$3,装备表!$E53,"xxx")/10000)=1,IF($D50=F$3,装备表!$E53,"xxx")&amp;":2,1,1,"&amp;装备表!$O53&amp;";","xxx"),"xxx"))</f>
        <v>xxx</v>
      </c>
      <c r="G50" s="18" t="str">
        <f>IF(装备表!$O53=0,"xxx",IFERROR(IF(INT(IF($D50=G$3,装备表!$E53,"xxx")/10000)=1,IF($D50=G$3,装备表!$E53,"xxx")&amp;":2,1,1,"&amp;装备表!$O53&amp;";","xxx"),"xxx"))</f>
        <v>10303:2,1,1,34;</v>
      </c>
      <c r="H50" s="18" t="str">
        <f>IF(装备表!$O53=0,"xxx",IFERROR(IF(INT(IF($D50=H$3,装备表!$E53,"xxx")/10000)=1,IF($D50=H$3,装备表!$E53,"xxx")&amp;":2,1,1,"&amp;装备表!$O53&amp;";","xxx"),"xxx"))</f>
        <v>xxx</v>
      </c>
      <c r="I50" s="18" t="str">
        <f>IF(装备表!$O53=0,"xxx",IFERROR(IF(INT(IF($D50=I$3,装备表!$E53,"xxx")/10000)=1,IF($D50=I$3,装备表!$E53,"xxx")&amp;":2,1,1,"&amp;装备表!$O53&amp;";","xxx"),"xxx"))</f>
        <v>xxx</v>
      </c>
      <c r="J50" s="18" t="str">
        <f>IF(装备表!$O53=0,"xxx",IFERROR(IF(INT(IF($D50=J$3,装备表!$E53,"xxx")/10000)=3,IF($D50=J$3,装备表!$E53,"xxx")&amp;":2,1,1,"&amp;装备表!$O53&amp;";","xxx"),"xxx"))</f>
        <v>xxx</v>
      </c>
    </row>
    <row r="51" spans="3:10" x14ac:dyDescent="0.2">
      <c r="C51">
        <v>10403</v>
      </c>
      <c r="D51" s="18">
        <f>装备表!L54</f>
        <v>3</v>
      </c>
      <c r="E51" s="18" t="str">
        <f>IF(装备表!$O54=0,"xxx",IFERROR(IF(INT(IF($D51=E$3,装备表!$E54,"xxx")/10000)=1,IF($D51=E$3,装备表!$E54,"xxx")&amp;":2,1,1,"&amp;装备表!$O54&amp;";","xxx"),"xxx"))</f>
        <v>xxx</v>
      </c>
      <c r="F51" s="18" t="str">
        <f>IF(装备表!$O54=0,"xxx",IFERROR(IF(INT(IF($D51=F$3,装备表!$E54,"xxx")/10000)=1,IF($D51=F$3,装备表!$E54,"xxx")&amp;":2,1,1,"&amp;装备表!$O54&amp;";","xxx"),"xxx"))</f>
        <v>xxx</v>
      </c>
      <c r="G51" s="18" t="str">
        <f>IF(装备表!$O54=0,"xxx",IFERROR(IF(INT(IF($D51=G$3,装备表!$E54,"xxx")/10000)=1,IF($D51=G$3,装备表!$E54,"xxx")&amp;":2,1,1,"&amp;装备表!$O54&amp;";","xxx"),"xxx"))</f>
        <v>10403:2,1,1,34;</v>
      </c>
      <c r="H51" s="18" t="str">
        <f>IF(装备表!$O54=0,"xxx",IFERROR(IF(INT(IF($D51=H$3,装备表!$E54,"xxx")/10000)=1,IF($D51=H$3,装备表!$E54,"xxx")&amp;":2,1,1,"&amp;装备表!$O54&amp;";","xxx"),"xxx"))</f>
        <v>xxx</v>
      </c>
      <c r="I51" s="18" t="str">
        <f>IF(装备表!$O54=0,"xxx",IFERROR(IF(INT(IF($D51=I$3,装备表!$E54,"xxx")/10000)=1,IF($D51=I$3,装备表!$E54,"xxx")&amp;":2,1,1,"&amp;装备表!$O54&amp;";","xxx"),"xxx"))</f>
        <v>xxx</v>
      </c>
      <c r="J51" s="18" t="str">
        <f>IF(装备表!$O54=0,"xxx",IFERROR(IF(INT(IF($D51=J$3,装备表!$E54,"xxx")/10000)=3,IF($D51=J$3,装备表!$E54,"xxx")&amp;":2,1,1,"&amp;装备表!$O54&amp;";","xxx"),"xxx"))</f>
        <v>xxx</v>
      </c>
    </row>
    <row r="52" spans="3:10" x14ac:dyDescent="0.2">
      <c r="C52">
        <v>10503</v>
      </c>
      <c r="D52" s="18">
        <f>装备表!L55</f>
        <v>3</v>
      </c>
      <c r="E52" s="18" t="str">
        <f>IF(装备表!$O55=0,"xxx",IFERROR(IF(INT(IF($D52=E$3,装备表!$E55,"xxx")/10000)=1,IF($D52=E$3,装备表!$E55,"xxx")&amp;":2,1,1,"&amp;装备表!$O55&amp;";","xxx"),"xxx"))</f>
        <v>xxx</v>
      </c>
      <c r="F52" s="18" t="str">
        <f>IF(装备表!$O55=0,"xxx",IFERROR(IF(INT(IF($D52=F$3,装备表!$E55,"xxx")/10000)=1,IF($D52=F$3,装备表!$E55,"xxx")&amp;":2,1,1,"&amp;装备表!$O55&amp;";","xxx"),"xxx"))</f>
        <v>xxx</v>
      </c>
      <c r="G52" s="18" t="str">
        <f>IF(装备表!$O55=0,"xxx",IFERROR(IF(INT(IF($D52=G$3,装备表!$E55,"xxx")/10000)=1,IF($D52=G$3,装备表!$E55,"xxx")&amp;":2,1,1,"&amp;装备表!$O55&amp;";","xxx"),"xxx"))</f>
        <v>10503:2,1,1,34;</v>
      </c>
      <c r="H52" s="18" t="str">
        <f>IF(装备表!$O55=0,"xxx",IFERROR(IF(INT(IF($D52=H$3,装备表!$E55,"xxx")/10000)=1,IF($D52=H$3,装备表!$E55,"xxx")&amp;":2,1,1,"&amp;装备表!$O55&amp;";","xxx"),"xxx"))</f>
        <v>xxx</v>
      </c>
      <c r="I52" s="18" t="str">
        <f>IF(装备表!$O55=0,"xxx",IFERROR(IF(INT(IF($D52=I$3,装备表!$E55,"xxx")/10000)=1,IF($D52=I$3,装备表!$E55,"xxx")&amp;":2,1,1,"&amp;装备表!$O55&amp;";","xxx"),"xxx"))</f>
        <v>xxx</v>
      </c>
      <c r="J52" s="18" t="str">
        <f>IF(装备表!$O55=0,"xxx",IFERROR(IF(INT(IF($D52=J$3,装备表!$E55,"xxx")/10000)=3,IF($D52=J$3,装备表!$E55,"xxx")&amp;":2,1,1,"&amp;装备表!$O55&amp;";","xxx"),"xxx"))</f>
        <v>xxx</v>
      </c>
    </row>
    <row r="53" spans="3:10" x14ac:dyDescent="0.2">
      <c r="C53">
        <v>10603</v>
      </c>
      <c r="D53" s="18">
        <f>装备表!L56</f>
        <v>3</v>
      </c>
      <c r="E53" s="18" t="str">
        <f>IF(装备表!$O56=0,"xxx",IFERROR(IF(INT(IF($D53=E$3,装备表!$E56,"xxx")/10000)=1,IF($D53=E$3,装备表!$E56,"xxx")&amp;":2,1,1,"&amp;装备表!$O56&amp;";","xxx"),"xxx"))</f>
        <v>xxx</v>
      </c>
      <c r="F53" s="18" t="str">
        <f>IF(装备表!$O56=0,"xxx",IFERROR(IF(INT(IF($D53=F$3,装备表!$E56,"xxx")/10000)=1,IF($D53=F$3,装备表!$E56,"xxx")&amp;":2,1,1,"&amp;装备表!$O56&amp;";","xxx"),"xxx"))</f>
        <v>xxx</v>
      </c>
      <c r="G53" s="18" t="str">
        <f>IF(装备表!$O56=0,"xxx",IFERROR(IF(INT(IF($D53=G$3,装备表!$E56,"xxx")/10000)=1,IF($D53=G$3,装备表!$E56,"xxx")&amp;":2,1,1,"&amp;装备表!$O56&amp;";","xxx"),"xxx"))</f>
        <v>10603:2,1,1,34;</v>
      </c>
      <c r="H53" s="18" t="str">
        <f>IF(装备表!$O56=0,"xxx",IFERROR(IF(INT(IF($D53=H$3,装备表!$E56,"xxx")/10000)=1,IF($D53=H$3,装备表!$E56,"xxx")&amp;":2,1,1,"&amp;装备表!$O56&amp;";","xxx"),"xxx"))</f>
        <v>xxx</v>
      </c>
      <c r="I53" s="18" t="str">
        <f>IF(装备表!$O56=0,"xxx",IFERROR(IF(INT(IF($D53=I$3,装备表!$E56,"xxx")/10000)=1,IF($D53=I$3,装备表!$E56,"xxx")&amp;":2,1,1,"&amp;装备表!$O56&amp;";","xxx"),"xxx"))</f>
        <v>xxx</v>
      </c>
      <c r="J53" s="18" t="str">
        <f>IF(装备表!$O56=0,"xxx",IFERROR(IF(INT(IF($D53=J$3,装备表!$E56,"xxx")/10000)=3,IF($D53=J$3,装备表!$E56,"xxx")&amp;":2,1,1,"&amp;装备表!$O56&amp;";","xxx"),"xxx"))</f>
        <v>xxx</v>
      </c>
    </row>
    <row r="54" spans="3:10" x14ac:dyDescent="0.2">
      <c r="C54">
        <v>10703</v>
      </c>
      <c r="D54" s="18">
        <f>装备表!L57</f>
        <v>3</v>
      </c>
      <c r="E54" s="18" t="str">
        <f>IF(装备表!$O57=0,"xxx",IFERROR(IF(INT(IF($D54=E$3,装备表!$E57,"xxx")/10000)=1,IF($D54=E$3,装备表!$E57,"xxx")&amp;":2,1,1,"&amp;装备表!$O57&amp;";","xxx"),"xxx"))</f>
        <v>xxx</v>
      </c>
      <c r="F54" s="18" t="str">
        <f>IF(装备表!$O57=0,"xxx",IFERROR(IF(INT(IF($D54=F$3,装备表!$E57,"xxx")/10000)=1,IF($D54=F$3,装备表!$E57,"xxx")&amp;":2,1,1,"&amp;装备表!$O57&amp;";","xxx"),"xxx"))</f>
        <v>xxx</v>
      </c>
      <c r="G54" s="18" t="str">
        <f>IF(装备表!$O57=0,"xxx",IFERROR(IF(INT(IF($D54=G$3,装备表!$E57,"xxx")/10000)=1,IF($D54=G$3,装备表!$E57,"xxx")&amp;":2,1,1,"&amp;装备表!$O57&amp;";","xxx"),"xxx"))</f>
        <v>10703:2,1,1,34;</v>
      </c>
      <c r="H54" s="18" t="str">
        <f>IF(装备表!$O57=0,"xxx",IFERROR(IF(INT(IF($D54=H$3,装备表!$E57,"xxx")/10000)=1,IF($D54=H$3,装备表!$E57,"xxx")&amp;":2,1,1,"&amp;装备表!$O57&amp;";","xxx"),"xxx"))</f>
        <v>xxx</v>
      </c>
      <c r="I54" s="18" t="str">
        <f>IF(装备表!$O57=0,"xxx",IFERROR(IF(INT(IF($D54=I$3,装备表!$E57,"xxx")/10000)=1,IF($D54=I$3,装备表!$E57,"xxx")&amp;":2,1,1,"&amp;装备表!$O57&amp;";","xxx"),"xxx"))</f>
        <v>xxx</v>
      </c>
      <c r="J54" s="18" t="str">
        <f>IF(装备表!$O57=0,"xxx",IFERROR(IF(INT(IF($D54=J$3,装备表!$E57,"xxx")/10000)=3,IF($D54=J$3,装备表!$E57,"xxx")&amp;":2,1,1,"&amp;装备表!$O57&amp;";","xxx"),"xxx"))</f>
        <v>xxx</v>
      </c>
    </row>
    <row r="55" spans="3:10" x14ac:dyDescent="0.2">
      <c r="C55">
        <v>10803</v>
      </c>
      <c r="D55" s="18">
        <f>装备表!L58</f>
        <v>3</v>
      </c>
      <c r="E55" s="18" t="str">
        <f>IF(装备表!$O58=0,"xxx",IFERROR(IF(INT(IF($D55=E$3,装备表!$E58,"xxx")/10000)=1,IF($D55=E$3,装备表!$E58,"xxx")&amp;":2,1,1,"&amp;装备表!$O58&amp;";","xxx"),"xxx"))</f>
        <v>xxx</v>
      </c>
      <c r="F55" s="18" t="str">
        <f>IF(装备表!$O58=0,"xxx",IFERROR(IF(INT(IF($D55=F$3,装备表!$E58,"xxx")/10000)=1,IF($D55=F$3,装备表!$E58,"xxx")&amp;":2,1,1,"&amp;装备表!$O58&amp;";","xxx"),"xxx"))</f>
        <v>xxx</v>
      </c>
      <c r="G55" s="18" t="str">
        <f>IF(装备表!$O58=0,"xxx",IFERROR(IF(INT(IF($D55=G$3,装备表!$E58,"xxx")/10000)=1,IF($D55=G$3,装备表!$E58,"xxx")&amp;":2,1,1,"&amp;装备表!$O58&amp;";","xxx"),"xxx"))</f>
        <v>10803:2,1,1,34;</v>
      </c>
      <c r="H55" s="18" t="str">
        <f>IF(装备表!$O58=0,"xxx",IFERROR(IF(INT(IF($D55=H$3,装备表!$E58,"xxx")/10000)=1,IF($D55=H$3,装备表!$E58,"xxx")&amp;":2,1,1,"&amp;装备表!$O58&amp;";","xxx"),"xxx"))</f>
        <v>xxx</v>
      </c>
      <c r="I55" s="18" t="str">
        <f>IF(装备表!$O58=0,"xxx",IFERROR(IF(INT(IF($D55=I$3,装备表!$E58,"xxx")/10000)=1,IF($D55=I$3,装备表!$E58,"xxx")&amp;":2,1,1,"&amp;装备表!$O58&amp;";","xxx"),"xxx"))</f>
        <v>xxx</v>
      </c>
      <c r="J55" s="18" t="str">
        <f>IF(装备表!$O58=0,"xxx",IFERROR(IF(INT(IF($D55=J$3,装备表!$E58,"xxx")/10000)=3,IF($D55=J$3,装备表!$E58,"xxx")&amp;":2,1,1,"&amp;装备表!$O58&amp;";","xxx"),"xxx"))</f>
        <v>xxx</v>
      </c>
    </row>
    <row r="56" spans="3:10" x14ac:dyDescent="0.2">
      <c r="C56">
        <v>10903</v>
      </c>
      <c r="D56" s="18">
        <f>装备表!L59</f>
        <v>3</v>
      </c>
      <c r="E56" s="18" t="str">
        <f>IF(装备表!$O59=0,"xxx",IFERROR(IF(INT(IF($D56=E$3,装备表!$E59,"xxx")/10000)=1,IF($D56=E$3,装备表!$E59,"xxx")&amp;":2,1,1,"&amp;装备表!$O59&amp;";","xxx"),"xxx"))</f>
        <v>xxx</v>
      </c>
      <c r="F56" s="18" t="str">
        <f>IF(装备表!$O59=0,"xxx",IFERROR(IF(INT(IF($D56=F$3,装备表!$E59,"xxx")/10000)=1,IF($D56=F$3,装备表!$E59,"xxx")&amp;":2,1,1,"&amp;装备表!$O59&amp;";","xxx"),"xxx"))</f>
        <v>xxx</v>
      </c>
      <c r="G56" s="18" t="str">
        <f>IF(装备表!$O59=0,"xxx",IFERROR(IF(INT(IF($D56=G$3,装备表!$E59,"xxx")/10000)=1,IF($D56=G$3,装备表!$E59,"xxx")&amp;":2,1,1,"&amp;装备表!$O59&amp;";","xxx"),"xxx"))</f>
        <v>10903:2,1,1,34;</v>
      </c>
      <c r="H56" s="18" t="str">
        <f>IF(装备表!$O59=0,"xxx",IFERROR(IF(INT(IF($D56=H$3,装备表!$E59,"xxx")/10000)=1,IF($D56=H$3,装备表!$E59,"xxx")&amp;":2,1,1,"&amp;装备表!$O59&amp;";","xxx"),"xxx"))</f>
        <v>xxx</v>
      </c>
      <c r="I56" s="18" t="str">
        <f>IF(装备表!$O59=0,"xxx",IFERROR(IF(INT(IF($D56=I$3,装备表!$E59,"xxx")/10000)=1,IF($D56=I$3,装备表!$E59,"xxx")&amp;":2,1,1,"&amp;装备表!$O59&amp;";","xxx"),"xxx"))</f>
        <v>xxx</v>
      </c>
      <c r="J56" s="18" t="str">
        <f>IF(装备表!$O59=0,"xxx",IFERROR(IF(INT(IF($D56=J$3,装备表!$E59,"xxx")/10000)=3,IF($D56=J$3,装备表!$E59,"xxx")&amp;":2,1,1,"&amp;装备表!$O59&amp;";","xxx"),"xxx"))</f>
        <v>xxx</v>
      </c>
    </row>
    <row r="57" spans="3:10" x14ac:dyDescent="0.2">
      <c r="C57">
        <v>11003</v>
      </c>
      <c r="D57" s="18">
        <f>装备表!L60</f>
        <v>3</v>
      </c>
      <c r="E57" s="18" t="str">
        <f>IF(装备表!$O60=0,"xxx",IFERROR(IF(INT(IF($D57=E$3,装备表!$E60,"xxx")/10000)=1,IF($D57=E$3,装备表!$E60,"xxx")&amp;":2,1,1,"&amp;装备表!$O60&amp;";","xxx"),"xxx"))</f>
        <v>xxx</v>
      </c>
      <c r="F57" s="18" t="str">
        <f>IF(装备表!$O60=0,"xxx",IFERROR(IF(INT(IF($D57=F$3,装备表!$E60,"xxx")/10000)=1,IF($D57=F$3,装备表!$E60,"xxx")&amp;":2,1,1,"&amp;装备表!$O60&amp;";","xxx"),"xxx"))</f>
        <v>xxx</v>
      </c>
      <c r="G57" s="18" t="str">
        <f>IF(装备表!$O60=0,"xxx",IFERROR(IF(INT(IF($D57=G$3,装备表!$E60,"xxx")/10000)=1,IF($D57=G$3,装备表!$E60,"xxx")&amp;":2,1,1,"&amp;装备表!$O60&amp;";","xxx"),"xxx"))</f>
        <v>11003:2,1,1,34;</v>
      </c>
      <c r="H57" s="18" t="str">
        <f>IF(装备表!$O60=0,"xxx",IFERROR(IF(INT(IF($D57=H$3,装备表!$E60,"xxx")/10000)=1,IF($D57=H$3,装备表!$E60,"xxx")&amp;":2,1,1,"&amp;装备表!$O60&amp;";","xxx"),"xxx"))</f>
        <v>xxx</v>
      </c>
      <c r="I57" s="18" t="str">
        <f>IF(装备表!$O60=0,"xxx",IFERROR(IF(INT(IF($D57=I$3,装备表!$E60,"xxx")/10000)=1,IF($D57=I$3,装备表!$E60,"xxx")&amp;":2,1,1,"&amp;装备表!$O60&amp;";","xxx"),"xxx"))</f>
        <v>xxx</v>
      </c>
      <c r="J57" s="18" t="str">
        <f>IF(装备表!$O60=0,"xxx",IFERROR(IF(INT(IF($D57=J$3,装备表!$E60,"xxx")/10000)=3,IF($D57=J$3,装备表!$E60,"xxx")&amp;":2,1,1,"&amp;装备表!$O60&amp;";","xxx"),"xxx"))</f>
        <v>xxx</v>
      </c>
    </row>
    <row r="58" spans="3:10" x14ac:dyDescent="0.2">
      <c r="C58">
        <v>11103</v>
      </c>
      <c r="D58" s="18">
        <f>装备表!L61</f>
        <v>3</v>
      </c>
      <c r="E58" s="18" t="str">
        <f>IF(装备表!$O61=0,"xxx",IFERROR(IF(INT(IF($D58=E$3,装备表!$E61,"xxx")/10000)=1,IF($D58=E$3,装备表!$E61,"xxx")&amp;":2,1,1,"&amp;装备表!$O61&amp;";","xxx"),"xxx"))</f>
        <v>xxx</v>
      </c>
      <c r="F58" s="18" t="str">
        <f>IF(装备表!$O61=0,"xxx",IFERROR(IF(INT(IF($D58=F$3,装备表!$E61,"xxx")/10000)=1,IF($D58=F$3,装备表!$E61,"xxx")&amp;":2,1,1,"&amp;装备表!$O61&amp;";","xxx"),"xxx"))</f>
        <v>xxx</v>
      </c>
      <c r="G58" s="18" t="str">
        <f>IF(装备表!$O61=0,"xxx",IFERROR(IF(INT(IF($D58=G$3,装备表!$E61,"xxx")/10000)=1,IF($D58=G$3,装备表!$E61,"xxx")&amp;":2,1,1,"&amp;装备表!$O61&amp;";","xxx"),"xxx"))</f>
        <v>11103:2,1,1,34;</v>
      </c>
      <c r="H58" s="18" t="str">
        <f>IF(装备表!$O61=0,"xxx",IFERROR(IF(INT(IF($D58=H$3,装备表!$E61,"xxx")/10000)=1,IF($D58=H$3,装备表!$E61,"xxx")&amp;":2,1,1,"&amp;装备表!$O61&amp;";","xxx"),"xxx"))</f>
        <v>xxx</v>
      </c>
      <c r="I58" s="18" t="str">
        <f>IF(装备表!$O61=0,"xxx",IFERROR(IF(INT(IF($D58=I$3,装备表!$E61,"xxx")/10000)=1,IF($D58=I$3,装备表!$E61,"xxx")&amp;":2,1,1,"&amp;装备表!$O61&amp;";","xxx"),"xxx"))</f>
        <v>xxx</v>
      </c>
      <c r="J58" s="18" t="str">
        <f>IF(装备表!$O61=0,"xxx",IFERROR(IF(INT(IF($D58=J$3,装备表!$E61,"xxx")/10000)=3,IF($D58=J$3,装备表!$E61,"xxx")&amp;":2,1,1,"&amp;装备表!$O61&amp;";","xxx"),"xxx"))</f>
        <v>xxx</v>
      </c>
    </row>
    <row r="59" spans="3:10" x14ac:dyDescent="0.2">
      <c r="C59">
        <v>11203</v>
      </c>
      <c r="D59" s="18">
        <f>装备表!L62</f>
        <v>3</v>
      </c>
      <c r="E59" s="18" t="str">
        <f>IF(装备表!$O62=0,"xxx",IFERROR(IF(INT(IF($D59=E$3,装备表!$E62,"xxx")/10000)=1,IF($D59=E$3,装备表!$E62,"xxx")&amp;":2,1,1,"&amp;装备表!$O62&amp;";","xxx"),"xxx"))</f>
        <v>xxx</v>
      </c>
      <c r="F59" s="18" t="str">
        <f>IF(装备表!$O62=0,"xxx",IFERROR(IF(INT(IF($D59=F$3,装备表!$E62,"xxx")/10000)=1,IF($D59=F$3,装备表!$E62,"xxx")&amp;":2,1,1,"&amp;装备表!$O62&amp;";","xxx"),"xxx"))</f>
        <v>xxx</v>
      </c>
      <c r="G59" s="18" t="str">
        <f>IF(装备表!$O62=0,"xxx",IFERROR(IF(INT(IF($D59=G$3,装备表!$E62,"xxx")/10000)=1,IF($D59=G$3,装备表!$E62,"xxx")&amp;":2,1,1,"&amp;装备表!$O62&amp;";","xxx"),"xxx"))</f>
        <v>11203:2,1,1,34;</v>
      </c>
      <c r="H59" s="18" t="str">
        <f>IF(装备表!$O62=0,"xxx",IFERROR(IF(INT(IF($D59=H$3,装备表!$E62,"xxx")/10000)=1,IF($D59=H$3,装备表!$E62,"xxx")&amp;":2,1,1,"&amp;装备表!$O62&amp;";","xxx"),"xxx"))</f>
        <v>xxx</v>
      </c>
      <c r="I59" s="18" t="str">
        <f>IF(装备表!$O62=0,"xxx",IFERROR(IF(INT(IF($D59=I$3,装备表!$E62,"xxx")/10000)=1,IF($D59=I$3,装备表!$E62,"xxx")&amp;":2,1,1,"&amp;装备表!$O62&amp;";","xxx"),"xxx"))</f>
        <v>xxx</v>
      </c>
      <c r="J59" s="18" t="str">
        <f>IF(装备表!$O62=0,"xxx",IFERROR(IF(INT(IF($D59=J$3,装备表!$E62,"xxx")/10000)=3,IF($D59=J$3,装备表!$E62,"xxx")&amp;":2,1,1,"&amp;装备表!$O62&amp;";","xxx"),"xxx"))</f>
        <v>xxx</v>
      </c>
    </row>
    <row r="60" spans="3:10" x14ac:dyDescent="0.2">
      <c r="C60">
        <v>11303</v>
      </c>
      <c r="D60" s="18">
        <f>装备表!L63</f>
        <v>3</v>
      </c>
      <c r="E60" s="18" t="str">
        <f>IF(装备表!$O63=0,"xxx",IFERROR(IF(INT(IF($D60=E$3,装备表!$E63,"xxx")/10000)=1,IF($D60=E$3,装备表!$E63,"xxx")&amp;":2,1,1,"&amp;装备表!$O63&amp;";","xxx"),"xxx"))</f>
        <v>xxx</v>
      </c>
      <c r="F60" s="18" t="str">
        <f>IF(装备表!$O63=0,"xxx",IFERROR(IF(INT(IF($D60=F$3,装备表!$E63,"xxx")/10000)=1,IF($D60=F$3,装备表!$E63,"xxx")&amp;":2,1,1,"&amp;装备表!$O63&amp;";","xxx"),"xxx"))</f>
        <v>xxx</v>
      </c>
      <c r="G60" s="18" t="str">
        <f>IF(装备表!$O63=0,"xxx",IFERROR(IF(INT(IF($D60=G$3,装备表!$E63,"xxx")/10000)=1,IF($D60=G$3,装备表!$E63,"xxx")&amp;":2,1,1,"&amp;装备表!$O63&amp;";","xxx"),"xxx"))</f>
        <v>11303:2,1,1,34;</v>
      </c>
      <c r="H60" s="18" t="str">
        <f>IF(装备表!$O63=0,"xxx",IFERROR(IF(INT(IF($D60=H$3,装备表!$E63,"xxx")/10000)=1,IF($D60=H$3,装备表!$E63,"xxx")&amp;":2,1,1,"&amp;装备表!$O63&amp;";","xxx"),"xxx"))</f>
        <v>xxx</v>
      </c>
      <c r="I60" s="18" t="str">
        <f>IF(装备表!$O63=0,"xxx",IFERROR(IF(INT(IF($D60=I$3,装备表!$E63,"xxx")/10000)=1,IF($D60=I$3,装备表!$E63,"xxx")&amp;":2,1,1,"&amp;装备表!$O63&amp;";","xxx"),"xxx"))</f>
        <v>xxx</v>
      </c>
      <c r="J60" s="18" t="str">
        <f>IF(装备表!$O63=0,"xxx",IFERROR(IF(INT(IF($D60=J$3,装备表!$E63,"xxx")/10000)=3,IF($D60=J$3,装备表!$E63,"xxx")&amp;":2,1,1,"&amp;装备表!$O63&amp;";","xxx"),"xxx"))</f>
        <v>xxx</v>
      </c>
    </row>
    <row r="61" spans="3:10" x14ac:dyDescent="0.2">
      <c r="C61">
        <v>11403</v>
      </c>
      <c r="D61" s="18">
        <f>装备表!L64</f>
        <v>3</v>
      </c>
      <c r="E61" s="18" t="str">
        <f>IF(装备表!$O64=0,"xxx",IFERROR(IF(INT(IF($D61=E$3,装备表!$E64,"xxx")/10000)=1,IF($D61=E$3,装备表!$E64,"xxx")&amp;":2,1,1,"&amp;装备表!$O64&amp;";","xxx"),"xxx"))</f>
        <v>xxx</v>
      </c>
      <c r="F61" s="18" t="str">
        <f>IF(装备表!$O64=0,"xxx",IFERROR(IF(INT(IF($D61=F$3,装备表!$E64,"xxx")/10000)=1,IF($D61=F$3,装备表!$E64,"xxx")&amp;":2,1,1,"&amp;装备表!$O64&amp;";","xxx"),"xxx"))</f>
        <v>xxx</v>
      </c>
      <c r="G61" s="18" t="str">
        <f>IF(装备表!$O64=0,"xxx",IFERROR(IF(INT(IF($D61=G$3,装备表!$E64,"xxx")/10000)=1,IF($D61=G$3,装备表!$E64,"xxx")&amp;":2,1,1,"&amp;装备表!$O64&amp;";","xxx"),"xxx"))</f>
        <v>11403:2,1,1,34;</v>
      </c>
      <c r="H61" s="18" t="str">
        <f>IF(装备表!$O64=0,"xxx",IFERROR(IF(INT(IF($D61=H$3,装备表!$E64,"xxx")/10000)=1,IF($D61=H$3,装备表!$E64,"xxx")&amp;":2,1,1,"&amp;装备表!$O64&amp;";","xxx"),"xxx"))</f>
        <v>xxx</v>
      </c>
      <c r="I61" s="18" t="str">
        <f>IF(装备表!$O64=0,"xxx",IFERROR(IF(INT(IF($D61=I$3,装备表!$E64,"xxx")/10000)=1,IF($D61=I$3,装备表!$E64,"xxx")&amp;":2,1,1,"&amp;装备表!$O64&amp;";","xxx"),"xxx"))</f>
        <v>xxx</v>
      </c>
      <c r="J61" s="18" t="str">
        <f>IF(装备表!$O64=0,"xxx",IFERROR(IF(INT(IF($D61=J$3,装备表!$E64,"xxx")/10000)=3,IF($D61=J$3,装备表!$E64,"xxx")&amp;":2,1,1,"&amp;装备表!$O64&amp;";","xxx"),"xxx"))</f>
        <v>xxx</v>
      </c>
    </row>
    <row r="62" spans="3:10" x14ac:dyDescent="0.2">
      <c r="C62">
        <v>11503</v>
      </c>
      <c r="D62" s="18">
        <f>装备表!L65</f>
        <v>3</v>
      </c>
      <c r="E62" s="18" t="str">
        <f>IF(装备表!$O65=0,"xxx",IFERROR(IF(INT(IF($D62=E$3,装备表!$E65,"xxx")/10000)=1,IF($D62=E$3,装备表!$E65,"xxx")&amp;":2,1,1,"&amp;装备表!$O65&amp;";","xxx"),"xxx"))</f>
        <v>xxx</v>
      </c>
      <c r="F62" s="18" t="str">
        <f>IF(装备表!$O65=0,"xxx",IFERROR(IF(INT(IF($D62=F$3,装备表!$E65,"xxx")/10000)=1,IF($D62=F$3,装备表!$E65,"xxx")&amp;":2,1,1,"&amp;装备表!$O65&amp;";","xxx"),"xxx"))</f>
        <v>xxx</v>
      </c>
      <c r="G62" s="18" t="str">
        <f>IF(装备表!$O65=0,"xxx",IFERROR(IF(INT(IF($D62=G$3,装备表!$E65,"xxx")/10000)=1,IF($D62=G$3,装备表!$E65,"xxx")&amp;":2,1,1,"&amp;装备表!$O65&amp;";","xxx"),"xxx"))</f>
        <v>11503:2,1,1,34;</v>
      </c>
      <c r="H62" s="18" t="str">
        <f>IF(装备表!$O65=0,"xxx",IFERROR(IF(INT(IF($D62=H$3,装备表!$E65,"xxx")/10000)=1,IF($D62=H$3,装备表!$E65,"xxx")&amp;":2,1,1,"&amp;装备表!$O65&amp;";","xxx"),"xxx"))</f>
        <v>xxx</v>
      </c>
      <c r="I62" s="18" t="str">
        <f>IF(装备表!$O65=0,"xxx",IFERROR(IF(INT(IF($D62=I$3,装备表!$E65,"xxx")/10000)=1,IF($D62=I$3,装备表!$E65,"xxx")&amp;":2,1,1,"&amp;装备表!$O65&amp;";","xxx"),"xxx"))</f>
        <v>xxx</v>
      </c>
      <c r="J62" s="18" t="str">
        <f>IF(装备表!$O65=0,"xxx",IFERROR(IF(INT(IF($D62=J$3,装备表!$E65,"xxx")/10000)=3,IF($D62=J$3,装备表!$E65,"xxx")&amp;":2,1,1,"&amp;装备表!$O65&amp;";","xxx"),"xxx"))</f>
        <v>xxx</v>
      </c>
    </row>
    <row r="63" spans="3:10" x14ac:dyDescent="0.2">
      <c r="C63">
        <v>12103</v>
      </c>
      <c r="D63" s="18">
        <f>装备表!L66</f>
        <v>3</v>
      </c>
      <c r="E63" s="18" t="str">
        <f>IF(装备表!$O66=0,"xxx",IFERROR(IF(INT(IF($D63=E$3,装备表!$E66,"xxx")/10000)=1,IF($D63=E$3,装备表!$E66,"xxx")&amp;":2,1,1,"&amp;装备表!$O66&amp;";","xxx"),"xxx"))</f>
        <v>xxx</v>
      </c>
      <c r="F63" s="18" t="str">
        <f>IF(装备表!$O66=0,"xxx",IFERROR(IF(INT(IF($D63=F$3,装备表!$E66,"xxx")/10000)=1,IF($D63=F$3,装备表!$E66,"xxx")&amp;":2,1,1,"&amp;装备表!$O66&amp;";","xxx"),"xxx"))</f>
        <v>xxx</v>
      </c>
      <c r="G63" s="18" t="str">
        <f>IF(装备表!$O66=0,"xxx",IFERROR(IF(INT(IF($D63=G$3,装备表!$E66,"xxx")/10000)=1,IF($D63=G$3,装备表!$E66,"xxx")&amp;":2,1,1,"&amp;装备表!$O66&amp;";","xxx"),"xxx"))</f>
        <v>12103:2,1,1,85;</v>
      </c>
      <c r="H63" s="18" t="str">
        <f>IF(装备表!$O66=0,"xxx",IFERROR(IF(INT(IF($D63=H$3,装备表!$E66,"xxx")/10000)=1,IF($D63=H$3,装备表!$E66,"xxx")&amp;":2,1,1,"&amp;装备表!$O66&amp;";","xxx"),"xxx"))</f>
        <v>xxx</v>
      </c>
      <c r="I63" s="18" t="str">
        <f>IF(装备表!$O66=0,"xxx",IFERROR(IF(INT(IF($D63=I$3,装备表!$E66,"xxx")/10000)=1,IF($D63=I$3,装备表!$E66,"xxx")&amp;":2,1,1,"&amp;装备表!$O66&amp;";","xxx"),"xxx"))</f>
        <v>xxx</v>
      </c>
      <c r="J63" s="18" t="str">
        <f>IF(装备表!$O66=0,"xxx",IFERROR(IF(INT(IF($D63=J$3,装备表!$E66,"xxx")/10000)=3,IF($D63=J$3,装备表!$E66,"xxx")&amp;":2,1,1,"&amp;装备表!$O66&amp;";","xxx"),"xxx"))</f>
        <v>xxx</v>
      </c>
    </row>
    <row r="64" spans="3:10" x14ac:dyDescent="0.2">
      <c r="C64">
        <v>12203</v>
      </c>
      <c r="D64" s="18">
        <f>装备表!L67</f>
        <v>3</v>
      </c>
      <c r="E64" s="18" t="str">
        <f>IF(装备表!$O67=0,"xxx",IFERROR(IF(INT(IF($D64=E$3,装备表!$E67,"xxx")/10000)=1,IF($D64=E$3,装备表!$E67,"xxx")&amp;":2,1,1,"&amp;装备表!$O67&amp;";","xxx"),"xxx"))</f>
        <v>xxx</v>
      </c>
      <c r="F64" s="18" t="str">
        <f>IF(装备表!$O67=0,"xxx",IFERROR(IF(INT(IF($D64=F$3,装备表!$E67,"xxx")/10000)=1,IF($D64=F$3,装备表!$E67,"xxx")&amp;":2,1,1,"&amp;装备表!$O67&amp;";","xxx"),"xxx"))</f>
        <v>xxx</v>
      </c>
      <c r="G64" s="18" t="str">
        <f>IF(装备表!$O67=0,"xxx",IFERROR(IF(INT(IF($D64=G$3,装备表!$E67,"xxx")/10000)=1,IF($D64=G$3,装备表!$E67,"xxx")&amp;":2,1,1,"&amp;装备表!$O67&amp;";","xxx"),"xxx"))</f>
        <v>12203:2,1,1,85;</v>
      </c>
      <c r="H64" s="18" t="str">
        <f>IF(装备表!$O67=0,"xxx",IFERROR(IF(INT(IF($D64=H$3,装备表!$E67,"xxx")/10000)=1,IF($D64=H$3,装备表!$E67,"xxx")&amp;":2,1,1,"&amp;装备表!$O67&amp;";","xxx"),"xxx"))</f>
        <v>xxx</v>
      </c>
      <c r="I64" s="18" t="str">
        <f>IF(装备表!$O67=0,"xxx",IFERROR(IF(INT(IF($D64=I$3,装备表!$E67,"xxx")/10000)=1,IF($D64=I$3,装备表!$E67,"xxx")&amp;":2,1,1,"&amp;装备表!$O67&amp;";","xxx"),"xxx"))</f>
        <v>xxx</v>
      </c>
      <c r="J64" s="18" t="str">
        <f>IF(装备表!$O67=0,"xxx",IFERROR(IF(INT(IF($D64=J$3,装备表!$E67,"xxx")/10000)=3,IF($D64=J$3,装备表!$E67,"xxx")&amp;":2,1,1,"&amp;装备表!$O67&amp;";","xxx"),"xxx"))</f>
        <v>xxx</v>
      </c>
    </row>
    <row r="65" spans="3:10" x14ac:dyDescent="0.2">
      <c r="C65">
        <v>12303</v>
      </c>
      <c r="D65" s="18">
        <f>装备表!L68</f>
        <v>3</v>
      </c>
      <c r="E65" s="18" t="str">
        <f>IF(装备表!$O68=0,"xxx",IFERROR(IF(INT(IF($D65=E$3,装备表!$E68,"xxx")/10000)=1,IF($D65=E$3,装备表!$E68,"xxx")&amp;":2,1,1,"&amp;装备表!$O68&amp;";","xxx"),"xxx"))</f>
        <v>xxx</v>
      </c>
      <c r="F65" s="18" t="str">
        <f>IF(装备表!$O68=0,"xxx",IFERROR(IF(INT(IF($D65=F$3,装备表!$E68,"xxx")/10000)=1,IF($D65=F$3,装备表!$E68,"xxx")&amp;":2,1,1,"&amp;装备表!$O68&amp;";","xxx"),"xxx"))</f>
        <v>xxx</v>
      </c>
      <c r="G65" s="18" t="str">
        <f>IF(装备表!$O68=0,"xxx",IFERROR(IF(INT(IF($D65=G$3,装备表!$E68,"xxx")/10000)=1,IF($D65=G$3,装备表!$E68,"xxx")&amp;":2,1,1,"&amp;装备表!$O68&amp;";","xxx"),"xxx"))</f>
        <v>12303:2,1,1,85;</v>
      </c>
      <c r="H65" s="18" t="str">
        <f>IF(装备表!$O68=0,"xxx",IFERROR(IF(INT(IF($D65=H$3,装备表!$E68,"xxx")/10000)=1,IF($D65=H$3,装备表!$E68,"xxx")&amp;":2,1,1,"&amp;装备表!$O68&amp;";","xxx"),"xxx"))</f>
        <v>xxx</v>
      </c>
      <c r="I65" s="18" t="str">
        <f>IF(装备表!$O68=0,"xxx",IFERROR(IF(INT(IF($D65=I$3,装备表!$E68,"xxx")/10000)=1,IF($D65=I$3,装备表!$E68,"xxx")&amp;":2,1,1,"&amp;装备表!$O68&amp;";","xxx"),"xxx"))</f>
        <v>xxx</v>
      </c>
      <c r="J65" s="18" t="str">
        <f>IF(装备表!$O68=0,"xxx",IFERROR(IF(INT(IF($D65=J$3,装备表!$E68,"xxx")/10000)=3,IF($D65=J$3,装备表!$E68,"xxx")&amp;":2,1,1,"&amp;装备表!$O68&amp;";","xxx"),"xxx"))</f>
        <v>xxx</v>
      </c>
    </row>
    <row r="66" spans="3:10" x14ac:dyDescent="0.2">
      <c r="C66">
        <v>12403</v>
      </c>
      <c r="D66" s="18">
        <f>装备表!L69</f>
        <v>3</v>
      </c>
      <c r="E66" s="18" t="str">
        <f>IF(装备表!$O69=0,"xxx",IFERROR(IF(INT(IF($D66=E$3,装备表!$E69,"xxx")/10000)=1,IF($D66=E$3,装备表!$E69,"xxx")&amp;":2,1,1,"&amp;装备表!$O69&amp;";","xxx"),"xxx"))</f>
        <v>xxx</v>
      </c>
      <c r="F66" s="18" t="str">
        <f>IF(装备表!$O69=0,"xxx",IFERROR(IF(INT(IF($D66=F$3,装备表!$E69,"xxx")/10000)=1,IF($D66=F$3,装备表!$E69,"xxx")&amp;":2,1,1,"&amp;装备表!$O69&amp;";","xxx"),"xxx"))</f>
        <v>xxx</v>
      </c>
      <c r="G66" s="18" t="str">
        <f>IF(装备表!$O69=0,"xxx",IFERROR(IF(INT(IF($D66=G$3,装备表!$E69,"xxx")/10000)=1,IF($D66=G$3,装备表!$E69,"xxx")&amp;":2,1,1,"&amp;装备表!$O69&amp;";","xxx"),"xxx"))</f>
        <v>12403:2,1,1,85;</v>
      </c>
      <c r="H66" s="18" t="str">
        <f>IF(装备表!$O69=0,"xxx",IFERROR(IF(INT(IF($D66=H$3,装备表!$E69,"xxx")/10000)=1,IF($D66=H$3,装备表!$E69,"xxx")&amp;":2,1,1,"&amp;装备表!$O69&amp;";","xxx"),"xxx"))</f>
        <v>xxx</v>
      </c>
      <c r="I66" s="18" t="str">
        <f>IF(装备表!$O69=0,"xxx",IFERROR(IF(INT(IF($D66=I$3,装备表!$E69,"xxx")/10000)=1,IF($D66=I$3,装备表!$E69,"xxx")&amp;":2,1,1,"&amp;装备表!$O69&amp;";","xxx"),"xxx"))</f>
        <v>xxx</v>
      </c>
      <c r="J66" s="18" t="str">
        <f>IF(装备表!$O69=0,"xxx",IFERROR(IF(INT(IF($D66=J$3,装备表!$E69,"xxx")/10000)=3,IF($D66=J$3,装备表!$E69,"xxx")&amp;":2,1,1,"&amp;装备表!$O69&amp;";","xxx"),"xxx"))</f>
        <v>xxx</v>
      </c>
    </row>
    <row r="67" spans="3:10" x14ac:dyDescent="0.2">
      <c r="C67">
        <v>12503</v>
      </c>
      <c r="D67" s="18">
        <f>装备表!L70</f>
        <v>3</v>
      </c>
      <c r="E67" s="18" t="str">
        <f>IF(装备表!$O70=0,"xxx",IFERROR(IF(INT(IF($D67=E$3,装备表!$E70,"xxx")/10000)=1,IF($D67=E$3,装备表!$E70,"xxx")&amp;":2,1,1,"&amp;装备表!$O70&amp;";","xxx"),"xxx"))</f>
        <v>xxx</v>
      </c>
      <c r="F67" s="18" t="str">
        <f>IF(装备表!$O70=0,"xxx",IFERROR(IF(INT(IF($D67=F$3,装备表!$E70,"xxx")/10000)=1,IF($D67=F$3,装备表!$E70,"xxx")&amp;":2,1,1,"&amp;装备表!$O70&amp;";","xxx"),"xxx"))</f>
        <v>xxx</v>
      </c>
      <c r="G67" s="18" t="str">
        <f>IF(装备表!$O70=0,"xxx",IFERROR(IF(INT(IF($D67=G$3,装备表!$E70,"xxx")/10000)=1,IF($D67=G$3,装备表!$E70,"xxx")&amp;":2,1,1,"&amp;装备表!$O70&amp;";","xxx"),"xxx"))</f>
        <v>12503:2,1,1,85;</v>
      </c>
      <c r="H67" s="18" t="str">
        <f>IF(装备表!$O70=0,"xxx",IFERROR(IF(INT(IF($D67=H$3,装备表!$E70,"xxx")/10000)=1,IF($D67=H$3,装备表!$E70,"xxx")&amp;":2,1,1,"&amp;装备表!$O70&amp;";","xxx"),"xxx"))</f>
        <v>xxx</v>
      </c>
      <c r="I67" s="18" t="str">
        <f>IF(装备表!$O70=0,"xxx",IFERROR(IF(INT(IF($D67=I$3,装备表!$E70,"xxx")/10000)=1,IF($D67=I$3,装备表!$E70,"xxx")&amp;":2,1,1,"&amp;装备表!$O70&amp;";","xxx"),"xxx"))</f>
        <v>xxx</v>
      </c>
      <c r="J67" s="18" t="str">
        <f>IF(装备表!$O70=0,"xxx",IFERROR(IF(INT(IF($D67=J$3,装备表!$E70,"xxx")/10000)=3,IF($D67=J$3,装备表!$E70,"xxx")&amp;":2,1,1,"&amp;装备表!$O70&amp;";","xxx"),"xxx"))</f>
        <v>xxx</v>
      </c>
    </row>
    <row r="68" spans="3:10" x14ac:dyDescent="0.2">
      <c r="C68">
        <v>13103</v>
      </c>
      <c r="D68" s="18">
        <f>装备表!L71</f>
        <v>3</v>
      </c>
      <c r="E68" s="18" t="str">
        <f>IF(装备表!$O71=0,"xxx",IFERROR(IF(INT(IF($D68=E$3,装备表!$E71,"xxx")/10000)=1,IF($D68=E$3,装备表!$E71,"xxx")&amp;":2,1,1,"&amp;装备表!$O71&amp;";","xxx"),"xxx"))</f>
        <v>xxx</v>
      </c>
      <c r="F68" s="18" t="str">
        <f>IF(装备表!$O71=0,"xxx",IFERROR(IF(INT(IF($D68=F$3,装备表!$E71,"xxx")/10000)=1,IF($D68=F$3,装备表!$E71,"xxx")&amp;":2,1,1,"&amp;装备表!$O71&amp;";","xxx"),"xxx"))</f>
        <v>xxx</v>
      </c>
      <c r="G68" s="18" t="str">
        <f>IF(装备表!$O71=0,"xxx",IFERROR(IF(INT(IF($D68=G$3,装备表!$E71,"xxx")/10000)=1,IF($D68=G$3,装备表!$E71,"xxx")&amp;":2,1,1,"&amp;装备表!$O71&amp;";","xxx"),"xxx"))</f>
        <v>13103:2,1,1,50;</v>
      </c>
      <c r="H68" s="18" t="str">
        <f>IF(装备表!$O71=0,"xxx",IFERROR(IF(INT(IF($D68=H$3,装备表!$E71,"xxx")/10000)=1,IF($D68=H$3,装备表!$E71,"xxx")&amp;":2,1,1,"&amp;装备表!$O71&amp;";","xxx"),"xxx"))</f>
        <v>xxx</v>
      </c>
      <c r="I68" s="18" t="str">
        <f>IF(装备表!$O71=0,"xxx",IFERROR(IF(INT(IF($D68=I$3,装备表!$E71,"xxx")/10000)=1,IF($D68=I$3,装备表!$E71,"xxx")&amp;":2,1,1,"&amp;装备表!$O71&amp;";","xxx"),"xxx"))</f>
        <v>xxx</v>
      </c>
      <c r="J68" s="18" t="str">
        <f>IF(装备表!$O71=0,"xxx",IFERROR(IF(INT(IF($D68=J$3,装备表!$E71,"xxx")/10000)=3,IF($D68=J$3,装备表!$E71,"xxx")&amp;":2,1,1,"&amp;装备表!$O71&amp;";","xxx"),"xxx"))</f>
        <v>xxx</v>
      </c>
    </row>
    <row r="69" spans="3:10" x14ac:dyDescent="0.2">
      <c r="C69">
        <v>13203</v>
      </c>
      <c r="D69" s="18">
        <f>装备表!L72</f>
        <v>3</v>
      </c>
      <c r="E69" s="18" t="str">
        <f>IF(装备表!$O72=0,"xxx",IFERROR(IF(INT(IF($D69=E$3,装备表!$E72,"xxx")/10000)=1,IF($D69=E$3,装备表!$E72,"xxx")&amp;":2,1,1,"&amp;装备表!$O72&amp;";","xxx"),"xxx"))</f>
        <v>xxx</v>
      </c>
      <c r="F69" s="18" t="str">
        <f>IF(装备表!$O72=0,"xxx",IFERROR(IF(INT(IF($D69=F$3,装备表!$E72,"xxx")/10000)=1,IF($D69=F$3,装备表!$E72,"xxx")&amp;":2,1,1,"&amp;装备表!$O72&amp;";","xxx"),"xxx"))</f>
        <v>xxx</v>
      </c>
      <c r="G69" s="18" t="str">
        <f>IF(装备表!$O72=0,"xxx",IFERROR(IF(INT(IF($D69=G$3,装备表!$E72,"xxx")/10000)=1,IF($D69=G$3,装备表!$E72,"xxx")&amp;":2,1,1,"&amp;装备表!$O72&amp;";","xxx"),"xxx"))</f>
        <v>13203:2,1,1,100;</v>
      </c>
      <c r="H69" s="18" t="str">
        <f>IF(装备表!$O72=0,"xxx",IFERROR(IF(INT(IF($D69=H$3,装备表!$E72,"xxx")/10000)=1,IF($D69=H$3,装备表!$E72,"xxx")&amp;":2,1,1,"&amp;装备表!$O72&amp;";","xxx"),"xxx"))</f>
        <v>xxx</v>
      </c>
      <c r="I69" s="18" t="str">
        <f>IF(装备表!$O72=0,"xxx",IFERROR(IF(INT(IF($D69=I$3,装备表!$E72,"xxx")/10000)=1,IF($D69=I$3,装备表!$E72,"xxx")&amp;":2,1,1,"&amp;装备表!$O72&amp;";","xxx"),"xxx"))</f>
        <v>xxx</v>
      </c>
      <c r="J69" s="18" t="str">
        <f>IF(装备表!$O72=0,"xxx",IFERROR(IF(INT(IF($D69=J$3,装备表!$E72,"xxx")/10000)=3,IF($D69=J$3,装备表!$E72,"xxx")&amp;":2,1,1,"&amp;装备表!$O72&amp;";","xxx"),"xxx"))</f>
        <v>xxx</v>
      </c>
    </row>
    <row r="70" spans="3:10" x14ac:dyDescent="0.2">
      <c r="C70">
        <v>10004</v>
      </c>
      <c r="D70" s="18">
        <f>装备表!L73</f>
        <v>4</v>
      </c>
      <c r="E70" s="18" t="str">
        <f>IF(装备表!$O73=0,"xxx",IFERROR(IF(INT(IF($D70=E$3,装备表!$E73,"xxx")/10000)=1,IF($D70=E$3,装备表!$E73,"xxx")&amp;":2,1,1,"&amp;装备表!$O73&amp;";","xxx"),"xxx"))</f>
        <v>xxx</v>
      </c>
      <c r="F70" s="18" t="str">
        <f>IF(装备表!$O73=0,"xxx",IFERROR(IF(INT(IF($D70=F$3,装备表!$E73,"xxx")/10000)=1,IF($D70=F$3,装备表!$E73,"xxx")&amp;":2,1,1,"&amp;装备表!$O73&amp;";","xxx"),"xxx"))</f>
        <v>xxx</v>
      </c>
      <c r="G70" s="18" t="str">
        <f>IF(装备表!$O73=0,"xxx",IFERROR(IF(INT(IF($D70=G$3,装备表!$E73,"xxx")/10000)=1,IF($D70=G$3,装备表!$E73,"xxx")&amp;":2,1,1,"&amp;装备表!$O73&amp;";","xxx"),"xxx"))</f>
        <v>xxx</v>
      </c>
      <c r="H70" s="18" t="str">
        <f>IF(装备表!$O73=0,"xxx",IFERROR(IF(INT(IF($D70=H$3,装备表!$E73,"xxx")/10000)=1,IF($D70=H$3,装备表!$E73,"xxx")&amp;":2,1,1,"&amp;装备表!$O73&amp;";","xxx"),"xxx"))</f>
        <v>10004:2,1,1,34;</v>
      </c>
      <c r="I70" s="18" t="str">
        <f>IF(装备表!$O73=0,"xxx",IFERROR(IF(INT(IF($D70=I$3,装备表!$E73,"xxx")/10000)=1,IF($D70=I$3,装备表!$E73,"xxx")&amp;":2,1,1,"&amp;装备表!$O73&amp;";","xxx"),"xxx"))</f>
        <v>xxx</v>
      </c>
      <c r="J70" s="18" t="str">
        <f>IF(装备表!$O73=0,"xxx",IFERROR(IF(INT(IF($D70=J$3,装备表!$E73,"xxx")/10000)=3,IF($D70=J$3,装备表!$E73,"xxx")&amp;":2,1,1,"&amp;装备表!$O73&amp;";","xxx"),"xxx"))</f>
        <v>xxx</v>
      </c>
    </row>
    <row r="71" spans="3:10" x14ac:dyDescent="0.2">
      <c r="C71">
        <v>10204</v>
      </c>
      <c r="D71" s="18">
        <f>装备表!L74</f>
        <v>4</v>
      </c>
      <c r="E71" s="18" t="str">
        <f>IF(装备表!$O74=0,"xxx",IFERROR(IF(INT(IF($D71=E$3,装备表!$E74,"xxx")/10000)=1,IF($D71=E$3,装备表!$E74,"xxx")&amp;":2,1,1,"&amp;装备表!$O74&amp;";","xxx"),"xxx"))</f>
        <v>xxx</v>
      </c>
      <c r="F71" s="18" t="str">
        <f>IF(装备表!$O74=0,"xxx",IFERROR(IF(INT(IF($D71=F$3,装备表!$E74,"xxx")/10000)=1,IF($D71=F$3,装备表!$E74,"xxx")&amp;":2,1,1,"&amp;装备表!$O74&amp;";","xxx"),"xxx"))</f>
        <v>xxx</v>
      </c>
      <c r="G71" s="18" t="str">
        <f>IF(装备表!$O74=0,"xxx",IFERROR(IF(INT(IF($D71=G$3,装备表!$E74,"xxx")/10000)=1,IF($D71=G$3,装备表!$E74,"xxx")&amp;":2,1,1,"&amp;装备表!$O74&amp;";","xxx"),"xxx"))</f>
        <v>xxx</v>
      </c>
      <c r="H71" s="18" t="str">
        <f>IF(装备表!$O74=0,"xxx",IFERROR(IF(INT(IF($D71=H$3,装备表!$E74,"xxx")/10000)=1,IF($D71=H$3,装备表!$E74,"xxx")&amp;":2,1,1,"&amp;装备表!$O74&amp;";","xxx"),"xxx"))</f>
        <v>10204:2,1,1,34;</v>
      </c>
      <c r="I71" s="18" t="str">
        <f>IF(装备表!$O74=0,"xxx",IFERROR(IF(INT(IF($D71=I$3,装备表!$E74,"xxx")/10000)=1,IF($D71=I$3,装备表!$E74,"xxx")&amp;":2,1,1,"&amp;装备表!$O74&amp;";","xxx"),"xxx"))</f>
        <v>xxx</v>
      </c>
      <c r="J71" s="18" t="str">
        <f>IF(装备表!$O74=0,"xxx",IFERROR(IF(INT(IF($D71=J$3,装备表!$E74,"xxx")/10000)=3,IF($D71=J$3,装备表!$E74,"xxx")&amp;":2,1,1,"&amp;装备表!$O74&amp;";","xxx"),"xxx"))</f>
        <v>xxx</v>
      </c>
    </row>
    <row r="72" spans="3:10" x14ac:dyDescent="0.2">
      <c r="C72">
        <v>10304</v>
      </c>
      <c r="D72" s="18">
        <f>装备表!L75</f>
        <v>4</v>
      </c>
      <c r="E72" s="18" t="str">
        <f>IF(装备表!$O75=0,"xxx",IFERROR(IF(INT(IF($D72=E$3,装备表!$E75,"xxx")/10000)=1,IF($D72=E$3,装备表!$E75,"xxx")&amp;":2,1,1,"&amp;装备表!$O75&amp;";","xxx"),"xxx"))</f>
        <v>xxx</v>
      </c>
      <c r="F72" s="18" t="str">
        <f>IF(装备表!$O75=0,"xxx",IFERROR(IF(INT(IF($D72=F$3,装备表!$E75,"xxx")/10000)=1,IF($D72=F$3,装备表!$E75,"xxx")&amp;":2,1,1,"&amp;装备表!$O75&amp;";","xxx"),"xxx"))</f>
        <v>xxx</v>
      </c>
      <c r="G72" s="18" t="str">
        <f>IF(装备表!$O75=0,"xxx",IFERROR(IF(INT(IF($D72=G$3,装备表!$E75,"xxx")/10000)=1,IF($D72=G$3,装备表!$E75,"xxx")&amp;":2,1,1,"&amp;装备表!$O75&amp;";","xxx"),"xxx"))</f>
        <v>xxx</v>
      </c>
      <c r="H72" s="18" t="str">
        <f>IF(装备表!$O75=0,"xxx",IFERROR(IF(INT(IF($D72=H$3,装备表!$E75,"xxx")/10000)=1,IF($D72=H$3,装备表!$E75,"xxx")&amp;":2,1,1,"&amp;装备表!$O75&amp;";","xxx"),"xxx"))</f>
        <v>10304:2,1,1,34;</v>
      </c>
      <c r="I72" s="18" t="str">
        <f>IF(装备表!$O75=0,"xxx",IFERROR(IF(INT(IF($D72=I$3,装备表!$E75,"xxx")/10000)=1,IF($D72=I$3,装备表!$E75,"xxx")&amp;":2,1,1,"&amp;装备表!$O75&amp;";","xxx"),"xxx"))</f>
        <v>xxx</v>
      </c>
      <c r="J72" s="18" t="str">
        <f>IF(装备表!$O75=0,"xxx",IFERROR(IF(INT(IF($D72=J$3,装备表!$E75,"xxx")/10000)=3,IF($D72=J$3,装备表!$E75,"xxx")&amp;":2,1,1,"&amp;装备表!$O75&amp;";","xxx"),"xxx"))</f>
        <v>xxx</v>
      </c>
    </row>
    <row r="73" spans="3:10" x14ac:dyDescent="0.2">
      <c r="C73">
        <v>10404</v>
      </c>
      <c r="D73" s="18">
        <f>装备表!L76</f>
        <v>4</v>
      </c>
      <c r="E73" s="18" t="str">
        <f>IF(装备表!$O76=0,"xxx",IFERROR(IF(INT(IF($D73=E$3,装备表!$E76,"xxx")/10000)=1,IF($D73=E$3,装备表!$E76,"xxx")&amp;":2,1,1,"&amp;装备表!$O76&amp;";","xxx"),"xxx"))</f>
        <v>xxx</v>
      </c>
      <c r="F73" s="18" t="str">
        <f>IF(装备表!$O76=0,"xxx",IFERROR(IF(INT(IF($D73=F$3,装备表!$E76,"xxx")/10000)=1,IF($D73=F$3,装备表!$E76,"xxx")&amp;":2,1,1,"&amp;装备表!$O76&amp;";","xxx"),"xxx"))</f>
        <v>xxx</v>
      </c>
      <c r="G73" s="18" t="str">
        <f>IF(装备表!$O76=0,"xxx",IFERROR(IF(INT(IF($D73=G$3,装备表!$E76,"xxx")/10000)=1,IF($D73=G$3,装备表!$E76,"xxx")&amp;":2,1,1,"&amp;装备表!$O76&amp;";","xxx"),"xxx"))</f>
        <v>xxx</v>
      </c>
      <c r="H73" s="18" t="str">
        <f>IF(装备表!$O76=0,"xxx",IFERROR(IF(INT(IF($D73=H$3,装备表!$E76,"xxx")/10000)=1,IF($D73=H$3,装备表!$E76,"xxx")&amp;":2,1,1,"&amp;装备表!$O76&amp;";","xxx"),"xxx"))</f>
        <v>10404:2,1,1,34;</v>
      </c>
      <c r="I73" s="18" t="str">
        <f>IF(装备表!$O76=0,"xxx",IFERROR(IF(INT(IF($D73=I$3,装备表!$E76,"xxx")/10000)=1,IF($D73=I$3,装备表!$E76,"xxx")&amp;":2,1,1,"&amp;装备表!$O76&amp;";","xxx"),"xxx"))</f>
        <v>xxx</v>
      </c>
      <c r="J73" s="18" t="str">
        <f>IF(装备表!$O76=0,"xxx",IFERROR(IF(INT(IF($D73=J$3,装备表!$E76,"xxx")/10000)=3,IF($D73=J$3,装备表!$E76,"xxx")&amp;":2,1,1,"&amp;装备表!$O76&amp;";","xxx"),"xxx"))</f>
        <v>xxx</v>
      </c>
    </row>
    <row r="74" spans="3:10" x14ac:dyDescent="0.2">
      <c r="C74">
        <v>10504</v>
      </c>
      <c r="D74" s="18">
        <f>装备表!L77</f>
        <v>4</v>
      </c>
      <c r="E74" s="18" t="str">
        <f>IF(装备表!$O77=0,"xxx",IFERROR(IF(INT(IF($D74=E$3,装备表!$E77,"xxx")/10000)=1,IF($D74=E$3,装备表!$E77,"xxx")&amp;":2,1,1,"&amp;装备表!$O77&amp;";","xxx"),"xxx"))</f>
        <v>xxx</v>
      </c>
      <c r="F74" s="18" t="str">
        <f>IF(装备表!$O77=0,"xxx",IFERROR(IF(INT(IF($D74=F$3,装备表!$E77,"xxx")/10000)=1,IF($D74=F$3,装备表!$E77,"xxx")&amp;":2,1,1,"&amp;装备表!$O77&amp;";","xxx"),"xxx"))</f>
        <v>xxx</v>
      </c>
      <c r="G74" s="18" t="str">
        <f>IF(装备表!$O77=0,"xxx",IFERROR(IF(INT(IF($D74=G$3,装备表!$E77,"xxx")/10000)=1,IF($D74=G$3,装备表!$E77,"xxx")&amp;":2,1,1,"&amp;装备表!$O77&amp;";","xxx"),"xxx"))</f>
        <v>xxx</v>
      </c>
      <c r="H74" s="18" t="str">
        <f>IF(装备表!$O77=0,"xxx",IFERROR(IF(INT(IF($D74=H$3,装备表!$E77,"xxx")/10000)=1,IF($D74=H$3,装备表!$E77,"xxx")&amp;":2,1,1,"&amp;装备表!$O77&amp;";","xxx"),"xxx"))</f>
        <v>10504:2,1,1,34;</v>
      </c>
      <c r="I74" s="18" t="str">
        <f>IF(装备表!$O77=0,"xxx",IFERROR(IF(INT(IF($D74=I$3,装备表!$E77,"xxx")/10000)=1,IF($D74=I$3,装备表!$E77,"xxx")&amp;":2,1,1,"&amp;装备表!$O77&amp;";","xxx"),"xxx"))</f>
        <v>xxx</v>
      </c>
      <c r="J74" s="18" t="str">
        <f>IF(装备表!$O77=0,"xxx",IFERROR(IF(INT(IF($D74=J$3,装备表!$E77,"xxx")/10000)=3,IF($D74=J$3,装备表!$E77,"xxx")&amp;":2,1,1,"&amp;装备表!$O77&amp;";","xxx"),"xxx"))</f>
        <v>xxx</v>
      </c>
    </row>
    <row r="75" spans="3:10" x14ac:dyDescent="0.2">
      <c r="C75">
        <v>10604</v>
      </c>
      <c r="D75" s="18">
        <f>装备表!L78</f>
        <v>4</v>
      </c>
      <c r="E75" s="18" t="str">
        <f>IF(装备表!$O78=0,"xxx",IFERROR(IF(INT(IF($D75=E$3,装备表!$E78,"xxx")/10000)=1,IF($D75=E$3,装备表!$E78,"xxx")&amp;":2,1,1,"&amp;装备表!$O78&amp;";","xxx"),"xxx"))</f>
        <v>xxx</v>
      </c>
      <c r="F75" s="18" t="str">
        <f>IF(装备表!$O78=0,"xxx",IFERROR(IF(INT(IF($D75=F$3,装备表!$E78,"xxx")/10000)=1,IF($D75=F$3,装备表!$E78,"xxx")&amp;":2,1,1,"&amp;装备表!$O78&amp;";","xxx"),"xxx"))</f>
        <v>xxx</v>
      </c>
      <c r="G75" s="18" t="str">
        <f>IF(装备表!$O78=0,"xxx",IFERROR(IF(INT(IF($D75=G$3,装备表!$E78,"xxx")/10000)=1,IF($D75=G$3,装备表!$E78,"xxx")&amp;":2,1,1,"&amp;装备表!$O78&amp;";","xxx"),"xxx"))</f>
        <v>xxx</v>
      </c>
      <c r="H75" s="18" t="str">
        <f>IF(装备表!$O78=0,"xxx",IFERROR(IF(INT(IF($D75=H$3,装备表!$E78,"xxx")/10000)=1,IF($D75=H$3,装备表!$E78,"xxx")&amp;":2,1,1,"&amp;装备表!$O78&amp;";","xxx"),"xxx"))</f>
        <v>10604:2,1,1,34;</v>
      </c>
      <c r="I75" s="18" t="str">
        <f>IF(装备表!$O78=0,"xxx",IFERROR(IF(INT(IF($D75=I$3,装备表!$E78,"xxx")/10000)=1,IF($D75=I$3,装备表!$E78,"xxx")&amp;":2,1,1,"&amp;装备表!$O78&amp;";","xxx"),"xxx"))</f>
        <v>xxx</v>
      </c>
      <c r="J75" s="18" t="str">
        <f>IF(装备表!$O78=0,"xxx",IFERROR(IF(INT(IF($D75=J$3,装备表!$E78,"xxx")/10000)=3,IF($D75=J$3,装备表!$E78,"xxx")&amp;":2,1,1,"&amp;装备表!$O78&amp;";","xxx"),"xxx"))</f>
        <v>xxx</v>
      </c>
    </row>
    <row r="76" spans="3:10" x14ac:dyDescent="0.2">
      <c r="C76">
        <v>10704</v>
      </c>
      <c r="D76" s="18">
        <f>装备表!L79</f>
        <v>4</v>
      </c>
      <c r="E76" s="18" t="str">
        <f>IF(装备表!$O79=0,"xxx",IFERROR(IF(INT(IF($D76=E$3,装备表!$E79,"xxx")/10000)=1,IF($D76=E$3,装备表!$E79,"xxx")&amp;":2,1,1,"&amp;装备表!$O79&amp;";","xxx"),"xxx"))</f>
        <v>xxx</v>
      </c>
      <c r="F76" s="18" t="str">
        <f>IF(装备表!$O79=0,"xxx",IFERROR(IF(INT(IF($D76=F$3,装备表!$E79,"xxx")/10000)=1,IF($D76=F$3,装备表!$E79,"xxx")&amp;":2,1,1,"&amp;装备表!$O79&amp;";","xxx"),"xxx"))</f>
        <v>xxx</v>
      </c>
      <c r="G76" s="18" t="str">
        <f>IF(装备表!$O79=0,"xxx",IFERROR(IF(INT(IF($D76=G$3,装备表!$E79,"xxx")/10000)=1,IF($D76=G$3,装备表!$E79,"xxx")&amp;":2,1,1,"&amp;装备表!$O79&amp;";","xxx"),"xxx"))</f>
        <v>xxx</v>
      </c>
      <c r="H76" s="18" t="str">
        <f>IF(装备表!$O79=0,"xxx",IFERROR(IF(INT(IF($D76=H$3,装备表!$E79,"xxx")/10000)=1,IF($D76=H$3,装备表!$E79,"xxx")&amp;":2,1,1,"&amp;装备表!$O79&amp;";","xxx"),"xxx"))</f>
        <v>10704:2,1,1,34;</v>
      </c>
      <c r="I76" s="18" t="str">
        <f>IF(装备表!$O79=0,"xxx",IFERROR(IF(INT(IF($D76=I$3,装备表!$E79,"xxx")/10000)=1,IF($D76=I$3,装备表!$E79,"xxx")&amp;":2,1,1,"&amp;装备表!$O79&amp;";","xxx"),"xxx"))</f>
        <v>xxx</v>
      </c>
      <c r="J76" s="18" t="str">
        <f>IF(装备表!$O79=0,"xxx",IFERROR(IF(INT(IF($D76=J$3,装备表!$E79,"xxx")/10000)=3,IF($D76=J$3,装备表!$E79,"xxx")&amp;":2,1,1,"&amp;装备表!$O79&amp;";","xxx"),"xxx"))</f>
        <v>xxx</v>
      </c>
    </row>
    <row r="77" spans="3:10" x14ac:dyDescent="0.2">
      <c r="C77">
        <v>10804</v>
      </c>
      <c r="D77" s="18">
        <f>装备表!L80</f>
        <v>4</v>
      </c>
      <c r="E77" s="18" t="str">
        <f>IF(装备表!$O80=0,"xxx",IFERROR(IF(INT(IF($D77=E$3,装备表!$E80,"xxx")/10000)=1,IF($D77=E$3,装备表!$E80,"xxx")&amp;":2,1,1,"&amp;装备表!$O80&amp;";","xxx"),"xxx"))</f>
        <v>xxx</v>
      </c>
      <c r="F77" s="18" t="str">
        <f>IF(装备表!$O80=0,"xxx",IFERROR(IF(INT(IF($D77=F$3,装备表!$E80,"xxx")/10000)=1,IF($D77=F$3,装备表!$E80,"xxx")&amp;":2,1,1,"&amp;装备表!$O80&amp;";","xxx"),"xxx"))</f>
        <v>xxx</v>
      </c>
      <c r="G77" s="18" t="str">
        <f>IF(装备表!$O80=0,"xxx",IFERROR(IF(INT(IF($D77=G$3,装备表!$E80,"xxx")/10000)=1,IF($D77=G$3,装备表!$E80,"xxx")&amp;":2,1,1,"&amp;装备表!$O80&amp;";","xxx"),"xxx"))</f>
        <v>xxx</v>
      </c>
      <c r="H77" s="18" t="str">
        <f>IF(装备表!$O80=0,"xxx",IFERROR(IF(INT(IF($D77=H$3,装备表!$E80,"xxx")/10000)=1,IF($D77=H$3,装备表!$E80,"xxx")&amp;":2,1,1,"&amp;装备表!$O80&amp;";","xxx"),"xxx"))</f>
        <v>10804:2,1,1,34;</v>
      </c>
      <c r="I77" s="18" t="str">
        <f>IF(装备表!$O80=0,"xxx",IFERROR(IF(INT(IF($D77=I$3,装备表!$E80,"xxx")/10000)=1,IF($D77=I$3,装备表!$E80,"xxx")&amp;":2,1,1,"&amp;装备表!$O80&amp;";","xxx"),"xxx"))</f>
        <v>xxx</v>
      </c>
      <c r="J77" s="18" t="str">
        <f>IF(装备表!$O80=0,"xxx",IFERROR(IF(INT(IF($D77=J$3,装备表!$E80,"xxx")/10000)=3,IF($D77=J$3,装备表!$E80,"xxx")&amp;":2,1,1,"&amp;装备表!$O80&amp;";","xxx"),"xxx"))</f>
        <v>xxx</v>
      </c>
    </row>
    <row r="78" spans="3:10" x14ac:dyDescent="0.2">
      <c r="C78">
        <v>10904</v>
      </c>
      <c r="D78" s="18">
        <f>装备表!L81</f>
        <v>4</v>
      </c>
      <c r="E78" s="18" t="str">
        <f>IF(装备表!$O81=0,"xxx",IFERROR(IF(INT(IF($D78=E$3,装备表!$E81,"xxx")/10000)=1,IF($D78=E$3,装备表!$E81,"xxx")&amp;":2,1,1,"&amp;装备表!$O81&amp;";","xxx"),"xxx"))</f>
        <v>xxx</v>
      </c>
      <c r="F78" s="18" t="str">
        <f>IF(装备表!$O81=0,"xxx",IFERROR(IF(INT(IF($D78=F$3,装备表!$E81,"xxx")/10000)=1,IF($D78=F$3,装备表!$E81,"xxx")&amp;":2,1,1,"&amp;装备表!$O81&amp;";","xxx"),"xxx"))</f>
        <v>xxx</v>
      </c>
      <c r="G78" s="18" t="str">
        <f>IF(装备表!$O81=0,"xxx",IFERROR(IF(INT(IF($D78=G$3,装备表!$E81,"xxx")/10000)=1,IF($D78=G$3,装备表!$E81,"xxx")&amp;":2,1,1,"&amp;装备表!$O81&amp;";","xxx"),"xxx"))</f>
        <v>xxx</v>
      </c>
      <c r="H78" s="18" t="str">
        <f>IF(装备表!$O81=0,"xxx",IFERROR(IF(INT(IF($D78=H$3,装备表!$E81,"xxx")/10000)=1,IF($D78=H$3,装备表!$E81,"xxx")&amp;":2,1,1,"&amp;装备表!$O81&amp;";","xxx"),"xxx"))</f>
        <v>10904:2,1,1,34;</v>
      </c>
      <c r="I78" s="18" t="str">
        <f>IF(装备表!$O81=0,"xxx",IFERROR(IF(INT(IF($D78=I$3,装备表!$E81,"xxx")/10000)=1,IF($D78=I$3,装备表!$E81,"xxx")&amp;":2,1,1,"&amp;装备表!$O81&amp;";","xxx"),"xxx"))</f>
        <v>xxx</v>
      </c>
      <c r="J78" s="18" t="str">
        <f>IF(装备表!$O81=0,"xxx",IFERROR(IF(INT(IF($D78=J$3,装备表!$E81,"xxx")/10000)=3,IF($D78=J$3,装备表!$E81,"xxx")&amp;":2,1,1,"&amp;装备表!$O81&amp;";","xxx"),"xxx"))</f>
        <v>xxx</v>
      </c>
    </row>
    <row r="79" spans="3:10" x14ac:dyDescent="0.2">
      <c r="C79">
        <v>11004</v>
      </c>
      <c r="D79" s="18">
        <f>装备表!L82</f>
        <v>4</v>
      </c>
      <c r="E79" s="18" t="str">
        <f>IF(装备表!$O82=0,"xxx",IFERROR(IF(INT(IF($D79=E$3,装备表!$E82,"xxx")/10000)=1,IF($D79=E$3,装备表!$E82,"xxx")&amp;":2,1,1,"&amp;装备表!$O82&amp;";","xxx"),"xxx"))</f>
        <v>xxx</v>
      </c>
      <c r="F79" s="18" t="str">
        <f>IF(装备表!$O82=0,"xxx",IFERROR(IF(INT(IF($D79=F$3,装备表!$E82,"xxx")/10000)=1,IF($D79=F$3,装备表!$E82,"xxx")&amp;":2,1,1,"&amp;装备表!$O82&amp;";","xxx"),"xxx"))</f>
        <v>xxx</v>
      </c>
      <c r="G79" s="18" t="str">
        <f>IF(装备表!$O82=0,"xxx",IFERROR(IF(INT(IF($D79=G$3,装备表!$E82,"xxx")/10000)=1,IF($D79=G$3,装备表!$E82,"xxx")&amp;":2,1,1,"&amp;装备表!$O82&amp;";","xxx"),"xxx"))</f>
        <v>xxx</v>
      </c>
      <c r="H79" s="18" t="str">
        <f>IF(装备表!$O82=0,"xxx",IFERROR(IF(INT(IF($D79=H$3,装备表!$E82,"xxx")/10000)=1,IF($D79=H$3,装备表!$E82,"xxx")&amp;":2,1,1,"&amp;装备表!$O82&amp;";","xxx"),"xxx"))</f>
        <v>11004:2,1,1,34;</v>
      </c>
      <c r="I79" s="18" t="str">
        <f>IF(装备表!$O82=0,"xxx",IFERROR(IF(INT(IF($D79=I$3,装备表!$E82,"xxx")/10000)=1,IF($D79=I$3,装备表!$E82,"xxx")&amp;":2,1,1,"&amp;装备表!$O82&amp;";","xxx"),"xxx"))</f>
        <v>xxx</v>
      </c>
      <c r="J79" s="18" t="str">
        <f>IF(装备表!$O82=0,"xxx",IFERROR(IF(INT(IF($D79=J$3,装备表!$E82,"xxx")/10000)=3,IF($D79=J$3,装备表!$E82,"xxx")&amp;":2,1,1,"&amp;装备表!$O82&amp;";","xxx"),"xxx"))</f>
        <v>xxx</v>
      </c>
    </row>
    <row r="80" spans="3:10" x14ac:dyDescent="0.2">
      <c r="C80">
        <v>11104</v>
      </c>
      <c r="D80" s="18">
        <f>装备表!L83</f>
        <v>4</v>
      </c>
      <c r="E80" s="18" t="str">
        <f>IF(装备表!$O83=0,"xxx",IFERROR(IF(INT(IF($D80=E$3,装备表!$E83,"xxx")/10000)=1,IF($D80=E$3,装备表!$E83,"xxx")&amp;":2,1,1,"&amp;装备表!$O83&amp;";","xxx"),"xxx"))</f>
        <v>xxx</v>
      </c>
      <c r="F80" s="18" t="str">
        <f>IF(装备表!$O83=0,"xxx",IFERROR(IF(INT(IF($D80=F$3,装备表!$E83,"xxx")/10000)=1,IF($D80=F$3,装备表!$E83,"xxx")&amp;":2,1,1,"&amp;装备表!$O83&amp;";","xxx"),"xxx"))</f>
        <v>xxx</v>
      </c>
      <c r="G80" s="18" t="str">
        <f>IF(装备表!$O83=0,"xxx",IFERROR(IF(INT(IF($D80=G$3,装备表!$E83,"xxx")/10000)=1,IF($D80=G$3,装备表!$E83,"xxx")&amp;":2,1,1,"&amp;装备表!$O83&amp;";","xxx"),"xxx"))</f>
        <v>xxx</v>
      </c>
      <c r="H80" s="18" t="str">
        <f>IF(装备表!$O83=0,"xxx",IFERROR(IF(INT(IF($D80=H$3,装备表!$E83,"xxx")/10000)=1,IF($D80=H$3,装备表!$E83,"xxx")&amp;":2,1,1,"&amp;装备表!$O83&amp;";","xxx"),"xxx"))</f>
        <v>11104:2,1,1,34;</v>
      </c>
      <c r="I80" s="18" t="str">
        <f>IF(装备表!$O83=0,"xxx",IFERROR(IF(INT(IF($D80=I$3,装备表!$E83,"xxx")/10000)=1,IF($D80=I$3,装备表!$E83,"xxx")&amp;":2,1,1,"&amp;装备表!$O83&amp;";","xxx"),"xxx"))</f>
        <v>xxx</v>
      </c>
      <c r="J80" s="18" t="str">
        <f>IF(装备表!$O83=0,"xxx",IFERROR(IF(INT(IF($D80=J$3,装备表!$E83,"xxx")/10000)=3,IF($D80=J$3,装备表!$E83,"xxx")&amp;":2,1,1,"&amp;装备表!$O83&amp;";","xxx"),"xxx"))</f>
        <v>xxx</v>
      </c>
    </row>
    <row r="81" spans="3:10" x14ac:dyDescent="0.2">
      <c r="C81">
        <v>11204</v>
      </c>
      <c r="D81" s="18">
        <f>装备表!L84</f>
        <v>4</v>
      </c>
      <c r="E81" s="18" t="str">
        <f>IF(装备表!$O84=0,"xxx",IFERROR(IF(INT(IF($D81=E$3,装备表!$E84,"xxx")/10000)=1,IF($D81=E$3,装备表!$E84,"xxx")&amp;":2,1,1,"&amp;装备表!$O84&amp;";","xxx"),"xxx"))</f>
        <v>xxx</v>
      </c>
      <c r="F81" s="18" t="str">
        <f>IF(装备表!$O84=0,"xxx",IFERROR(IF(INT(IF($D81=F$3,装备表!$E84,"xxx")/10000)=1,IF($D81=F$3,装备表!$E84,"xxx")&amp;":2,1,1,"&amp;装备表!$O84&amp;";","xxx"),"xxx"))</f>
        <v>xxx</v>
      </c>
      <c r="G81" s="18" t="str">
        <f>IF(装备表!$O84=0,"xxx",IFERROR(IF(INT(IF($D81=G$3,装备表!$E84,"xxx")/10000)=1,IF($D81=G$3,装备表!$E84,"xxx")&amp;":2,1,1,"&amp;装备表!$O84&amp;";","xxx"),"xxx"))</f>
        <v>xxx</v>
      </c>
      <c r="H81" s="18" t="str">
        <f>IF(装备表!$O84=0,"xxx",IFERROR(IF(INT(IF($D81=H$3,装备表!$E84,"xxx")/10000)=1,IF($D81=H$3,装备表!$E84,"xxx")&amp;":2,1,1,"&amp;装备表!$O84&amp;";","xxx"),"xxx"))</f>
        <v>11204:2,1,1,34;</v>
      </c>
      <c r="I81" s="18" t="str">
        <f>IF(装备表!$O84=0,"xxx",IFERROR(IF(INT(IF($D81=I$3,装备表!$E84,"xxx")/10000)=1,IF($D81=I$3,装备表!$E84,"xxx")&amp;":2,1,1,"&amp;装备表!$O84&amp;";","xxx"),"xxx"))</f>
        <v>xxx</v>
      </c>
      <c r="J81" s="18" t="str">
        <f>IF(装备表!$O84=0,"xxx",IFERROR(IF(INT(IF($D81=J$3,装备表!$E84,"xxx")/10000)=3,IF($D81=J$3,装备表!$E84,"xxx")&amp;":2,1,1,"&amp;装备表!$O84&amp;";","xxx"),"xxx"))</f>
        <v>xxx</v>
      </c>
    </row>
    <row r="82" spans="3:10" x14ac:dyDescent="0.2">
      <c r="C82">
        <v>11304</v>
      </c>
      <c r="D82" s="18">
        <f>装备表!L85</f>
        <v>4</v>
      </c>
      <c r="E82" s="18" t="str">
        <f>IF(装备表!$O85=0,"xxx",IFERROR(IF(INT(IF($D82=E$3,装备表!$E85,"xxx")/10000)=1,IF($D82=E$3,装备表!$E85,"xxx")&amp;":2,1,1,"&amp;装备表!$O85&amp;";","xxx"),"xxx"))</f>
        <v>xxx</v>
      </c>
      <c r="F82" s="18" t="str">
        <f>IF(装备表!$O85=0,"xxx",IFERROR(IF(INT(IF($D82=F$3,装备表!$E85,"xxx")/10000)=1,IF($D82=F$3,装备表!$E85,"xxx")&amp;":2,1,1,"&amp;装备表!$O85&amp;";","xxx"),"xxx"))</f>
        <v>xxx</v>
      </c>
      <c r="G82" s="18" t="str">
        <f>IF(装备表!$O85=0,"xxx",IFERROR(IF(INT(IF($D82=G$3,装备表!$E85,"xxx")/10000)=1,IF($D82=G$3,装备表!$E85,"xxx")&amp;":2,1,1,"&amp;装备表!$O85&amp;";","xxx"),"xxx"))</f>
        <v>xxx</v>
      </c>
      <c r="H82" s="18" t="str">
        <f>IF(装备表!$O85=0,"xxx",IFERROR(IF(INT(IF($D82=H$3,装备表!$E85,"xxx")/10000)=1,IF($D82=H$3,装备表!$E85,"xxx")&amp;":2,1,1,"&amp;装备表!$O85&amp;";","xxx"),"xxx"))</f>
        <v>11304:2,1,1,34;</v>
      </c>
      <c r="I82" s="18" t="str">
        <f>IF(装备表!$O85=0,"xxx",IFERROR(IF(INT(IF($D82=I$3,装备表!$E85,"xxx")/10000)=1,IF($D82=I$3,装备表!$E85,"xxx")&amp;":2,1,1,"&amp;装备表!$O85&amp;";","xxx"),"xxx"))</f>
        <v>xxx</v>
      </c>
      <c r="J82" s="18" t="str">
        <f>IF(装备表!$O85=0,"xxx",IFERROR(IF(INT(IF($D82=J$3,装备表!$E85,"xxx")/10000)=3,IF($D82=J$3,装备表!$E85,"xxx")&amp;":2,1,1,"&amp;装备表!$O85&amp;";","xxx"),"xxx"))</f>
        <v>xxx</v>
      </c>
    </row>
    <row r="83" spans="3:10" x14ac:dyDescent="0.2">
      <c r="C83">
        <v>11404</v>
      </c>
      <c r="D83" s="18">
        <f>装备表!L86</f>
        <v>4</v>
      </c>
      <c r="E83" s="18" t="str">
        <f>IF(装备表!$O86=0,"xxx",IFERROR(IF(INT(IF($D83=E$3,装备表!$E86,"xxx")/10000)=1,IF($D83=E$3,装备表!$E86,"xxx")&amp;":2,1,1,"&amp;装备表!$O86&amp;";","xxx"),"xxx"))</f>
        <v>xxx</v>
      </c>
      <c r="F83" s="18" t="str">
        <f>IF(装备表!$O86=0,"xxx",IFERROR(IF(INT(IF($D83=F$3,装备表!$E86,"xxx")/10000)=1,IF($D83=F$3,装备表!$E86,"xxx")&amp;":2,1,1,"&amp;装备表!$O86&amp;";","xxx"),"xxx"))</f>
        <v>xxx</v>
      </c>
      <c r="G83" s="18" t="str">
        <f>IF(装备表!$O86=0,"xxx",IFERROR(IF(INT(IF($D83=G$3,装备表!$E86,"xxx")/10000)=1,IF($D83=G$3,装备表!$E86,"xxx")&amp;":2,1,1,"&amp;装备表!$O86&amp;";","xxx"),"xxx"))</f>
        <v>xxx</v>
      </c>
      <c r="H83" s="18" t="str">
        <f>IF(装备表!$O86=0,"xxx",IFERROR(IF(INT(IF($D83=H$3,装备表!$E86,"xxx")/10000)=1,IF($D83=H$3,装备表!$E86,"xxx")&amp;":2,1,1,"&amp;装备表!$O86&amp;";","xxx"),"xxx"))</f>
        <v>11404:2,1,1,34;</v>
      </c>
      <c r="I83" s="18" t="str">
        <f>IF(装备表!$O86=0,"xxx",IFERROR(IF(INT(IF($D83=I$3,装备表!$E86,"xxx")/10000)=1,IF($D83=I$3,装备表!$E86,"xxx")&amp;":2,1,1,"&amp;装备表!$O86&amp;";","xxx"),"xxx"))</f>
        <v>xxx</v>
      </c>
      <c r="J83" s="18" t="str">
        <f>IF(装备表!$O86=0,"xxx",IFERROR(IF(INT(IF($D83=J$3,装备表!$E86,"xxx")/10000)=3,IF($D83=J$3,装备表!$E86,"xxx")&amp;":2,1,1,"&amp;装备表!$O86&amp;";","xxx"),"xxx"))</f>
        <v>xxx</v>
      </c>
    </row>
    <row r="84" spans="3:10" x14ac:dyDescent="0.2">
      <c r="C84">
        <v>11504</v>
      </c>
      <c r="D84" s="18">
        <f>装备表!L87</f>
        <v>4</v>
      </c>
      <c r="E84" s="18" t="str">
        <f>IF(装备表!$O87=0,"xxx",IFERROR(IF(INT(IF($D84=E$3,装备表!$E87,"xxx")/10000)=1,IF($D84=E$3,装备表!$E87,"xxx")&amp;":2,1,1,"&amp;装备表!$O87&amp;";","xxx"),"xxx"))</f>
        <v>xxx</v>
      </c>
      <c r="F84" s="18" t="str">
        <f>IF(装备表!$O87=0,"xxx",IFERROR(IF(INT(IF($D84=F$3,装备表!$E87,"xxx")/10000)=1,IF($D84=F$3,装备表!$E87,"xxx")&amp;":2,1,1,"&amp;装备表!$O87&amp;";","xxx"),"xxx"))</f>
        <v>xxx</v>
      </c>
      <c r="G84" s="18" t="str">
        <f>IF(装备表!$O87=0,"xxx",IFERROR(IF(INT(IF($D84=G$3,装备表!$E87,"xxx")/10000)=1,IF($D84=G$3,装备表!$E87,"xxx")&amp;":2,1,1,"&amp;装备表!$O87&amp;";","xxx"),"xxx"))</f>
        <v>xxx</v>
      </c>
      <c r="H84" s="18" t="str">
        <f>IF(装备表!$O87=0,"xxx",IFERROR(IF(INT(IF($D84=H$3,装备表!$E87,"xxx")/10000)=1,IF($D84=H$3,装备表!$E87,"xxx")&amp;":2,1,1,"&amp;装备表!$O87&amp;";","xxx"),"xxx"))</f>
        <v>11504:2,1,1,34;</v>
      </c>
      <c r="I84" s="18" t="str">
        <f>IF(装备表!$O87=0,"xxx",IFERROR(IF(INT(IF($D84=I$3,装备表!$E87,"xxx")/10000)=1,IF($D84=I$3,装备表!$E87,"xxx")&amp;":2,1,1,"&amp;装备表!$O87&amp;";","xxx"),"xxx"))</f>
        <v>xxx</v>
      </c>
      <c r="J84" s="18" t="str">
        <f>IF(装备表!$O87=0,"xxx",IFERROR(IF(INT(IF($D84=J$3,装备表!$E87,"xxx")/10000)=3,IF($D84=J$3,装备表!$E87,"xxx")&amp;":2,1,1,"&amp;装备表!$O87&amp;";","xxx"),"xxx"))</f>
        <v>xxx</v>
      </c>
    </row>
    <row r="85" spans="3:10" x14ac:dyDescent="0.2">
      <c r="C85">
        <v>12104</v>
      </c>
      <c r="D85" s="18">
        <f>装备表!L88</f>
        <v>4</v>
      </c>
      <c r="E85" s="18" t="str">
        <f>IF(装备表!$O88=0,"xxx",IFERROR(IF(INT(IF($D85=E$3,装备表!$E88,"xxx")/10000)=1,IF($D85=E$3,装备表!$E88,"xxx")&amp;":2,1,1,"&amp;装备表!$O88&amp;";","xxx"),"xxx"))</f>
        <v>xxx</v>
      </c>
      <c r="F85" s="18" t="str">
        <f>IF(装备表!$O88=0,"xxx",IFERROR(IF(INT(IF($D85=F$3,装备表!$E88,"xxx")/10000)=1,IF($D85=F$3,装备表!$E88,"xxx")&amp;":2,1,1,"&amp;装备表!$O88&amp;";","xxx"),"xxx"))</f>
        <v>xxx</v>
      </c>
      <c r="G85" s="18" t="str">
        <f>IF(装备表!$O88=0,"xxx",IFERROR(IF(INT(IF($D85=G$3,装备表!$E88,"xxx")/10000)=1,IF($D85=G$3,装备表!$E88,"xxx")&amp;":2,1,1,"&amp;装备表!$O88&amp;";","xxx"),"xxx"))</f>
        <v>xxx</v>
      </c>
      <c r="H85" s="18" t="str">
        <f>IF(装备表!$O88=0,"xxx",IFERROR(IF(INT(IF($D85=H$3,装备表!$E88,"xxx")/10000)=1,IF($D85=H$3,装备表!$E88,"xxx")&amp;":2,1,1,"&amp;装备表!$O88&amp;";","xxx"),"xxx"))</f>
        <v>12104:2,1,1,85;</v>
      </c>
      <c r="I85" s="18" t="str">
        <f>IF(装备表!$O88=0,"xxx",IFERROR(IF(INT(IF($D85=I$3,装备表!$E88,"xxx")/10000)=1,IF($D85=I$3,装备表!$E88,"xxx")&amp;":2,1,1,"&amp;装备表!$O88&amp;";","xxx"),"xxx"))</f>
        <v>xxx</v>
      </c>
      <c r="J85" s="18" t="str">
        <f>IF(装备表!$O88=0,"xxx",IFERROR(IF(INT(IF($D85=J$3,装备表!$E88,"xxx")/10000)=3,IF($D85=J$3,装备表!$E88,"xxx")&amp;":2,1,1,"&amp;装备表!$O88&amp;";","xxx"),"xxx"))</f>
        <v>xxx</v>
      </c>
    </row>
    <row r="86" spans="3:10" x14ac:dyDescent="0.2">
      <c r="C86">
        <v>12204</v>
      </c>
      <c r="D86" s="18">
        <f>装备表!L89</f>
        <v>4</v>
      </c>
      <c r="E86" s="18" t="str">
        <f>IF(装备表!$O89=0,"xxx",IFERROR(IF(INT(IF($D86=E$3,装备表!$E89,"xxx")/10000)=1,IF($D86=E$3,装备表!$E89,"xxx")&amp;":2,1,1,"&amp;装备表!$O89&amp;";","xxx"),"xxx"))</f>
        <v>xxx</v>
      </c>
      <c r="F86" s="18" t="str">
        <f>IF(装备表!$O89=0,"xxx",IFERROR(IF(INT(IF($D86=F$3,装备表!$E89,"xxx")/10000)=1,IF($D86=F$3,装备表!$E89,"xxx")&amp;":2,1,1,"&amp;装备表!$O89&amp;";","xxx"),"xxx"))</f>
        <v>xxx</v>
      </c>
      <c r="G86" s="18" t="str">
        <f>IF(装备表!$O89=0,"xxx",IFERROR(IF(INT(IF($D86=G$3,装备表!$E89,"xxx")/10000)=1,IF($D86=G$3,装备表!$E89,"xxx")&amp;":2,1,1,"&amp;装备表!$O89&amp;";","xxx"),"xxx"))</f>
        <v>xxx</v>
      </c>
      <c r="H86" s="18" t="str">
        <f>IF(装备表!$O89=0,"xxx",IFERROR(IF(INT(IF($D86=H$3,装备表!$E89,"xxx")/10000)=1,IF($D86=H$3,装备表!$E89,"xxx")&amp;":2,1,1,"&amp;装备表!$O89&amp;";","xxx"),"xxx"))</f>
        <v>12204:2,1,1,85;</v>
      </c>
      <c r="I86" s="18" t="str">
        <f>IF(装备表!$O89=0,"xxx",IFERROR(IF(INT(IF($D86=I$3,装备表!$E89,"xxx")/10000)=1,IF($D86=I$3,装备表!$E89,"xxx")&amp;":2,1,1,"&amp;装备表!$O89&amp;";","xxx"),"xxx"))</f>
        <v>xxx</v>
      </c>
      <c r="J86" s="18" t="str">
        <f>IF(装备表!$O89=0,"xxx",IFERROR(IF(INT(IF($D86=J$3,装备表!$E89,"xxx")/10000)=3,IF($D86=J$3,装备表!$E89,"xxx")&amp;":2,1,1,"&amp;装备表!$O89&amp;";","xxx"),"xxx"))</f>
        <v>xxx</v>
      </c>
    </row>
    <row r="87" spans="3:10" x14ac:dyDescent="0.2">
      <c r="C87">
        <v>12304</v>
      </c>
      <c r="D87" s="18">
        <f>装备表!L90</f>
        <v>4</v>
      </c>
      <c r="E87" s="18" t="str">
        <f>IF(装备表!$O90=0,"xxx",IFERROR(IF(INT(IF($D87=E$3,装备表!$E90,"xxx")/10000)=1,IF($D87=E$3,装备表!$E90,"xxx")&amp;":2,1,1,"&amp;装备表!$O90&amp;";","xxx"),"xxx"))</f>
        <v>xxx</v>
      </c>
      <c r="F87" s="18" t="str">
        <f>IF(装备表!$O90=0,"xxx",IFERROR(IF(INT(IF($D87=F$3,装备表!$E90,"xxx")/10000)=1,IF($D87=F$3,装备表!$E90,"xxx")&amp;":2,1,1,"&amp;装备表!$O90&amp;";","xxx"),"xxx"))</f>
        <v>xxx</v>
      </c>
      <c r="G87" s="18" t="str">
        <f>IF(装备表!$O90=0,"xxx",IFERROR(IF(INT(IF($D87=G$3,装备表!$E90,"xxx")/10000)=1,IF($D87=G$3,装备表!$E90,"xxx")&amp;":2,1,1,"&amp;装备表!$O90&amp;";","xxx"),"xxx"))</f>
        <v>xxx</v>
      </c>
      <c r="H87" s="18" t="str">
        <f>IF(装备表!$O90=0,"xxx",IFERROR(IF(INT(IF($D87=H$3,装备表!$E90,"xxx")/10000)=1,IF($D87=H$3,装备表!$E90,"xxx")&amp;":2,1,1,"&amp;装备表!$O90&amp;";","xxx"),"xxx"))</f>
        <v>12304:2,1,1,85;</v>
      </c>
      <c r="I87" s="18" t="str">
        <f>IF(装备表!$O90=0,"xxx",IFERROR(IF(INT(IF($D87=I$3,装备表!$E90,"xxx")/10000)=1,IF($D87=I$3,装备表!$E90,"xxx")&amp;":2,1,1,"&amp;装备表!$O90&amp;";","xxx"),"xxx"))</f>
        <v>xxx</v>
      </c>
      <c r="J87" s="18" t="str">
        <f>IF(装备表!$O90=0,"xxx",IFERROR(IF(INT(IF($D87=J$3,装备表!$E90,"xxx")/10000)=3,IF($D87=J$3,装备表!$E90,"xxx")&amp;":2,1,1,"&amp;装备表!$O90&amp;";","xxx"),"xxx"))</f>
        <v>xxx</v>
      </c>
    </row>
    <row r="88" spans="3:10" x14ac:dyDescent="0.2">
      <c r="C88">
        <v>12404</v>
      </c>
      <c r="D88" s="18">
        <f>装备表!L91</f>
        <v>4</v>
      </c>
      <c r="E88" s="18" t="str">
        <f>IF(装备表!$O91=0,"xxx",IFERROR(IF(INT(IF($D88=E$3,装备表!$E91,"xxx")/10000)=1,IF($D88=E$3,装备表!$E91,"xxx")&amp;":2,1,1,"&amp;装备表!$O91&amp;";","xxx"),"xxx"))</f>
        <v>xxx</v>
      </c>
      <c r="F88" s="18" t="str">
        <f>IF(装备表!$O91=0,"xxx",IFERROR(IF(INT(IF($D88=F$3,装备表!$E91,"xxx")/10000)=1,IF($D88=F$3,装备表!$E91,"xxx")&amp;":2,1,1,"&amp;装备表!$O91&amp;";","xxx"),"xxx"))</f>
        <v>xxx</v>
      </c>
      <c r="G88" s="18" t="str">
        <f>IF(装备表!$O91=0,"xxx",IFERROR(IF(INT(IF($D88=G$3,装备表!$E91,"xxx")/10000)=1,IF($D88=G$3,装备表!$E91,"xxx")&amp;":2,1,1,"&amp;装备表!$O91&amp;";","xxx"),"xxx"))</f>
        <v>xxx</v>
      </c>
      <c r="H88" s="18" t="str">
        <f>IF(装备表!$O91=0,"xxx",IFERROR(IF(INT(IF($D88=H$3,装备表!$E91,"xxx")/10000)=1,IF($D88=H$3,装备表!$E91,"xxx")&amp;":2,1,1,"&amp;装备表!$O91&amp;";","xxx"),"xxx"))</f>
        <v>12404:2,1,1,85;</v>
      </c>
      <c r="I88" s="18" t="str">
        <f>IF(装备表!$O91=0,"xxx",IFERROR(IF(INT(IF($D88=I$3,装备表!$E91,"xxx")/10000)=1,IF($D88=I$3,装备表!$E91,"xxx")&amp;":2,1,1,"&amp;装备表!$O91&amp;";","xxx"),"xxx"))</f>
        <v>xxx</v>
      </c>
      <c r="J88" s="18" t="str">
        <f>IF(装备表!$O91=0,"xxx",IFERROR(IF(INT(IF($D88=J$3,装备表!$E91,"xxx")/10000)=3,IF($D88=J$3,装备表!$E91,"xxx")&amp;":2,1,1,"&amp;装备表!$O91&amp;";","xxx"),"xxx"))</f>
        <v>xxx</v>
      </c>
    </row>
    <row r="89" spans="3:10" x14ac:dyDescent="0.2">
      <c r="C89">
        <v>12504</v>
      </c>
      <c r="D89" s="18">
        <f>装备表!L92</f>
        <v>4</v>
      </c>
      <c r="E89" s="18" t="str">
        <f>IF(装备表!$O92=0,"xxx",IFERROR(IF(INT(IF($D89=E$3,装备表!$E92,"xxx")/10000)=1,IF($D89=E$3,装备表!$E92,"xxx")&amp;":2,1,1,"&amp;装备表!$O92&amp;";","xxx"),"xxx"))</f>
        <v>xxx</v>
      </c>
      <c r="F89" s="18" t="str">
        <f>IF(装备表!$O92=0,"xxx",IFERROR(IF(INT(IF($D89=F$3,装备表!$E92,"xxx")/10000)=1,IF($D89=F$3,装备表!$E92,"xxx")&amp;":2,1,1,"&amp;装备表!$O92&amp;";","xxx"),"xxx"))</f>
        <v>xxx</v>
      </c>
      <c r="G89" s="18" t="str">
        <f>IF(装备表!$O92=0,"xxx",IFERROR(IF(INT(IF($D89=G$3,装备表!$E92,"xxx")/10000)=1,IF($D89=G$3,装备表!$E92,"xxx")&amp;":2,1,1,"&amp;装备表!$O92&amp;";","xxx"),"xxx"))</f>
        <v>xxx</v>
      </c>
      <c r="H89" s="18" t="str">
        <f>IF(装备表!$O92=0,"xxx",IFERROR(IF(INT(IF($D89=H$3,装备表!$E92,"xxx")/10000)=1,IF($D89=H$3,装备表!$E92,"xxx")&amp;":2,1,1,"&amp;装备表!$O92&amp;";","xxx"),"xxx"))</f>
        <v>12504:2,1,1,85;</v>
      </c>
      <c r="I89" s="18" t="str">
        <f>IF(装备表!$O92=0,"xxx",IFERROR(IF(INT(IF($D89=I$3,装备表!$E92,"xxx")/10000)=1,IF($D89=I$3,装备表!$E92,"xxx")&amp;":2,1,1,"&amp;装备表!$O92&amp;";","xxx"),"xxx"))</f>
        <v>xxx</v>
      </c>
      <c r="J89" s="18" t="str">
        <f>IF(装备表!$O92=0,"xxx",IFERROR(IF(INT(IF($D89=J$3,装备表!$E92,"xxx")/10000)=3,IF($D89=J$3,装备表!$E92,"xxx")&amp;":2,1,1,"&amp;装备表!$O92&amp;";","xxx"),"xxx"))</f>
        <v>xxx</v>
      </c>
    </row>
    <row r="90" spans="3:10" x14ac:dyDescent="0.2">
      <c r="C90">
        <v>13104</v>
      </c>
      <c r="D90" s="18">
        <f>装备表!L93</f>
        <v>4</v>
      </c>
      <c r="E90" s="18" t="str">
        <f>IF(装备表!$O93=0,"xxx",IFERROR(IF(INT(IF($D90=E$3,装备表!$E93,"xxx")/10000)=1,IF($D90=E$3,装备表!$E93,"xxx")&amp;":2,1,1,"&amp;装备表!$O93&amp;";","xxx"),"xxx"))</f>
        <v>xxx</v>
      </c>
      <c r="F90" s="18" t="str">
        <f>IF(装备表!$O93=0,"xxx",IFERROR(IF(INT(IF($D90=F$3,装备表!$E93,"xxx")/10000)=1,IF($D90=F$3,装备表!$E93,"xxx")&amp;":2,1,1,"&amp;装备表!$O93&amp;";","xxx"),"xxx"))</f>
        <v>xxx</v>
      </c>
      <c r="G90" s="18" t="str">
        <f>IF(装备表!$O93=0,"xxx",IFERROR(IF(INT(IF($D90=G$3,装备表!$E93,"xxx")/10000)=1,IF($D90=G$3,装备表!$E93,"xxx")&amp;":2,1,1,"&amp;装备表!$O93&amp;";","xxx"),"xxx"))</f>
        <v>xxx</v>
      </c>
      <c r="H90" s="18" t="str">
        <f>IF(装备表!$O93=0,"xxx",IFERROR(IF(INT(IF($D90=H$3,装备表!$E93,"xxx")/10000)=1,IF($D90=H$3,装备表!$E93,"xxx")&amp;":2,1,1,"&amp;装备表!$O93&amp;";","xxx"),"xxx"))</f>
        <v>13104:2,1,1,50;</v>
      </c>
      <c r="I90" s="18" t="str">
        <f>IF(装备表!$O93=0,"xxx",IFERROR(IF(INT(IF($D90=I$3,装备表!$E93,"xxx")/10000)=1,IF($D90=I$3,装备表!$E93,"xxx")&amp;":2,1,1,"&amp;装备表!$O93&amp;";","xxx"),"xxx"))</f>
        <v>xxx</v>
      </c>
      <c r="J90" s="18" t="str">
        <f>IF(装备表!$O93=0,"xxx",IFERROR(IF(INT(IF($D90=J$3,装备表!$E93,"xxx")/10000)=3,IF($D90=J$3,装备表!$E93,"xxx")&amp;":2,1,1,"&amp;装备表!$O93&amp;";","xxx"),"xxx"))</f>
        <v>xxx</v>
      </c>
    </row>
    <row r="91" spans="3:10" x14ac:dyDescent="0.2">
      <c r="C91">
        <v>13204</v>
      </c>
      <c r="D91" s="18">
        <f>装备表!L94</f>
        <v>4</v>
      </c>
      <c r="E91" s="18" t="str">
        <f>IF(装备表!$O94=0,"xxx",IFERROR(IF(INT(IF($D91=E$3,装备表!$E94,"xxx")/10000)=1,IF($D91=E$3,装备表!$E94,"xxx")&amp;":2,1,1,"&amp;装备表!$O94&amp;";","xxx"),"xxx"))</f>
        <v>xxx</v>
      </c>
      <c r="F91" s="18" t="str">
        <f>IF(装备表!$O94=0,"xxx",IFERROR(IF(INT(IF($D91=F$3,装备表!$E94,"xxx")/10000)=1,IF($D91=F$3,装备表!$E94,"xxx")&amp;":2,1,1,"&amp;装备表!$O94&amp;";","xxx"),"xxx"))</f>
        <v>xxx</v>
      </c>
      <c r="G91" s="18" t="str">
        <f>IF(装备表!$O94=0,"xxx",IFERROR(IF(INT(IF($D91=G$3,装备表!$E94,"xxx")/10000)=1,IF($D91=G$3,装备表!$E94,"xxx")&amp;":2,1,1,"&amp;装备表!$O94&amp;";","xxx"),"xxx"))</f>
        <v>xxx</v>
      </c>
      <c r="H91" s="18" t="str">
        <f>IF(装备表!$O94=0,"xxx",IFERROR(IF(INT(IF($D91=H$3,装备表!$E94,"xxx")/10000)=1,IF($D91=H$3,装备表!$E94,"xxx")&amp;":2,1,1,"&amp;装备表!$O94&amp;";","xxx"),"xxx"))</f>
        <v>13204:2,1,1,100;</v>
      </c>
      <c r="I91" s="18" t="str">
        <f>IF(装备表!$O94=0,"xxx",IFERROR(IF(INT(IF($D91=I$3,装备表!$E94,"xxx")/10000)=1,IF($D91=I$3,装备表!$E94,"xxx")&amp;":2,1,1,"&amp;装备表!$O94&amp;";","xxx"),"xxx"))</f>
        <v>xxx</v>
      </c>
      <c r="J91" s="18" t="str">
        <f>IF(装备表!$O94=0,"xxx",IFERROR(IF(INT(IF($D91=J$3,装备表!$E94,"xxx")/10000)=3,IF($D91=J$3,装备表!$E94,"xxx")&amp;":2,1,1,"&amp;装备表!$O94&amp;";","xxx"),"xxx"))</f>
        <v>xxx</v>
      </c>
    </row>
    <row r="92" spans="3:10" x14ac:dyDescent="0.2">
      <c r="C92">
        <v>14694</v>
      </c>
      <c r="D92" s="18">
        <f>装备表!L95</f>
        <v>5</v>
      </c>
      <c r="E92" s="18" t="str">
        <f>IF(装备表!$O95=0,"xxx",IFERROR(IF(INT(IF($D92=E$3,装备表!$E95,"xxx")/10000)=1,IF($D92=E$3,装备表!$E95,"xxx")&amp;":2,1,1,"&amp;装备表!$O95&amp;";","xxx"),"xxx"))</f>
        <v>xxx</v>
      </c>
      <c r="F92" s="18" t="str">
        <f>IF(装备表!$O95=0,"xxx",IFERROR(IF(INT(IF($D92=F$3,装备表!$E95,"xxx")/10000)=1,IF($D92=F$3,装备表!$E95,"xxx")&amp;":2,1,1,"&amp;装备表!$O95&amp;";","xxx"),"xxx"))</f>
        <v>xxx</v>
      </c>
      <c r="G92" s="18" t="str">
        <f>IF(装备表!$O95=0,"xxx",IFERROR(IF(INT(IF($D92=G$3,装备表!$E95,"xxx")/10000)=1,IF($D92=G$3,装备表!$E95,"xxx")&amp;":2,1,1,"&amp;装备表!$O95&amp;";","xxx"),"xxx"))</f>
        <v>xxx</v>
      </c>
      <c r="H92" s="18" t="str">
        <f>IF(装备表!$O95=0,"xxx",IFERROR(IF(INT(IF($D92=H$3,装备表!$E95,"xxx")/10000)=1,IF($D92=H$3,装备表!$E95,"xxx")&amp;":2,1,1,"&amp;装备表!$O95&amp;";","xxx"),"xxx"))</f>
        <v>xxx</v>
      </c>
      <c r="I92" s="18" t="str">
        <f>IF(装备表!$O95=0,"xxx",IFERROR(IF(INT(IF($D92=I$3,装备表!$E95,"xxx")/10000)=1,IF($D92=I$3,装备表!$E95,"xxx")&amp;":2,1,1,"&amp;装备表!$O95&amp;";","xxx"),"xxx"))</f>
        <v>14694:2,1,1,10;</v>
      </c>
      <c r="J92" s="18" t="str">
        <f>IF(装备表!$O95=0,"xxx",IFERROR(IF(INT(IF($D92=J$3,装备表!$E95,"xxx")/10000)=3,IF($D92=J$3,装备表!$E95,"xxx")&amp;":2,1,1,"&amp;装备表!$O95&amp;";","xxx"),"xxx"))</f>
        <v>xxx</v>
      </c>
    </row>
    <row r="93" spans="3:10" x14ac:dyDescent="0.2">
      <c r="C93">
        <v>14695</v>
      </c>
      <c r="D93" s="18">
        <f>装备表!L96</f>
        <v>5</v>
      </c>
      <c r="E93" s="18" t="str">
        <f>IF(装备表!$O96=0,"xxx",IFERROR(IF(INT(IF($D93=E$3,装备表!$E96,"xxx")/10000)=1,IF($D93=E$3,装备表!$E96,"xxx")&amp;":2,1,1,"&amp;装备表!$O96&amp;";","xxx"),"xxx"))</f>
        <v>xxx</v>
      </c>
      <c r="F93" s="18" t="str">
        <f>IF(装备表!$O96=0,"xxx",IFERROR(IF(INT(IF($D93=F$3,装备表!$E96,"xxx")/10000)=1,IF($D93=F$3,装备表!$E96,"xxx")&amp;":2,1,1,"&amp;装备表!$O96&amp;";","xxx"),"xxx"))</f>
        <v>xxx</v>
      </c>
      <c r="G93" s="18" t="str">
        <f>IF(装备表!$O96=0,"xxx",IFERROR(IF(INT(IF($D93=G$3,装备表!$E96,"xxx")/10000)=1,IF($D93=G$3,装备表!$E96,"xxx")&amp;":2,1,1,"&amp;装备表!$O96&amp;";","xxx"),"xxx"))</f>
        <v>xxx</v>
      </c>
      <c r="H93" s="18" t="str">
        <f>IF(装备表!$O96=0,"xxx",IFERROR(IF(INT(IF($D93=H$3,装备表!$E96,"xxx")/10000)=1,IF($D93=H$3,装备表!$E96,"xxx")&amp;":2,1,1,"&amp;装备表!$O96&amp;";","xxx"),"xxx"))</f>
        <v>xxx</v>
      </c>
      <c r="I93" s="18" t="str">
        <f>IF(装备表!$O96=0,"xxx",IFERROR(IF(INT(IF($D93=I$3,装备表!$E96,"xxx")/10000)=1,IF($D93=I$3,装备表!$E96,"xxx")&amp;":2,1,1,"&amp;装备表!$O96&amp;";","xxx"),"xxx"))</f>
        <v>xxx</v>
      </c>
      <c r="J93" s="18" t="str">
        <f>IF(装备表!$O96=0,"xxx",IFERROR(IF(INT(IF($D93=J$3,装备表!$E96,"xxx")/10000)=3,IF($D93=J$3,装备表!$E96,"xxx")&amp;":2,1,1,"&amp;装备表!$O96&amp;";","xxx"),"xxx"))</f>
        <v>xxx</v>
      </c>
    </row>
    <row r="94" spans="3:10" x14ac:dyDescent="0.2">
      <c r="C94">
        <v>14696</v>
      </c>
      <c r="D94" s="18">
        <f>装备表!L97</f>
        <v>5</v>
      </c>
      <c r="E94" s="18" t="str">
        <f>IF(装备表!$O97=0,"xxx",IFERROR(IF(INT(IF($D94=E$3,装备表!$E97,"xxx")/10000)=1,IF($D94=E$3,装备表!$E97,"xxx")&amp;":2,1,1,"&amp;装备表!$O97&amp;";","xxx"),"xxx"))</f>
        <v>xxx</v>
      </c>
      <c r="F94" s="18" t="str">
        <f>IF(装备表!$O97=0,"xxx",IFERROR(IF(INT(IF($D94=F$3,装备表!$E97,"xxx")/10000)=1,IF($D94=F$3,装备表!$E97,"xxx")&amp;":2,1,1,"&amp;装备表!$O97&amp;";","xxx"),"xxx"))</f>
        <v>xxx</v>
      </c>
      <c r="G94" s="18" t="str">
        <f>IF(装备表!$O97=0,"xxx",IFERROR(IF(INT(IF($D94=G$3,装备表!$E97,"xxx")/10000)=1,IF($D94=G$3,装备表!$E97,"xxx")&amp;":2,1,1,"&amp;装备表!$O97&amp;";","xxx"),"xxx"))</f>
        <v>xxx</v>
      </c>
      <c r="H94" s="18" t="str">
        <f>IF(装备表!$O97=0,"xxx",IFERROR(IF(INT(IF($D94=H$3,装备表!$E97,"xxx")/10000)=1,IF($D94=H$3,装备表!$E97,"xxx")&amp;":2,1,1,"&amp;装备表!$O97&amp;";","xxx"),"xxx"))</f>
        <v>xxx</v>
      </c>
      <c r="I94" s="18" t="str">
        <f>IF(装备表!$O97=0,"xxx",IFERROR(IF(INT(IF($D94=I$3,装备表!$E97,"xxx")/10000)=1,IF($D94=I$3,装备表!$E97,"xxx")&amp;":2,1,1,"&amp;装备表!$O97&amp;";","xxx"),"xxx"))</f>
        <v>14696:2,1,1,10;</v>
      </c>
      <c r="J94" s="18" t="str">
        <f>IF(装备表!$O97=0,"xxx",IFERROR(IF(INT(IF($D94=J$3,装备表!$E97,"xxx")/10000)=3,IF($D94=J$3,装备表!$E97,"xxx")&amp;":2,1,1,"&amp;装备表!$O97&amp;";","xxx"),"xxx"))</f>
        <v>xxx</v>
      </c>
    </row>
    <row r="95" spans="3:10" x14ac:dyDescent="0.2">
      <c r="C95">
        <v>14697</v>
      </c>
      <c r="D95" s="18">
        <f>装备表!L98</f>
        <v>5</v>
      </c>
      <c r="E95" s="18" t="str">
        <f>IF(装备表!$O98=0,"xxx",IFERROR(IF(INT(IF($D95=E$3,装备表!$E98,"xxx")/10000)=1,IF($D95=E$3,装备表!$E98,"xxx")&amp;":2,1,1,"&amp;装备表!$O98&amp;";","xxx"),"xxx"))</f>
        <v>xxx</v>
      </c>
      <c r="F95" s="18" t="str">
        <f>IF(装备表!$O98=0,"xxx",IFERROR(IF(INT(IF($D95=F$3,装备表!$E98,"xxx")/10000)=1,IF($D95=F$3,装备表!$E98,"xxx")&amp;":2,1,1,"&amp;装备表!$O98&amp;";","xxx"),"xxx"))</f>
        <v>xxx</v>
      </c>
      <c r="G95" s="18" t="str">
        <f>IF(装备表!$O98=0,"xxx",IFERROR(IF(INT(IF($D95=G$3,装备表!$E98,"xxx")/10000)=1,IF($D95=G$3,装备表!$E98,"xxx")&amp;":2,1,1,"&amp;装备表!$O98&amp;";","xxx"),"xxx"))</f>
        <v>xxx</v>
      </c>
      <c r="H95" s="18" t="str">
        <f>IF(装备表!$O98=0,"xxx",IFERROR(IF(INT(IF($D95=H$3,装备表!$E98,"xxx")/10000)=1,IF($D95=H$3,装备表!$E98,"xxx")&amp;":2,1,1,"&amp;装备表!$O98&amp;";","xxx"),"xxx"))</f>
        <v>xxx</v>
      </c>
      <c r="I95" s="18" t="str">
        <f>IF(装备表!$O98=0,"xxx",IFERROR(IF(INT(IF($D95=I$3,装备表!$E98,"xxx")/10000)=1,IF($D95=I$3,装备表!$E98,"xxx")&amp;":2,1,1,"&amp;装备表!$O98&amp;";","xxx"),"xxx"))</f>
        <v>14697:2,1,1,10;</v>
      </c>
      <c r="J95" s="18" t="str">
        <f>IF(装备表!$O98=0,"xxx",IFERROR(IF(INT(IF($D95=J$3,装备表!$E98,"xxx")/10000)=3,IF($D95=J$3,装备表!$E98,"xxx")&amp;":2,1,1,"&amp;装备表!$O98&amp;";","xxx"),"xxx"))</f>
        <v>xxx</v>
      </c>
    </row>
    <row r="96" spans="3:10" x14ac:dyDescent="0.2">
      <c r="C96">
        <v>14698</v>
      </c>
      <c r="D96" s="18">
        <f>装备表!L99</f>
        <v>5</v>
      </c>
      <c r="E96" s="18" t="str">
        <f>IF(装备表!$O99=0,"xxx",IFERROR(IF(INT(IF($D96=E$3,装备表!$E99,"xxx")/10000)=1,IF($D96=E$3,装备表!$E99,"xxx")&amp;":2,1,1,"&amp;装备表!$O99&amp;";","xxx"),"xxx"))</f>
        <v>xxx</v>
      </c>
      <c r="F96" s="18" t="str">
        <f>IF(装备表!$O99=0,"xxx",IFERROR(IF(INT(IF($D96=F$3,装备表!$E99,"xxx")/10000)=1,IF($D96=F$3,装备表!$E99,"xxx")&amp;":2,1,1,"&amp;装备表!$O99&amp;";","xxx"),"xxx"))</f>
        <v>xxx</v>
      </c>
      <c r="G96" s="18" t="str">
        <f>IF(装备表!$O99=0,"xxx",IFERROR(IF(INT(IF($D96=G$3,装备表!$E99,"xxx")/10000)=1,IF($D96=G$3,装备表!$E99,"xxx")&amp;":2,1,1,"&amp;装备表!$O99&amp;";","xxx"),"xxx"))</f>
        <v>xxx</v>
      </c>
      <c r="H96" s="18" t="str">
        <f>IF(装备表!$O99=0,"xxx",IFERROR(IF(INT(IF($D96=H$3,装备表!$E99,"xxx")/10000)=1,IF($D96=H$3,装备表!$E99,"xxx")&amp;":2,1,1,"&amp;装备表!$O99&amp;";","xxx"),"xxx"))</f>
        <v>xxx</v>
      </c>
      <c r="I96" s="18" t="str">
        <f>IF(装备表!$O99=0,"xxx",IFERROR(IF(INT(IF($D96=I$3,装备表!$E99,"xxx")/10000)=1,IF($D96=I$3,装备表!$E99,"xxx")&amp;":2,1,1,"&amp;装备表!$O99&amp;";","xxx"),"xxx"))</f>
        <v>xxx</v>
      </c>
      <c r="J96" s="18" t="str">
        <f>IF(装备表!$O99=0,"xxx",IFERROR(IF(INT(IF($D96=J$3,装备表!$E99,"xxx")/10000)=3,IF($D96=J$3,装备表!$E99,"xxx")&amp;":2,1,1,"&amp;装备表!$O99&amp;";","xxx"),"xxx"))</f>
        <v>xxx</v>
      </c>
    </row>
    <row r="97" spans="3:10" x14ac:dyDescent="0.2">
      <c r="C97">
        <v>14699</v>
      </c>
      <c r="D97" s="18">
        <f>装备表!L100</f>
        <v>5</v>
      </c>
      <c r="E97" s="18" t="str">
        <f>IF(装备表!$O100=0,"xxx",IFERROR(IF(INT(IF($D97=E$3,装备表!$E100,"xxx")/10000)=1,IF($D97=E$3,装备表!$E100,"xxx")&amp;":2,1,1,"&amp;装备表!$O100&amp;";","xxx"),"xxx"))</f>
        <v>xxx</v>
      </c>
      <c r="F97" s="18" t="str">
        <f>IF(装备表!$O100=0,"xxx",IFERROR(IF(INT(IF($D97=F$3,装备表!$E100,"xxx")/10000)=1,IF($D97=F$3,装备表!$E100,"xxx")&amp;":2,1,1,"&amp;装备表!$O100&amp;";","xxx"),"xxx"))</f>
        <v>xxx</v>
      </c>
      <c r="G97" s="18" t="str">
        <f>IF(装备表!$O100=0,"xxx",IFERROR(IF(INT(IF($D97=G$3,装备表!$E100,"xxx")/10000)=1,IF($D97=G$3,装备表!$E100,"xxx")&amp;":2,1,1,"&amp;装备表!$O100&amp;";","xxx"),"xxx"))</f>
        <v>xxx</v>
      </c>
      <c r="H97" s="18" t="str">
        <f>IF(装备表!$O100=0,"xxx",IFERROR(IF(INT(IF($D97=H$3,装备表!$E100,"xxx")/10000)=1,IF($D97=H$3,装备表!$E100,"xxx")&amp;":2,1,1,"&amp;装备表!$O100&amp;";","xxx"),"xxx"))</f>
        <v>xxx</v>
      </c>
      <c r="I97" s="18" t="str">
        <f>IF(装备表!$O100=0,"xxx",IFERROR(IF(INT(IF($D97=I$3,装备表!$E100,"xxx")/10000)=1,IF($D97=I$3,装备表!$E100,"xxx")&amp;":2,1,1,"&amp;装备表!$O100&amp;";","xxx"),"xxx"))</f>
        <v>14699:2,1,1,10;</v>
      </c>
      <c r="J97" s="18" t="str">
        <f>IF(装备表!$O100=0,"xxx",IFERROR(IF(INT(IF($D97=J$3,装备表!$E100,"xxx")/10000)=3,IF($D97=J$3,装备表!$E100,"xxx")&amp;":2,1,1,"&amp;装备表!$O100&amp;";","xxx"),"xxx"))</f>
        <v>xxx</v>
      </c>
    </row>
    <row r="98" spans="3:10" x14ac:dyDescent="0.2">
      <c r="C98">
        <v>14700</v>
      </c>
      <c r="D98" s="18">
        <f>装备表!L101</f>
        <v>5</v>
      </c>
      <c r="E98" s="18" t="str">
        <f>IF(装备表!$O101=0,"xxx",IFERROR(IF(INT(IF($D98=E$3,装备表!$E101,"xxx")/10000)=1,IF($D98=E$3,装备表!$E101,"xxx")&amp;":2,1,1,"&amp;装备表!$O101&amp;";","xxx"),"xxx"))</f>
        <v>xxx</v>
      </c>
      <c r="F98" s="18" t="str">
        <f>IF(装备表!$O101=0,"xxx",IFERROR(IF(INT(IF($D98=F$3,装备表!$E101,"xxx")/10000)=1,IF($D98=F$3,装备表!$E101,"xxx")&amp;":2,1,1,"&amp;装备表!$O101&amp;";","xxx"),"xxx"))</f>
        <v>xxx</v>
      </c>
      <c r="G98" s="18" t="str">
        <f>IF(装备表!$O101=0,"xxx",IFERROR(IF(INT(IF($D98=G$3,装备表!$E101,"xxx")/10000)=1,IF($D98=G$3,装备表!$E101,"xxx")&amp;":2,1,1,"&amp;装备表!$O101&amp;";","xxx"),"xxx"))</f>
        <v>xxx</v>
      </c>
      <c r="H98" s="18" t="str">
        <f>IF(装备表!$O101=0,"xxx",IFERROR(IF(INT(IF($D98=H$3,装备表!$E101,"xxx")/10000)=1,IF($D98=H$3,装备表!$E101,"xxx")&amp;":2,1,1,"&amp;装备表!$O101&amp;";","xxx"),"xxx"))</f>
        <v>xxx</v>
      </c>
      <c r="I98" s="18" t="str">
        <f>IF(装备表!$O101=0,"xxx",IFERROR(IF(INT(IF($D98=I$3,装备表!$E101,"xxx")/10000)=1,IF($D98=I$3,装备表!$E101,"xxx")&amp;":2,1,1,"&amp;装备表!$O101&amp;";","xxx"),"xxx"))</f>
        <v>14700:2,1,1,10;</v>
      </c>
      <c r="J98" s="18" t="str">
        <f>IF(装备表!$O101=0,"xxx",IFERROR(IF(INT(IF($D98=J$3,装备表!$E101,"xxx")/10000)=3,IF($D98=J$3,装备表!$E101,"xxx")&amp;":2,1,1,"&amp;装备表!$O101&amp;";","xxx"),"xxx"))</f>
        <v>xxx</v>
      </c>
    </row>
    <row r="99" spans="3:10" x14ac:dyDescent="0.2">
      <c r="C99">
        <v>14701</v>
      </c>
      <c r="D99" s="18">
        <f>装备表!L102</f>
        <v>5</v>
      </c>
      <c r="E99" s="18" t="str">
        <f>IF(装备表!$O102=0,"xxx",IFERROR(IF(INT(IF($D99=E$3,装备表!$E102,"xxx")/10000)=1,IF($D99=E$3,装备表!$E102,"xxx")&amp;":2,1,1,"&amp;装备表!$O102&amp;";","xxx"),"xxx"))</f>
        <v>xxx</v>
      </c>
      <c r="F99" s="18" t="str">
        <f>IF(装备表!$O102=0,"xxx",IFERROR(IF(INT(IF($D99=F$3,装备表!$E102,"xxx")/10000)=1,IF($D99=F$3,装备表!$E102,"xxx")&amp;":2,1,1,"&amp;装备表!$O102&amp;";","xxx"),"xxx"))</f>
        <v>xxx</v>
      </c>
      <c r="G99" s="18" t="str">
        <f>IF(装备表!$O102=0,"xxx",IFERROR(IF(INT(IF($D99=G$3,装备表!$E102,"xxx")/10000)=1,IF($D99=G$3,装备表!$E102,"xxx")&amp;":2,1,1,"&amp;装备表!$O102&amp;";","xxx"),"xxx"))</f>
        <v>xxx</v>
      </c>
      <c r="H99" s="18" t="str">
        <f>IF(装备表!$O102=0,"xxx",IFERROR(IF(INT(IF($D99=H$3,装备表!$E102,"xxx")/10000)=1,IF($D99=H$3,装备表!$E102,"xxx")&amp;":2,1,1,"&amp;装备表!$O102&amp;";","xxx"),"xxx"))</f>
        <v>xxx</v>
      </c>
      <c r="I99" s="18" t="str">
        <f>IF(装备表!$O102=0,"xxx",IFERROR(IF(INT(IF($D99=I$3,装备表!$E102,"xxx")/10000)=1,IF($D99=I$3,装备表!$E102,"xxx")&amp;":2,1,1,"&amp;装备表!$O102&amp;";","xxx"),"xxx"))</f>
        <v>14701:2,1,1,10;</v>
      </c>
      <c r="J99" s="18" t="str">
        <f>IF(装备表!$O102=0,"xxx",IFERROR(IF(INT(IF($D99=J$3,装备表!$E102,"xxx")/10000)=3,IF($D99=J$3,装备表!$E102,"xxx")&amp;":2,1,1,"&amp;装备表!$O102&amp;";","xxx"),"xxx"))</f>
        <v>xxx</v>
      </c>
    </row>
    <row r="100" spans="3:10" x14ac:dyDescent="0.2">
      <c r="C100">
        <v>14702</v>
      </c>
      <c r="D100" s="18">
        <f>装备表!L103</f>
        <v>5</v>
      </c>
      <c r="E100" s="18" t="str">
        <f>IF(装备表!$O103=0,"xxx",IFERROR(IF(INT(IF($D100=E$3,装备表!$E103,"xxx")/10000)=1,IF($D100=E$3,装备表!$E103,"xxx")&amp;":2,1,1,"&amp;装备表!$O103&amp;";","xxx"),"xxx"))</f>
        <v>xxx</v>
      </c>
      <c r="F100" s="18" t="str">
        <f>IF(装备表!$O103=0,"xxx",IFERROR(IF(INT(IF($D100=F$3,装备表!$E103,"xxx")/10000)=1,IF($D100=F$3,装备表!$E103,"xxx")&amp;":2,1,1,"&amp;装备表!$O103&amp;";","xxx"),"xxx"))</f>
        <v>xxx</v>
      </c>
      <c r="G100" s="18" t="str">
        <f>IF(装备表!$O103=0,"xxx",IFERROR(IF(INT(IF($D100=G$3,装备表!$E103,"xxx")/10000)=1,IF($D100=G$3,装备表!$E103,"xxx")&amp;":2,1,1,"&amp;装备表!$O103&amp;";","xxx"),"xxx"))</f>
        <v>xxx</v>
      </c>
      <c r="H100" s="18" t="str">
        <f>IF(装备表!$O103=0,"xxx",IFERROR(IF(INT(IF($D100=H$3,装备表!$E103,"xxx")/10000)=1,IF($D100=H$3,装备表!$E103,"xxx")&amp;":2,1,1,"&amp;装备表!$O103&amp;";","xxx"),"xxx"))</f>
        <v>xxx</v>
      </c>
      <c r="I100" s="18" t="str">
        <f>IF(装备表!$O103=0,"xxx",IFERROR(IF(INT(IF($D100=I$3,装备表!$E103,"xxx")/10000)=1,IF($D100=I$3,装备表!$E103,"xxx")&amp;":2,1,1,"&amp;装备表!$O103&amp;";","xxx"),"xxx"))</f>
        <v>14702:2,1,1,10;</v>
      </c>
      <c r="J100" s="18" t="str">
        <f>IF(装备表!$O103=0,"xxx",IFERROR(IF(INT(IF($D100=J$3,装备表!$E103,"xxx")/10000)=3,IF($D100=J$3,装备表!$E103,"xxx")&amp;":2,1,1,"&amp;装备表!$O103&amp;";","xxx"),"xxx"))</f>
        <v>xxx</v>
      </c>
    </row>
    <row r="101" spans="3:10" x14ac:dyDescent="0.2">
      <c r="C101">
        <v>14703</v>
      </c>
      <c r="D101" s="18">
        <f>装备表!L104</f>
        <v>5</v>
      </c>
      <c r="E101" s="18" t="str">
        <f>IF(装备表!$O104=0,"xxx",IFERROR(IF(INT(IF($D101=E$3,装备表!$E104,"xxx")/10000)=1,IF($D101=E$3,装备表!$E104,"xxx")&amp;":2,1,1,"&amp;装备表!$O104&amp;";","xxx"),"xxx"))</f>
        <v>xxx</v>
      </c>
      <c r="F101" s="18" t="str">
        <f>IF(装备表!$O104=0,"xxx",IFERROR(IF(INT(IF($D101=F$3,装备表!$E104,"xxx")/10000)=1,IF($D101=F$3,装备表!$E104,"xxx")&amp;":2,1,1,"&amp;装备表!$O104&amp;";","xxx"),"xxx"))</f>
        <v>xxx</v>
      </c>
      <c r="G101" s="18" t="str">
        <f>IF(装备表!$O104=0,"xxx",IFERROR(IF(INT(IF($D101=G$3,装备表!$E104,"xxx")/10000)=1,IF($D101=G$3,装备表!$E104,"xxx")&amp;":2,1,1,"&amp;装备表!$O104&amp;";","xxx"),"xxx"))</f>
        <v>xxx</v>
      </c>
      <c r="H101" s="18" t="str">
        <f>IF(装备表!$O104=0,"xxx",IFERROR(IF(INT(IF($D101=H$3,装备表!$E104,"xxx")/10000)=1,IF($D101=H$3,装备表!$E104,"xxx")&amp;":2,1,1,"&amp;装备表!$O104&amp;";","xxx"),"xxx"))</f>
        <v>xxx</v>
      </c>
      <c r="I101" s="18" t="str">
        <f>IF(装备表!$O104=0,"xxx",IFERROR(IF(INT(IF($D101=I$3,装备表!$E104,"xxx")/10000)=1,IF($D101=I$3,装备表!$E104,"xxx")&amp;":2,1,1,"&amp;装备表!$O104&amp;";","xxx"),"xxx"))</f>
        <v>14703:2,1,1,10;</v>
      </c>
      <c r="J101" s="18" t="str">
        <f>IF(装备表!$O104=0,"xxx",IFERROR(IF(INT(IF($D101=J$3,装备表!$E104,"xxx")/10000)=3,IF($D101=J$3,装备表!$E104,"xxx")&amp;":2,1,1,"&amp;装备表!$O104&amp;";","xxx"),"xxx"))</f>
        <v>xxx</v>
      </c>
    </row>
    <row r="102" spans="3:10" x14ac:dyDescent="0.2">
      <c r="C102">
        <v>14704</v>
      </c>
      <c r="D102" s="18">
        <f>装备表!L105</f>
        <v>5</v>
      </c>
      <c r="E102" s="18" t="str">
        <f>IF(装备表!$O105=0,"xxx",IFERROR(IF(INT(IF($D102=E$3,装备表!$E105,"xxx")/10000)=1,IF($D102=E$3,装备表!$E105,"xxx")&amp;":2,1,1,"&amp;装备表!$O105&amp;";","xxx"),"xxx"))</f>
        <v>xxx</v>
      </c>
      <c r="F102" s="18" t="str">
        <f>IF(装备表!$O105=0,"xxx",IFERROR(IF(INT(IF($D102=F$3,装备表!$E105,"xxx")/10000)=1,IF($D102=F$3,装备表!$E105,"xxx")&amp;":2,1,1,"&amp;装备表!$O105&amp;";","xxx"),"xxx"))</f>
        <v>xxx</v>
      </c>
      <c r="G102" s="18" t="str">
        <f>IF(装备表!$O105=0,"xxx",IFERROR(IF(INT(IF($D102=G$3,装备表!$E105,"xxx")/10000)=1,IF($D102=G$3,装备表!$E105,"xxx")&amp;":2,1,1,"&amp;装备表!$O105&amp;";","xxx"),"xxx"))</f>
        <v>xxx</v>
      </c>
      <c r="H102" s="18" t="str">
        <f>IF(装备表!$O105=0,"xxx",IFERROR(IF(INT(IF($D102=H$3,装备表!$E105,"xxx")/10000)=1,IF($D102=H$3,装备表!$E105,"xxx")&amp;":2,1,1,"&amp;装备表!$O105&amp;";","xxx"),"xxx"))</f>
        <v>xxx</v>
      </c>
      <c r="I102" s="18" t="str">
        <f>IF(装备表!$O105=0,"xxx",IFERROR(IF(INT(IF($D102=I$3,装备表!$E105,"xxx")/10000)=1,IF($D102=I$3,装备表!$E105,"xxx")&amp;":2,1,1,"&amp;装备表!$O105&amp;";","xxx"),"xxx"))</f>
        <v>14704:2,1,1,10;</v>
      </c>
      <c r="J102" s="18" t="str">
        <f>IF(装备表!$O105=0,"xxx",IFERROR(IF(INT(IF($D102=J$3,装备表!$E105,"xxx")/10000)=3,IF($D102=J$3,装备表!$E105,"xxx")&amp;":2,1,1,"&amp;装备表!$O105&amp;";","xxx"),"xxx"))</f>
        <v>xxx</v>
      </c>
    </row>
    <row r="103" spans="3:10" x14ac:dyDescent="0.2">
      <c r="C103">
        <v>14705</v>
      </c>
      <c r="D103" s="18">
        <f>装备表!L106</f>
        <v>5</v>
      </c>
      <c r="E103" s="18" t="str">
        <f>IF(装备表!$O106=0,"xxx",IFERROR(IF(INT(IF($D103=E$3,装备表!$E106,"xxx")/10000)=1,IF($D103=E$3,装备表!$E106,"xxx")&amp;":2,1,1,"&amp;装备表!$O106&amp;";","xxx"),"xxx"))</f>
        <v>xxx</v>
      </c>
      <c r="F103" s="18" t="str">
        <f>IF(装备表!$O106=0,"xxx",IFERROR(IF(INT(IF($D103=F$3,装备表!$E106,"xxx")/10000)=1,IF($D103=F$3,装备表!$E106,"xxx")&amp;":2,1,1,"&amp;装备表!$O106&amp;";","xxx"),"xxx"))</f>
        <v>xxx</v>
      </c>
      <c r="G103" s="18" t="str">
        <f>IF(装备表!$O106=0,"xxx",IFERROR(IF(INT(IF($D103=G$3,装备表!$E106,"xxx")/10000)=1,IF($D103=G$3,装备表!$E106,"xxx")&amp;":2,1,1,"&amp;装备表!$O106&amp;";","xxx"),"xxx"))</f>
        <v>xxx</v>
      </c>
      <c r="H103" s="18" t="str">
        <f>IF(装备表!$O106=0,"xxx",IFERROR(IF(INT(IF($D103=H$3,装备表!$E106,"xxx")/10000)=1,IF($D103=H$3,装备表!$E106,"xxx")&amp;":2,1,1,"&amp;装备表!$O106&amp;";","xxx"),"xxx"))</f>
        <v>xxx</v>
      </c>
      <c r="I103" s="18" t="str">
        <f>IF(装备表!$O106=0,"xxx",IFERROR(IF(INT(IF($D103=I$3,装备表!$E106,"xxx")/10000)=1,IF($D103=I$3,装备表!$E106,"xxx")&amp;":2,1,1,"&amp;装备表!$O106&amp;";","xxx"),"xxx"))</f>
        <v>14705:2,1,1,10;</v>
      </c>
      <c r="J103" s="18" t="str">
        <f>IF(装备表!$O106=0,"xxx",IFERROR(IF(INT(IF($D103=J$3,装备表!$E106,"xxx")/10000)=3,IF($D103=J$3,装备表!$E106,"xxx")&amp;":2,1,1,"&amp;装备表!$O106&amp;";","xxx"),"xxx"))</f>
        <v>xxx</v>
      </c>
    </row>
    <row r="104" spans="3:10" x14ac:dyDescent="0.2">
      <c r="C104">
        <v>14706</v>
      </c>
      <c r="D104" s="18">
        <f>装备表!L107</f>
        <v>5</v>
      </c>
      <c r="E104" s="18" t="str">
        <f>IF(装备表!$O107=0,"xxx",IFERROR(IF(INT(IF($D104=E$3,装备表!$E107,"xxx")/10000)=1,IF($D104=E$3,装备表!$E107,"xxx")&amp;":2,1,1,"&amp;装备表!$O107&amp;";","xxx"),"xxx"))</f>
        <v>xxx</v>
      </c>
      <c r="F104" s="18" t="str">
        <f>IF(装备表!$O107=0,"xxx",IFERROR(IF(INT(IF($D104=F$3,装备表!$E107,"xxx")/10000)=1,IF($D104=F$3,装备表!$E107,"xxx")&amp;":2,1,1,"&amp;装备表!$O107&amp;";","xxx"),"xxx"))</f>
        <v>xxx</v>
      </c>
      <c r="G104" s="18" t="str">
        <f>IF(装备表!$O107=0,"xxx",IFERROR(IF(INT(IF($D104=G$3,装备表!$E107,"xxx")/10000)=1,IF($D104=G$3,装备表!$E107,"xxx")&amp;":2,1,1,"&amp;装备表!$O107&amp;";","xxx"),"xxx"))</f>
        <v>xxx</v>
      </c>
      <c r="H104" s="18" t="str">
        <f>IF(装备表!$O107=0,"xxx",IFERROR(IF(INT(IF($D104=H$3,装备表!$E107,"xxx")/10000)=1,IF($D104=H$3,装备表!$E107,"xxx")&amp;":2,1,1,"&amp;装备表!$O107&amp;";","xxx"),"xxx"))</f>
        <v>xxx</v>
      </c>
      <c r="I104" s="18" t="str">
        <f>IF(装备表!$O107=0,"xxx",IFERROR(IF(INT(IF($D104=I$3,装备表!$E107,"xxx")/10000)=1,IF($D104=I$3,装备表!$E107,"xxx")&amp;":2,1,1,"&amp;装备表!$O107&amp;";","xxx"),"xxx"))</f>
        <v>14706:2,1,1,10;</v>
      </c>
      <c r="J104" s="18" t="str">
        <f>IF(装备表!$O107=0,"xxx",IFERROR(IF(INT(IF($D104=J$3,装备表!$E107,"xxx")/10000)=3,IF($D104=J$3,装备表!$E107,"xxx")&amp;":2,1,1,"&amp;装备表!$O107&amp;";","xxx"),"xxx"))</f>
        <v>xxx</v>
      </c>
    </row>
    <row r="105" spans="3:10" x14ac:dyDescent="0.2">
      <c r="C105">
        <v>14707</v>
      </c>
      <c r="D105" s="18">
        <f>装备表!L108</f>
        <v>5</v>
      </c>
      <c r="E105" s="18" t="str">
        <f>IF(装备表!$O108=0,"xxx",IFERROR(IF(INT(IF($D105=E$3,装备表!$E108,"xxx")/10000)=1,IF($D105=E$3,装备表!$E108,"xxx")&amp;":2,1,1,"&amp;装备表!$O108&amp;";","xxx"),"xxx"))</f>
        <v>xxx</v>
      </c>
      <c r="F105" s="18" t="str">
        <f>IF(装备表!$O108=0,"xxx",IFERROR(IF(INT(IF($D105=F$3,装备表!$E108,"xxx")/10000)=1,IF($D105=F$3,装备表!$E108,"xxx")&amp;":2,1,1,"&amp;装备表!$O108&amp;";","xxx"),"xxx"))</f>
        <v>xxx</v>
      </c>
      <c r="G105" s="18" t="str">
        <f>IF(装备表!$O108=0,"xxx",IFERROR(IF(INT(IF($D105=G$3,装备表!$E108,"xxx")/10000)=1,IF($D105=G$3,装备表!$E108,"xxx")&amp;":2,1,1,"&amp;装备表!$O108&amp;";","xxx"),"xxx"))</f>
        <v>xxx</v>
      </c>
      <c r="H105" s="18" t="str">
        <f>IF(装备表!$O108=0,"xxx",IFERROR(IF(INT(IF($D105=H$3,装备表!$E108,"xxx")/10000)=1,IF($D105=H$3,装备表!$E108,"xxx")&amp;":2,1,1,"&amp;装备表!$O108&amp;";","xxx"),"xxx"))</f>
        <v>xxx</v>
      </c>
      <c r="I105" s="18" t="str">
        <f>IF(装备表!$O108=0,"xxx",IFERROR(IF(INT(IF($D105=I$3,装备表!$E108,"xxx")/10000)=1,IF($D105=I$3,装备表!$E108,"xxx")&amp;":2,1,1,"&amp;装备表!$O108&amp;";","xxx"),"xxx"))</f>
        <v>14707:2,1,1,10;</v>
      </c>
      <c r="J105" s="18" t="str">
        <f>IF(装备表!$O108=0,"xxx",IFERROR(IF(INT(IF($D105=J$3,装备表!$E108,"xxx")/10000)=3,IF($D105=J$3,装备表!$E108,"xxx")&amp;":2,1,1,"&amp;装备表!$O108&amp;";","xxx"),"xxx"))</f>
        <v>xxx</v>
      </c>
    </row>
    <row r="106" spans="3:10" x14ac:dyDescent="0.2">
      <c r="C106">
        <v>14708</v>
      </c>
      <c r="D106" s="18">
        <f>装备表!L109</f>
        <v>5</v>
      </c>
      <c r="E106" s="18" t="str">
        <f>IF(装备表!$O109=0,"xxx",IFERROR(IF(INT(IF($D106=E$3,装备表!$E109,"xxx")/10000)=1,IF($D106=E$3,装备表!$E109,"xxx")&amp;":2,1,1,"&amp;装备表!$O109&amp;";","xxx"),"xxx"))</f>
        <v>xxx</v>
      </c>
      <c r="F106" s="18" t="str">
        <f>IF(装备表!$O109=0,"xxx",IFERROR(IF(INT(IF($D106=F$3,装备表!$E109,"xxx")/10000)=1,IF($D106=F$3,装备表!$E109,"xxx")&amp;":2,1,1,"&amp;装备表!$O109&amp;";","xxx"),"xxx"))</f>
        <v>xxx</v>
      </c>
      <c r="G106" s="18" t="str">
        <f>IF(装备表!$O109=0,"xxx",IFERROR(IF(INT(IF($D106=G$3,装备表!$E109,"xxx")/10000)=1,IF($D106=G$3,装备表!$E109,"xxx")&amp;":2,1,1,"&amp;装备表!$O109&amp;";","xxx"),"xxx"))</f>
        <v>xxx</v>
      </c>
      <c r="H106" s="18" t="str">
        <f>IF(装备表!$O109=0,"xxx",IFERROR(IF(INT(IF($D106=H$3,装备表!$E109,"xxx")/10000)=1,IF($D106=H$3,装备表!$E109,"xxx")&amp;":2,1,1,"&amp;装备表!$O109&amp;";","xxx"),"xxx"))</f>
        <v>xxx</v>
      </c>
      <c r="I106" s="18" t="str">
        <f>IF(装备表!$O109=0,"xxx",IFERROR(IF(INT(IF($D106=I$3,装备表!$E109,"xxx")/10000)=1,IF($D106=I$3,装备表!$E109,"xxx")&amp;":2,1,1,"&amp;装备表!$O109&amp;";","xxx"),"xxx"))</f>
        <v>14708:2,1,1,10;</v>
      </c>
      <c r="J106" s="18" t="str">
        <f>IF(装备表!$O109=0,"xxx",IFERROR(IF(INT(IF($D106=J$3,装备表!$E109,"xxx")/10000)=3,IF($D106=J$3,装备表!$E109,"xxx")&amp;":2,1,1,"&amp;装备表!$O109&amp;";","xxx"),"xxx"))</f>
        <v>xxx</v>
      </c>
    </row>
    <row r="107" spans="3:10" x14ac:dyDescent="0.2">
      <c r="C107">
        <v>14709</v>
      </c>
      <c r="D107" s="18">
        <f>装备表!L110</f>
        <v>5</v>
      </c>
      <c r="E107" s="18" t="str">
        <f>IF(装备表!$O110=0,"xxx",IFERROR(IF(INT(IF($D107=E$3,装备表!$E110,"xxx")/10000)=1,IF($D107=E$3,装备表!$E110,"xxx")&amp;":2,1,1,"&amp;装备表!$O110&amp;";","xxx"),"xxx"))</f>
        <v>xxx</v>
      </c>
      <c r="F107" s="18" t="str">
        <f>IF(装备表!$O110=0,"xxx",IFERROR(IF(INT(IF($D107=F$3,装备表!$E110,"xxx")/10000)=1,IF($D107=F$3,装备表!$E110,"xxx")&amp;":2,1,1,"&amp;装备表!$O110&amp;";","xxx"),"xxx"))</f>
        <v>xxx</v>
      </c>
      <c r="G107" s="18" t="str">
        <f>IF(装备表!$O110=0,"xxx",IFERROR(IF(INT(IF($D107=G$3,装备表!$E110,"xxx")/10000)=1,IF($D107=G$3,装备表!$E110,"xxx")&amp;":2,1,1,"&amp;装备表!$O110&amp;";","xxx"),"xxx"))</f>
        <v>xxx</v>
      </c>
      <c r="H107" s="18" t="str">
        <f>IF(装备表!$O110=0,"xxx",IFERROR(IF(INT(IF($D107=H$3,装备表!$E110,"xxx")/10000)=1,IF($D107=H$3,装备表!$E110,"xxx")&amp;":2,1,1,"&amp;装备表!$O110&amp;";","xxx"),"xxx"))</f>
        <v>xxx</v>
      </c>
      <c r="I107" s="18" t="str">
        <f>IF(装备表!$O110=0,"xxx",IFERROR(IF(INT(IF($D107=I$3,装备表!$E110,"xxx")/10000)=1,IF($D107=I$3,装备表!$E110,"xxx")&amp;":2,1,1,"&amp;装备表!$O110&amp;";","xxx"),"xxx"))</f>
        <v>14709:2,1,1,10;</v>
      </c>
      <c r="J107" s="18" t="str">
        <f>IF(装备表!$O110=0,"xxx",IFERROR(IF(INT(IF($D107=J$3,装备表!$E110,"xxx")/10000)=3,IF($D107=J$3,装备表!$E110,"xxx")&amp;":2,1,1,"&amp;装备表!$O110&amp;";","xxx"),"xxx"))</f>
        <v>xxx</v>
      </c>
    </row>
    <row r="108" spans="3:10" x14ac:dyDescent="0.2">
      <c r="C108">
        <v>14710</v>
      </c>
      <c r="D108" s="18">
        <f>装备表!L111</f>
        <v>5</v>
      </c>
      <c r="E108" s="18" t="str">
        <f>IF(装备表!$O111=0,"xxx",IFERROR(IF(INT(IF($D108=E$3,装备表!$E111,"xxx")/10000)=1,IF($D108=E$3,装备表!$E111,"xxx")&amp;":2,1,1,"&amp;装备表!$O111&amp;";","xxx"),"xxx"))</f>
        <v>xxx</v>
      </c>
      <c r="F108" s="18" t="str">
        <f>IF(装备表!$O111=0,"xxx",IFERROR(IF(INT(IF($D108=F$3,装备表!$E111,"xxx")/10000)=1,IF($D108=F$3,装备表!$E111,"xxx")&amp;":2,1,1,"&amp;装备表!$O111&amp;";","xxx"),"xxx"))</f>
        <v>xxx</v>
      </c>
      <c r="G108" s="18" t="str">
        <f>IF(装备表!$O111=0,"xxx",IFERROR(IF(INT(IF($D108=G$3,装备表!$E111,"xxx")/10000)=1,IF($D108=G$3,装备表!$E111,"xxx")&amp;":2,1,1,"&amp;装备表!$O111&amp;";","xxx"),"xxx"))</f>
        <v>xxx</v>
      </c>
      <c r="H108" s="18" t="str">
        <f>IF(装备表!$O111=0,"xxx",IFERROR(IF(INT(IF($D108=H$3,装备表!$E111,"xxx")/10000)=1,IF($D108=H$3,装备表!$E111,"xxx")&amp;":2,1,1,"&amp;装备表!$O111&amp;";","xxx"),"xxx"))</f>
        <v>xxx</v>
      </c>
      <c r="I108" s="18" t="str">
        <f>IF(装备表!$O111=0,"xxx",IFERROR(IF(INT(IF($D108=I$3,装备表!$E111,"xxx")/10000)=1,IF($D108=I$3,装备表!$E111,"xxx")&amp;":2,1,1,"&amp;装备表!$O111&amp;";","xxx"),"xxx"))</f>
        <v>14710:2,1,1,10;</v>
      </c>
      <c r="J108" s="18" t="str">
        <f>IF(装备表!$O111=0,"xxx",IFERROR(IF(INT(IF($D108=J$3,装备表!$E111,"xxx")/10000)=3,IF($D108=J$3,装备表!$E111,"xxx")&amp;":2,1,1,"&amp;装备表!$O111&amp;";","xxx"),"xxx"))</f>
        <v>xxx</v>
      </c>
    </row>
    <row r="109" spans="3:10" x14ac:dyDescent="0.2">
      <c r="C109">
        <v>14711</v>
      </c>
      <c r="D109" s="18" t="e">
        <f>装备表!#REF!</f>
        <v>#REF!</v>
      </c>
      <c r="E109" s="18" t="e">
        <f>IF(装备表!#REF!=0,"xxx",IFERROR(IF(INT(IF($D109=E$3,装备表!#REF!,"xxx")/10000)=1,IF($D109=E$3,装备表!#REF!,"xxx")&amp;":2,1,1,"&amp;装备表!#REF!&amp;";","xxx"),"xxx"))</f>
        <v>#REF!</v>
      </c>
      <c r="F109" s="18" t="e">
        <f>IF(装备表!#REF!=0,"xxx",IFERROR(IF(INT(IF($D109=F$3,装备表!#REF!,"xxx")/10000)=1,IF($D109=F$3,装备表!#REF!,"xxx")&amp;":2,1,1,"&amp;装备表!#REF!&amp;";","xxx"),"xxx"))</f>
        <v>#REF!</v>
      </c>
      <c r="G109" s="18" t="e">
        <f>IF(装备表!#REF!=0,"xxx",IFERROR(IF(INT(IF($D109=G$3,装备表!#REF!,"xxx")/10000)=1,IF($D109=G$3,装备表!#REF!,"xxx")&amp;":2,1,1,"&amp;装备表!#REF!&amp;";","xxx"),"xxx"))</f>
        <v>#REF!</v>
      </c>
      <c r="H109" s="18" t="e">
        <f>IF(装备表!#REF!=0,"xxx",IFERROR(IF(INT(IF($D109=H$3,装备表!#REF!,"xxx")/10000)=1,IF($D109=H$3,装备表!#REF!,"xxx")&amp;":2,1,1,"&amp;装备表!#REF!&amp;";","xxx"),"xxx"))</f>
        <v>#REF!</v>
      </c>
      <c r="I109" s="18" t="e">
        <f>IF(装备表!#REF!=0,"xxx",IFERROR(IF(INT(IF($D109=I$3,装备表!#REF!,"xxx")/10000)=1,IF($D109=I$3,装备表!#REF!,"xxx")&amp;":2,1,1,"&amp;装备表!#REF!&amp;";","xxx"),"xxx"))</f>
        <v>#REF!</v>
      </c>
      <c r="J109" s="18" t="e">
        <f>IF(装备表!#REF!=0,"xxx",IFERROR(IF(INT(IF($D109=J$3,装备表!#REF!,"xxx")/10000)=3,IF($D109=J$3,装备表!#REF!,"xxx")&amp;":2,1,1,"&amp;装备表!#REF!&amp;";","xxx"),"xxx"))</f>
        <v>#REF!</v>
      </c>
    </row>
    <row r="110" spans="3:10" x14ac:dyDescent="0.2">
      <c r="C110">
        <v>14712</v>
      </c>
      <c r="D110" s="18">
        <f>装备表!L112</f>
        <v>5</v>
      </c>
      <c r="E110" s="18" t="str">
        <f>IF(装备表!$O112=0,"xxx",IFERROR(IF(INT(IF($D110=E$3,装备表!$E112,"xxx")/10000)=1,IF($D110=E$3,装备表!$E112,"xxx")&amp;":2,1,1,"&amp;装备表!$O112&amp;";","xxx"),"xxx"))</f>
        <v>xxx</v>
      </c>
      <c r="F110" s="18" t="str">
        <f>IF(装备表!$O112=0,"xxx",IFERROR(IF(INT(IF($D110=F$3,装备表!$E112,"xxx")/10000)=1,IF($D110=F$3,装备表!$E112,"xxx")&amp;":2,1,1,"&amp;装备表!$O112&amp;";","xxx"),"xxx"))</f>
        <v>xxx</v>
      </c>
      <c r="G110" s="18" t="str">
        <f>IF(装备表!$O112=0,"xxx",IFERROR(IF(INT(IF($D110=G$3,装备表!$E112,"xxx")/10000)=1,IF($D110=G$3,装备表!$E112,"xxx")&amp;":2,1,1,"&amp;装备表!$O112&amp;";","xxx"),"xxx"))</f>
        <v>xxx</v>
      </c>
      <c r="H110" s="18" t="str">
        <f>IF(装备表!$O112=0,"xxx",IFERROR(IF(INT(IF($D110=H$3,装备表!$E112,"xxx")/10000)=1,IF($D110=H$3,装备表!$E112,"xxx")&amp;":2,1,1,"&amp;装备表!$O112&amp;";","xxx"),"xxx"))</f>
        <v>xxx</v>
      </c>
      <c r="I110" s="18" t="str">
        <f>IF(装备表!$O112=0,"xxx",IFERROR(IF(INT(IF($D110=I$3,装备表!$E112,"xxx")/10000)=1,IF($D110=I$3,装备表!$E112,"xxx")&amp;":2,1,1,"&amp;装备表!$O112&amp;";","xxx"),"xxx"))</f>
        <v>14712:2,1,1,10;</v>
      </c>
      <c r="J110" s="18" t="str">
        <f>IF(装备表!$O112=0,"xxx",IFERROR(IF(INT(IF($D110=J$3,装备表!$E112,"xxx")/10000)=3,IF($D110=J$3,装备表!$E112,"xxx")&amp;":2,1,1,"&amp;装备表!$O112&amp;";","xxx"),"xxx"))</f>
        <v>xxx</v>
      </c>
    </row>
    <row r="111" spans="3:10" x14ac:dyDescent="0.2">
      <c r="C111">
        <v>14713</v>
      </c>
      <c r="D111" s="18">
        <f>装备表!L113</f>
        <v>5</v>
      </c>
      <c r="E111" s="18" t="str">
        <f>IF(装备表!$O113=0,"xxx",IFERROR(IF(INT(IF($D111=E$3,装备表!$E113,"xxx")/10000)=1,IF($D111=E$3,装备表!$E113,"xxx")&amp;":2,1,1,"&amp;装备表!$O113&amp;";","xxx"),"xxx"))</f>
        <v>xxx</v>
      </c>
      <c r="F111" s="18" t="str">
        <f>IF(装备表!$O113=0,"xxx",IFERROR(IF(INT(IF($D111=F$3,装备表!$E113,"xxx")/10000)=1,IF($D111=F$3,装备表!$E113,"xxx")&amp;":2,1,1,"&amp;装备表!$O113&amp;";","xxx"),"xxx"))</f>
        <v>xxx</v>
      </c>
      <c r="G111" s="18" t="str">
        <f>IF(装备表!$O113=0,"xxx",IFERROR(IF(INT(IF($D111=G$3,装备表!$E113,"xxx")/10000)=1,IF($D111=G$3,装备表!$E113,"xxx")&amp;":2,1,1,"&amp;装备表!$O113&amp;";","xxx"),"xxx"))</f>
        <v>xxx</v>
      </c>
      <c r="H111" s="18" t="str">
        <f>IF(装备表!$O113=0,"xxx",IFERROR(IF(INT(IF($D111=H$3,装备表!$E113,"xxx")/10000)=1,IF($D111=H$3,装备表!$E113,"xxx")&amp;":2,1,1,"&amp;装备表!$O113&amp;";","xxx"),"xxx"))</f>
        <v>xxx</v>
      </c>
      <c r="I111" s="18" t="str">
        <f>IF(装备表!$O113=0,"xxx",IFERROR(IF(INT(IF($D111=I$3,装备表!$E113,"xxx")/10000)=1,IF($D111=I$3,装备表!$E113,"xxx")&amp;":2,1,1,"&amp;装备表!$O113&amp;";","xxx"),"xxx"))</f>
        <v>14713:2,1,1,10;</v>
      </c>
      <c r="J111" s="18" t="str">
        <f>IF(装备表!$O113=0,"xxx",IFERROR(IF(INT(IF($D111=J$3,装备表!$E113,"xxx")/10000)=3,IF($D111=J$3,装备表!$E113,"xxx")&amp;":2,1,1,"&amp;装备表!$O113&amp;";","xxx"),"xxx"))</f>
        <v>xxx</v>
      </c>
    </row>
    <row r="112" spans="3:10" x14ac:dyDescent="0.2">
      <c r="C112">
        <v>14714</v>
      </c>
      <c r="D112" s="18">
        <f>装备表!L114</f>
        <v>5</v>
      </c>
      <c r="E112" s="18" t="str">
        <f>IF(装备表!$O114=0,"xxx",IFERROR(IF(INT(IF($D112=E$3,装备表!$E114,"xxx")/10000)=1,IF($D112=E$3,装备表!$E114,"xxx")&amp;":2,1,1,"&amp;装备表!$O114&amp;";","xxx"),"xxx"))</f>
        <v>xxx</v>
      </c>
      <c r="F112" s="18" t="str">
        <f>IF(装备表!$O114=0,"xxx",IFERROR(IF(INT(IF($D112=F$3,装备表!$E114,"xxx")/10000)=1,IF($D112=F$3,装备表!$E114,"xxx")&amp;":2,1,1,"&amp;装备表!$O114&amp;";","xxx"),"xxx"))</f>
        <v>xxx</v>
      </c>
      <c r="G112" s="18" t="str">
        <f>IF(装备表!$O114=0,"xxx",IFERROR(IF(INT(IF($D112=G$3,装备表!$E114,"xxx")/10000)=1,IF($D112=G$3,装备表!$E114,"xxx")&amp;":2,1,1,"&amp;装备表!$O114&amp;";","xxx"),"xxx"))</f>
        <v>xxx</v>
      </c>
      <c r="H112" s="18" t="str">
        <f>IF(装备表!$O114=0,"xxx",IFERROR(IF(INT(IF($D112=H$3,装备表!$E114,"xxx")/10000)=1,IF($D112=H$3,装备表!$E114,"xxx")&amp;":2,1,1,"&amp;装备表!$O114&amp;";","xxx"),"xxx"))</f>
        <v>xxx</v>
      </c>
      <c r="I112" s="18" t="str">
        <f>IF(装备表!$O114=0,"xxx",IFERROR(IF(INT(IF($D112=I$3,装备表!$E114,"xxx")/10000)=1,IF($D112=I$3,装备表!$E114,"xxx")&amp;":2,1,1,"&amp;装备表!$O114&amp;";","xxx"),"xxx"))</f>
        <v>14714:2,1,1,10;</v>
      </c>
      <c r="J112" s="18" t="str">
        <f>IF(装备表!$O114=0,"xxx",IFERROR(IF(INT(IF($D112=J$3,装备表!$E114,"xxx")/10000)=3,IF($D112=J$3,装备表!$E114,"xxx")&amp;":2,1,1,"&amp;装备表!$O114&amp;";","xxx"),"xxx"))</f>
        <v>xxx</v>
      </c>
    </row>
    <row r="113" spans="3:10" x14ac:dyDescent="0.2">
      <c r="C113">
        <v>14715</v>
      </c>
      <c r="D113" s="18">
        <f>装备表!L115</f>
        <v>5</v>
      </c>
      <c r="E113" s="18" t="str">
        <f>IF(装备表!$O115=0,"xxx",IFERROR(IF(INT(IF($D113=E$3,装备表!$E115,"xxx")/10000)=1,IF($D113=E$3,装备表!$E115,"xxx")&amp;":2,1,1,"&amp;装备表!$O115&amp;";","xxx"),"xxx"))</f>
        <v>xxx</v>
      </c>
      <c r="F113" s="18" t="str">
        <f>IF(装备表!$O115=0,"xxx",IFERROR(IF(INT(IF($D113=F$3,装备表!$E115,"xxx")/10000)=1,IF($D113=F$3,装备表!$E115,"xxx")&amp;":2,1,1,"&amp;装备表!$O115&amp;";","xxx"),"xxx"))</f>
        <v>xxx</v>
      </c>
      <c r="G113" s="18" t="str">
        <f>IF(装备表!$O115=0,"xxx",IFERROR(IF(INT(IF($D113=G$3,装备表!$E115,"xxx")/10000)=1,IF($D113=G$3,装备表!$E115,"xxx")&amp;":2,1,1,"&amp;装备表!$O115&amp;";","xxx"),"xxx"))</f>
        <v>xxx</v>
      </c>
      <c r="H113" s="18" t="str">
        <f>IF(装备表!$O115=0,"xxx",IFERROR(IF(INT(IF($D113=H$3,装备表!$E115,"xxx")/10000)=1,IF($D113=H$3,装备表!$E115,"xxx")&amp;":2,1,1,"&amp;装备表!$O115&amp;";","xxx"),"xxx"))</f>
        <v>xxx</v>
      </c>
      <c r="I113" s="18" t="str">
        <f>IF(装备表!$O115=0,"xxx",IFERROR(IF(INT(IF($D113=I$3,装备表!$E115,"xxx")/10000)=1,IF($D113=I$3,装备表!$E115,"xxx")&amp;":2,1,1,"&amp;装备表!$O115&amp;";","xxx"),"xxx"))</f>
        <v>14715:2,1,1,10;</v>
      </c>
      <c r="J113" s="18" t="str">
        <f>IF(装备表!$O115=0,"xxx",IFERROR(IF(INT(IF($D113=J$3,装备表!$E115,"xxx")/10000)=3,IF($D113=J$3,装备表!$E115,"xxx")&amp;":2,1,1,"&amp;装备表!$O115&amp;";","xxx"),"xxx"))</f>
        <v>xxx</v>
      </c>
    </row>
    <row r="114" spans="3:10" x14ac:dyDescent="0.2">
      <c r="C114">
        <v>14716</v>
      </c>
      <c r="D114" s="18">
        <f>装备表!L116</f>
        <v>5</v>
      </c>
      <c r="E114" s="18" t="str">
        <f>IF(装备表!$O116=0,"xxx",IFERROR(IF(INT(IF($D114=E$3,装备表!$E116,"xxx")/10000)=1,IF($D114=E$3,装备表!$E116,"xxx")&amp;":2,1,1,"&amp;装备表!$O116&amp;";","xxx"),"xxx"))</f>
        <v>xxx</v>
      </c>
      <c r="F114" s="18" t="str">
        <f>IF(装备表!$O116=0,"xxx",IFERROR(IF(INT(IF($D114=F$3,装备表!$E116,"xxx")/10000)=1,IF($D114=F$3,装备表!$E116,"xxx")&amp;":2,1,1,"&amp;装备表!$O116&amp;";","xxx"),"xxx"))</f>
        <v>xxx</v>
      </c>
      <c r="G114" s="18" t="str">
        <f>IF(装备表!$O116=0,"xxx",IFERROR(IF(INT(IF($D114=G$3,装备表!$E116,"xxx")/10000)=1,IF($D114=G$3,装备表!$E116,"xxx")&amp;":2,1,1,"&amp;装备表!$O116&amp;";","xxx"),"xxx"))</f>
        <v>xxx</v>
      </c>
      <c r="H114" s="18" t="str">
        <f>IF(装备表!$O116=0,"xxx",IFERROR(IF(INT(IF($D114=H$3,装备表!$E116,"xxx")/10000)=1,IF($D114=H$3,装备表!$E116,"xxx")&amp;":2,1,1,"&amp;装备表!$O116&amp;";","xxx"),"xxx"))</f>
        <v>xxx</v>
      </c>
      <c r="I114" s="18" t="str">
        <f>IF(装备表!$O116=0,"xxx",IFERROR(IF(INT(IF($D114=I$3,装备表!$E116,"xxx")/10000)=1,IF($D114=I$3,装备表!$E116,"xxx")&amp;":2,1,1,"&amp;装备表!$O116&amp;";","xxx"),"xxx"))</f>
        <v>14716:2,1,1,10;</v>
      </c>
      <c r="J114" s="18" t="str">
        <f>IF(装备表!$O116=0,"xxx",IFERROR(IF(INT(IF($D114=J$3,装备表!$E116,"xxx")/10000)=3,IF($D114=J$3,装备表!$E116,"xxx")&amp;":2,1,1,"&amp;装备表!$O116&amp;";","xxx"),"xxx"))</f>
        <v>xxx</v>
      </c>
    </row>
    <row r="115" spans="3:10" x14ac:dyDescent="0.2">
      <c r="C115">
        <v>14717</v>
      </c>
      <c r="D115" s="18">
        <f>装备表!L117</f>
        <v>5</v>
      </c>
      <c r="E115" s="18" t="str">
        <f>IF(装备表!$O117=0,"xxx",IFERROR(IF(INT(IF($D115=E$3,装备表!$E117,"xxx")/10000)=1,IF($D115=E$3,装备表!$E117,"xxx")&amp;":2,1,1,"&amp;装备表!$O117&amp;";","xxx"),"xxx"))</f>
        <v>xxx</v>
      </c>
      <c r="F115" s="18" t="str">
        <f>IF(装备表!$O117=0,"xxx",IFERROR(IF(INT(IF($D115=F$3,装备表!$E117,"xxx")/10000)=1,IF($D115=F$3,装备表!$E117,"xxx")&amp;":2,1,1,"&amp;装备表!$O117&amp;";","xxx"),"xxx"))</f>
        <v>xxx</v>
      </c>
      <c r="G115" s="18" t="str">
        <f>IF(装备表!$O117=0,"xxx",IFERROR(IF(INT(IF($D115=G$3,装备表!$E117,"xxx")/10000)=1,IF($D115=G$3,装备表!$E117,"xxx")&amp;":2,1,1,"&amp;装备表!$O117&amp;";","xxx"),"xxx"))</f>
        <v>xxx</v>
      </c>
      <c r="H115" s="18" t="str">
        <f>IF(装备表!$O117=0,"xxx",IFERROR(IF(INT(IF($D115=H$3,装备表!$E117,"xxx")/10000)=1,IF($D115=H$3,装备表!$E117,"xxx")&amp;":2,1,1,"&amp;装备表!$O117&amp;";","xxx"),"xxx"))</f>
        <v>xxx</v>
      </c>
      <c r="I115" s="18" t="str">
        <f>IF(装备表!$O117=0,"xxx",IFERROR(IF(INT(IF($D115=I$3,装备表!$E117,"xxx")/10000)=1,IF($D115=I$3,装备表!$E117,"xxx")&amp;":2,1,1,"&amp;装备表!$O117&amp;";","xxx"),"xxx"))</f>
        <v>14717:2,1,1,10;</v>
      </c>
      <c r="J115" s="18" t="str">
        <f>IF(装备表!$O117=0,"xxx",IFERROR(IF(INT(IF($D115=J$3,装备表!$E117,"xxx")/10000)=3,IF($D115=J$3,装备表!$E117,"xxx")&amp;":2,1,1,"&amp;装备表!$O117&amp;";","xxx"),"xxx"))</f>
        <v>xxx</v>
      </c>
    </row>
    <row r="116" spans="3:10" x14ac:dyDescent="0.2">
      <c r="C116">
        <v>14718</v>
      </c>
      <c r="D116" s="18">
        <f>装备表!L118</f>
        <v>5</v>
      </c>
      <c r="E116" s="18" t="str">
        <f>IF(装备表!$O118=0,"xxx",IFERROR(IF(INT(IF($D116=E$3,装备表!$E118,"xxx")/10000)=1,IF($D116=E$3,装备表!$E118,"xxx")&amp;":2,1,1,"&amp;装备表!$O118&amp;";","xxx"),"xxx"))</f>
        <v>xxx</v>
      </c>
      <c r="F116" s="18" t="str">
        <f>IF(装备表!$O118=0,"xxx",IFERROR(IF(INT(IF($D116=F$3,装备表!$E118,"xxx")/10000)=1,IF($D116=F$3,装备表!$E118,"xxx")&amp;":2,1,1,"&amp;装备表!$O118&amp;";","xxx"),"xxx"))</f>
        <v>xxx</v>
      </c>
      <c r="G116" s="18" t="str">
        <f>IF(装备表!$O118=0,"xxx",IFERROR(IF(INT(IF($D116=G$3,装备表!$E118,"xxx")/10000)=1,IF($D116=G$3,装备表!$E118,"xxx")&amp;":2,1,1,"&amp;装备表!$O118&amp;";","xxx"),"xxx"))</f>
        <v>xxx</v>
      </c>
      <c r="H116" s="18" t="str">
        <f>IF(装备表!$O118=0,"xxx",IFERROR(IF(INT(IF($D116=H$3,装备表!$E118,"xxx")/10000)=1,IF($D116=H$3,装备表!$E118,"xxx")&amp;":2,1,1,"&amp;装备表!$O118&amp;";","xxx"),"xxx"))</f>
        <v>xxx</v>
      </c>
      <c r="I116" s="18" t="str">
        <f>IF(装备表!$O118=0,"xxx",IFERROR(IF(INT(IF($D116=I$3,装备表!$E118,"xxx")/10000)=1,IF($D116=I$3,装备表!$E118,"xxx")&amp;":2,1,1,"&amp;装备表!$O118&amp;";","xxx"),"xxx"))</f>
        <v>14718:2,1,1,10;</v>
      </c>
      <c r="J116" s="18" t="str">
        <f>IF(装备表!$O118=0,"xxx",IFERROR(IF(INT(IF($D116=J$3,装备表!$E118,"xxx")/10000)=3,IF($D116=J$3,装备表!$E118,"xxx")&amp;":2,1,1,"&amp;装备表!$O118&amp;";","xxx"),"xxx"))</f>
        <v>xxx</v>
      </c>
    </row>
    <row r="117" spans="3:10" x14ac:dyDescent="0.2">
      <c r="C117">
        <v>14719</v>
      </c>
      <c r="D117" s="18">
        <f>装备表!L119</f>
        <v>5</v>
      </c>
      <c r="E117" s="18" t="str">
        <f>IF(装备表!$O119=0,"xxx",IFERROR(IF(INT(IF($D117=E$3,装备表!$E119,"xxx")/10000)=1,IF($D117=E$3,装备表!$E119,"xxx")&amp;":2,1,1,"&amp;装备表!$O119&amp;";","xxx"),"xxx"))</f>
        <v>xxx</v>
      </c>
      <c r="F117" s="18" t="str">
        <f>IF(装备表!$O119=0,"xxx",IFERROR(IF(INT(IF($D117=F$3,装备表!$E119,"xxx")/10000)=1,IF($D117=F$3,装备表!$E119,"xxx")&amp;":2,1,1,"&amp;装备表!$O119&amp;";","xxx"),"xxx"))</f>
        <v>xxx</v>
      </c>
      <c r="G117" s="18" t="str">
        <f>IF(装备表!$O119=0,"xxx",IFERROR(IF(INT(IF($D117=G$3,装备表!$E119,"xxx")/10000)=1,IF($D117=G$3,装备表!$E119,"xxx")&amp;":2,1,1,"&amp;装备表!$O119&amp;";","xxx"),"xxx"))</f>
        <v>xxx</v>
      </c>
      <c r="H117" s="18" t="str">
        <f>IF(装备表!$O119=0,"xxx",IFERROR(IF(INT(IF($D117=H$3,装备表!$E119,"xxx")/10000)=1,IF($D117=H$3,装备表!$E119,"xxx")&amp;":2,1,1,"&amp;装备表!$O119&amp;";","xxx"),"xxx"))</f>
        <v>xxx</v>
      </c>
      <c r="I117" s="18" t="str">
        <f>IF(装备表!$O119=0,"xxx",IFERROR(IF(INT(IF($D117=I$3,装备表!$E119,"xxx")/10000)=1,IF($D117=I$3,装备表!$E119,"xxx")&amp;":2,1,1,"&amp;装备表!$O119&amp;";","xxx"),"xxx"))</f>
        <v>14719:2,1,1,10;</v>
      </c>
      <c r="J117" s="18" t="str">
        <f>IF(装备表!$O119=0,"xxx",IFERROR(IF(INT(IF($D117=J$3,装备表!$E119,"xxx")/10000)=3,IF($D117=J$3,装备表!$E119,"xxx")&amp;":2,1,1,"&amp;装备表!$O119&amp;";","xxx"),"xxx"))</f>
        <v>xxx</v>
      </c>
    </row>
    <row r="118" spans="3:10" x14ac:dyDescent="0.2">
      <c r="C118">
        <v>14720</v>
      </c>
      <c r="D118" s="18">
        <f>装备表!L120</f>
        <v>5</v>
      </c>
      <c r="E118" s="18" t="str">
        <f>IF(装备表!$O120=0,"xxx",IFERROR(IF(INT(IF($D118=E$3,装备表!$E120,"xxx")/10000)=1,IF($D118=E$3,装备表!$E120,"xxx")&amp;":2,1,1,"&amp;装备表!$O120&amp;";","xxx"),"xxx"))</f>
        <v>xxx</v>
      </c>
      <c r="F118" s="18" t="str">
        <f>IF(装备表!$O120=0,"xxx",IFERROR(IF(INT(IF($D118=F$3,装备表!$E120,"xxx")/10000)=1,IF($D118=F$3,装备表!$E120,"xxx")&amp;":2,1,1,"&amp;装备表!$O120&amp;";","xxx"),"xxx"))</f>
        <v>xxx</v>
      </c>
      <c r="G118" s="18" t="str">
        <f>IF(装备表!$O120=0,"xxx",IFERROR(IF(INT(IF($D118=G$3,装备表!$E120,"xxx")/10000)=1,IF($D118=G$3,装备表!$E120,"xxx")&amp;":2,1,1,"&amp;装备表!$O120&amp;";","xxx"),"xxx"))</f>
        <v>xxx</v>
      </c>
      <c r="H118" s="18" t="str">
        <f>IF(装备表!$O120=0,"xxx",IFERROR(IF(INT(IF($D118=H$3,装备表!$E120,"xxx")/10000)=1,IF($D118=H$3,装备表!$E120,"xxx")&amp;":2,1,1,"&amp;装备表!$O120&amp;";","xxx"),"xxx"))</f>
        <v>xxx</v>
      </c>
      <c r="I118" s="18" t="str">
        <f>IF(装备表!$O120=0,"xxx",IFERROR(IF(INT(IF($D118=I$3,装备表!$E120,"xxx")/10000)=1,IF($D118=I$3,装备表!$E120,"xxx")&amp;":2,1,1,"&amp;装备表!$O120&amp;";","xxx"),"xxx"))</f>
        <v>14720:2,1,1,10;</v>
      </c>
      <c r="J118" s="18" t="str">
        <f>IF(装备表!$O120=0,"xxx",IFERROR(IF(INT(IF($D118=J$3,装备表!$E120,"xxx")/10000)=3,IF($D118=J$3,装备表!$E120,"xxx")&amp;":2,1,1,"&amp;装备表!$O120&amp;";","xxx"),"xxx"))</f>
        <v>xxx</v>
      </c>
    </row>
    <row r="119" spans="3:10" x14ac:dyDescent="0.2">
      <c r="C119">
        <v>14721</v>
      </c>
      <c r="D119" s="18">
        <f>装备表!L121</f>
        <v>5</v>
      </c>
      <c r="E119" s="18" t="str">
        <f>IF(装备表!$O121=0,"xxx",IFERROR(IF(INT(IF($D119=E$3,装备表!$E121,"xxx")/10000)=1,IF($D119=E$3,装备表!$E121,"xxx")&amp;":2,1,1,"&amp;装备表!$O121&amp;";","xxx"),"xxx"))</f>
        <v>xxx</v>
      </c>
      <c r="F119" s="18" t="str">
        <f>IF(装备表!$O121=0,"xxx",IFERROR(IF(INT(IF($D119=F$3,装备表!$E121,"xxx")/10000)=1,IF($D119=F$3,装备表!$E121,"xxx")&amp;":2,1,1,"&amp;装备表!$O121&amp;";","xxx"),"xxx"))</f>
        <v>xxx</v>
      </c>
      <c r="G119" s="18" t="str">
        <f>IF(装备表!$O121=0,"xxx",IFERROR(IF(INT(IF($D119=G$3,装备表!$E121,"xxx")/10000)=1,IF($D119=G$3,装备表!$E121,"xxx")&amp;":2,1,1,"&amp;装备表!$O121&amp;";","xxx"),"xxx"))</f>
        <v>xxx</v>
      </c>
      <c r="H119" s="18" t="str">
        <f>IF(装备表!$O121=0,"xxx",IFERROR(IF(INT(IF($D119=H$3,装备表!$E121,"xxx")/10000)=1,IF($D119=H$3,装备表!$E121,"xxx")&amp;":2,1,1,"&amp;装备表!$O121&amp;";","xxx"),"xxx"))</f>
        <v>xxx</v>
      </c>
      <c r="I119" s="18" t="str">
        <f>IF(装备表!$O121=0,"xxx",IFERROR(IF(INT(IF($D119=I$3,装备表!$E121,"xxx")/10000)=1,IF($D119=I$3,装备表!$E121,"xxx")&amp;":2,1,1,"&amp;装备表!$O121&amp;";","xxx"),"xxx"))</f>
        <v>14721:2,1,1,10;</v>
      </c>
      <c r="J119" s="18" t="str">
        <f>IF(装备表!$O121=0,"xxx",IFERROR(IF(INT(IF($D119=J$3,装备表!$E121,"xxx")/10000)=3,IF($D119=J$3,装备表!$E121,"xxx")&amp;":2,1,1,"&amp;装备表!$O121&amp;";","xxx"),"xxx"))</f>
        <v>xxx</v>
      </c>
    </row>
    <row r="120" spans="3:10" x14ac:dyDescent="0.2">
      <c r="C120">
        <v>14722</v>
      </c>
      <c r="D120" s="18">
        <f>装备表!L122</f>
        <v>5</v>
      </c>
      <c r="E120" s="18" t="str">
        <f>IF(装备表!$O122=0,"xxx",IFERROR(IF(INT(IF($D120=E$3,装备表!$E122,"xxx")/10000)=1,IF($D120=E$3,装备表!$E122,"xxx")&amp;":2,1,1,"&amp;装备表!$O122&amp;";","xxx"),"xxx"))</f>
        <v>xxx</v>
      </c>
      <c r="F120" s="18" t="str">
        <f>IF(装备表!$O122=0,"xxx",IFERROR(IF(INT(IF($D120=F$3,装备表!$E122,"xxx")/10000)=1,IF($D120=F$3,装备表!$E122,"xxx")&amp;":2,1,1,"&amp;装备表!$O122&amp;";","xxx"),"xxx"))</f>
        <v>xxx</v>
      </c>
      <c r="G120" s="18" t="str">
        <f>IF(装备表!$O122=0,"xxx",IFERROR(IF(INT(IF($D120=G$3,装备表!$E122,"xxx")/10000)=1,IF($D120=G$3,装备表!$E122,"xxx")&amp;":2,1,1,"&amp;装备表!$O122&amp;";","xxx"),"xxx"))</f>
        <v>xxx</v>
      </c>
      <c r="H120" s="18" t="str">
        <f>IF(装备表!$O122=0,"xxx",IFERROR(IF(INT(IF($D120=H$3,装备表!$E122,"xxx")/10000)=1,IF($D120=H$3,装备表!$E122,"xxx")&amp;":2,1,1,"&amp;装备表!$O122&amp;";","xxx"),"xxx"))</f>
        <v>xxx</v>
      </c>
      <c r="I120" s="18" t="str">
        <f>IF(装备表!$O122=0,"xxx",IFERROR(IF(INT(IF($D120=I$3,装备表!$E122,"xxx")/10000)=1,IF($D120=I$3,装备表!$E122,"xxx")&amp;":2,1,1,"&amp;装备表!$O122&amp;";","xxx"),"xxx"))</f>
        <v>14722:2,1,1,10;</v>
      </c>
      <c r="J120" s="18" t="str">
        <f>IF(装备表!$O122=0,"xxx",IFERROR(IF(INT(IF($D120=J$3,装备表!$E122,"xxx")/10000)=3,IF($D120=J$3,装备表!$E122,"xxx")&amp;":2,1,1,"&amp;装备表!$O122&amp;";","xxx"),"xxx"))</f>
        <v>xxx</v>
      </c>
    </row>
    <row r="121" spans="3:10" x14ac:dyDescent="0.2">
      <c r="C121">
        <v>14723</v>
      </c>
      <c r="D121" s="18">
        <f>装备表!L123</f>
        <v>5</v>
      </c>
      <c r="E121" s="18" t="str">
        <f>IF(装备表!$O123=0,"xxx",IFERROR(IF(INT(IF($D121=E$3,装备表!$E123,"xxx")/10000)=1,IF($D121=E$3,装备表!$E123,"xxx")&amp;":2,1,1,"&amp;装备表!$O123&amp;";","xxx"),"xxx"))</f>
        <v>xxx</v>
      </c>
      <c r="F121" s="18" t="str">
        <f>IF(装备表!$O123=0,"xxx",IFERROR(IF(INT(IF($D121=F$3,装备表!$E123,"xxx")/10000)=1,IF($D121=F$3,装备表!$E123,"xxx")&amp;":2,1,1,"&amp;装备表!$O123&amp;";","xxx"),"xxx"))</f>
        <v>xxx</v>
      </c>
      <c r="G121" s="18" t="str">
        <f>IF(装备表!$O123=0,"xxx",IFERROR(IF(INT(IF($D121=G$3,装备表!$E123,"xxx")/10000)=1,IF($D121=G$3,装备表!$E123,"xxx")&amp;":2,1,1,"&amp;装备表!$O123&amp;";","xxx"),"xxx"))</f>
        <v>xxx</v>
      </c>
      <c r="H121" s="18" t="str">
        <f>IF(装备表!$O123=0,"xxx",IFERROR(IF(INT(IF($D121=H$3,装备表!$E123,"xxx")/10000)=1,IF($D121=H$3,装备表!$E123,"xxx")&amp;":2,1,1,"&amp;装备表!$O123&amp;";","xxx"),"xxx"))</f>
        <v>xxx</v>
      </c>
      <c r="I121" s="18" t="str">
        <f>IF(装备表!$O123=0,"xxx",IFERROR(IF(INT(IF($D121=I$3,装备表!$E123,"xxx")/10000)=1,IF($D121=I$3,装备表!$E123,"xxx")&amp;":2,1,1,"&amp;装备表!$O123&amp;";","xxx"),"xxx"))</f>
        <v>xxx</v>
      </c>
      <c r="J121" s="18" t="str">
        <f>IF(装备表!$O123=0,"xxx",IFERROR(IF(INT(IF($D121=J$3,装备表!$E123,"xxx")/10000)=3,IF($D121=J$3,装备表!$E123,"xxx")&amp;":2,1,1,"&amp;装备表!$O123&amp;";","xxx"),"xxx"))</f>
        <v>xxx</v>
      </c>
    </row>
    <row r="122" spans="3:10" x14ac:dyDescent="0.2">
      <c r="C122">
        <v>14724</v>
      </c>
      <c r="D122" s="18">
        <f>装备表!L124</f>
        <v>5</v>
      </c>
      <c r="E122" s="18" t="str">
        <f>IF(装备表!$O124=0,"xxx",IFERROR(IF(INT(IF($D122=E$3,装备表!$E124,"xxx")/10000)=1,IF($D122=E$3,装备表!$E124,"xxx")&amp;":2,1,1,"&amp;装备表!$O124&amp;";","xxx"),"xxx"))</f>
        <v>xxx</v>
      </c>
      <c r="F122" s="18" t="str">
        <f>IF(装备表!$O124=0,"xxx",IFERROR(IF(INT(IF($D122=F$3,装备表!$E124,"xxx")/10000)=1,IF($D122=F$3,装备表!$E124,"xxx")&amp;":2,1,1,"&amp;装备表!$O124&amp;";","xxx"),"xxx"))</f>
        <v>xxx</v>
      </c>
      <c r="G122" s="18" t="str">
        <f>IF(装备表!$O124=0,"xxx",IFERROR(IF(INT(IF($D122=G$3,装备表!$E124,"xxx")/10000)=1,IF($D122=G$3,装备表!$E124,"xxx")&amp;":2,1,1,"&amp;装备表!$O124&amp;";","xxx"),"xxx"))</f>
        <v>xxx</v>
      </c>
      <c r="H122" s="18" t="str">
        <f>IF(装备表!$O124=0,"xxx",IFERROR(IF(INT(IF($D122=H$3,装备表!$E124,"xxx")/10000)=1,IF($D122=H$3,装备表!$E124,"xxx")&amp;":2,1,1,"&amp;装备表!$O124&amp;";","xxx"),"xxx"))</f>
        <v>xxx</v>
      </c>
      <c r="I122" s="18" t="str">
        <f>IF(装备表!$O124=0,"xxx",IFERROR(IF(INT(IF($D122=I$3,装备表!$E124,"xxx")/10000)=1,IF($D122=I$3,装备表!$E124,"xxx")&amp;":2,1,1,"&amp;装备表!$O124&amp;";","xxx"),"xxx"))</f>
        <v>14724:2,1,1,10;</v>
      </c>
      <c r="J122" s="18" t="str">
        <f>IF(装备表!$O124=0,"xxx",IFERROR(IF(INT(IF($D122=J$3,装备表!$E124,"xxx")/10000)=3,IF($D122=J$3,装备表!$E124,"xxx")&amp;":2,1,1,"&amp;装备表!$O124&amp;";","xxx"),"xxx"))</f>
        <v>xxx</v>
      </c>
    </row>
    <row r="123" spans="3:10" x14ac:dyDescent="0.2">
      <c r="C123">
        <v>14725</v>
      </c>
      <c r="D123" s="18">
        <f>装备表!L125</f>
        <v>5</v>
      </c>
      <c r="E123" s="18" t="str">
        <f>IF(装备表!$O125=0,"xxx",IFERROR(IF(INT(IF($D123=E$3,装备表!$E125,"xxx")/10000)=1,IF($D123=E$3,装备表!$E125,"xxx")&amp;":2,1,1,"&amp;装备表!$O125&amp;";","xxx"),"xxx"))</f>
        <v>xxx</v>
      </c>
      <c r="F123" s="18" t="str">
        <f>IF(装备表!$O125=0,"xxx",IFERROR(IF(INT(IF($D123=F$3,装备表!$E125,"xxx")/10000)=1,IF($D123=F$3,装备表!$E125,"xxx")&amp;":2,1,1,"&amp;装备表!$O125&amp;";","xxx"),"xxx"))</f>
        <v>xxx</v>
      </c>
      <c r="G123" s="18" t="str">
        <f>IF(装备表!$O125=0,"xxx",IFERROR(IF(INT(IF($D123=G$3,装备表!$E125,"xxx")/10000)=1,IF($D123=G$3,装备表!$E125,"xxx")&amp;":2,1,1,"&amp;装备表!$O125&amp;";","xxx"),"xxx"))</f>
        <v>xxx</v>
      </c>
      <c r="H123" s="18" t="str">
        <f>IF(装备表!$O125=0,"xxx",IFERROR(IF(INT(IF($D123=H$3,装备表!$E125,"xxx")/10000)=1,IF($D123=H$3,装备表!$E125,"xxx")&amp;":2,1,1,"&amp;装备表!$O125&amp;";","xxx"),"xxx"))</f>
        <v>xxx</v>
      </c>
      <c r="I123" s="18" t="str">
        <f>IF(装备表!$O125=0,"xxx",IFERROR(IF(INT(IF($D123=I$3,装备表!$E125,"xxx")/10000)=1,IF($D123=I$3,装备表!$E125,"xxx")&amp;":2,1,1,"&amp;装备表!$O125&amp;";","xxx"),"xxx"))</f>
        <v>14725:2,1,1,10;</v>
      </c>
      <c r="J123" s="18" t="str">
        <f>IF(装备表!$O125=0,"xxx",IFERROR(IF(INT(IF($D123=J$3,装备表!$E125,"xxx")/10000)=3,IF($D123=J$3,装备表!$E125,"xxx")&amp;":2,1,1,"&amp;装备表!$O125&amp;";","xxx"),"xxx"))</f>
        <v>xxx</v>
      </c>
    </row>
    <row r="124" spans="3:10" x14ac:dyDescent="0.2">
      <c r="C124">
        <v>14726</v>
      </c>
      <c r="D124" s="18">
        <f>装备表!L126</f>
        <v>5</v>
      </c>
      <c r="E124" s="18" t="str">
        <f>IF(装备表!$O126=0,"xxx",IFERROR(IF(INT(IF($D124=E$3,装备表!$E126,"xxx")/10000)=1,IF($D124=E$3,装备表!$E126,"xxx")&amp;":2,1,1,"&amp;装备表!$O126&amp;";","xxx"),"xxx"))</f>
        <v>xxx</v>
      </c>
      <c r="F124" s="18" t="str">
        <f>IF(装备表!$O126=0,"xxx",IFERROR(IF(INT(IF($D124=F$3,装备表!$E126,"xxx")/10000)=1,IF($D124=F$3,装备表!$E126,"xxx")&amp;":2,1,1,"&amp;装备表!$O126&amp;";","xxx"),"xxx"))</f>
        <v>xxx</v>
      </c>
      <c r="G124" s="18" t="str">
        <f>IF(装备表!$O126=0,"xxx",IFERROR(IF(INT(IF($D124=G$3,装备表!$E126,"xxx")/10000)=1,IF($D124=G$3,装备表!$E126,"xxx")&amp;":2,1,1,"&amp;装备表!$O126&amp;";","xxx"),"xxx"))</f>
        <v>xxx</v>
      </c>
      <c r="H124" s="18" t="str">
        <f>IF(装备表!$O126=0,"xxx",IFERROR(IF(INT(IF($D124=H$3,装备表!$E126,"xxx")/10000)=1,IF($D124=H$3,装备表!$E126,"xxx")&amp;":2,1,1,"&amp;装备表!$O126&amp;";","xxx"),"xxx"))</f>
        <v>xxx</v>
      </c>
      <c r="I124" s="18" t="str">
        <f>IF(装备表!$O126=0,"xxx",IFERROR(IF(INT(IF($D124=I$3,装备表!$E126,"xxx")/10000)=1,IF($D124=I$3,装备表!$E126,"xxx")&amp;":2,1,1,"&amp;装备表!$O126&amp;";","xxx"),"xxx"))</f>
        <v>14726:2,1,1,10;</v>
      </c>
      <c r="J124" s="18" t="str">
        <f>IF(装备表!$O126=0,"xxx",IFERROR(IF(INT(IF($D124=J$3,装备表!$E126,"xxx")/10000)=3,IF($D124=J$3,装备表!$E126,"xxx")&amp;":2,1,1,"&amp;装备表!$O126&amp;";","xxx"),"xxx"))</f>
        <v>xxx</v>
      </c>
    </row>
    <row r="125" spans="3:10" x14ac:dyDescent="0.2">
      <c r="C125">
        <v>14727</v>
      </c>
      <c r="D125" s="18">
        <f>装备表!L127</f>
        <v>5</v>
      </c>
      <c r="E125" s="18" t="str">
        <f>IF(装备表!$O127=0,"xxx",IFERROR(IF(INT(IF($D125=E$3,装备表!$E127,"xxx")/10000)=1,IF($D125=E$3,装备表!$E127,"xxx")&amp;":2,1,1,"&amp;装备表!$O127&amp;";","xxx"),"xxx"))</f>
        <v>xxx</v>
      </c>
      <c r="F125" s="18" t="str">
        <f>IF(装备表!$O127=0,"xxx",IFERROR(IF(INT(IF($D125=F$3,装备表!$E127,"xxx")/10000)=1,IF($D125=F$3,装备表!$E127,"xxx")&amp;":2,1,1,"&amp;装备表!$O127&amp;";","xxx"),"xxx"))</f>
        <v>xxx</v>
      </c>
      <c r="G125" s="18" t="str">
        <f>IF(装备表!$O127=0,"xxx",IFERROR(IF(INT(IF($D125=G$3,装备表!$E127,"xxx")/10000)=1,IF($D125=G$3,装备表!$E127,"xxx")&amp;":2,1,1,"&amp;装备表!$O127&amp;";","xxx"),"xxx"))</f>
        <v>xxx</v>
      </c>
      <c r="H125" s="18" t="str">
        <f>IF(装备表!$O127=0,"xxx",IFERROR(IF(INT(IF($D125=H$3,装备表!$E127,"xxx")/10000)=1,IF($D125=H$3,装备表!$E127,"xxx")&amp;":2,1,1,"&amp;装备表!$O127&amp;";","xxx"),"xxx"))</f>
        <v>xxx</v>
      </c>
      <c r="I125" s="18" t="str">
        <f>IF(装备表!$O127=0,"xxx",IFERROR(IF(INT(IF($D125=I$3,装备表!$E127,"xxx")/10000)=1,IF($D125=I$3,装备表!$E127,"xxx")&amp;":2,1,1,"&amp;装备表!$O127&amp;";","xxx"),"xxx"))</f>
        <v>14727:2,1,1,10;</v>
      </c>
      <c r="J125" s="18" t="str">
        <f>IF(装备表!$O127=0,"xxx",IFERROR(IF(INT(IF($D125=J$3,装备表!$E127,"xxx")/10000)=3,IF($D125=J$3,装备表!$E127,"xxx")&amp;":2,1,1,"&amp;装备表!$O127&amp;";","xxx"),"xxx"))</f>
        <v>xxx</v>
      </c>
    </row>
    <row r="126" spans="3:10" x14ac:dyDescent="0.2">
      <c r="C126">
        <v>14728</v>
      </c>
      <c r="D126" s="18">
        <f>装备表!L128</f>
        <v>5</v>
      </c>
      <c r="E126" s="18" t="str">
        <f>IF(装备表!$O128=0,"xxx",IFERROR(IF(INT(IF($D126=E$3,装备表!$E128,"xxx")/10000)=1,IF($D126=E$3,装备表!$E128,"xxx")&amp;":2,1,1,"&amp;装备表!$O128&amp;";","xxx"),"xxx"))</f>
        <v>xxx</v>
      </c>
      <c r="F126" s="18" t="str">
        <f>IF(装备表!$O128=0,"xxx",IFERROR(IF(INT(IF($D126=F$3,装备表!$E128,"xxx")/10000)=1,IF($D126=F$3,装备表!$E128,"xxx")&amp;":2,1,1,"&amp;装备表!$O128&amp;";","xxx"),"xxx"))</f>
        <v>xxx</v>
      </c>
      <c r="G126" s="18" t="str">
        <f>IF(装备表!$O128=0,"xxx",IFERROR(IF(INT(IF($D126=G$3,装备表!$E128,"xxx")/10000)=1,IF($D126=G$3,装备表!$E128,"xxx")&amp;":2,1,1,"&amp;装备表!$O128&amp;";","xxx"),"xxx"))</f>
        <v>xxx</v>
      </c>
      <c r="H126" s="18" t="str">
        <f>IF(装备表!$O128=0,"xxx",IFERROR(IF(INT(IF($D126=H$3,装备表!$E128,"xxx")/10000)=1,IF($D126=H$3,装备表!$E128,"xxx")&amp;":2,1,1,"&amp;装备表!$O128&amp;";","xxx"),"xxx"))</f>
        <v>xxx</v>
      </c>
      <c r="I126" s="18" t="str">
        <f>IF(装备表!$O128=0,"xxx",IFERROR(IF(INT(IF($D126=I$3,装备表!$E128,"xxx")/10000)=1,IF($D126=I$3,装备表!$E128,"xxx")&amp;":2,1,1,"&amp;装备表!$O128&amp;";","xxx"),"xxx"))</f>
        <v>14728:2,1,1,10;</v>
      </c>
      <c r="J126" s="18" t="str">
        <f>IF(装备表!$O128=0,"xxx",IFERROR(IF(INT(IF($D126=J$3,装备表!$E128,"xxx")/10000)=3,IF($D126=J$3,装备表!$E128,"xxx")&amp;":2,1,1,"&amp;装备表!$O128&amp;";","xxx"),"xxx"))</f>
        <v>xxx</v>
      </c>
    </row>
    <row r="127" spans="3:10" x14ac:dyDescent="0.2">
      <c r="C127">
        <v>14729</v>
      </c>
      <c r="D127" s="18">
        <f>装备表!L129</f>
        <v>5</v>
      </c>
      <c r="E127" s="18" t="str">
        <f>IF(装备表!$O129=0,"xxx",IFERROR(IF(INT(IF($D127=E$3,装备表!$E129,"xxx")/10000)=1,IF($D127=E$3,装备表!$E129,"xxx")&amp;":2,1,1,"&amp;装备表!$O129&amp;";","xxx"),"xxx"))</f>
        <v>xxx</v>
      </c>
      <c r="F127" s="18" t="str">
        <f>IF(装备表!$O129=0,"xxx",IFERROR(IF(INT(IF($D127=F$3,装备表!$E129,"xxx")/10000)=1,IF($D127=F$3,装备表!$E129,"xxx")&amp;":2,1,1,"&amp;装备表!$O129&amp;";","xxx"),"xxx"))</f>
        <v>xxx</v>
      </c>
      <c r="G127" s="18" t="str">
        <f>IF(装备表!$O129=0,"xxx",IFERROR(IF(INT(IF($D127=G$3,装备表!$E129,"xxx")/10000)=1,IF($D127=G$3,装备表!$E129,"xxx")&amp;":2,1,1,"&amp;装备表!$O129&amp;";","xxx"),"xxx"))</f>
        <v>xxx</v>
      </c>
      <c r="H127" s="18" t="str">
        <f>IF(装备表!$O129=0,"xxx",IFERROR(IF(INT(IF($D127=H$3,装备表!$E129,"xxx")/10000)=1,IF($D127=H$3,装备表!$E129,"xxx")&amp;":2,1,1,"&amp;装备表!$O129&amp;";","xxx"),"xxx"))</f>
        <v>xxx</v>
      </c>
      <c r="I127" s="18" t="str">
        <f>IF(装备表!$O129=0,"xxx",IFERROR(IF(INT(IF($D127=I$3,装备表!$E129,"xxx")/10000)=1,IF($D127=I$3,装备表!$E129,"xxx")&amp;":2,1,1,"&amp;装备表!$O129&amp;";","xxx"),"xxx"))</f>
        <v>14729:2,1,1,10;</v>
      </c>
      <c r="J127" s="18" t="str">
        <f>IF(装备表!$O129=0,"xxx",IFERROR(IF(INT(IF($D127=J$3,装备表!$E129,"xxx")/10000)=3,IF($D127=J$3,装备表!$E129,"xxx")&amp;":2,1,1,"&amp;装备表!$O129&amp;";","xxx"),"xxx"))</f>
        <v>xxx</v>
      </c>
    </row>
    <row r="128" spans="3:10" x14ac:dyDescent="0.2">
      <c r="C128">
        <v>14730</v>
      </c>
      <c r="D128" s="18">
        <f>装备表!L130</f>
        <v>5</v>
      </c>
      <c r="E128" s="18" t="str">
        <f>IF(装备表!$O130=0,"xxx",IFERROR(IF(INT(IF($D128=E$3,装备表!$E130,"xxx")/10000)=1,IF($D128=E$3,装备表!$E130,"xxx")&amp;":2,1,1,"&amp;装备表!$O130&amp;";","xxx"),"xxx"))</f>
        <v>xxx</v>
      </c>
      <c r="F128" s="18" t="str">
        <f>IF(装备表!$O130=0,"xxx",IFERROR(IF(INT(IF($D128=F$3,装备表!$E130,"xxx")/10000)=1,IF($D128=F$3,装备表!$E130,"xxx")&amp;":2,1,1,"&amp;装备表!$O130&amp;";","xxx"),"xxx"))</f>
        <v>xxx</v>
      </c>
      <c r="G128" s="18" t="str">
        <f>IF(装备表!$O130=0,"xxx",IFERROR(IF(INT(IF($D128=G$3,装备表!$E130,"xxx")/10000)=1,IF($D128=G$3,装备表!$E130,"xxx")&amp;":2,1,1,"&amp;装备表!$O130&amp;";","xxx"),"xxx"))</f>
        <v>xxx</v>
      </c>
      <c r="H128" s="18" t="str">
        <f>IF(装备表!$O130=0,"xxx",IFERROR(IF(INT(IF($D128=H$3,装备表!$E130,"xxx")/10000)=1,IF($D128=H$3,装备表!$E130,"xxx")&amp;":2,1,1,"&amp;装备表!$O130&amp;";","xxx"),"xxx"))</f>
        <v>xxx</v>
      </c>
      <c r="I128" s="18" t="str">
        <f>IF(装备表!$O130=0,"xxx",IFERROR(IF(INT(IF($D128=I$3,装备表!$E130,"xxx")/10000)=1,IF($D128=I$3,装备表!$E130,"xxx")&amp;":2,1,1,"&amp;装备表!$O130&amp;";","xxx"),"xxx"))</f>
        <v>14730:2,1,1,10;</v>
      </c>
      <c r="J128" s="18" t="str">
        <f>IF(装备表!$O130=0,"xxx",IFERROR(IF(INT(IF($D128=J$3,装备表!$E130,"xxx")/10000)=3,IF($D128=J$3,装备表!$E130,"xxx")&amp;":2,1,1,"&amp;装备表!$O130&amp;";","xxx"),"xxx"))</f>
        <v>xxx</v>
      </c>
    </row>
    <row r="129" spans="3:10" x14ac:dyDescent="0.2">
      <c r="C129">
        <v>14731</v>
      </c>
      <c r="D129" s="18">
        <f>装备表!L131</f>
        <v>5</v>
      </c>
      <c r="E129" s="18" t="str">
        <f>IF(装备表!$O131=0,"xxx",IFERROR(IF(INT(IF($D129=E$3,装备表!$E131,"xxx")/10000)=1,IF($D129=E$3,装备表!$E131,"xxx")&amp;":2,1,1,"&amp;装备表!$O131&amp;";","xxx"),"xxx"))</f>
        <v>xxx</v>
      </c>
      <c r="F129" s="18" t="str">
        <f>IF(装备表!$O131=0,"xxx",IFERROR(IF(INT(IF($D129=F$3,装备表!$E131,"xxx")/10000)=1,IF($D129=F$3,装备表!$E131,"xxx")&amp;":2,1,1,"&amp;装备表!$O131&amp;";","xxx"),"xxx"))</f>
        <v>xxx</v>
      </c>
      <c r="G129" s="18" t="str">
        <f>IF(装备表!$O131=0,"xxx",IFERROR(IF(INT(IF($D129=G$3,装备表!$E131,"xxx")/10000)=1,IF($D129=G$3,装备表!$E131,"xxx")&amp;":2,1,1,"&amp;装备表!$O131&amp;";","xxx"),"xxx"))</f>
        <v>xxx</v>
      </c>
      <c r="H129" s="18" t="str">
        <f>IF(装备表!$O131=0,"xxx",IFERROR(IF(INT(IF($D129=H$3,装备表!$E131,"xxx")/10000)=1,IF($D129=H$3,装备表!$E131,"xxx")&amp;":2,1,1,"&amp;装备表!$O131&amp;";","xxx"),"xxx"))</f>
        <v>xxx</v>
      </c>
      <c r="I129" s="18" t="str">
        <f>IF(装备表!$O131=0,"xxx",IFERROR(IF(INT(IF($D129=I$3,装备表!$E131,"xxx")/10000)=1,IF($D129=I$3,装备表!$E131,"xxx")&amp;":2,1,1,"&amp;装备表!$O131&amp;";","xxx"),"xxx"))</f>
        <v>14731:2,1,1,10;</v>
      </c>
      <c r="J129" s="18" t="str">
        <f>IF(装备表!$O131=0,"xxx",IFERROR(IF(INT(IF($D129=J$3,装备表!$E131,"xxx")/10000)=3,IF($D129=J$3,装备表!$E131,"xxx")&amp;":2,1,1,"&amp;装备表!$O131&amp;";","xxx"),"xxx"))</f>
        <v>xxx</v>
      </c>
    </row>
    <row r="130" spans="3:10" x14ac:dyDescent="0.2">
      <c r="C130">
        <v>14732</v>
      </c>
      <c r="D130" s="18">
        <f>装备表!L132</f>
        <v>5</v>
      </c>
      <c r="E130" s="18" t="str">
        <f>IF(装备表!$O132=0,"xxx",IFERROR(IF(INT(IF($D130=E$3,装备表!$E132,"xxx")/10000)=1,IF($D130=E$3,装备表!$E132,"xxx")&amp;":2,1,1,"&amp;装备表!$O132&amp;";","xxx"),"xxx"))</f>
        <v>xxx</v>
      </c>
      <c r="F130" s="18" t="str">
        <f>IF(装备表!$O132=0,"xxx",IFERROR(IF(INT(IF($D130=F$3,装备表!$E132,"xxx")/10000)=1,IF($D130=F$3,装备表!$E132,"xxx")&amp;":2,1,1,"&amp;装备表!$O132&amp;";","xxx"),"xxx"))</f>
        <v>xxx</v>
      </c>
      <c r="G130" s="18" t="str">
        <f>IF(装备表!$O132=0,"xxx",IFERROR(IF(INT(IF($D130=G$3,装备表!$E132,"xxx")/10000)=1,IF($D130=G$3,装备表!$E132,"xxx")&amp;":2,1,1,"&amp;装备表!$O132&amp;";","xxx"),"xxx"))</f>
        <v>xxx</v>
      </c>
      <c r="H130" s="18" t="str">
        <f>IF(装备表!$O132=0,"xxx",IFERROR(IF(INT(IF($D130=H$3,装备表!$E132,"xxx")/10000)=1,IF($D130=H$3,装备表!$E132,"xxx")&amp;":2,1,1,"&amp;装备表!$O132&amp;";","xxx"),"xxx"))</f>
        <v>xxx</v>
      </c>
      <c r="I130" s="18" t="str">
        <f>IF(装备表!$O132=0,"xxx",IFERROR(IF(INT(IF($D130=I$3,装备表!$E132,"xxx")/10000)=1,IF($D130=I$3,装备表!$E132,"xxx")&amp;":2,1,1,"&amp;装备表!$O132&amp;";","xxx"),"xxx"))</f>
        <v>14732:2,1,1,10;</v>
      </c>
      <c r="J130" s="18" t="str">
        <f>IF(装备表!$O132=0,"xxx",IFERROR(IF(INT(IF($D130=J$3,装备表!$E132,"xxx")/10000)=3,IF($D130=J$3,装备表!$E132,"xxx")&amp;":2,1,1,"&amp;装备表!$O132&amp;";","xxx"),"xxx"))</f>
        <v>xxx</v>
      </c>
    </row>
    <row r="131" spans="3:10" x14ac:dyDescent="0.2">
      <c r="C131">
        <v>14733</v>
      </c>
      <c r="D131" s="18">
        <f>装备表!L133</f>
        <v>5</v>
      </c>
      <c r="E131" s="18" t="str">
        <f>IF(装备表!$O133=0,"xxx",IFERROR(IF(INT(IF($D131=E$3,装备表!$E133,"xxx")/10000)=1,IF($D131=E$3,装备表!$E133,"xxx")&amp;":2,1,1,"&amp;装备表!$O133&amp;";","xxx"),"xxx"))</f>
        <v>xxx</v>
      </c>
      <c r="F131" s="18" t="str">
        <f>IF(装备表!$O133=0,"xxx",IFERROR(IF(INT(IF($D131=F$3,装备表!$E133,"xxx")/10000)=1,IF($D131=F$3,装备表!$E133,"xxx")&amp;":2,1,1,"&amp;装备表!$O133&amp;";","xxx"),"xxx"))</f>
        <v>xxx</v>
      </c>
      <c r="G131" s="18" t="str">
        <f>IF(装备表!$O133=0,"xxx",IFERROR(IF(INT(IF($D131=G$3,装备表!$E133,"xxx")/10000)=1,IF($D131=G$3,装备表!$E133,"xxx")&amp;":2,1,1,"&amp;装备表!$O133&amp;";","xxx"),"xxx"))</f>
        <v>xxx</v>
      </c>
      <c r="H131" s="18" t="str">
        <f>IF(装备表!$O133=0,"xxx",IFERROR(IF(INT(IF($D131=H$3,装备表!$E133,"xxx")/10000)=1,IF($D131=H$3,装备表!$E133,"xxx")&amp;":2,1,1,"&amp;装备表!$O133&amp;";","xxx"),"xxx"))</f>
        <v>xxx</v>
      </c>
      <c r="I131" s="18" t="str">
        <f>IF(装备表!$O133=0,"xxx",IFERROR(IF(INT(IF($D131=I$3,装备表!$E133,"xxx")/10000)=1,IF($D131=I$3,装备表!$E133,"xxx")&amp;":2,1,1,"&amp;装备表!$O133&amp;";","xxx"),"xxx"))</f>
        <v>14733:2,1,1,10;</v>
      </c>
      <c r="J131" s="18" t="str">
        <f>IF(装备表!$O133=0,"xxx",IFERROR(IF(INT(IF($D131=J$3,装备表!$E133,"xxx")/10000)=3,IF($D131=J$3,装备表!$E133,"xxx")&amp;":2,1,1,"&amp;装备表!$O133&amp;";","xxx"),"xxx"))</f>
        <v>xxx</v>
      </c>
    </row>
    <row r="132" spans="3:10" x14ac:dyDescent="0.2">
      <c r="C132">
        <v>14734</v>
      </c>
      <c r="D132" s="18">
        <f>装备表!L134</f>
        <v>5</v>
      </c>
      <c r="E132" s="18" t="str">
        <f>IF(装备表!$O134=0,"xxx",IFERROR(IF(INT(IF($D132=E$3,装备表!$E134,"xxx")/10000)=1,IF($D132=E$3,装备表!$E134,"xxx")&amp;":2,1,1,"&amp;装备表!$O134&amp;";","xxx"),"xxx"))</f>
        <v>xxx</v>
      </c>
      <c r="F132" s="18" t="str">
        <f>IF(装备表!$O134=0,"xxx",IFERROR(IF(INT(IF($D132=F$3,装备表!$E134,"xxx")/10000)=1,IF($D132=F$3,装备表!$E134,"xxx")&amp;":2,1,1,"&amp;装备表!$O134&amp;";","xxx"),"xxx"))</f>
        <v>xxx</v>
      </c>
      <c r="G132" s="18" t="str">
        <f>IF(装备表!$O134=0,"xxx",IFERROR(IF(INT(IF($D132=G$3,装备表!$E134,"xxx")/10000)=1,IF($D132=G$3,装备表!$E134,"xxx")&amp;":2,1,1,"&amp;装备表!$O134&amp;";","xxx"),"xxx"))</f>
        <v>xxx</v>
      </c>
      <c r="H132" s="18" t="str">
        <f>IF(装备表!$O134=0,"xxx",IFERROR(IF(INT(IF($D132=H$3,装备表!$E134,"xxx")/10000)=1,IF($D132=H$3,装备表!$E134,"xxx")&amp;":2,1,1,"&amp;装备表!$O134&amp;";","xxx"),"xxx"))</f>
        <v>xxx</v>
      </c>
      <c r="I132" s="18" t="str">
        <f>IF(装备表!$O134=0,"xxx",IFERROR(IF(INT(IF($D132=I$3,装备表!$E134,"xxx")/10000)=1,IF($D132=I$3,装备表!$E134,"xxx")&amp;":2,1,1,"&amp;装备表!$O134&amp;";","xxx"),"xxx"))</f>
        <v>14734:2,1,1,10;</v>
      </c>
      <c r="J132" s="18" t="str">
        <f>IF(装备表!$O134=0,"xxx",IFERROR(IF(INT(IF($D132=J$3,装备表!$E134,"xxx")/10000)=3,IF($D132=J$3,装备表!$E134,"xxx")&amp;":2,1,1,"&amp;装备表!$O134&amp;";","xxx"),"xxx"))</f>
        <v>xxx</v>
      </c>
    </row>
    <row r="133" spans="3:10" x14ac:dyDescent="0.2">
      <c r="C133">
        <v>14735</v>
      </c>
      <c r="D133" s="18">
        <f>装备表!L135</f>
        <v>5</v>
      </c>
      <c r="E133" s="18" t="str">
        <f>IF(装备表!$O135=0,"xxx",IFERROR(IF(INT(IF($D133=E$3,装备表!$E135,"xxx")/10000)=1,IF($D133=E$3,装备表!$E135,"xxx")&amp;":2,1,1,"&amp;装备表!$O135&amp;";","xxx"),"xxx"))</f>
        <v>xxx</v>
      </c>
      <c r="F133" s="18" t="str">
        <f>IF(装备表!$O135=0,"xxx",IFERROR(IF(INT(IF($D133=F$3,装备表!$E135,"xxx")/10000)=1,IF($D133=F$3,装备表!$E135,"xxx")&amp;":2,1,1,"&amp;装备表!$O135&amp;";","xxx"),"xxx"))</f>
        <v>xxx</v>
      </c>
      <c r="G133" s="18" t="str">
        <f>IF(装备表!$O135=0,"xxx",IFERROR(IF(INT(IF($D133=G$3,装备表!$E135,"xxx")/10000)=1,IF($D133=G$3,装备表!$E135,"xxx")&amp;":2,1,1,"&amp;装备表!$O135&amp;";","xxx"),"xxx"))</f>
        <v>xxx</v>
      </c>
      <c r="H133" s="18" t="str">
        <f>IF(装备表!$O135=0,"xxx",IFERROR(IF(INT(IF($D133=H$3,装备表!$E135,"xxx")/10000)=1,IF($D133=H$3,装备表!$E135,"xxx")&amp;":2,1,1,"&amp;装备表!$O135&amp;";","xxx"),"xxx"))</f>
        <v>xxx</v>
      </c>
      <c r="I133" s="18" t="str">
        <f>IF(装备表!$O135=0,"xxx",IFERROR(IF(INT(IF($D133=I$3,装备表!$E135,"xxx")/10000)=1,IF($D133=I$3,装备表!$E135,"xxx")&amp;":2,1,1,"&amp;装备表!$O135&amp;";","xxx"),"xxx"))</f>
        <v>14735:2,1,1,10;</v>
      </c>
      <c r="J133" s="18" t="str">
        <f>IF(装备表!$O135=0,"xxx",IFERROR(IF(INT(IF($D133=J$3,装备表!$E135,"xxx")/10000)=3,IF($D133=J$3,装备表!$E135,"xxx")&amp;":2,1,1,"&amp;装备表!$O135&amp;";","xxx"),"xxx"))</f>
        <v>xxx</v>
      </c>
    </row>
    <row r="134" spans="3:10" x14ac:dyDescent="0.2">
      <c r="C134">
        <v>14736</v>
      </c>
      <c r="D134" s="18">
        <f>装备表!L136</f>
        <v>5</v>
      </c>
      <c r="E134" s="18" t="str">
        <f>IF(装备表!$O136=0,"xxx",IFERROR(IF(INT(IF($D134=E$3,装备表!$E136,"xxx")/10000)=1,IF($D134=E$3,装备表!$E136,"xxx")&amp;":2,1,1,"&amp;装备表!$O136&amp;";","xxx"),"xxx"))</f>
        <v>xxx</v>
      </c>
      <c r="F134" s="18" t="str">
        <f>IF(装备表!$O136=0,"xxx",IFERROR(IF(INT(IF($D134=F$3,装备表!$E136,"xxx")/10000)=1,IF($D134=F$3,装备表!$E136,"xxx")&amp;":2,1,1,"&amp;装备表!$O136&amp;";","xxx"),"xxx"))</f>
        <v>xxx</v>
      </c>
      <c r="G134" s="18" t="str">
        <f>IF(装备表!$O136=0,"xxx",IFERROR(IF(INT(IF($D134=G$3,装备表!$E136,"xxx")/10000)=1,IF($D134=G$3,装备表!$E136,"xxx")&amp;":2,1,1,"&amp;装备表!$O136&amp;";","xxx"),"xxx"))</f>
        <v>xxx</v>
      </c>
      <c r="H134" s="18" t="str">
        <f>IF(装备表!$O136=0,"xxx",IFERROR(IF(INT(IF($D134=H$3,装备表!$E136,"xxx")/10000)=1,IF($D134=H$3,装备表!$E136,"xxx")&amp;":2,1,1,"&amp;装备表!$O136&amp;";","xxx"),"xxx"))</f>
        <v>xxx</v>
      </c>
      <c r="I134" s="18" t="str">
        <f>IF(装备表!$O136=0,"xxx",IFERROR(IF(INT(IF($D134=I$3,装备表!$E136,"xxx")/10000)=1,IF($D134=I$3,装备表!$E136,"xxx")&amp;":2,1,1,"&amp;装备表!$O136&amp;";","xxx"),"xxx"))</f>
        <v>14736:2,1,1,10;</v>
      </c>
      <c r="J134" s="18" t="str">
        <f>IF(装备表!$O136=0,"xxx",IFERROR(IF(INT(IF($D134=J$3,装备表!$E136,"xxx")/10000)=3,IF($D134=J$3,装备表!$E136,"xxx")&amp;":2,1,1,"&amp;装备表!$O136&amp;";","xxx"),"xxx"))</f>
        <v>xxx</v>
      </c>
    </row>
    <row r="135" spans="3:10" x14ac:dyDescent="0.2">
      <c r="C135">
        <v>14737</v>
      </c>
      <c r="D135" s="18">
        <f>装备表!L137</f>
        <v>5</v>
      </c>
      <c r="E135" s="18" t="str">
        <f>IF(装备表!$O137=0,"xxx",IFERROR(IF(INT(IF($D135=E$3,装备表!$E137,"xxx")/10000)=1,IF($D135=E$3,装备表!$E137,"xxx")&amp;":2,1,1,"&amp;装备表!$O137&amp;";","xxx"),"xxx"))</f>
        <v>xxx</v>
      </c>
      <c r="F135" s="18" t="str">
        <f>IF(装备表!$O137=0,"xxx",IFERROR(IF(INT(IF($D135=F$3,装备表!$E137,"xxx")/10000)=1,IF($D135=F$3,装备表!$E137,"xxx")&amp;":2,1,1,"&amp;装备表!$O137&amp;";","xxx"),"xxx"))</f>
        <v>xxx</v>
      </c>
      <c r="G135" s="18" t="str">
        <f>IF(装备表!$O137=0,"xxx",IFERROR(IF(INT(IF($D135=G$3,装备表!$E137,"xxx")/10000)=1,IF($D135=G$3,装备表!$E137,"xxx")&amp;":2,1,1,"&amp;装备表!$O137&amp;";","xxx"),"xxx"))</f>
        <v>xxx</v>
      </c>
      <c r="H135" s="18" t="str">
        <f>IF(装备表!$O137=0,"xxx",IFERROR(IF(INT(IF($D135=H$3,装备表!$E137,"xxx")/10000)=1,IF($D135=H$3,装备表!$E137,"xxx")&amp;":2,1,1,"&amp;装备表!$O137&amp;";","xxx"),"xxx"))</f>
        <v>xxx</v>
      </c>
      <c r="I135" s="18" t="str">
        <f>IF(装备表!$O137=0,"xxx",IFERROR(IF(INT(IF($D135=I$3,装备表!$E137,"xxx")/10000)=1,IF($D135=I$3,装备表!$E137,"xxx")&amp;":2,1,1,"&amp;装备表!$O137&amp;";","xxx"),"xxx"))</f>
        <v>14737:2,1,1,10;</v>
      </c>
      <c r="J135" s="18" t="str">
        <f>IF(装备表!$O137=0,"xxx",IFERROR(IF(INT(IF($D135=J$3,装备表!$E137,"xxx")/10000)=3,IF($D135=J$3,装备表!$E137,"xxx")&amp;":2,1,1,"&amp;装备表!$O137&amp;";","xxx"),"xxx"))</f>
        <v>xxx</v>
      </c>
    </row>
    <row r="136" spans="3:10" x14ac:dyDescent="0.2">
      <c r="C136">
        <v>14738</v>
      </c>
      <c r="D136" s="18">
        <f>装备表!L138</f>
        <v>5</v>
      </c>
      <c r="E136" s="18" t="str">
        <f>IF(装备表!$O138=0,"xxx",IFERROR(IF(INT(IF($D136=E$3,装备表!$E138,"xxx")/10000)=1,IF($D136=E$3,装备表!$E138,"xxx")&amp;":2,1,1,"&amp;装备表!$O138&amp;";","xxx"),"xxx"))</f>
        <v>xxx</v>
      </c>
      <c r="F136" s="18" t="str">
        <f>IF(装备表!$O138=0,"xxx",IFERROR(IF(INT(IF($D136=F$3,装备表!$E138,"xxx")/10000)=1,IF($D136=F$3,装备表!$E138,"xxx")&amp;":2,1,1,"&amp;装备表!$O138&amp;";","xxx"),"xxx"))</f>
        <v>xxx</v>
      </c>
      <c r="G136" s="18" t="str">
        <f>IF(装备表!$O138=0,"xxx",IFERROR(IF(INT(IF($D136=G$3,装备表!$E138,"xxx")/10000)=1,IF($D136=G$3,装备表!$E138,"xxx")&amp;":2,1,1,"&amp;装备表!$O138&amp;";","xxx"),"xxx"))</f>
        <v>xxx</v>
      </c>
      <c r="H136" s="18" t="str">
        <f>IF(装备表!$O138=0,"xxx",IFERROR(IF(INT(IF($D136=H$3,装备表!$E138,"xxx")/10000)=1,IF($D136=H$3,装备表!$E138,"xxx")&amp;":2,1,1,"&amp;装备表!$O138&amp;";","xxx"),"xxx"))</f>
        <v>xxx</v>
      </c>
      <c r="I136" s="18" t="str">
        <f>IF(装备表!$O138=0,"xxx",IFERROR(IF(INT(IF($D136=I$3,装备表!$E138,"xxx")/10000)=1,IF($D136=I$3,装备表!$E138,"xxx")&amp;":2,1,1,"&amp;装备表!$O138&amp;";","xxx"),"xxx"))</f>
        <v>14738:2,1,1,10;</v>
      </c>
      <c r="J136" s="18" t="str">
        <f>IF(装备表!$O138=0,"xxx",IFERROR(IF(INT(IF($D136=J$3,装备表!$E138,"xxx")/10000)=3,IF($D136=J$3,装备表!$E138,"xxx")&amp;":2,1,1,"&amp;装备表!$O138&amp;";","xxx"),"xxx"))</f>
        <v>xxx</v>
      </c>
    </row>
    <row r="137" spans="3:10" x14ac:dyDescent="0.2">
      <c r="C137">
        <v>14739</v>
      </c>
      <c r="D137" s="18">
        <f>装备表!L139</f>
        <v>5</v>
      </c>
      <c r="E137" s="18" t="str">
        <f>IF(装备表!$O139=0,"xxx",IFERROR(IF(INT(IF($D137=E$3,装备表!$E139,"xxx")/10000)=1,IF($D137=E$3,装备表!$E139,"xxx")&amp;":2,1,1,"&amp;装备表!$O139&amp;";","xxx"),"xxx"))</f>
        <v>xxx</v>
      </c>
      <c r="F137" s="18" t="str">
        <f>IF(装备表!$O139=0,"xxx",IFERROR(IF(INT(IF($D137=F$3,装备表!$E139,"xxx")/10000)=1,IF($D137=F$3,装备表!$E139,"xxx")&amp;":2,1,1,"&amp;装备表!$O139&amp;";","xxx"),"xxx"))</f>
        <v>xxx</v>
      </c>
      <c r="G137" s="18" t="str">
        <f>IF(装备表!$O139=0,"xxx",IFERROR(IF(INT(IF($D137=G$3,装备表!$E139,"xxx")/10000)=1,IF($D137=G$3,装备表!$E139,"xxx")&amp;":2,1,1,"&amp;装备表!$O139&amp;";","xxx"),"xxx"))</f>
        <v>xxx</v>
      </c>
      <c r="H137" s="18" t="str">
        <f>IF(装备表!$O139=0,"xxx",IFERROR(IF(INT(IF($D137=H$3,装备表!$E139,"xxx")/10000)=1,IF($D137=H$3,装备表!$E139,"xxx")&amp;":2,1,1,"&amp;装备表!$O139&amp;";","xxx"),"xxx"))</f>
        <v>xxx</v>
      </c>
      <c r="I137" s="18" t="str">
        <f>IF(装备表!$O139=0,"xxx",IFERROR(IF(INT(IF($D137=I$3,装备表!$E139,"xxx")/10000)=1,IF($D137=I$3,装备表!$E139,"xxx")&amp;":2,1,1,"&amp;装备表!$O139&amp;";","xxx"),"xxx"))</f>
        <v>14739:2,1,1,10;</v>
      </c>
      <c r="J137" s="18" t="str">
        <f>IF(装备表!$O139=0,"xxx",IFERROR(IF(INT(IF($D137=J$3,装备表!$E139,"xxx")/10000)=3,IF($D137=J$3,装备表!$E139,"xxx")&amp;":2,1,1,"&amp;装备表!$O139&amp;";","xxx"),"xxx"))</f>
        <v>xxx</v>
      </c>
    </row>
    <row r="138" spans="3:10" x14ac:dyDescent="0.2">
      <c r="C138">
        <v>14740</v>
      </c>
      <c r="D138" s="18">
        <f>装备表!L140</f>
        <v>5</v>
      </c>
      <c r="E138" s="18" t="str">
        <f>IF(装备表!$O140=0,"xxx",IFERROR(IF(INT(IF($D138=E$3,装备表!$E140,"xxx")/10000)=1,IF($D138=E$3,装备表!$E140,"xxx")&amp;":2,1,1,"&amp;装备表!$O140&amp;";","xxx"),"xxx"))</f>
        <v>xxx</v>
      </c>
      <c r="F138" s="18" t="str">
        <f>IF(装备表!$O140=0,"xxx",IFERROR(IF(INT(IF($D138=F$3,装备表!$E140,"xxx")/10000)=1,IF($D138=F$3,装备表!$E140,"xxx")&amp;":2,1,1,"&amp;装备表!$O140&amp;";","xxx"),"xxx"))</f>
        <v>xxx</v>
      </c>
      <c r="G138" s="18" t="str">
        <f>IF(装备表!$O140=0,"xxx",IFERROR(IF(INT(IF($D138=G$3,装备表!$E140,"xxx")/10000)=1,IF($D138=G$3,装备表!$E140,"xxx")&amp;":2,1,1,"&amp;装备表!$O140&amp;";","xxx"),"xxx"))</f>
        <v>xxx</v>
      </c>
      <c r="H138" s="18" t="str">
        <f>IF(装备表!$O140=0,"xxx",IFERROR(IF(INT(IF($D138=H$3,装备表!$E140,"xxx")/10000)=1,IF($D138=H$3,装备表!$E140,"xxx")&amp;":2,1,1,"&amp;装备表!$O140&amp;";","xxx"),"xxx"))</f>
        <v>xxx</v>
      </c>
      <c r="I138" s="18" t="str">
        <f>IF(装备表!$O140=0,"xxx",IFERROR(IF(INT(IF($D138=I$3,装备表!$E140,"xxx")/10000)=1,IF($D138=I$3,装备表!$E140,"xxx")&amp;":2,1,1,"&amp;装备表!$O140&amp;";","xxx"),"xxx"))</f>
        <v>14740:2,1,1,10;</v>
      </c>
      <c r="J138" s="18" t="str">
        <f>IF(装备表!$O140=0,"xxx",IFERROR(IF(INT(IF($D138=J$3,装备表!$E140,"xxx")/10000)=3,IF($D138=J$3,装备表!$E140,"xxx")&amp;":2,1,1,"&amp;装备表!$O140&amp;";","xxx"),"xxx"))</f>
        <v>xxx</v>
      </c>
    </row>
    <row r="139" spans="3:10" x14ac:dyDescent="0.2">
      <c r="C139">
        <v>14741</v>
      </c>
      <c r="D139" s="18">
        <f>装备表!L141</f>
        <v>5</v>
      </c>
      <c r="E139" s="18" t="str">
        <f>IF(装备表!$O141=0,"xxx",IFERROR(IF(INT(IF($D139=E$3,装备表!$E141,"xxx")/10000)=1,IF($D139=E$3,装备表!$E141,"xxx")&amp;":2,1,1,"&amp;装备表!$O141&amp;";","xxx"),"xxx"))</f>
        <v>xxx</v>
      </c>
      <c r="F139" s="18" t="str">
        <f>IF(装备表!$O141=0,"xxx",IFERROR(IF(INT(IF($D139=F$3,装备表!$E141,"xxx")/10000)=1,IF($D139=F$3,装备表!$E141,"xxx")&amp;":2,1,1,"&amp;装备表!$O141&amp;";","xxx"),"xxx"))</f>
        <v>xxx</v>
      </c>
      <c r="G139" s="18" t="str">
        <f>IF(装备表!$O141=0,"xxx",IFERROR(IF(INT(IF($D139=G$3,装备表!$E141,"xxx")/10000)=1,IF($D139=G$3,装备表!$E141,"xxx")&amp;":2,1,1,"&amp;装备表!$O141&amp;";","xxx"),"xxx"))</f>
        <v>xxx</v>
      </c>
      <c r="H139" s="18" t="str">
        <f>IF(装备表!$O141=0,"xxx",IFERROR(IF(INT(IF($D139=H$3,装备表!$E141,"xxx")/10000)=1,IF($D139=H$3,装备表!$E141,"xxx")&amp;":2,1,1,"&amp;装备表!$O141&amp;";","xxx"),"xxx"))</f>
        <v>xxx</v>
      </c>
      <c r="I139" s="18" t="str">
        <f>IF(装备表!$O141=0,"xxx",IFERROR(IF(INT(IF($D139=I$3,装备表!$E141,"xxx")/10000)=1,IF($D139=I$3,装备表!$E141,"xxx")&amp;":2,1,1,"&amp;装备表!$O141&amp;";","xxx"),"xxx"))</f>
        <v>14741:2,1,1,10;</v>
      </c>
      <c r="J139" s="18" t="str">
        <f>IF(装备表!$O141=0,"xxx",IFERROR(IF(INT(IF($D139=J$3,装备表!$E141,"xxx")/10000)=3,IF($D139=J$3,装备表!$E141,"xxx")&amp;":2,1,1,"&amp;装备表!$O141&amp;";","xxx"),"xxx"))</f>
        <v>xxx</v>
      </c>
    </row>
    <row r="140" spans="3:10" x14ac:dyDescent="0.2">
      <c r="C140">
        <v>14742</v>
      </c>
      <c r="D140" s="18">
        <f>装备表!L142</f>
        <v>5</v>
      </c>
      <c r="E140" s="18" t="str">
        <f>IF(装备表!$O142=0,"xxx",IFERROR(IF(INT(IF($D140=E$3,装备表!$E142,"xxx")/10000)=1,IF($D140=E$3,装备表!$E142,"xxx")&amp;":2,1,1,"&amp;装备表!$O142&amp;";","xxx"),"xxx"))</f>
        <v>xxx</v>
      </c>
      <c r="F140" s="18" t="str">
        <f>IF(装备表!$O142=0,"xxx",IFERROR(IF(INT(IF($D140=F$3,装备表!$E142,"xxx")/10000)=1,IF($D140=F$3,装备表!$E142,"xxx")&amp;":2,1,1,"&amp;装备表!$O142&amp;";","xxx"),"xxx"))</f>
        <v>xxx</v>
      </c>
      <c r="G140" s="18" t="str">
        <f>IF(装备表!$O142=0,"xxx",IFERROR(IF(INT(IF($D140=G$3,装备表!$E142,"xxx")/10000)=1,IF($D140=G$3,装备表!$E142,"xxx")&amp;":2,1,1,"&amp;装备表!$O142&amp;";","xxx"),"xxx"))</f>
        <v>xxx</v>
      </c>
      <c r="H140" s="18" t="str">
        <f>IF(装备表!$O142=0,"xxx",IFERROR(IF(INT(IF($D140=H$3,装备表!$E142,"xxx")/10000)=1,IF($D140=H$3,装备表!$E142,"xxx")&amp;":2,1,1,"&amp;装备表!$O142&amp;";","xxx"),"xxx"))</f>
        <v>xxx</v>
      </c>
      <c r="I140" s="18" t="str">
        <f>IF(装备表!$O142=0,"xxx",IFERROR(IF(INT(IF($D140=I$3,装备表!$E142,"xxx")/10000)=1,IF($D140=I$3,装备表!$E142,"xxx")&amp;":2,1,1,"&amp;装备表!$O142&amp;";","xxx"),"xxx"))</f>
        <v>xxx</v>
      </c>
      <c r="J140" s="18" t="str">
        <f>IF(装备表!$O142=0,"xxx",IFERROR(IF(INT(IF($D140=J$3,装备表!$E142,"xxx")/10000)=3,IF($D140=J$3,装备表!$E142,"xxx")&amp;":2,1,1,"&amp;装备表!$O142&amp;";","xxx"),"xxx"))</f>
        <v>xxx</v>
      </c>
    </row>
    <row r="141" spans="3:10" x14ac:dyDescent="0.2">
      <c r="C141">
        <v>14743</v>
      </c>
      <c r="D141" s="18">
        <f>装备表!L143</f>
        <v>5</v>
      </c>
      <c r="E141" s="18" t="str">
        <f>IF(装备表!$O143=0,"xxx",IFERROR(IF(INT(IF($D141=E$3,装备表!$E143,"xxx")/10000)=1,IF($D141=E$3,装备表!$E143,"xxx")&amp;":2,1,1,"&amp;装备表!$O143&amp;";","xxx"),"xxx"))</f>
        <v>xxx</v>
      </c>
      <c r="F141" s="18" t="str">
        <f>IF(装备表!$O143=0,"xxx",IFERROR(IF(INT(IF($D141=F$3,装备表!$E143,"xxx")/10000)=1,IF($D141=F$3,装备表!$E143,"xxx")&amp;":2,1,1,"&amp;装备表!$O143&amp;";","xxx"),"xxx"))</f>
        <v>xxx</v>
      </c>
      <c r="G141" s="18" t="str">
        <f>IF(装备表!$O143=0,"xxx",IFERROR(IF(INT(IF($D141=G$3,装备表!$E143,"xxx")/10000)=1,IF($D141=G$3,装备表!$E143,"xxx")&amp;":2,1,1,"&amp;装备表!$O143&amp;";","xxx"),"xxx"))</f>
        <v>xxx</v>
      </c>
      <c r="H141" s="18" t="str">
        <f>IF(装备表!$O143=0,"xxx",IFERROR(IF(INT(IF($D141=H$3,装备表!$E143,"xxx")/10000)=1,IF($D141=H$3,装备表!$E143,"xxx")&amp;":2,1,1,"&amp;装备表!$O143&amp;";","xxx"),"xxx"))</f>
        <v>xxx</v>
      </c>
      <c r="I141" s="18" t="str">
        <f>IF(装备表!$O143=0,"xxx",IFERROR(IF(INT(IF($D141=I$3,装备表!$E143,"xxx")/10000)=1,IF($D141=I$3,装备表!$E143,"xxx")&amp;":2,1,1,"&amp;装备表!$O143&amp;";","xxx"),"xxx"))</f>
        <v>14743:2,1,1,10;</v>
      </c>
      <c r="J141" s="18" t="str">
        <f>IF(装备表!$O143=0,"xxx",IFERROR(IF(INT(IF($D141=J$3,装备表!$E143,"xxx")/10000)=3,IF($D141=J$3,装备表!$E143,"xxx")&amp;":2,1,1,"&amp;装备表!$O143&amp;";","xxx"),"xxx"))</f>
        <v>xxx</v>
      </c>
    </row>
    <row r="142" spans="3:10" x14ac:dyDescent="0.2">
      <c r="C142">
        <v>14744</v>
      </c>
      <c r="D142" s="18">
        <f>装备表!L144</f>
        <v>5</v>
      </c>
      <c r="E142" s="18" t="str">
        <f>IF(装备表!$O144=0,"xxx",IFERROR(IF(INT(IF($D142=E$3,装备表!$E144,"xxx")/10000)=1,IF($D142=E$3,装备表!$E144,"xxx")&amp;":2,1,1,"&amp;装备表!$O144&amp;";","xxx"),"xxx"))</f>
        <v>xxx</v>
      </c>
      <c r="F142" s="18" t="str">
        <f>IF(装备表!$O144=0,"xxx",IFERROR(IF(INT(IF($D142=F$3,装备表!$E144,"xxx")/10000)=1,IF($D142=F$3,装备表!$E144,"xxx")&amp;":2,1,1,"&amp;装备表!$O144&amp;";","xxx"),"xxx"))</f>
        <v>xxx</v>
      </c>
      <c r="G142" s="18" t="str">
        <f>IF(装备表!$O144=0,"xxx",IFERROR(IF(INT(IF($D142=G$3,装备表!$E144,"xxx")/10000)=1,IF($D142=G$3,装备表!$E144,"xxx")&amp;":2,1,1,"&amp;装备表!$O144&amp;";","xxx"),"xxx"))</f>
        <v>xxx</v>
      </c>
      <c r="H142" s="18" t="str">
        <f>IF(装备表!$O144=0,"xxx",IFERROR(IF(INT(IF($D142=H$3,装备表!$E144,"xxx")/10000)=1,IF($D142=H$3,装备表!$E144,"xxx")&amp;":2,1,1,"&amp;装备表!$O144&amp;";","xxx"),"xxx"))</f>
        <v>xxx</v>
      </c>
      <c r="I142" s="18" t="str">
        <f>IF(装备表!$O144=0,"xxx",IFERROR(IF(INT(IF($D142=I$3,装备表!$E144,"xxx")/10000)=1,IF($D142=I$3,装备表!$E144,"xxx")&amp;":2,1,1,"&amp;装备表!$O144&amp;";","xxx"),"xxx"))</f>
        <v>14744:2,1,1,10;</v>
      </c>
      <c r="J142" s="18" t="str">
        <f>IF(装备表!$O144=0,"xxx",IFERROR(IF(INT(IF($D142=J$3,装备表!$E144,"xxx")/10000)=3,IF($D142=J$3,装备表!$E144,"xxx")&amp;":2,1,1,"&amp;装备表!$O144&amp;";","xxx"),"xxx"))</f>
        <v>xxx</v>
      </c>
    </row>
    <row r="143" spans="3:10" x14ac:dyDescent="0.2">
      <c r="C143">
        <v>14745</v>
      </c>
      <c r="D143" s="18">
        <f>装备表!L145</f>
        <v>5</v>
      </c>
      <c r="E143" s="18" t="str">
        <f>IF(装备表!$O145=0,"xxx",IFERROR(IF(INT(IF($D143=E$3,装备表!$E145,"xxx")/10000)=1,IF($D143=E$3,装备表!$E145,"xxx")&amp;":2,1,1,"&amp;装备表!$O145&amp;";","xxx"),"xxx"))</f>
        <v>xxx</v>
      </c>
      <c r="F143" s="18" t="str">
        <f>IF(装备表!$O145=0,"xxx",IFERROR(IF(INT(IF($D143=F$3,装备表!$E145,"xxx")/10000)=1,IF($D143=F$3,装备表!$E145,"xxx")&amp;":2,1,1,"&amp;装备表!$O145&amp;";","xxx"),"xxx"))</f>
        <v>xxx</v>
      </c>
      <c r="G143" s="18" t="str">
        <f>IF(装备表!$O145=0,"xxx",IFERROR(IF(INT(IF($D143=G$3,装备表!$E145,"xxx")/10000)=1,IF($D143=G$3,装备表!$E145,"xxx")&amp;":2,1,1,"&amp;装备表!$O145&amp;";","xxx"),"xxx"))</f>
        <v>xxx</v>
      </c>
      <c r="H143" s="18" t="str">
        <f>IF(装备表!$O145=0,"xxx",IFERROR(IF(INT(IF($D143=H$3,装备表!$E145,"xxx")/10000)=1,IF($D143=H$3,装备表!$E145,"xxx")&amp;":2,1,1,"&amp;装备表!$O145&amp;";","xxx"),"xxx"))</f>
        <v>xxx</v>
      </c>
      <c r="I143" s="18" t="str">
        <f>IF(装备表!$O145=0,"xxx",IFERROR(IF(INT(IF($D143=I$3,装备表!$E145,"xxx")/10000)=1,IF($D143=I$3,装备表!$E145,"xxx")&amp;":2,1,1,"&amp;装备表!$O145&amp;";","xxx"),"xxx"))</f>
        <v>14745:2,1,1,10;</v>
      </c>
      <c r="J143" s="18" t="str">
        <f>IF(装备表!$O145=0,"xxx",IFERROR(IF(INT(IF($D143=J$3,装备表!$E145,"xxx")/10000)=3,IF($D143=J$3,装备表!$E145,"xxx")&amp;":2,1,1,"&amp;装备表!$O145&amp;";","xxx"),"xxx"))</f>
        <v>xxx</v>
      </c>
    </row>
    <row r="144" spans="3:10" x14ac:dyDescent="0.2">
      <c r="C144">
        <v>14746</v>
      </c>
      <c r="D144" s="18">
        <f>装备表!L146</f>
        <v>5</v>
      </c>
      <c r="E144" s="18" t="str">
        <f>IF(装备表!$O146=0,"xxx",IFERROR(IF(INT(IF($D144=E$3,装备表!$E146,"xxx")/10000)=1,IF($D144=E$3,装备表!$E146,"xxx")&amp;":2,1,1,"&amp;装备表!$O146&amp;";","xxx"),"xxx"))</f>
        <v>xxx</v>
      </c>
      <c r="F144" s="18" t="str">
        <f>IF(装备表!$O146=0,"xxx",IFERROR(IF(INT(IF($D144=F$3,装备表!$E146,"xxx")/10000)=1,IF($D144=F$3,装备表!$E146,"xxx")&amp;":2,1,1,"&amp;装备表!$O146&amp;";","xxx"),"xxx"))</f>
        <v>xxx</v>
      </c>
      <c r="G144" s="18" t="str">
        <f>IF(装备表!$O146=0,"xxx",IFERROR(IF(INT(IF($D144=G$3,装备表!$E146,"xxx")/10000)=1,IF($D144=G$3,装备表!$E146,"xxx")&amp;":2,1,1,"&amp;装备表!$O146&amp;";","xxx"),"xxx"))</f>
        <v>xxx</v>
      </c>
      <c r="H144" s="18" t="str">
        <f>IF(装备表!$O146=0,"xxx",IFERROR(IF(INT(IF($D144=H$3,装备表!$E146,"xxx")/10000)=1,IF($D144=H$3,装备表!$E146,"xxx")&amp;":2,1,1,"&amp;装备表!$O146&amp;";","xxx"),"xxx"))</f>
        <v>xxx</v>
      </c>
      <c r="I144" s="18" t="str">
        <f>IF(装备表!$O146=0,"xxx",IFERROR(IF(INT(IF($D144=I$3,装备表!$E146,"xxx")/10000)=1,IF($D144=I$3,装备表!$E146,"xxx")&amp;":2,1,1,"&amp;装备表!$O146&amp;";","xxx"),"xxx"))</f>
        <v>14746:2,1,1,10;</v>
      </c>
      <c r="J144" s="18" t="str">
        <f>IF(装备表!$O146=0,"xxx",IFERROR(IF(INT(IF($D144=J$3,装备表!$E146,"xxx")/10000)=3,IF($D144=J$3,装备表!$E146,"xxx")&amp;":2,1,1,"&amp;装备表!$O146&amp;";","xxx"),"xxx"))</f>
        <v>xxx</v>
      </c>
    </row>
    <row r="145" spans="3:10" x14ac:dyDescent="0.2">
      <c r="C145">
        <v>14747</v>
      </c>
      <c r="D145" s="18">
        <f>装备表!L147</f>
        <v>5</v>
      </c>
      <c r="E145" s="18" t="str">
        <f>IF(装备表!$O147=0,"xxx",IFERROR(IF(INT(IF($D145=E$3,装备表!$E147,"xxx")/10000)=1,IF($D145=E$3,装备表!$E147,"xxx")&amp;":2,1,1,"&amp;装备表!$O147&amp;";","xxx"),"xxx"))</f>
        <v>xxx</v>
      </c>
      <c r="F145" s="18" t="str">
        <f>IF(装备表!$O147=0,"xxx",IFERROR(IF(INT(IF($D145=F$3,装备表!$E147,"xxx")/10000)=1,IF($D145=F$3,装备表!$E147,"xxx")&amp;":2,1,1,"&amp;装备表!$O147&amp;";","xxx"),"xxx"))</f>
        <v>xxx</v>
      </c>
      <c r="G145" s="18" t="str">
        <f>IF(装备表!$O147=0,"xxx",IFERROR(IF(INT(IF($D145=G$3,装备表!$E147,"xxx")/10000)=1,IF($D145=G$3,装备表!$E147,"xxx")&amp;":2,1,1,"&amp;装备表!$O147&amp;";","xxx"),"xxx"))</f>
        <v>xxx</v>
      </c>
      <c r="H145" s="18" t="str">
        <f>IF(装备表!$O147=0,"xxx",IFERROR(IF(INT(IF($D145=H$3,装备表!$E147,"xxx")/10000)=1,IF($D145=H$3,装备表!$E147,"xxx")&amp;":2,1,1,"&amp;装备表!$O147&amp;";","xxx"),"xxx"))</f>
        <v>xxx</v>
      </c>
      <c r="I145" s="18" t="str">
        <f>IF(装备表!$O147=0,"xxx",IFERROR(IF(INT(IF($D145=I$3,装备表!$E147,"xxx")/10000)=1,IF($D145=I$3,装备表!$E147,"xxx")&amp;":2,1,1,"&amp;装备表!$O147&amp;";","xxx"),"xxx"))</f>
        <v>14747:2,1,1,10;</v>
      </c>
      <c r="J145" s="18" t="str">
        <f>IF(装备表!$O147=0,"xxx",IFERROR(IF(INT(IF($D145=J$3,装备表!$E147,"xxx")/10000)=3,IF($D145=J$3,装备表!$E147,"xxx")&amp;":2,1,1,"&amp;装备表!$O147&amp;";","xxx"),"xxx"))</f>
        <v>xxx</v>
      </c>
    </row>
    <row r="146" spans="3:10" x14ac:dyDescent="0.2">
      <c r="C146">
        <v>14748</v>
      </c>
      <c r="D146" s="18">
        <f>装备表!L148</f>
        <v>5</v>
      </c>
      <c r="E146" s="18" t="str">
        <f>IF(装备表!$O148=0,"xxx",IFERROR(IF(INT(IF($D146=E$3,装备表!$E148,"xxx")/10000)=1,IF($D146=E$3,装备表!$E148,"xxx")&amp;":2,1,1,"&amp;装备表!$O148&amp;";","xxx"),"xxx"))</f>
        <v>xxx</v>
      </c>
      <c r="F146" s="18" t="str">
        <f>IF(装备表!$O148=0,"xxx",IFERROR(IF(INT(IF($D146=F$3,装备表!$E148,"xxx")/10000)=1,IF($D146=F$3,装备表!$E148,"xxx")&amp;":2,1,1,"&amp;装备表!$O148&amp;";","xxx"),"xxx"))</f>
        <v>xxx</v>
      </c>
      <c r="G146" s="18" t="str">
        <f>IF(装备表!$O148=0,"xxx",IFERROR(IF(INT(IF($D146=G$3,装备表!$E148,"xxx")/10000)=1,IF($D146=G$3,装备表!$E148,"xxx")&amp;":2,1,1,"&amp;装备表!$O148&amp;";","xxx"),"xxx"))</f>
        <v>xxx</v>
      </c>
      <c r="H146" s="18" t="str">
        <f>IF(装备表!$O148=0,"xxx",IFERROR(IF(INT(IF($D146=H$3,装备表!$E148,"xxx")/10000)=1,IF($D146=H$3,装备表!$E148,"xxx")&amp;":2,1,1,"&amp;装备表!$O148&amp;";","xxx"),"xxx"))</f>
        <v>xxx</v>
      </c>
      <c r="I146" s="18" t="str">
        <f>IF(装备表!$O148=0,"xxx",IFERROR(IF(INT(IF($D146=I$3,装备表!$E148,"xxx")/10000)=1,IF($D146=I$3,装备表!$E148,"xxx")&amp;":2,1,1,"&amp;装备表!$O148&amp;";","xxx"),"xxx"))</f>
        <v>14748:2,1,1,10;</v>
      </c>
      <c r="J146" s="18" t="str">
        <f>IF(装备表!$O148=0,"xxx",IFERROR(IF(INT(IF($D146=J$3,装备表!$E148,"xxx")/10000)=3,IF($D146=J$3,装备表!$E148,"xxx")&amp;":2,1,1,"&amp;装备表!$O148&amp;";","xxx"),"xxx"))</f>
        <v>xxx</v>
      </c>
    </row>
    <row r="147" spans="3:10" x14ac:dyDescent="0.2">
      <c r="C147">
        <v>14749</v>
      </c>
      <c r="D147" s="18">
        <f>装备表!L149</f>
        <v>5</v>
      </c>
      <c r="E147" s="18" t="str">
        <f>IF(装备表!$O149=0,"xxx",IFERROR(IF(INT(IF($D147=E$3,装备表!$E149,"xxx")/10000)=1,IF($D147=E$3,装备表!$E149,"xxx")&amp;":2,1,1,"&amp;装备表!$O149&amp;";","xxx"),"xxx"))</f>
        <v>xxx</v>
      </c>
      <c r="F147" s="18" t="str">
        <f>IF(装备表!$O149=0,"xxx",IFERROR(IF(INT(IF($D147=F$3,装备表!$E149,"xxx")/10000)=1,IF($D147=F$3,装备表!$E149,"xxx")&amp;":2,1,1,"&amp;装备表!$O149&amp;";","xxx"),"xxx"))</f>
        <v>xxx</v>
      </c>
      <c r="G147" s="18" t="str">
        <f>IF(装备表!$O149=0,"xxx",IFERROR(IF(INT(IF($D147=G$3,装备表!$E149,"xxx")/10000)=1,IF($D147=G$3,装备表!$E149,"xxx")&amp;":2,1,1,"&amp;装备表!$O149&amp;";","xxx"),"xxx"))</f>
        <v>xxx</v>
      </c>
      <c r="H147" s="18" t="str">
        <f>IF(装备表!$O149=0,"xxx",IFERROR(IF(INT(IF($D147=H$3,装备表!$E149,"xxx")/10000)=1,IF($D147=H$3,装备表!$E149,"xxx")&amp;":2,1,1,"&amp;装备表!$O149&amp;";","xxx"),"xxx"))</f>
        <v>xxx</v>
      </c>
      <c r="I147" s="18" t="str">
        <f>IF(装备表!$O149=0,"xxx",IFERROR(IF(INT(IF($D147=I$3,装备表!$E149,"xxx")/10000)=1,IF($D147=I$3,装备表!$E149,"xxx")&amp;":2,1,1,"&amp;装备表!$O149&amp;";","xxx"),"xxx"))</f>
        <v>14749:2,1,1,10;</v>
      </c>
      <c r="J147" s="18" t="str">
        <f>IF(装备表!$O149=0,"xxx",IFERROR(IF(INT(IF($D147=J$3,装备表!$E149,"xxx")/10000)=3,IF($D147=J$3,装备表!$E149,"xxx")&amp;":2,1,1,"&amp;装备表!$O149&amp;";","xxx"),"xxx"))</f>
        <v>xxx</v>
      </c>
    </row>
    <row r="148" spans="3:10" x14ac:dyDescent="0.2">
      <c r="C148">
        <v>14750</v>
      </c>
      <c r="D148" s="18">
        <f>装备表!L150</f>
        <v>5</v>
      </c>
      <c r="E148" s="18" t="str">
        <f>IF(装备表!$O150=0,"xxx",IFERROR(IF(INT(IF($D148=E$3,装备表!$E150,"xxx")/10000)=1,IF($D148=E$3,装备表!$E150,"xxx")&amp;":2,1,1,"&amp;装备表!$O150&amp;";","xxx"),"xxx"))</f>
        <v>xxx</v>
      </c>
      <c r="F148" s="18" t="str">
        <f>IF(装备表!$O150=0,"xxx",IFERROR(IF(INT(IF($D148=F$3,装备表!$E150,"xxx")/10000)=1,IF($D148=F$3,装备表!$E150,"xxx")&amp;":2,1,1,"&amp;装备表!$O150&amp;";","xxx"),"xxx"))</f>
        <v>xxx</v>
      </c>
      <c r="G148" s="18" t="str">
        <f>IF(装备表!$O150=0,"xxx",IFERROR(IF(INT(IF($D148=G$3,装备表!$E150,"xxx")/10000)=1,IF($D148=G$3,装备表!$E150,"xxx")&amp;":2,1,1,"&amp;装备表!$O150&amp;";","xxx"),"xxx"))</f>
        <v>xxx</v>
      </c>
      <c r="H148" s="18" t="str">
        <f>IF(装备表!$O150=0,"xxx",IFERROR(IF(INT(IF($D148=H$3,装备表!$E150,"xxx")/10000)=1,IF($D148=H$3,装备表!$E150,"xxx")&amp;":2,1,1,"&amp;装备表!$O150&amp;";","xxx"),"xxx"))</f>
        <v>xxx</v>
      </c>
      <c r="I148" s="18" t="str">
        <f>IF(装备表!$O150=0,"xxx",IFERROR(IF(INT(IF($D148=I$3,装备表!$E150,"xxx")/10000)=1,IF($D148=I$3,装备表!$E150,"xxx")&amp;":2,1,1,"&amp;装备表!$O150&amp;";","xxx"),"xxx"))</f>
        <v>14750:2,1,1,10;</v>
      </c>
      <c r="J148" s="18" t="str">
        <f>IF(装备表!$O150=0,"xxx",IFERROR(IF(INT(IF($D148=J$3,装备表!$E150,"xxx")/10000)=3,IF($D148=J$3,装备表!$E150,"xxx")&amp;":2,1,1,"&amp;装备表!$O150&amp;";","xxx"),"xxx"))</f>
        <v>xxx</v>
      </c>
    </row>
    <row r="149" spans="3:10" x14ac:dyDescent="0.2">
      <c r="C149">
        <v>14751</v>
      </c>
      <c r="D149" s="18">
        <f>装备表!L151</f>
        <v>5</v>
      </c>
      <c r="E149" s="18" t="str">
        <f>IF(装备表!$O151=0,"xxx",IFERROR(IF(INT(IF($D149=E$3,装备表!$E151,"xxx")/10000)=1,IF($D149=E$3,装备表!$E151,"xxx")&amp;":2,1,1,"&amp;装备表!$O151&amp;";","xxx"),"xxx"))</f>
        <v>xxx</v>
      </c>
      <c r="F149" s="18" t="str">
        <f>IF(装备表!$O151=0,"xxx",IFERROR(IF(INT(IF($D149=F$3,装备表!$E151,"xxx")/10000)=1,IF($D149=F$3,装备表!$E151,"xxx")&amp;":2,1,1,"&amp;装备表!$O151&amp;";","xxx"),"xxx"))</f>
        <v>xxx</v>
      </c>
      <c r="G149" s="18" t="str">
        <f>IF(装备表!$O151=0,"xxx",IFERROR(IF(INT(IF($D149=G$3,装备表!$E151,"xxx")/10000)=1,IF($D149=G$3,装备表!$E151,"xxx")&amp;":2,1,1,"&amp;装备表!$O151&amp;";","xxx"),"xxx"))</f>
        <v>xxx</v>
      </c>
      <c r="H149" s="18" t="str">
        <f>IF(装备表!$O151=0,"xxx",IFERROR(IF(INT(IF($D149=H$3,装备表!$E151,"xxx")/10000)=1,IF($D149=H$3,装备表!$E151,"xxx")&amp;":2,1,1,"&amp;装备表!$O151&amp;";","xxx"),"xxx"))</f>
        <v>xxx</v>
      </c>
      <c r="I149" s="18" t="str">
        <f>IF(装备表!$O151=0,"xxx",IFERROR(IF(INT(IF($D149=I$3,装备表!$E151,"xxx")/10000)=1,IF($D149=I$3,装备表!$E151,"xxx")&amp;":2,1,1,"&amp;装备表!$O151&amp;";","xxx"),"xxx"))</f>
        <v>14751:2,1,1,10;</v>
      </c>
      <c r="J149" s="18" t="str">
        <f>IF(装备表!$O151=0,"xxx",IFERROR(IF(INT(IF($D149=J$3,装备表!$E151,"xxx")/10000)=3,IF($D149=J$3,装备表!$E151,"xxx")&amp;":2,1,1,"&amp;装备表!$O151&amp;";","xxx"),"xxx"))</f>
        <v>xxx</v>
      </c>
    </row>
    <row r="150" spans="3:10" x14ac:dyDescent="0.2">
      <c r="C150">
        <v>14752</v>
      </c>
      <c r="D150" s="18">
        <f>装备表!L152</f>
        <v>5</v>
      </c>
      <c r="E150" s="18" t="str">
        <f>IF(装备表!$O152=0,"xxx",IFERROR(IF(INT(IF($D150=E$3,装备表!$E152,"xxx")/10000)=1,IF($D150=E$3,装备表!$E152,"xxx")&amp;":2,1,1,"&amp;装备表!$O152&amp;";","xxx"),"xxx"))</f>
        <v>xxx</v>
      </c>
      <c r="F150" s="18" t="str">
        <f>IF(装备表!$O152=0,"xxx",IFERROR(IF(INT(IF($D150=F$3,装备表!$E152,"xxx")/10000)=1,IF($D150=F$3,装备表!$E152,"xxx")&amp;":2,1,1,"&amp;装备表!$O152&amp;";","xxx"),"xxx"))</f>
        <v>xxx</v>
      </c>
      <c r="G150" s="18" t="str">
        <f>IF(装备表!$O152=0,"xxx",IFERROR(IF(INT(IF($D150=G$3,装备表!$E152,"xxx")/10000)=1,IF($D150=G$3,装备表!$E152,"xxx")&amp;":2,1,1,"&amp;装备表!$O152&amp;";","xxx"),"xxx"))</f>
        <v>xxx</v>
      </c>
      <c r="H150" s="18" t="str">
        <f>IF(装备表!$O152=0,"xxx",IFERROR(IF(INT(IF($D150=H$3,装备表!$E152,"xxx")/10000)=1,IF($D150=H$3,装备表!$E152,"xxx")&amp;":2,1,1,"&amp;装备表!$O152&amp;";","xxx"),"xxx"))</f>
        <v>xxx</v>
      </c>
      <c r="I150" s="18" t="str">
        <f>IF(装备表!$O152=0,"xxx",IFERROR(IF(INT(IF($D150=I$3,装备表!$E152,"xxx")/10000)=1,IF($D150=I$3,装备表!$E152,"xxx")&amp;":2,1,1,"&amp;装备表!$O152&amp;";","xxx"),"xxx"))</f>
        <v>14752:2,1,1,10;</v>
      </c>
      <c r="J150" s="18" t="str">
        <f>IF(装备表!$O152=0,"xxx",IFERROR(IF(INT(IF($D150=J$3,装备表!$E152,"xxx")/10000)=3,IF($D150=J$3,装备表!$E152,"xxx")&amp;":2,1,1,"&amp;装备表!$O152&amp;";","xxx"),"xxx"))</f>
        <v>xxx</v>
      </c>
    </row>
    <row r="151" spans="3:10" x14ac:dyDescent="0.2">
      <c r="C151">
        <v>14753</v>
      </c>
      <c r="D151" s="18">
        <f>装备表!L153</f>
        <v>5</v>
      </c>
      <c r="E151" s="18" t="str">
        <f>IF(装备表!$O153=0,"xxx",IFERROR(IF(INT(IF($D151=E$3,装备表!$E153,"xxx")/10000)=1,IF($D151=E$3,装备表!$E153,"xxx")&amp;":2,1,1,"&amp;装备表!$O153&amp;";","xxx"),"xxx"))</f>
        <v>xxx</v>
      </c>
      <c r="F151" s="18" t="str">
        <f>IF(装备表!$O153=0,"xxx",IFERROR(IF(INT(IF($D151=F$3,装备表!$E153,"xxx")/10000)=1,IF($D151=F$3,装备表!$E153,"xxx")&amp;":2,1,1,"&amp;装备表!$O153&amp;";","xxx"),"xxx"))</f>
        <v>xxx</v>
      </c>
      <c r="G151" s="18" t="str">
        <f>IF(装备表!$O153=0,"xxx",IFERROR(IF(INT(IF($D151=G$3,装备表!$E153,"xxx")/10000)=1,IF($D151=G$3,装备表!$E153,"xxx")&amp;":2,1,1,"&amp;装备表!$O153&amp;";","xxx"),"xxx"))</f>
        <v>xxx</v>
      </c>
      <c r="H151" s="18" t="str">
        <f>IF(装备表!$O153=0,"xxx",IFERROR(IF(INT(IF($D151=H$3,装备表!$E153,"xxx")/10000)=1,IF($D151=H$3,装备表!$E153,"xxx")&amp;":2,1,1,"&amp;装备表!$O153&amp;";","xxx"),"xxx"))</f>
        <v>xxx</v>
      </c>
      <c r="I151" s="18" t="str">
        <f>IF(装备表!$O153=0,"xxx",IFERROR(IF(INT(IF($D151=I$3,装备表!$E153,"xxx")/10000)=1,IF($D151=I$3,装备表!$E153,"xxx")&amp;":2,1,1,"&amp;装备表!$O153&amp;";","xxx"),"xxx"))</f>
        <v>14753:2,1,1,10;</v>
      </c>
      <c r="J151" s="18" t="str">
        <f>IF(装备表!$O153=0,"xxx",IFERROR(IF(INT(IF($D151=J$3,装备表!$E153,"xxx")/10000)=3,IF($D151=J$3,装备表!$E153,"xxx")&amp;":2,1,1,"&amp;装备表!$O153&amp;";","xxx"),"xxx"))</f>
        <v>xxx</v>
      </c>
    </row>
    <row r="152" spans="3:10" x14ac:dyDescent="0.2">
      <c r="C152">
        <v>14754</v>
      </c>
      <c r="D152" s="18">
        <f>装备表!L154</f>
        <v>5</v>
      </c>
      <c r="E152" s="18" t="str">
        <f>IF(装备表!$O154=0,"xxx",IFERROR(IF(INT(IF($D152=E$3,装备表!$E154,"xxx")/10000)=1,IF($D152=E$3,装备表!$E154,"xxx")&amp;":2,1,1,"&amp;装备表!$O154&amp;";","xxx"),"xxx"))</f>
        <v>xxx</v>
      </c>
      <c r="F152" s="18" t="str">
        <f>IF(装备表!$O154=0,"xxx",IFERROR(IF(INT(IF($D152=F$3,装备表!$E154,"xxx")/10000)=1,IF($D152=F$3,装备表!$E154,"xxx")&amp;":2,1,1,"&amp;装备表!$O154&amp;";","xxx"),"xxx"))</f>
        <v>xxx</v>
      </c>
      <c r="G152" s="18" t="str">
        <f>IF(装备表!$O154=0,"xxx",IFERROR(IF(INT(IF($D152=G$3,装备表!$E154,"xxx")/10000)=1,IF($D152=G$3,装备表!$E154,"xxx")&amp;":2,1,1,"&amp;装备表!$O154&amp;";","xxx"),"xxx"))</f>
        <v>xxx</v>
      </c>
      <c r="H152" s="18" t="str">
        <f>IF(装备表!$O154=0,"xxx",IFERROR(IF(INT(IF($D152=H$3,装备表!$E154,"xxx")/10000)=1,IF($D152=H$3,装备表!$E154,"xxx")&amp;":2,1,1,"&amp;装备表!$O154&amp;";","xxx"),"xxx"))</f>
        <v>xxx</v>
      </c>
      <c r="I152" s="18" t="str">
        <f>IF(装备表!$O154=0,"xxx",IFERROR(IF(INT(IF($D152=I$3,装备表!$E154,"xxx")/10000)=1,IF($D152=I$3,装备表!$E154,"xxx")&amp;":2,1,1,"&amp;装备表!$O154&amp;";","xxx"),"xxx"))</f>
        <v>14754:2,1,1,10;</v>
      </c>
      <c r="J152" s="18" t="str">
        <f>IF(装备表!$O154=0,"xxx",IFERROR(IF(INT(IF($D152=J$3,装备表!$E154,"xxx")/10000)=3,IF($D152=J$3,装备表!$E154,"xxx")&amp;":2,1,1,"&amp;装备表!$O154&amp;";","xxx"),"xxx"))</f>
        <v>xxx</v>
      </c>
    </row>
    <row r="153" spans="3:10" x14ac:dyDescent="0.2">
      <c r="C153">
        <v>14755</v>
      </c>
      <c r="D153" s="18">
        <f>装备表!L155</f>
        <v>5</v>
      </c>
      <c r="E153" s="18" t="str">
        <f>IF(装备表!$O155=0,"xxx",IFERROR(IF(INT(IF($D153=E$3,装备表!$E155,"xxx")/10000)=1,IF($D153=E$3,装备表!$E155,"xxx")&amp;":2,1,1,"&amp;装备表!$O155&amp;";","xxx"),"xxx"))</f>
        <v>xxx</v>
      </c>
      <c r="F153" s="18" t="str">
        <f>IF(装备表!$O155=0,"xxx",IFERROR(IF(INT(IF($D153=F$3,装备表!$E155,"xxx")/10000)=1,IF($D153=F$3,装备表!$E155,"xxx")&amp;":2,1,1,"&amp;装备表!$O155&amp;";","xxx"),"xxx"))</f>
        <v>xxx</v>
      </c>
      <c r="G153" s="18" t="str">
        <f>IF(装备表!$O155=0,"xxx",IFERROR(IF(INT(IF($D153=G$3,装备表!$E155,"xxx")/10000)=1,IF($D153=G$3,装备表!$E155,"xxx")&amp;":2,1,1,"&amp;装备表!$O155&amp;";","xxx"),"xxx"))</f>
        <v>xxx</v>
      </c>
      <c r="H153" s="18" t="str">
        <f>IF(装备表!$O155=0,"xxx",IFERROR(IF(INT(IF($D153=H$3,装备表!$E155,"xxx")/10000)=1,IF($D153=H$3,装备表!$E155,"xxx")&amp;":2,1,1,"&amp;装备表!$O155&amp;";","xxx"),"xxx"))</f>
        <v>xxx</v>
      </c>
      <c r="I153" s="18" t="str">
        <f>IF(装备表!$O155=0,"xxx",IFERROR(IF(INT(IF($D153=I$3,装备表!$E155,"xxx")/10000)=1,IF($D153=I$3,装备表!$E155,"xxx")&amp;":2,1,1,"&amp;装备表!$O155&amp;";","xxx"),"xxx"))</f>
        <v>14755:2,1,1,10;</v>
      </c>
      <c r="J153" s="18" t="str">
        <f>IF(装备表!$O155=0,"xxx",IFERROR(IF(INT(IF($D153=J$3,装备表!$E155,"xxx")/10000)=3,IF($D153=J$3,装备表!$E155,"xxx")&amp;":2,1,1,"&amp;装备表!$O155&amp;";","xxx"),"xxx"))</f>
        <v>xxx</v>
      </c>
    </row>
    <row r="154" spans="3:10" x14ac:dyDescent="0.2">
      <c r="C154">
        <v>14756</v>
      </c>
      <c r="D154" s="18">
        <f>装备表!L156</f>
        <v>5</v>
      </c>
      <c r="E154" s="18" t="str">
        <f>IF(装备表!$O156=0,"xxx",IFERROR(IF(INT(IF($D154=E$3,装备表!$E156,"xxx")/10000)=1,IF($D154=E$3,装备表!$E156,"xxx")&amp;":2,1,1,"&amp;装备表!$O156&amp;";","xxx"),"xxx"))</f>
        <v>xxx</v>
      </c>
      <c r="F154" s="18" t="str">
        <f>IF(装备表!$O156=0,"xxx",IFERROR(IF(INT(IF($D154=F$3,装备表!$E156,"xxx")/10000)=1,IF($D154=F$3,装备表!$E156,"xxx")&amp;":2,1,1,"&amp;装备表!$O156&amp;";","xxx"),"xxx"))</f>
        <v>xxx</v>
      </c>
      <c r="G154" s="18" t="str">
        <f>IF(装备表!$O156=0,"xxx",IFERROR(IF(INT(IF($D154=G$3,装备表!$E156,"xxx")/10000)=1,IF($D154=G$3,装备表!$E156,"xxx")&amp;":2,1,1,"&amp;装备表!$O156&amp;";","xxx"),"xxx"))</f>
        <v>xxx</v>
      </c>
      <c r="H154" s="18" t="str">
        <f>IF(装备表!$O156=0,"xxx",IFERROR(IF(INT(IF($D154=H$3,装备表!$E156,"xxx")/10000)=1,IF($D154=H$3,装备表!$E156,"xxx")&amp;":2,1,1,"&amp;装备表!$O156&amp;";","xxx"),"xxx"))</f>
        <v>xxx</v>
      </c>
      <c r="I154" s="18" t="str">
        <f>IF(装备表!$O156=0,"xxx",IFERROR(IF(INT(IF($D154=I$3,装备表!$E156,"xxx")/10000)=1,IF($D154=I$3,装备表!$E156,"xxx")&amp;":2,1,1,"&amp;装备表!$O156&amp;";","xxx"),"xxx"))</f>
        <v>14756:2,1,1,10;</v>
      </c>
      <c r="J154" s="18" t="str">
        <f>IF(装备表!$O156=0,"xxx",IFERROR(IF(INT(IF($D154=J$3,装备表!$E156,"xxx")/10000)=3,IF($D154=J$3,装备表!$E156,"xxx")&amp;":2,1,1,"&amp;装备表!$O156&amp;";","xxx"),"xxx"))</f>
        <v>xxx</v>
      </c>
    </row>
    <row r="155" spans="3:10" x14ac:dyDescent="0.2">
      <c r="C155">
        <v>14757</v>
      </c>
      <c r="D155" s="18">
        <f>装备表!L157</f>
        <v>5</v>
      </c>
      <c r="E155" s="18" t="str">
        <f>IF(装备表!$O157=0,"xxx",IFERROR(IF(INT(IF($D155=E$3,装备表!$E157,"xxx")/10000)=1,IF($D155=E$3,装备表!$E157,"xxx")&amp;":2,1,1,"&amp;装备表!$O157&amp;";","xxx"),"xxx"))</f>
        <v>xxx</v>
      </c>
      <c r="F155" s="18" t="str">
        <f>IF(装备表!$O157=0,"xxx",IFERROR(IF(INT(IF($D155=F$3,装备表!$E157,"xxx")/10000)=1,IF($D155=F$3,装备表!$E157,"xxx")&amp;":2,1,1,"&amp;装备表!$O157&amp;";","xxx"),"xxx"))</f>
        <v>xxx</v>
      </c>
      <c r="G155" s="18" t="str">
        <f>IF(装备表!$O157=0,"xxx",IFERROR(IF(INT(IF($D155=G$3,装备表!$E157,"xxx")/10000)=1,IF($D155=G$3,装备表!$E157,"xxx")&amp;":2,1,1,"&amp;装备表!$O157&amp;";","xxx"),"xxx"))</f>
        <v>xxx</v>
      </c>
      <c r="H155" s="18" t="str">
        <f>IF(装备表!$O157=0,"xxx",IFERROR(IF(INT(IF($D155=H$3,装备表!$E157,"xxx")/10000)=1,IF($D155=H$3,装备表!$E157,"xxx")&amp;":2,1,1,"&amp;装备表!$O157&amp;";","xxx"),"xxx"))</f>
        <v>xxx</v>
      </c>
      <c r="I155" s="18" t="str">
        <f>IF(装备表!$O157=0,"xxx",IFERROR(IF(INT(IF($D155=I$3,装备表!$E157,"xxx")/10000)=1,IF($D155=I$3,装备表!$E157,"xxx")&amp;":2,1,1,"&amp;装备表!$O157&amp;";","xxx"),"xxx"))</f>
        <v>14757:2,1,1,10;</v>
      </c>
      <c r="J155" s="18" t="str">
        <f>IF(装备表!$O157=0,"xxx",IFERROR(IF(INT(IF($D155=J$3,装备表!$E157,"xxx")/10000)=3,IF($D155=J$3,装备表!$E157,"xxx")&amp;":2,1,1,"&amp;装备表!$O157&amp;";","xxx"),"xxx"))</f>
        <v>xxx</v>
      </c>
    </row>
    <row r="156" spans="3:10" x14ac:dyDescent="0.2">
      <c r="C156">
        <v>14758</v>
      </c>
      <c r="D156" s="18">
        <f>装备表!L158</f>
        <v>5</v>
      </c>
      <c r="E156" s="18" t="str">
        <f>IF(装备表!$O158=0,"xxx",IFERROR(IF(INT(IF($D156=E$3,装备表!$E158,"xxx")/10000)=1,IF($D156=E$3,装备表!$E158,"xxx")&amp;":2,1,1,"&amp;装备表!$O158&amp;";","xxx"),"xxx"))</f>
        <v>xxx</v>
      </c>
      <c r="F156" s="18" t="str">
        <f>IF(装备表!$O158=0,"xxx",IFERROR(IF(INT(IF($D156=F$3,装备表!$E158,"xxx")/10000)=1,IF($D156=F$3,装备表!$E158,"xxx")&amp;":2,1,1,"&amp;装备表!$O158&amp;";","xxx"),"xxx"))</f>
        <v>xxx</v>
      </c>
      <c r="G156" s="18" t="str">
        <f>IF(装备表!$O158=0,"xxx",IFERROR(IF(INT(IF($D156=G$3,装备表!$E158,"xxx")/10000)=1,IF($D156=G$3,装备表!$E158,"xxx")&amp;":2,1,1,"&amp;装备表!$O158&amp;";","xxx"),"xxx"))</f>
        <v>xxx</v>
      </c>
      <c r="H156" s="18" t="str">
        <f>IF(装备表!$O158=0,"xxx",IFERROR(IF(INT(IF($D156=H$3,装备表!$E158,"xxx")/10000)=1,IF($D156=H$3,装备表!$E158,"xxx")&amp;":2,1,1,"&amp;装备表!$O158&amp;";","xxx"),"xxx"))</f>
        <v>xxx</v>
      </c>
      <c r="I156" s="18" t="str">
        <f>IF(装备表!$O158=0,"xxx",IFERROR(IF(INT(IF($D156=I$3,装备表!$E158,"xxx")/10000)=1,IF($D156=I$3,装备表!$E158,"xxx")&amp;":2,1,1,"&amp;装备表!$O158&amp;";","xxx"),"xxx"))</f>
        <v>14758:2,1,1,10;</v>
      </c>
      <c r="J156" s="18" t="str">
        <f>IF(装备表!$O158=0,"xxx",IFERROR(IF(INT(IF($D156=J$3,装备表!$E158,"xxx")/10000)=3,IF($D156=J$3,装备表!$E158,"xxx")&amp;":2,1,1,"&amp;装备表!$O158&amp;";","xxx"),"xxx"))</f>
        <v>xxx</v>
      </c>
    </row>
    <row r="157" spans="3:10" x14ac:dyDescent="0.2">
      <c r="C157">
        <v>14759</v>
      </c>
      <c r="D157" s="18">
        <f>装备表!L159</f>
        <v>5</v>
      </c>
      <c r="E157" s="18" t="str">
        <f>IF(装备表!$O159=0,"xxx",IFERROR(IF(INT(IF($D157=E$3,装备表!$E159,"xxx")/10000)=1,IF($D157=E$3,装备表!$E159,"xxx")&amp;":2,1,1,"&amp;装备表!$O159&amp;";","xxx"),"xxx"))</f>
        <v>xxx</v>
      </c>
      <c r="F157" s="18" t="str">
        <f>IF(装备表!$O159=0,"xxx",IFERROR(IF(INT(IF($D157=F$3,装备表!$E159,"xxx")/10000)=1,IF($D157=F$3,装备表!$E159,"xxx")&amp;":2,1,1,"&amp;装备表!$O159&amp;";","xxx"),"xxx"))</f>
        <v>xxx</v>
      </c>
      <c r="G157" s="18" t="str">
        <f>IF(装备表!$O159=0,"xxx",IFERROR(IF(INT(IF($D157=G$3,装备表!$E159,"xxx")/10000)=1,IF($D157=G$3,装备表!$E159,"xxx")&amp;":2,1,1,"&amp;装备表!$O159&amp;";","xxx"),"xxx"))</f>
        <v>xxx</v>
      </c>
      <c r="H157" s="18" t="str">
        <f>IF(装备表!$O159=0,"xxx",IFERROR(IF(INT(IF($D157=H$3,装备表!$E159,"xxx")/10000)=1,IF($D157=H$3,装备表!$E159,"xxx")&amp;":2,1,1,"&amp;装备表!$O159&amp;";","xxx"),"xxx"))</f>
        <v>xxx</v>
      </c>
      <c r="I157" s="18" t="str">
        <f>IF(装备表!$O159=0,"xxx",IFERROR(IF(INT(IF($D157=I$3,装备表!$E159,"xxx")/10000)=1,IF($D157=I$3,装备表!$E159,"xxx")&amp;":2,1,1,"&amp;装备表!$O159&amp;";","xxx"),"xxx"))</f>
        <v>14759:2,1,1,10;</v>
      </c>
      <c r="J157" s="18" t="str">
        <f>IF(装备表!$O159=0,"xxx",IFERROR(IF(INT(IF($D157=J$3,装备表!$E159,"xxx")/10000)=3,IF($D157=J$3,装备表!$E159,"xxx")&amp;":2,1,1,"&amp;装备表!$O159&amp;";","xxx"),"xxx"))</f>
        <v>xxx</v>
      </c>
    </row>
    <row r="158" spans="3:10" x14ac:dyDescent="0.2">
      <c r="C158">
        <v>14760</v>
      </c>
      <c r="D158" s="18">
        <f>装备表!L160</f>
        <v>5</v>
      </c>
      <c r="E158" s="18" t="str">
        <f>IF(装备表!$O160=0,"xxx",IFERROR(IF(INT(IF($D158=E$3,装备表!$E160,"xxx")/10000)=1,IF($D158=E$3,装备表!$E160,"xxx")&amp;":2,1,1,"&amp;装备表!$O160&amp;";","xxx"),"xxx"))</f>
        <v>xxx</v>
      </c>
      <c r="F158" s="18" t="str">
        <f>IF(装备表!$O160=0,"xxx",IFERROR(IF(INT(IF($D158=F$3,装备表!$E160,"xxx")/10000)=1,IF($D158=F$3,装备表!$E160,"xxx")&amp;":2,1,1,"&amp;装备表!$O160&amp;";","xxx"),"xxx"))</f>
        <v>xxx</v>
      </c>
      <c r="G158" s="18" t="str">
        <f>IF(装备表!$O160=0,"xxx",IFERROR(IF(INT(IF($D158=G$3,装备表!$E160,"xxx")/10000)=1,IF($D158=G$3,装备表!$E160,"xxx")&amp;":2,1,1,"&amp;装备表!$O160&amp;";","xxx"),"xxx"))</f>
        <v>xxx</v>
      </c>
      <c r="H158" s="18" t="str">
        <f>IF(装备表!$O160=0,"xxx",IFERROR(IF(INT(IF($D158=H$3,装备表!$E160,"xxx")/10000)=1,IF($D158=H$3,装备表!$E160,"xxx")&amp;":2,1,1,"&amp;装备表!$O160&amp;";","xxx"),"xxx"))</f>
        <v>xxx</v>
      </c>
      <c r="I158" s="18" t="str">
        <f>IF(装备表!$O160=0,"xxx",IFERROR(IF(INT(IF($D158=I$3,装备表!$E160,"xxx")/10000)=1,IF($D158=I$3,装备表!$E160,"xxx")&amp;":2,1,1,"&amp;装备表!$O160&amp;";","xxx"),"xxx"))</f>
        <v>14760:2,1,1,10;</v>
      </c>
      <c r="J158" s="18" t="str">
        <f>IF(装备表!$O160=0,"xxx",IFERROR(IF(INT(IF($D158=J$3,装备表!$E160,"xxx")/10000)=3,IF($D158=J$3,装备表!$E160,"xxx")&amp;":2,1,1,"&amp;装备表!$O160&amp;";","xxx"),"xxx"))</f>
        <v>xxx</v>
      </c>
    </row>
    <row r="159" spans="3:10" x14ac:dyDescent="0.2">
      <c r="C159">
        <v>14761</v>
      </c>
      <c r="D159" s="18">
        <f>装备表!L161</f>
        <v>5</v>
      </c>
      <c r="E159" s="18" t="str">
        <f>IF(装备表!$O161=0,"xxx",IFERROR(IF(INT(IF($D159=E$3,装备表!$E161,"xxx")/10000)=1,IF($D159=E$3,装备表!$E161,"xxx")&amp;":2,1,1,"&amp;装备表!$O161&amp;";","xxx"),"xxx"))</f>
        <v>xxx</v>
      </c>
      <c r="F159" s="18" t="str">
        <f>IF(装备表!$O161=0,"xxx",IFERROR(IF(INT(IF($D159=F$3,装备表!$E161,"xxx")/10000)=1,IF($D159=F$3,装备表!$E161,"xxx")&amp;":2,1,1,"&amp;装备表!$O161&amp;";","xxx"),"xxx"))</f>
        <v>xxx</v>
      </c>
      <c r="G159" s="18" t="str">
        <f>IF(装备表!$O161=0,"xxx",IFERROR(IF(INT(IF($D159=G$3,装备表!$E161,"xxx")/10000)=1,IF($D159=G$3,装备表!$E161,"xxx")&amp;":2,1,1,"&amp;装备表!$O161&amp;";","xxx"),"xxx"))</f>
        <v>xxx</v>
      </c>
      <c r="H159" s="18" t="str">
        <f>IF(装备表!$O161=0,"xxx",IFERROR(IF(INT(IF($D159=H$3,装备表!$E161,"xxx")/10000)=1,IF($D159=H$3,装备表!$E161,"xxx")&amp;":2,1,1,"&amp;装备表!$O161&amp;";","xxx"),"xxx"))</f>
        <v>xxx</v>
      </c>
      <c r="I159" s="18" t="str">
        <f>IF(装备表!$O161=0,"xxx",IFERROR(IF(INT(IF($D159=I$3,装备表!$E161,"xxx")/10000)=1,IF($D159=I$3,装备表!$E161,"xxx")&amp;":2,1,1,"&amp;装备表!$O161&amp;";","xxx"),"xxx"))</f>
        <v>14761:2,1,1,10;</v>
      </c>
      <c r="J159" s="18" t="str">
        <f>IF(装备表!$O161=0,"xxx",IFERROR(IF(INT(IF($D159=J$3,装备表!$E161,"xxx")/10000)=3,IF($D159=J$3,装备表!$E161,"xxx")&amp;":2,1,1,"&amp;装备表!$O161&amp;";","xxx"),"xxx"))</f>
        <v>xxx</v>
      </c>
    </row>
    <row r="160" spans="3:10" x14ac:dyDescent="0.2">
      <c r="C160">
        <v>14762</v>
      </c>
      <c r="D160" s="18">
        <f>装备表!L162</f>
        <v>5</v>
      </c>
      <c r="E160" s="18" t="str">
        <f>IF(装备表!$O162=0,"xxx",IFERROR(IF(INT(IF($D160=E$3,装备表!$E162,"xxx")/10000)=1,IF($D160=E$3,装备表!$E162,"xxx")&amp;":2,1,1,"&amp;装备表!$O162&amp;";","xxx"),"xxx"))</f>
        <v>xxx</v>
      </c>
      <c r="F160" s="18" t="str">
        <f>IF(装备表!$O162=0,"xxx",IFERROR(IF(INT(IF($D160=F$3,装备表!$E162,"xxx")/10000)=1,IF($D160=F$3,装备表!$E162,"xxx")&amp;":2,1,1,"&amp;装备表!$O162&amp;";","xxx"),"xxx"))</f>
        <v>xxx</v>
      </c>
      <c r="G160" s="18" t="str">
        <f>IF(装备表!$O162=0,"xxx",IFERROR(IF(INT(IF($D160=G$3,装备表!$E162,"xxx")/10000)=1,IF($D160=G$3,装备表!$E162,"xxx")&amp;":2,1,1,"&amp;装备表!$O162&amp;";","xxx"),"xxx"))</f>
        <v>xxx</v>
      </c>
      <c r="H160" s="18" t="str">
        <f>IF(装备表!$O162=0,"xxx",IFERROR(IF(INT(IF($D160=H$3,装备表!$E162,"xxx")/10000)=1,IF($D160=H$3,装备表!$E162,"xxx")&amp;":2,1,1,"&amp;装备表!$O162&amp;";","xxx"),"xxx"))</f>
        <v>xxx</v>
      </c>
      <c r="I160" s="18" t="str">
        <f>IF(装备表!$O162=0,"xxx",IFERROR(IF(INT(IF($D160=I$3,装备表!$E162,"xxx")/10000)=1,IF($D160=I$3,装备表!$E162,"xxx")&amp;":2,1,1,"&amp;装备表!$O162&amp;";","xxx"),"xxx"))</f>
        <v>14762:2,1,1,10;</v>
      </c>
      <c r="J160" s="18" t="str">
        <f>IF(装备表!$O162=0,"xxx",IFERROR(IF(INT(IF($D160=J$3,装备表!$E162,"xxx")/10000)=3,IF($D160=J$3,装备表!$E162,"xxx")&amp;":2,1,1,"&amp;装备表!$O162&amp;";","xxx"),"xxx"))</f>
        <v>xxx</v>
      </c>
    </row>
    <row r="161" spans="3:10" x14ac:dyDescent="0.2">
      <c r="C161">
        <v>14763</v>
      </c>
      <c r="D161" s="18">
        <f>装备表!L163</f>
        <v>5</v>
      </c>
      <c r="E161" s="18" t="str">
        <f>IF(装备表!$O163=0,"xxx",IFERROR(IF(INT(IF($D161=E$3,装备表!$E163,"xxx")/10000)=1,IF($D161=E$3,装备表!$E163,"xxx")&amp;":2,1,1,"&amp;装备表!$O163&amp;";","xxx"),"xxx"))</f>
        <v>xxx</v>
      </c>
      <c r="F161" s="18" t="str">
        <f>IF(装备表!$O163=0,"xxx",IFERROR(IF(INT(IF($D161=F$3,装备表!$E163,"xxx")/10000)=1,IF($D161=F$3,装备表!$E163,"xxx")&amp;":2,1,1,"&amp;装备表!$O163&amp;";","xxx"),"xxx"))</f>
        <v>xxx</v>
      </c>
      <c r="G161" s="18" t="str">
        <f>IF(装备表!$O163=0,"xxx",IFERROR(IF(INT(IF($D161=G$3,装备表!$E163,"xxx")/10000)=1,IF($D161=G$3,装备表!$E163,"xxx")&amp;":2,1,1,"&amp;装备表!$O163&amp;";","xxx"),"xxx"))</f>
        <v>xxx</v>
      </c>
      <c r="H161" s="18" t="str">
        <f>IF(装备表!$O163=0,"xxx",IFERROR(IF(INT(IF($D161=H$3,装备表!$E163,"xxx")/10000)=1,IF($D161=H$3,装备表!$E163,"xxx")&amp;":2,1,1,"&amp;装备表!$O163&amp;";","xxx"),"xxx"))</f>
        <v>xxx</v>
      </c>
      <c r="I161" s="18" t="str">
        <f>IF(装备表!$O163=0,"xxx",IFERROR(IF(INT(IF($D161=I$3,装备表!$E163,"xxx")/10000)=1,IF($D161=I$3,装备表!$E163,"xxx")&amp;":2,1,1,"&amp;装备表!$O163&amp;";","xxx"),"xxx"))</f>
        <v>14763:2,1,1,10;</v>
      </c>
      <c r="J161" s="18" t="str">
        <f>IF(装备表!$O163=0,"xxx",IFERROR(IF(INT(IF($D161=J$3,装备表!$E163,"xxx")/10000)=3,IF($D161=J$3,装备表!$E163,"xxx")&amp;":2,1,1,"&amp;装备表!$O163&amp;";","xxx"),"xxx"))</f>
        <v>xxx</v>
      </c>
    </row>
    <row r="162" spans="3:10" x14ac:dyDescent="0.2">
      <c r="C162">
        <v>14764</v>
      </c>
      <c r="D162" s="18">
        <f>装备表!L164</f>
        <v>5</v>
      </c>
      <c r="E162" s="18" t="str">
        <f>IF(装备表!$O164=0,"xxx",IFERROR(IF(INT(IF($D162=E$3,装备表!$E164,"xxx")/10000)=1,IF($D162=E$3,装备表!$E164,"xxx")&amp;":2,1,1,"&amp;装备表!$O164&amp;";","xxx"),"xxx"))</f>
        <v>xxx</v>
      </c>
      <c r="F162" s="18" t="str">
        <f>IF(装备表!$O164=0,"xxx",IFERROR(IF(INT(IF($D162=F$3,装备表!$E164,"xxx")/10000)=1,IF($D162=F$3,装备表!$E164,"xxx")&amp;":2,1,1,"&amp;装备表!$O164&amp;";","xxx"),"xxx"))</f>
        <v>xxx</v>
      </c>
      <c r="G162" s="18" t="str">
        <f>IF(装备表!$O164=0,"xxx",IFERROR(IF(INT(IF($D162=G$3,装备表!$E164,"xxx")/10000)=1,IF($D162=G$3,装备表!$E164,"xxx")&amp;":2,1,1,"&amp;装备表!$O164&amp;";","xxx"),"xxx"))</f>
        <v>xxx</v>
      </c>
      <c r="H162" s="18" t="str">
        <f>IF(装备表!$O164=0,"xxx",IFERROR(IF(INT(IF($D162=H$3,装备表!$E164,"xxx")/10000)=1,IF($D162=H$3,装备表!$E164,"xxx")&amp;":2,1,1,"&amp;装备表!$O164&amp;";","xxx"),"xxx"))</f>
        <v>xxx</v>
      </c>
      <c r="I162" s="18" t="str">
        <f>IF(装备表!$O164=0,"xxx",IFERROR(IF(INT(IF($D162=I$3,装备表!$E164,"xxx")/10000)=1,IF($D162=I$3,装备表!$E164,"xxx")&amp;":2,1,1,"&amp;装备表!$O164&amp;";","xxx"),"xxx"))</f>
        <v>14764:2,1,1,10;</v>
      </c>
      <c r="J162" s="18" t="str">
        <f>IF(装备表!$O164=0,"xxx",IFERROR(IF(INT(IF($D162=J$3,装备表!$E164,"xxx")/10000)=3,IF($D162=J$3,装备表!$E164,"xxx")&amp;":2,1,1,"&amp;装备表!$O164&amp;";","xxx"),"xxx"))</f>
        <v>xxx</v>
      </c>
    </row>
    <row r="163" spans="3:10" x14ac:dyDescent="0.2">
      <c r="C163">
        <v>14765</v>
      </c>
      <c r="D163" s="18">
        <f>装备表!L165</f>
        <v>5</v>
      </c>
      <c r="E163" s="18" t="str">
        <f>IF(装备表!$O165=0,"xxx",IFERROR(IF(INT(IF($D163=E$3,装备表!$E165,"xxx")/10000)=1,IF($D163=E$3,装备表!$E165,"xxx")&amp;":2,1,1,"&amp;装备表!$O165&amp;";","xxx"),"xxx"))</f>
        <v>xxx</v>
      </c>
      <c r="F163" s="18" t="str">
        <f>IF(装备表!$O165=0,"xxx",IFERROR(IF(INT(IF($D163=F$3,装备表!$E165,"xxx")/10000)=1,IF($D163=F$3,装备表!$E165,"xxx")&amp;":2,1,1,"&amp;装备表!$O165&amp;";","xxx"),"xxx"))</f>
        <v>xxx</v>
      </c>
      <c r="G163" s="18" t="str">
        <f>IF(装备表!$O165=0,"xxx",IFERROR(IF(INT(IF($D163=G$3,装备表!$E165,"xxx")/10000)=1,IF($D163=G$3,装备表!$E165,"xxx")&amp;":2,1,1,"&amp;装备表!$O165&amp;";","xxx"),"xxx"))</f>
        <v>xxx</v>
      </c>
      <c r="H163" s="18" t="str">
        <f>IF(装备表!$O165=0,"xxx",IFERROR(IF(INT(IF($D163=H$3,装备表!$E165,"xxx")/10000)=1,IF($D163=H$3,装备表!$E165,"xxx")&amp;":2,1,1,"&amp;装备表!$O165&amp;";","xxx"),"xxx"))</f>
        <v>xxx</v>
      </c>
      <c r="I163" s="18" t="str">
        <f>IF(装备表!$O165=0,"xxx",IFERROR(IF(INT(IF($D163=I$3,装备表!$E165,"xxx")/10000)=1,IF($D163=I$3,装备表!$E165,"xxx")&amp;":2,1,1,"&amp;装备表!$O165&amp;";","xxx"),"xxx"))</f>
        <v>14765:2,1,1,10;</v>
      </c>
      <c r="J163" s="18" t="str">
        <f>IF(装备表!$O165=0,"xxx",IFERROR(IF(INT(IF($D163=J$3,装备表!$E165,"xxx")/10000)=3,IF($D163=J$3,装备表!$E165,"xxx")&amp;":2,1,1,"&amp;装备表!$O165&amp;";","xxx"),"xxx"))</f>
        <v>xxx</v>
      </c>
    </row>
    <row r="164" spans="3:10" x14ac:dyDescent="0.2">
      <c r="C164">
        <v>14766</v>
      </c>
      <c r="D164" s="18">
        <f>装备表!L166</f>
        <v>5</v>
      </c>
      <c r="E164" s="18" t="str">
        <f>IF(装备表!$O166=0,"xxx",IFERROR(IF(INT(IF($D164=E$3,装备表!$E166,"xxx")/10000)=1,IF($D164=E$3,装备表!$E166,"xxx")&amp;":2,1,1,"&amp;装备表!$O166&amp;";","xxx"),"xxx"))</f>
        <v>xxx</v>
      </c>
      <c r="F164" s="18" t="str">
        <f>IF(装备表!$O166=0,"xxx",IFERROR(IF(INT(IF($D164=F$3,装备表!$E166,"xxx")/10000)=1,IF($D164=F$3,装备表!$E166,"xxx")&amp;":2,1,1,"&amp;装备表!$O166&amp;";","xxx"),"xxx"))</f>
        <v>xxx</v>
      </c>
      <c r="G164" s="18" t="str">
        <f>IF(装备表!$O166=0,"xxx",IFERROR(IF(INT(IF($D164=G$3,装备表!$E166,"xxx")/10000)=1,IF($D164=G$3,装备表!$E166,"xxx")&amp;":2,1,1,"&amp;装备表!$O166&amp;";","xxx"),"xxx"))</f>
        <v>xxx</v>
      </c>
      <c r="H164" s="18" t="str">
        <f>IF(装备表!$O166=0,"xxx",IFERROR(IF(INT(IF($D164=H$3,装备表!$E166,"xxx")/10000)=1,IF($D164=H$3,装备表!$E166,"xxx")&amp;":2,1,1,"&amp;装备表!$O166&amp;";","xxx"),"xxx"))</f>
        <v>xxx</v>
      </c>
      <c r="I164" s="18" t="str">
        <f>IF(装备表!$O166=0,"xxx",IFERROR(IF(INT(IF($D164=I$3,装备表!$E166,"xxx")/10000)=1,IF($D164=I$3,装备表!$E166,"xxx")&amp;":2,1,1,"&amp;装备表!$O166&amp;";","xxx"),"xxx"))</f>
        <v>14766:2,1,1,10;</v>
      </c>
      <c r="J164" s="18" t="str">
        <f>IF(装备表!$O166=0,"xxx",IFERROR(IF(INT(IF($D164=J$3,装备表!$E166,"xxx")/10000)=3,IF($D164=J$3,装备表!$E166,"xxx")&amp;":2,1,1,"&amp;装备表!$O166&amp;";","xxx"),"xxx"))</f>
        <v>xxx</v>
      </c>
    </row>
    <row r="165" spans="3:10" x14ac:dyDescent="0.2">
      <c r="C165">
        <v>14767</v>
      </c>
      <c r="D165" s="18">
        <f>装备表!L167</f>
        <v>5</v>
      </c>
      <c r="E165" s="18" t="str">
        <f>IF(装备表!$O167=0,"xxx",IFERROR(IF(INT(IF($D165=E$3,装备表!$E167,"xxx")/10000)=1,IF($D165=E$3,装备表!$E167,"xxx")&amp;":2,1,1,"&amp;装备表!$O167&amp;";","xxx"),"xxx"))</f>
        <v>xxx</v>
      </c>
      <c r="F165" s="18" t="str">
        <f>IF(装备表!$O167=0,"xxx",IFERROR(IF(INT(IF($D165=F$3,装备表!$E167,"xxx")/10000)=1,IF($D165=F$3,装备表!$E167,"xxx")&amp;":2,1,1,"&amp;装备表!$O167&amp;";","xxx"),"xxx"))</f>
        <v>xxx</v>
      </c>
      <c r="G165" s="18" t="str">
        <f>IF(装备表!$O167=0,"xxx",IFERROR(IF(INT(IF($D165=G$3,装备表!$E167,"xxx")/10000)=1,IF($D165=G$3,装备表!$E167,"xxx")&amp;":2,1,1,"&amp;装备表!$O167&amp;";","xxx"),"xxx"))</f>
        <v>xxx</v>
      </c>
      <c r="H165" s="18" t="str">
        <f>IF(装备表!$O167=0,"xxx",IFERROR(IF(INT(IF($D165=H$3,装备表!$E167,"xxx")/10000)=1,IF($D165=H$3,装备表!$E167,"xxx")&amp;":2,1,1,"&amp;装备表!$O167&amp;";","xxx"),"xxx"))</f>
        <v>xxx</v>
      </c>
      <c r="I165" s="18" t="str">
        <f>IF(装备表!$O167=0,"xxx",IFERROR(IF(INT(IF($D165=I$3,装备表!$E167,"xxx")/10000)=1,IF($D165=I$3,装备表!$E167,"xxx")&amp;":2,1,1,"&amp;装备表!$O167&amp;";","xxx"),"xxx"))</f>
        <v>xxx</v>
      </c>
      <c r="J165" s="18" t="str">
        <f>IF(装备表!$O167=0,"xxx",IFERROR(IF(INT(IF($D165=J$3,装备表!$E167,"xxx")/10000)=3,IF($D165=J$3,装备表!$E167,"xxx")&amp;":2,1,1,"&amp;装备表!$O167&amp;";","xxx"),"xxx"))</f>
        <v>xxx</v>
      </c>
    </row>
    <row r="166" spans="3:10" x14ac:dyDescent="0.2">
      <c r="C166">
        <v>14768</v>
      </c>
      <c r="D166" s="18">
        <f>装备表!L168</f>
        <v>5</v>
      </c>
      <c r="E166" s="18" t="str">
        <f>IF(装备表!$O168=0,"xxx",IFERROR(IF(INT(IF($D166=E$3,装备表!$E168,"xxx")/10000)=1,IF($D166=E$3,装备表!$E168,"xxx")&amp;":2,1,1,"&amp;装备表!$O168&amp;";","xxx"),"xxx"))</f>
        <v>xxx</v>
      </c>
      <c r="F166" s="18" t="str">
        <f>IF(装备表!$O168=0,"xxx",IFERROR(IF(INT(IF($D166=F$3,装备表!$E168,"xxx")/10000)=1,IF($D166=F$3,装备表!$E168,"xxx")&amp;":2,1,1,"&amp;装备表!$O168&amp;";","xxx"),"xxx"))</f>
        <v>xxx</v>
      </c>
      <c r="G166" s="18" t="str">
        <f>IF(装备表!$O168=0,"xxx",IFERROR(IF(INT(IF($D166=G$3,装备表!$E168,"xxx")/10000)=1,IF($D166=G$3,装备表!$E168,"xxx")&amp;":2,1,1,"&amp;装备表!$O168&amp;";","xxx"),"xxx"))</f>
        <v>xxx</v>
      </c>
      <c r="H166" s="18" t="str">
        <f>IF(装备表!$O168=0,"xxx",IFERROR(IF(INT(IF($D166=H$3,装备表!$E168,"xxx")/10000)=1,IF($D166=H$3,装备表!$E168,"xxx")&amp;":2,1,1,"&amp;装备表!$O168&amp;";","xxx"),"xxx"))</f>
        <v>xxx</v>
      </c>
      <c r="I166" s="18" t="str">
        <f>IF(装备表!$O168=0,"xxx",IFERROR(IF(INT(IF($D166=I$3,装备表!$E168,"xxx")/10000)=1,IF($D166=I$3,装备表!$E168,"xxx")&amp;":2,1,1,"&amp;装备表!$O168&amp;";","xxx"),"xxx"))</f>
        <v>14768:2,1,1,10;</v>
      </c>
      <c r="J166" s="18" t="str">
        <f>IF(装备表!$O168=0,"xxx",IFERROR(IF(INT(IF($D166=J$3,装备表!$E168,"xxx")/10000)=3,IF($D166=J$3,装备表!$E168,"xxx")&amp;":2,1,1,"&amp;装备表!$O168&amp;";","xxx"),"xxx"))</f>
        <v>xxx</v>
      </c>
    </row>
    <row r="167" spans="3:10" x14ac:dyDescent="0.2">
      <c r="C167">
        <v>14769</v>
      </c>
      <c r="D167" s="18">
        <f>装备表!L169</f>
        <v>5</v>
      </c>
      <c r="E167" s="18" t="str">
        <f>IF(装备表!$O169=0,"xxx",IFERROR(IF(INT(IF($D167=E$3,装备表!$E169,"xxx")/10000)=1,IF($D167=E$3,装备表!$E169,"xxx")&amp;":2,1,1,"&amp;装备表!$O169&amp;";","xxx"),"xxx"))</f>
        <v>xxx</v>
      </c>
      <c r="F167" s="18" t="str">
        <f>IF(装备表!$O169=0,"xxx",IFERROR(IF(INT(IF($D167=F$3,装备表!$E169,"xxx")/10000)=1,IF($D167=F$3,装备表!$E169,"xxx")&amp;":2,1,1,"&amp;装备表!$O169&amp;";","xxx"),"xxx"))</f>
        <v>xxx</v>
      </c>
      <c r="G167" s="18" t="str">
        <f>IF(装备表!$O169=0,"xxx",IFERROR(IF(INT(IF($D167=G$3,装备表!$E169,"xxx")/10000)=1,IF($D167=G$3,装备表!$E169,"xxx")&amp;":2,1,1,"&amp;装备表!$O169&amp;";","xxx"),"xxx"))</f>
        <v>xxx</v>
      </c>
      <c r="H167" s="18" t="str">
        <f>IF(装备表!$O169=0,"xxx",IFERROR(IF(INT(IF($D167=H$3,装备表!$E169,"xxx")/10000)=1,IF($D167=H$3,装备表!$E169,"xxx")&amp;":2,1,1,"&amp;装备表!$O169&amp;";","xxx"),"xxx"))</f>
        <v>xxx</v>
      </c>
      <c r="I167" s="18" t="str">
        <f>IF(装备表!$O169=0,"xxx",IFERROR(IF(INT(IF($D167=I$3,装备表!$E169,"xxx")/10000)=1,IF($D167=I$3,装备表!$E169,"xxx")&amp;":2,1,1,"&amp;装备表!$O169&amp;";","xxx"),"xxx"))</f>
        <v>14769:2,1,1,10;</v>
      </c>
      <c r="J167" s="18" t="str">
        <f>IF(装备表!$O169=0,"xxx",IFERROR(IF(INT(IF($D167=J$3,装备表!$E169,"xxx")/10000)=3,IF($D167=J$3,装备表!$E169,"xxx")&amp;":2,1,1,"&amp;装备表!$O169&amp;";","xxx"),"xxx"))</f>
        <v>xxx</v>
      </c>
    </row>
    <row r="168" spans="3:10" x14ac:dyDescent="0.2">
      <c r="C168">
        <v>14770</v>
      </c>
      <c r="D168" s="18">
        <f>装备表!L170</f>
        <v>5</v>
      </c>
      <c r="E168" s="18" t="str">
        <f>IF(装备表!$O170=0,"xxx",IFERROR(IF(INT(IF($D168=E$3,装备表!$E170,"xxx")/10000)=1,IF($D168=E$3,装备表!$E170,"xxx")&amp;":2,1,1,"&amp;装备表!$O170&amp;";","xxx"),"xxx"))</f>
        <v>xxx</v>
      </c>
      <c r="F168" s="18" t="str">
        <f>IF(装备表!$O170=0,"xxx",IFERROR(IF(INT(IF($D168=F$3,装备表!$E170,"xxx")/10000)=1,IF($D168=F$3,装备表!$E170,"xxx")&amp;":2,1,1,"&amp;装备表!$O170&amp;";","xxx"),"xxx"))</f>
        <v>xxx</v>
      </c>
      <c r="G168" s="18" t="str">
        <f>IF(装备表!$O170=0,"xxx",IFERROR(IF(INT(IF($D168=G$3,装备表!$E170,"xxx")/10000)=1,IF($D168=G$3,装备表!$E170,"xxx")&amp;":2,1,1,"&amp;装备表!$O170&amp;";","xxx"),"xxx"))</f>
        <v>xxx</v>
      </c>
      <c r="H168" s="18" t="str">
        <f>IF(装备表!$O170=0,"xxx",IFERROR(IF(INT(IF($D168=H$3,装备表!$E170,"xxx")/10000)=1,IF($D168=H$3,装备表!$E170,"xxx")&amp;":2,1,1,"&amp;装备表!$O170&amp;";","xxx"),"xxx"))</f>
        <v>xxx</v>
      </c>
      <c r="I168" s="18" t="str">
        <f>IF(装备表!$O170=0,"xxx",IFERROR(IF(INT(IF($D168=I$3,装备表!$E170,"xxx")/10000)=1,IF($D168=I$3,装备表!$E170,"xxx")&amp;":2,1,1,"&amp;装备表!$O170&amp;";","xxx"),"xxx"))</f>
        <v>14770:2,1,1,10;</v>
      </c>
      <c r="J168" s="18" t="str">
        <f>IF(装备表!$O170=0,"xxx",IFERROR(IF(INT(IF($D168=J$3,装备表!$E170,"xxx")/10000)=3,IF($D168=J$3,装备表!$E170,"xxx")&amp;":2,1,1,"&amp;装备表!$O170&amp;";","xxx"),"xxx"))</f>
        <v>xxx</v>
      </c>
    </row>
    <row r="169" spans="3:10" x14ac:dyDescent="0.2">
      <c r="C169">
        <v>14771</v>
      </c>
      <c r="D169" s="18">
        <f>装备表!L171</f>
        <v>5</v>
      </c>
      <c r="E169" s="18" t="str">
        <f>IF(装备表!$O171=0,"xxx",IFERROR(IF(INT(IF($D169=E$3,装备表!$E171,"xxx")/10000)=1,IF($D169=E$3,装备表!$E171,"xxx")&amp;":2,1,1,"&amp;装备表!$O171&amp;";","xxx"),"xxx"))</f>
        <v>xxx</v>
      </c>
      <c r="F169" s="18" t="str">
        <f>IF(装备表!$O171=0,"xxx",IFERROR(IF(INT(IF($D169=F$3,装备表!$E171,"xxx")/10000)=1,IF($D169=F$3,装备表!$E171,"xxx")&amp;":2,1,1,"&amp;装备表!$O171&amp;";","xxx"),"xxx"))</f>
        <v>xxx</v>
      </c>
      <c r="G169" s="18" t="str">
        <f>IF(装备表!$O171=0,"xxx",IFERROR(IF(INT(IF($D169=G$3,装备表!$E171,"xxx")/10000)=1,IF($D169=G$3,装备表!$E171,"xxx")&amp;":2,1,1,"&amp;装备表!$O171&amp;";","xxx"),"xxx"))</f>
        <v>xxx</v>
      </c>
      <c r="H169" s="18" t="str">
        <f>IF(装备表!$O171=0,"xxx",IFERROR(IF(INT(IF($D169=H$3,装备表!$E171,"xxx")/10000)=1,IF($D169=H$3,装备表!$E171,"xxx")&amp;":2,1,1,"&amp;装备表!$O171&amp;";","xxx"),"xxx"))</f>
        <v>xxx</v>
      </c>
      <c r="I169" s="18" t="str">
        <f>IF(装备表!$O171=0,"xxx",IFERROR(IF(INT(IF($D169=I$3,装备表!$E171,"xxx")/10000)=1,IF($D169=I$3,装备表!$E171,"xxx")&amp;":2,1,1,"&amp;装备表!$O171&amp;";","xxx"),"xxx"))</f>
        <v>14771:2,1,1,10;</v>
      </c>
      <c r="J169" s="18" t="str">
        <f>IF(装备表!$O171=0,"xxx",IFERROR(IF(INT(IF($D169=J$3,装备表!$E171,"xxx")/10000)=3,IF($D169=J$3,装备表!$E171,"xxx")&amp;":2,1,1,"&amp;装备表!$O171&amp;";","xxx"),"xxx"))</f>
        <v>xxx</v>
      </c>
    </row>
    <row r="170" spans="3:10" x14ac:dyDescent="0.2">
      <c r="C170">
        <v>14772</v>
      </c>
      <c r="D170" s="18">
        <f>装备表!L172</f>
        <v>5</v>
      </c>
      <c r="E170" s="18" t="str">
        <f>IF(装备表!$O172=0,"xxx",IFERROR(IF(INT(IF($D170=E$3,装备表!$E172,"xxx")/10000)=1,IF($D170=E$3,装备表!$E172,"xxx")&amp;":2,1,1,"&amp;装备表!$O172&amp;";","xxx"),"xxx"))</f>
        <v>xxx</v>
      </c>
      <c r="F170" s="18" t="str">
        <f>IF(装备表!$O172=0,"xxx",IFERROR(IF(INT(IF($D170=F$3,装备表!$E172,"xxx")/10000)=1,IF($D170=F$3,装备表!$E172,"xxx")&amp;":2,1,1,"&amp;装备表!$O172&amp;";","xxx"),"xxx"))</f>
        <v>xxx</v>
      </c>
      <c r="G170" s="18" t="str">
        <f>IF(装备表!$O172=0,"xxx",IFERROR(IF(INT(IF($D170=G$3,装备表!$E172,"xxx")/10000)=1,IF($D170=G$3,装备表!$E172,"xxx")&amp;":2,1,1,"&amp;装备表!$O172&amp;";","xxx"),"xxx"))</f>
        <v>xxx</v>
      </c>
      <c r="H170" s="18" t="str">
        <f>IF(装备表!$O172=0,"xxx",IFERROR(IF(INT(IF($D170=H$3,装备表!$E172,"xxx")/10000)=1,IF($D170=H$3,装备表!$E172,"xxx")&amp;":2,1,1,"&amp;装备表!$O172&amp;";","xxx"),"xxx"))</f>
        <v>xxx</v>
      </c>
      <c r="I170" s="18" t="str">
        <f>IF(装备表!$O172=0,"xxx",IFERROR(IF(INT(IF($D170=I$3,装备表!$E172,"xxx")/10000)=1,IF($D170=I$3,装备表!$E172,"xxx")&amp;":2,1,1,"&amp;装备表!$O172&amp;";","xxx"),"xxx"))</f>
        <v>14772:2,1,1,10;</v>
      </c>
      <c r="J170" s="18" t="str">
        <f>IF(装备表!$O172=0,"xxx",IFERROR(IF(INT(IF($D170=J$3,装备表!$E172,"xxx")/10000)=3,IF($D170=J$3,装备表!$E172,"xxx")&amp;":2,1,1,"&amp;装备表!$O172&amp;";","xxx"),"xxx"))</f>
        <v>xxx</v>
      </c>
    </row>
    <row r="171" spans="3:10" x14ac:dyDescent="0.2">
      <c r="C171">
        <v>14773</v>
      </c>
      <c r="D171" s="18">
        <f>装备表!L173</f>
        <v>5</v>
      </c>
      <c r="E171" s="18" t="str">
        <f>IF(装备表!$O173=0,"xxx",IFERROR(IF(INT(IF($D171=E$3,装备表!$E173,"xxx")/10000)=1,IF($D171=E$3,装备表!$E173,"xxx")&amp;":2,1,1,"&amp;装备表!$O173&amp;";","xxx"),"xxx"))</f>
        <v>xxx</v>
      </c>
      <c r="F171" s="18" t="str">
        <f>IF(装备表!$O173=0,"xxx",IFERROR(IF(INT(IF($D171=F$3,装备表!$E173,"xxx")/10000)=1,IF($D171=F$3,装备表!$E173,"xxx")&amp;":2,1,1,"&amp;装备表!$O173&amp;";","xxx"),"xxx"))</f>
        <v>xxx</v>
      </c>
      <c r="G171" s="18" t="str">
        <f>IF(装备表!$O173=0,"xxx",IFERROR(IF(INT(IF($D171=G$3,装备表!$E173,"xxx")/10000)=1,IF($D171=G$3,装备表!$E173,"xxx")&amp;":2,1,1,"&amp;装备表!$O173&amp;";","xxx"),"xxx"))</f>
        <v>xxx</v>
      </c>
      <c r="H171" s="18" t="str">
        <f>IF(装备表!$O173=0,"xxx",IFERROR(IF(INT(IF($D171=H$3,装备表!$E173,"xxx")/10000)=1,IF($D171=H$3,装备表!$E173,"xxx")&amp;":2,1,1,"&amp;装备表!$O173&amp;";","xxx"),"xxx"))</f>
        <v>xxx</v>
      </c>
      <c r="I171" s="18" t="str">
        <f>IF(装备表!$O173=0,"xxx",IFERROR(IF(INT(IF($D171=I$3,装备表!$E173,"xxx")/10000)=1,IF($D171=I$3,装备表!$E173,"xxx")&amp;":2,1,1,"&amp;装备表!$O173&amp;";","xxx"),"xxx"))</f>
        <v>14773:2,1,1,10;</v>
      </c>
      <c r="J171" s="18" t="str">
        <f>IF(装备表!$O173=0,"xxx",IFERROR(IF(INT(IF($D171=J$3,装备表!$E173,"xxx")/10000)=3,IF($D171=J$3,装备表!$E173,"xxx")&amp;":2,1,1,"&amp;装备表!$O173&amp;";","xxx"),"xxx"))</f>
        <v>xxx</v>
      </c>
    </row>
    <row r="172" spans="3:10" x14ac:dyDescent="0.2">
      <c r="C172">
        <v>14774</v>
      </c>
      <c r="D172" s="18">
        <f>装备表!L174</f>
        <v>5</v>
      </c>
      <c r="E172" s="18" t="str">
        <f>IF(装备表!$O174=0,"xxx",IFERROR(IF(INT(IF($D172=E$3,装备表!$E174,"xxx")/10000)=1,IF($D172=E$3,装备表!$E174,"xxx")&amp;":2,1,1,"&amp;装备表!$O174&amp;";","xxx"),"xxx"))</f>
        <v>xxx</v>
      </c>
      <c r="F172" s="18" t="str">
        <f>IF(装备表!$O174=0,"xxx",IFERROR(IF(INT(IF($D172=F$3,装备表!$E174,"xxx")/10000)=1,IF($D172=F$3,装备表!$E174,"xxx")&amp;":2,1,1,"&amp;装备表!$O174&amp;";","xxx"),"xxx"))</f>
        <v>xxx</v>
      </c>
      <c r="G172" s="18" t="str">
        <f>IF(装备表!$O174=0,"xxx",IFERROR(IF(INT(IF($D172=G$3,装备表!$E174,"xxx")/10000)=1,IF($D172=G$3,装备表!$E174,"xxx")&amp;":2,1,1,"&amp;装备表!$O174&amp;";","xxx"),"xxx"))</f>
        <v>xxx</v>
      </c>
      <c r="H172" s="18" t="str">
        <f>IF(装备表!$O174=0,"xxx",IFERROR(IF(INT(IF($D172=H$3,装备表!$E174,"xxx")/10000)=1,IF($D172=H$3,装备表!$E174,"xxx")&amp;":2,1,1,"&amp;装备表!$O174&amp;";","xxx"),"xxx"))</f>
        <v>xxx</v>
      </c>
      <c r="I172" s="18" t="str">
        <f>IF(装备表!$O174=0,"xxx",IFERROR(IF(INT(IF($D172=I$3,装备表!$E174,"xxx")/10000)=1,IF($D172=I$3,装备表!$E174,"xxx")&amp;":2,1,1,"&amp;装备表!$O174&amp;";","xxx"),"xxx"))</f>
        <v>14774:2,1,1,10;</v>
      </c>
      <c r="J172" s="18" t="str">
        <f>IF(装备表!$O174=0,"xxx",IFERROR(IF(INT(IF($D172=J$3,装备表!$E174,"xxx")/10000)=3,IF($D172=J$3,装备表!$E174,"xxx")&amp;":2,1,1,"&amp;装备表!$O174&amp;";","xxx"),"xxx"))</f>
        <v>xxx</v>
      </c>
    </row>
    <row r="173" spans="3:10" x14ac:dyDescent="0.2">
      <c r="C173">
        <v>14775</v>
      </c>
      <c r="D173" s="18">
        <f>装备表!L175</f>
        <v>5</v>
      </c>
      <c r="E173" s="18" t="str">
        <f>IF(装备表!$O175=0,"xxx",IFERROR(IF(INT(IF($D173=E$3,装备表!$E175,"xxx")/10000)=1,IF($D173=E$3,装备表!$E175,"xxx")&amp;":2,1,1,"&amp;装备表!$O175&amp;";","xxx"),"xxx"))</f>
        <v>xxx</v>
      </c>
      <c r="F173" s="18" t="str">
        <f>IF(装备表!$O175=0,"xxx",IFERROR(IF(INT(IF($D173=F$3,装备表!$E175,"xxx")/10000)=1,IF($D173=F$3,装备表!$E175,"xxx")&amp;":2,1,1,"&amp;装备表!$O175&amp;";","xxx"),"xxx"))</f>
        <v>xxx</v>
      </c>
      <c r="G173" s="18" t="str">
        <f>IF(装备表!$O175=0,"xxx",IFERROR(IF(INT(IF($D173=G$3,装备表!$E175,"xxx")/10000)=1,IF($D173=G$3,装备表!$E175,"xxx")&amp;":2,1,1,"&amp;装备表!$O175&amp;";","xxx"),"xxx"))</f>
        <v>xxx</v>
      </c>
      <c r="H173" s="18" t="str">
        <f>IF(装备表!$O175=0,"xxx",IFERROR(IF(INT(IF($D173=H$3,装备表!$E175,"xxx")/10000)=1,IF($D173=H$3,装备表!$E175,"xxx")&amp;":2,1,1,"&amp;装备表!$O175&amp;";","xxx"),"xxx"))</f>
        <v>xxx</v>
      </c>
      <c r="I173" s="18" t="str">
        <f>IF(装备表!$O175=0,"xxx",IFERROR(IF(INT(IF($D173=I$3,装备表!$E175,"xxx")/10000)=1,IF($D173=I$3,装备表!$E175,"xxx")&amp;":2,1,1,"&amp;装备表!$O175&amp;";","xxx"),"xxx"))</f>
        <v>14775:2,1,1,10;</v>
      </c>
      <c r="J173" s="18" t="str">
        <f>IF(装备表!$O175=0,"xxx",IFERROR(IF(INT(IF($D173=J$3,装备表!$E175,"xxx")/10000)=3,IF($D173=J$3,装备表!$E175,"xxx")&amp;":2,1,1,"&amp;装备表!$O175&amp;";","xxx"),"xxx"))</f>
        <v>xxx</v>
      </c>
    </row>
    <row r="174" spans="3:10" x14ac:dyDescent="0.2">
      <c r="C174">
        <v>14776</v>
      </c>
      <c r="D174" s="18">
        <f>装备表!L176</f>
        <v>5</v>
      </c>
      <c r="E174" s="18" t="str">
        <f>IF(装备表!$O176=0,"xxx",IFERROR(IF(INT(IF($D174=E$3,装备表!$E176,"xxx")/10000)=1,IF($D174=E$3,装备表!$E176,"xxx")&amp;":2,1,1,"&amp;装备表!$O176&amp;";","xxx"),"xxx"))</f>
        <v>xxx</v>
      </c>
      <c r="F174" s="18" t="str">
        <f>IF(装备表!$O176=0,"xxx",IFERROR(IF(INT(IF($D174=F$3,装备表!$E176,"xxx")/10000)=1,IF($D174=F$3,装备表!$E176,"xxx")&amp;":2,1,1,"&amp;装备表!$O176&amp;";","xxx"),"xxx"))</f>
        <v>xxx</v>
      </c>
      <c r="G174" s="18" t="str">
        <f>IF(装备表!$O176=0,"xxx",IFERROR(IF(INT(IF($D174=G$3,装备表!$E176,"xxx")/10000)=1,IF($D174=G$3,装备表!$E176,"xxx")&amp;":2,1,1,"&amp;装备表!$O176&amp;";","xxx"),"xxx"))</f>
        <v>xxx</v>
      </c>
      <c r="H174" s="18" t="str">
        <f>IF(装备表!$O176=0,"xxx",IFERROR(IF(INT(IF($D174=H$3,装备表!$E176,"xxx")/10000)=1,IF($D174=H$3,装备表!$E176,"xxx")&amp;":2,1,1,"&amp;装备表!$O176&amp;";","xxx"),"xxx"))</f>
        <v>xxx</v>
      </c>
      <c r="I174" s="18" t="str">
        <f>IF(装备表!$O176=0,"xxx",IFERROR(IF(INT(IF($D174=I$3,装备表!$E176,"xxx")/10000)=1,IF($D174=I$3,装备表!$E176,"xxx")&amp;":2,1,1,"&amp;装备表!$O176&amp;";","xxx"),"xxx"))</f>
        <v>14776:2,1,1,10;</v>
      </c>
      <c r="J174" s="18" t="str">
        <f>IF(装备表!$O176=0,"xxx",IFERROR(IF(INT(IF($D174=J$3,装备表!$E176,"xxx")/10000)=3,IF($D174=J$3,装备表!$E176,"xxx")&amp;":2,1,1,"&amp;装备表!$O176&amp;";","xxx"),"xxx"))</f>
        <v>xxx</v>
      </c>
    </row>
    <row r="175" spans="3:10" x14ac:dyDescent="0.2">
      <c r="C175">
        <v>14777</v>
      </c>
      <c r="D175" s="18">
        <f>装备表!L177</f>
        <v>5</v>
      </c>
      <c r="E175" s="18" t="str">
        <f>IF(装备表!$O177=0,"xxx",IFERROR(IF(INT(IF($D175=E$3,装备表!$E177,"xxx")/10000)=1,IF($D175=E$3,装备表!$E177,"xxx")&amp;":2,1,1,"&amp;装备表!$O177&amp;";","xxx"),"xxx"))</f>
        <v>xxx</v>
      </c>
      <c r="F175" s="18" t="str">
        <f>IF(装备表!$O177=0,"xxx",IFERROR(IF(INT(IF($D175=F$3,装备表!$E177,"xxx")/10000)=1,IF($D175=F$3,装备表!$E177,"xxx")&amp;":2,1,1,"&amp;装备表!$O177&amp;";","xxx"),"xxx"))</f>
        <v>xxx</v>
      </c>
      <c r="G175" s="18" t="str">
        <f>IF(装备表!$O177=0,"xxx",IFERROR(IF(INT(IF($D175=G$3,装备表!$E177,"xxx")/10000)=1,IF($D175=G$3,装备表!$E177,"xxx")&amp;":2,1,1,"&amp;装备表!$O177&amp;";","xxx"),"xxx"))</f>
        <v>xxx</v>
      </c>
      <c r="H175" s="18" t="str">
        <f>IF(装备表!$O177=0,"xxx",IFERROR(IF(INT(IF($D175=H$3,装备表!$E177,"xxx")/10000)=1,IF($D175=H$3,装备表!$E177,"xxx")&amp;":2,1,1,"&amp;装备表!$O177&amp;";","xxx"),"xxx"))</f>
        <v>xxx</v>
      </c>
      <c r="I175" s="18" t="str">
        <f>IF(装备表!$O177=0,"xxx",IFERROR(IF(INT(IF($D175=I$3,装备表!$E177,"xxx")/10000)=1,IF($D175=I$3,装备表!$E177,"xxx")&amp;":2,1,1,"&amp;装备表!$O177&amp;";","xxx"),"xxx"))</f>
        <v>14777:2,1,1,10;</v>
      </c>
      <c r="J175" s="18" t="str">
        <f>IF(装备表!$O177=0,"xxx",IFERROR(IF(INT(IF($D175=J$3,装备表!$E177,"xxx")/10000)=3,IF($D175=J$3,装备表!$E177,"xxx")&amp;":2,1,1,"&amp;装备表!$O177&amp;";","xxx"),"xxx"))</f>
        <v>xxx</v>
      </c>
    </row>
    <row r="176" spans="3:10" x14ac:dyDescent="0.2">
      <c r="C176">
        <v>14778</v>
      </c>
      <c r="D176" s="18">
        <f>装备表!L178</f>
        <v>5</v>
      </c>
      <c r="E176" s="18" t="str">
        <f>IF(装备表!$O178=0,"xxx",IFERROR(IF(INT(IF($D176=E$3,装备表!$E178,"xxx")/10000)=1,IF($D176=E$3,装备表!$E178,"xxx")&amp;":2,1,1,"&amp;装备表!$O178&amp;";","xxx"),"xxx"))</f>
        <v>xxx</v>
      </c>
      <c r="F176" s="18" t="str">
        <f>IF(装备表!$O178=0,"xxx",IFERROR(IF(INT(IF($D176=F$3,装备表!$E178,"xxx")/10000)=1,IF($D176=F$3,装备表!$E178,"xxx")&amp;":2,1,1,"&amp;装备表!$O178&amp;";","xxx"),"xxx"))</f>
        <v>xxx</v>
      </c>
      <c r="G176" s="18" t="str">
        <f>IF(装备表!$O178=0,"xxx",IFERROR(IF(INT(IF($D176=G$3,装备表!$E178,"xxx")/10000)=1,IF($D176=G$3,装备表!$E178,"xxx")&amp;":2,1,1,"&amp;装备表!$O178&amp;";","xxx"),"xxx"))</f>
        <v>xxx</v>
      </c>
      <c r="H176" s="18" t="str">
        <f>IF(装备表!$O178=0,"xxx",IFERROR(IF(INT(IF($D176=H$3,装备表!$E178,"xxx")/10000)=1,IF($D176=H$3,装备表!$E178,"xxx")&amp;":2,1,1,"&amp;装备表!$O178&amp;";","xxx"),"xxx"))</f>
        <v>xxx</v>
      </c>
      <c r="I176" s="18" t="str">
        <f>IF(装备表!$O178=0,"xxx",IFERROR(IF(INT(IF($D176=I$3,装备表!$E178,"xxx")/10000)=1,IF($D176=I$3,装备表!$E178,"xxx")&amp;":2,1,1,"&amp;装备表!$O178&amp;";","xxx"),"xxx"))</f>
        <v>xxx</v>
      </c>
      <c r="J176" s="18" t="str">
        <f>IF(装备表!$O178=0,"xxx",IFERROR(IF(INT(IF($D176=J$3,装备表!$E178,"xxx")/10000)=3,IF($D176=J$3,装备表!$E178,"xxx")&amp;":2,1,1,"&amp;装备表!$O178&amp;";","xxx"),"xxx"))</f>
        <v>xxx</v>
      </c>
    </row>
    <row r="177" spans="3:10" x14ac:dyDescent="0.2">
      <c r="C177">
        <v>14779</v>
      </c>
      <c r="D177" s="18">
        <f>装备表!L179</f>
        <v>5</v>
      </c>
      <c r="E177" s="18" t="str">
        <f>IF(装备表!$O179=0,"xxx",IFERROR(IF(INT(IF($D177=E$3,装备表!$E179,"xxx")/10000)=1,IF($D177=E$3,装备表!$E179,"xxx")&amp;":2,1,1,"&amp;装备表!$O179&amp;";","xxx"),"xxx"))</f>
        <v>xxx</v>
      </c>
      <c r="F177" s="18" t="str">
        <f>IF(装备表!$O179=0,"xxx",IFERROR(IF(INT(IF($D177=F$3,装备表!$E179,"xxx")/10000)=1,IF($D177=F$3,装备表!$E179,"xxx")&amp;":2,1,1,"&amp;装备表!$O179&amp;";","xxx"),"xxx"))</f>
        <v>xxx</v>
      </c>
      <c r="G177" s="18" t="str">
        <f>IF(装备表!$O179=0,"xxx",IFERROR(IF(INT(IF($D177=G$3,装备表!$E179,"xxx")/10000)=1,IF($D177=G$3,装备表!$E179,"xxx")&amp;":2,1,1,"&amp;装备表!$O179&amp;";","xxx"),"xxx"))</f>
        <v>xxx</v>
      </c>
      <c r="H177" s="18" t="str">
        <f>IF(装备表!$O179=0,"xxx",IFERROR(IF(INT(IF($D177=H$3,装备表!$E179,"xxx")/10000)=1,IF($D177=H$3,装备表!$E179,"xxx")&amp;":2,1,1,"&amp;装备表!$O179&amp;";","xxx"),"xxx"))</f>
        <v>xxx</v>
      </c>
      <c r="I177" s="18" t="str">
        <f>IF(装备表!$O179=0,"xxx",IFERROR(IF(INT(IF($D177=I$3,装备表!$E179,"xxx")/10000)=1,IF($D177=I$3,装备表!$E179,"xxx")&amp;":2,1,1,"&amp;装备表!$O179&amp;";","xxx"),"xxx"))</f>
        <v>14779:2,1,1,10;</v>
      </c>
      <c r="J177" s="18" t="str">
        <f>IF(装备表!$O179=0,"xxx",IFERROR(IF(INT(IF($D177=J$3,装备表!$E179,"xxx")/10000)=3,IF($D177=J$3,装备表!$E179,"xxx")&amp;":2,1,1,"&amp;装备表!$O179&amp;";","xxx"),"xxx"))</f>
        <v>xxx</v>
      </c>
    </row>
    <row r="178" spans="3:10" x14ac:dyDescent="0.2">
      <c r="C178">
        <v>14780</v>
      </c>
      <c r="D178" s="18">
        <f>装备表!L180</f>
        <v>5</v>
      </c>
      <c r="E178" s="18" t="str">
        <f>IF(装备表!$O180=0,"xxx",IFERROR(IF(INT(IF($D178=E$3,装备表!$E180,"xxx")/10000)=1,IF($D178=E$3,装备表!$E180,"xxx")&amp;":2,1,1,"&amp;装备表!$O180&amp;";","xxx"),"xxx"))</f>
        <v>xxx</v>
      </c>
      <c r="F178" s="18" t="str">
        <f>IF(装备表!$O180=0,"xxx",IFERROR(IF(INT(IF($D178=F$3,装备表!$E180,"xxx")/10000)=1,IF($D178=F$3,装备表!$E180,"xxx")&amp;":2,1,1,"&amp;装备表!$O180&amp;";","xxx"),"xxx"))</f>
        <v>xxx</v>
      </c>
      <c r="G178" s="18" t="str">
        <f>IF(装备表!$O180=0,"xxx",IFERROR(IF(INT(IF($D178=G$3,装备表!$E180,"xxx")/10000)=1,IF($D178=G$3,装备表!$E180,"xxx")&amp;":2,1,1,"&amp;装备表!$O180&amp;";","xxx"),"xxx"))</f>
        <v>xxx</v>
      </c>
      <c r="H178" s="18" t="str">
        <f>IF(装备表!$O180=0,"xxx",IFERROR(IF(INT(IF($D178=H$3,装备表!$E180,"xxx")/10000)=1,IF($D178=H$3,装备表!$E180,"xxx")&amp;":2,1,1,"&amp;装备表!$O180&amp;";","xxx"),"xxx"))</f>
        <v>xxx</v>
      </c>
      <c r="I178" s="18" t="str">
        <f>IF(装备表!$O180=0,"xxx",IFERROR(IF(INT(IF($D178=I$3,装备表!$E180,"xxx")/10000)=1,IF($D178=I$3,装备表!$E180,"xxx")&amp;":2,1,1,"&amp;装备表!$O180&amp;";","xxx"),"xxx"))</f>
        <v>14780:2,1,1,10;</v>
      </c>
      <c r="J178" s="18" t="str">
        <f>IF(装备表!$O180=0,"xxx",IFERROR(IF(INT(IF($D178=J$3,装备表!$E180,"xxx")/10000)=3,IF($D178=J$3,装备表!$E180,"xxx")&amp;":2,1,1,"&amp;装备表!$O180&amp;";","xxx"),"xxx"))</f>
        <v>xxx</v>
      </c>
    </row>
    <row r="179" spans="3:10" x14ac:dyDescent="0.2">
      <c r="C179">
        <v>14781</v>
      </c>
      <c r="D179" s="18">
        <f>装备表!L181</f>
        <v>5</v>
      </c>
      <c r="E179" s="18" t="str">
        <f>IF(装备表!$O181=0,"xxx",IFERROR(IF(INT(IF($D179=E$3,装备表!$E181,"xxx")/10000)=1,IF($D179=E$3,装备表!$E181,"xxx")&amp;":2,1,1,"&amp;装备表!$O181&amp;";","xxx"),"xxx"))</f>
        <v>xxx</v>
      </c>
      <c r="F179" s="18" t="str">
        <f>IF(装备表!$O181=0,"xxx",IFERROR(IF(INT(IF($D179=F$3,装备表!$E181,"xxx")/10000)=1,IF($D179=F$3,装备表!$E181,"xxx")&amp;":2,1,1,"&amp;装备表!$O181&amp;";","xxx"),"xxx"))</f>
        <v>xxx</v>
      </c>
      <c r="G179" s="18" t="str">
        <f>IF(装备表!$O181=0,"xxx",IFERROR(IF(INT(IF($D179=G$3,装备表!$E181,"xxx")/10000)=1,IF($D179=G$3,装备表!$E181,"xxx")&amp;":2,1,1,"&amp;装备表!$O181&amp;";","xxx"),"xxx"))</f>
        <v>xxx</v>
      </c>
      <c r="H179" s="18" t="str">
        <f>IF(装备表!$O181=0,"xxx",IFERROR(IF(INT(IF($D179=H$3,装备表!$E181,"xxx")/10000)=1,IF($D179=H$3,装备表!$E181,"xxx")&amp;":2,1,1,"&amp;装备表!$O181&amp;";","xxx"),"xxx"))</f>
        <v>xxx</v>
      </c>
      <c r="I179" s="18" t="str">
        <f>IF(装备表!$O181=0,"xxx",IFERROR(IF(INT(IF($D179=I$3,装备表!$E181,"xxx")/10000)=1,IF($D179=I$3,装备表!$E181,"xxx")&amp;":2,1,1,"&amp;装备表!$O181&amp;";","xxx"),"xxx"))</f>
        <v>14781:2,1,1,10;</v>
      </c>
      <c r="J179" s="18" t="str">
        <f>IF(装备表!$O181=0,"xxx",IFERROR(IF(INT(IF($D179=J$3,装备表!$E181,"xxx")/10000)=3,IF($D179=J$3,装备表!$E181,"xxx")&amp;":2,1,1,"&amp;装备表!$O181&amp;";","xxx"),"xxx"))</f>
        <v>xxx</v>
      </c>
    </row>
    <row r="180" spans="3:10" x14ac:dyDescent="0.2">
      <c r="C180">
        <v>14782</v>
      </c>
      <c r="D180" s="18">
        <f>装备表!L182</f>
        <v>5</v>
      </c>
      <c r="E180" s="18" t="str">
        <f>IF(装备表!$O182=0,"xxx",IFERROR(IF(INT(IF($D180=E$3,装备表!$E182,"xxx")/10000)=1,IF($D180=E$3,装备表!$E182,"xxx")&amp;":2,1,1,"&amp;装备表!$O182&amp;";","xxx"),"xxx"))</f>
        <v>xxx</v>
      </c>
      <c r="F180" s="18" t="str">
        <f>IF(装备表!$O182=0,"xxx",IFERROR(IF(INT(IF($D180=F$3,装备表!$E182,"xxx")/10000)=1,IF($D180=F$3,装备表!$E182,"xxx")&amp;":2,1,1,"&amp;装备表!$O182&amp;";","xxx"),"xxx"))</f>
        <v>xxx</v>
      </c>
      <c r="G180" s="18" t="str">
        <f>IF(装备表!$O182=0,"xxx",IFERROR(IF(INT(IF($D180=G$3,装备表!$E182,"xxx")/10000)=1,IF($D180=G$3,装备表!$E182,"xxx")&amp;":2,1,1,"&amp;装备表!$O182&amp;";","xxx"),"xxx"))</f>
        <v>xxx</v>
      </c>
      <c r="H180" s="18" t="str">
        <f>IF(装备表!$O182=0,"xxx",IFERROR(IF(INT(IF($D180=H$3,装备表!$E182,"xxx")/10000)=1,IF($D180=H$3,装备表!$E182,"xxx")&amp;":2,1,1,"&amp;装备表!$O182&amp;";","xxx"),"xxx"))</f>
        <v>xxx</v>
      </c>
      <c r="I180" s="18" t="str">
        <f>IF(装备表!$O182=0,"xxx",IFERROR(IF(INT(IF($D180=I$3,装备表!$E182,"xxx")/10000)=1,IF($D180=I$3,装备表!$E182,"xxx")&amp;":2,1,1,"&amp;装备表!$O182&amp;";","xxx"),"xxx"))</f>
        <v>14782:2,1,1,10;</v>
      </c>
      <c r="J180" s="18" t="str">
        <f>IF(装备表!$O182=0,"xxx",IFERROR(IF(INT(IF($D180=J$3,装备表!$E182,"xxx")/10000)=3,IF($D180=J$3,装备表!$E182,"xxx")&amp;":2,1,1,"&amp;装备表!$O182&amp;";","xxx"),"xxx"))</f>
        <v>xxx</v>
      </c>
    </row>
    <row r="181" spans="3:10" x14ac:dyDescent="0.2">
      <c r="C181">
        <v>14783</v>
      </c>
      <c r="D181" s="18">
        <f>装备表!L183</f>
        <v>5</v>
      </c>
      <c r="E181" s="18" t="str">
        <f>IF(装备表!$O183=0,"xxx",IFERROR(IF(INT(IF($D181=E$3,装备表!$E183,"xxx")/10000)=1,IF($D181=E$3,装备表!$E183,"xxx")&amp;":2,1,1,"&amp;装备表!$O183&amp;";","xxx"),"xxx"))</f>
        <v>xxx</v>
      </c>
      <c r="F181" s="18" t="str">
        <f>IF(装备表!$O183=0,"xxx",IFERROR(IF(INT(IF($D181=F$3,装备表!$E183,"xxx")/10000)=1,IF($D181=F$3,装备表!$E183,"xxx")&amp;":2,1,1,"&amp;装备表!$O183&amp;";","xxx"),"xxx"))</f>
        <v>xxx</v>
      </c>
      <c r="G181" s="18" t="str">
        <f>IF(装备表!$O183=0,"xxx",IFERROR(IF(INT(IF($D181=G$3,装备表!$E183,"xxx")/10000)=1,IF($D181=G$3,装备表!$E183,"xxx")&amp;":2,1,1,"&amp;装备表!$O183&amp;";","xxx"),"xxx"))</f>
        <v>xxx</v>
      </c>
      <c r="H181" s="18" t="str">
        <f>IF(装备表!$O183=0,"xxx",IFERROR(IF(INT(IF($D181=H$3,装备表!$E183,"xxx")/10000)=1,IF($D181=H$3,装备表!$E183,"xxx")&amp;":2,1,1,"&amp;装备表!$O183&amp;";","xxx"),"xxx"))</f>
        <v>xxx</v>
      </c>
      <c r="I181" s="18" t="str">
        <f>IF(装备表!$O183=0,"xxx",IFERROR(IF(INT(IF($D181=I$3,装备表!$E183,"xxx")/10000)=1,IF($D181=I$3,装备表!$E183,"xxx")&amp;":2,1,1,"&amp;装备表!$O183&amp;";","xxx"),"xxx"))</f>
        <v>14783:2,1,1,10;</v>
      </c>
      <c r="J181" s="18" t="str">
        <f>IF(装备表!$O183=0,"xxx",IFERROR(IF(INT(IF($D181=J$3,装备表!$E183,"xxx")/10000)=3,IF($D181=J$3,装备表!$E183,"xxx")&amp;":2,1,1,"&amp;装备表!$O183&amp;";","xxx"),"xxx"))</f>
        <v>xxx</v>
      </c>
    </row>
    <row r="182" spans="3:10" x14ac:dyDescent="0.2">
      <c r="C182">
        <v>14784</v>
      </c>
      <c r="D182" s="18">
        <f>装备表!L184</f>
        <v>5</v>
      </c>
      <c r="E182" s="18" t="str">
        <f>IF(装备表!$O184=0,"xxx",IFERROR(IF(INT(IF($D182=E$3,装备表!$E184,"xxx")/10000)=1,IF($D182=E$3,装备表!$E184,"xxx")&amp;":2,1,1,"&amp;装备表!$O184&amp;";","xxx"),"xxx"))</f>
        <v>xxx</v>
      </c>
      <c r="F182" s="18" t="str">
        <f>IF(装备表!$O184=0,"xxx",IFERROR(IF(INT(IF($D182=F$3,装备表!$E184,"xxx")/10000)=1,IF($D182=F$3,装备表!$E184,"xxx")&amp;":2,1,1,"&amp;装备表!$O184&amp;";","xxx"),"xxx"))</f>
        <v>xxx</v>
      </c>
      <c r="G182" s="18" t="str">
        <f>IF(装备表!$O184=0,"xxx",IFERROR(IF(INT(IF($D182=G$3,装备表!$E184,"xxx")/10000)=1,IF($D182=G$3,装备表!$E184,"xxx")&amp;":2,1,1,"&amp;装备表!$O184&amp;";","xxx"),"xxx"))</f>
        <v>xxx</v>
      </c>
      <c r="H182" s="18" t="str">
        <f>IF(装备表!$O184=0,"xxx",IFERROR(IF(INT(IF($D182=H$3,装备表!$E184,"xxx")/10000)=1,IF($D182=H$3,装备表!$E184,"xxx")&amp;":2,1,1,"&amp;装备表!$O184&amp;";","xxx"),"xxx"))</f>
        <v>xxx</v>
      </c>
      <c r="I182" s="18" t="str">
        <f>IF(装备表!$O184=0,"xxx",IFERROR(IF(INT(IF($D182=I$3,装备表!$E184,"xxx")/10000)=1,IF($D182=I$3,装备表!$E184,"xxx")&amp;":2,1,1,"&amp;装备表!$O184&amp;";","xxx"),"xxx"))</f>
        <v>14784:2,1,1,10;</v>
      </c>
      <c r="J182" s="18" t="str">
        <f>IF(装备表!$O184=0,"xxx",IFERROR(IF(INT(IF($D182=J$3,装备表!$E184,"xxx")/10000)=3,IF($D182=J$3,装备表!$E184,"xxx")&amp;":2,1,1,"&amp;装备表!$O184&amp;";","xxx"),"xxx"))</f>
        <v>xxx</v>
      </c>
    </row>
    <row r="183" spans="3:10" x14ac:dyDescent="0.2">
      <c r="C183">
        <v>14785</v>
      </c>
      <c r="D183" s="18">
        <f>装备表!L185</f>
        <v>5</v>
      </c>
      <c r="E183" s="18" t="str">
        <f>IF(装备表!$O185=0,"xxx",IFERROR(IF(INT(IF($D183=E$3,装备表!$E185,"xxx")/10000)=1,IF($D183=E$3,装备表!$E185,"xxx")&amp;":2,1,1,"&amp;装备表!$O185&amp;";","xxx"),"xxx"))</f>
        <v>xxx</v>
      </c>
      <c r="F183" s="18" t="str">
        <f>IF(装备表!$O185=0,"xxx",IFERROR(IF(INT(IF($D183=F$3,装备表!$E185,"xxx")/10000)=1,IF($D183=F$3,装备表!$E185,"xxx")&amp;":2,1,1,"&amp;装备表!$O185&amp;";","xxx"),"xxx"))</f>
        <v>xxx</v>
      </c>
      <c r="G183" s="18" t="str">
        <f>IF(装备表!$O185=0,"xxx",IFERROR(IF(INT(IF($D183=G$3,装备表!$E185,"xxx")/10000)=1,IF($D183=G$3,装备表!$E185,"xxx")&amp;":2,1,1,"&amp;装备表!$O185&amp;";","xxx"),"xxx"))</f>
        <v>xxx</v>
      </c>
      <c r="H183" s="18" t="str">
        <f>IF(装备表!$O185=0,"xxx",IFERROR(IF(INT(IF($D183=H$3,装备表!$E185,"xxx")/10000)=1,IF($D183=H$3,装备表!$E185,"xxx")&amp;":2,1,1,"&amp;装备表!$O185&amp;";","xxx"),"xxx"))</f>
        <v>xxx</v>
      </c>
      <c r="I183" s="18" t="str">
        <f>IF(装备表!$O185=0,"xxx",IFERROR(IF(INT(IF($D183=I$3,装备表!$E185,"xxx")/10000)=1,IF($D183=I$3,装备表!$E185,"xxx")&amp;":2,1,1,"&amp;装备表!$O185&amp;";","xxx"),"xxx"))</f>
        <v>14785:2,1,1,10;</v>
      </c>
      <c r="J183" s="18" t="str">
        <f>IF(装备表!$O185=0,"xxx",IFERROR(IF(INT(IF($D183=J$3,装备表!$E185,"xxx")/10000)=3,IF($D183=J$3,装备表!$E185,"xxx")&amp;":2,1,1,"&amp;装备表!$O185&amp;";","xxx"),"xxx"))</f>
        <v>xxx</v>
      </c>
    </row>
    <row r="184" spans="3:10" x14ac:dyDescent="0.2">
      <c r="C184">
        <v>14786</v>
      </c>
      <c r="D184" s="18">
        <f>装备表!L186</f>
        <v>5</v>
      </c>
      <c r="E184" s="18" t="str">
        <f>IF(装备表!$O186=0,"xxx",IFERROR(IF(INT(IF($D184=E$3,装备表!$E186,"xxx")/10000)=1,IF($D184=E$3,装备表!$E186,"xxx")&amp;":2,1,1,"&amp;装备表!$O186&amp;";","xxx"),"xxx"))</f>
        <v>xxx</v>
      </c>
      <c r="F184" s="18" t="str">
        <f>IF(装备表!$O186=0,"xxx",IFERROR(IF(INT(IF($D184=F$3,装备表!$E186,"xxx")/10000)=1,IF($D184=F$3,装备表!$E186,"xxx")&amp;":2,1,1,"&amp;装备表!$O186&amp;";","xxx"),"xxx"))</f>
        <v>xxx</v>
      </c>
      <c r="G184" s="18" t="str">
        <f>IF(装备表!$O186=0,"xxx",IFERROR(IF(INT(IF($D184=G$3,装备表!$E186,"xxx")/10000)=1,IF($D184=G$3,装备表!$E186,"xxx")&amp;":2,1,1,"&amp;装备表!$O186&amp;";","xxx"),"xxx"))</f>
        <v>xxx</v>
      </c>
      <c r="H184" s="18" t="str">
        <f>IF(装备表!$O186=0,"xxx",IFERROR(IF(INT(IF($D184=H$3,装备表!$E186,"xxx")/10000)=1,IF($D184=H$3,装备表!$E186,"xxx")&amp;":2,1,1,"&amp;装备表!$O186&amp;";","xxx"),"xxx"))</f>
        <v>xxx</v>
      </c>
      <c r="I184" s="18" t="str">
        <f>IF(装备表!$O186=0,"xxx",IFERROR(IF(INT(IF($D184=I$3,装备表!$E186,"xxx")/10000)=1,IF($D184=I$3,装备表!$E186,"xxx")&amp;":2,1,1,"&amp;装备表!$O186&amp;";","xxx"),"xxx"))</f>
        <v>14786:2,1,1,10;</v>
      </c>
      <c r="J184" s="18" t="str">
        <f>IF(装备表!$O186=0,"xxx",IFERROR(IF(INT(IF($D184=J$3,装备表!$E186,"xxx")/10000)=3,IF($D184=J$3,装备表!$E186,"xxx")&amp;":2,1,1,"&amp;装备表!$O186&amp;";","xxx"),"xxx"))</f>
        <v>xxx</v>
      </c>
    </row>
    <row r="185" spans="3:10" x14ac:dyDescent="0.2">
      <c r="C185">
        <v>14787</v>
      </c>
      <c r="D185" s="18">
        <f>装备表!L187</f>
        <v>5</v>
      </c>
      <c r="E185" s="18" t="str">
        <f>IF(装备表!$O187=0,"xxx",IFERROR(IF(INT(IF($D185=E$3,装备表!$E187,"xxx")/10000)=1,IF($D185=E$3,装备表!$E187,"xxx")&amp;":2,1,1,"&amp;装备表!$O187&amp;";","xxx"),"xxx"))</f>
        <v>xxx</v>
      </c>
      <c r="F185" s="18" t="str">
        <f>IF(装备表!$O187=0,"xxx",IFERROR(IF(INT(IF($D185=F$3,装备表!$E187,"xxx")/10000)=1,IF($D185=F$3,装备表!$E187,"xxx")&amp;":2,1,1,"&amp;装备表!$O187&amp;";","xxx"),"xxx"))</f>
        <v>xxx</v>
      </c>
      <c r="G185" s="18" t="str">
        <f>IF(装备表!$O187=0,"xxx",IFERROR(IF(INT(IF($D185=G$3,装备表!$E187,"xxx")/10000)=1,IF($D185=G$3,装备表!$E187,"xxx")&amp;":2,1,1,"&amp;装备表!$O187&amp;";","xxx"),"xxx"))</f>
        <v>xxx</v>
      </c>
      <c r="H185" s="18" t="str">
        <f>IF(装备表!$O187=0,"xxx",IFERROR(IF(INT(IF($D185=H$3,装备表!$E187,"xxx")/10000)=1,IF($D185=H$3,装备表!$E187,"xxx")&amp;":2,1,1,"&amp;装备表!$O187&amp;";","xxx"),"xxx"))</f>
        <v>xxx</v>
      </c>
      <c r="I185" s="18" t="str">
        <f>IF(装备表!$O187=0,"xxx",IFERROR(IF(INT(IF($D185=I$3,装备表!$E187,"xxx")/10000)=1,IF($D185=I$3,装备表!$E187,"xxx")&amp;":2,1,1,"&amp;装备表!$O187&amp;";","xxx"),"xxx"))</f>
        <v>14787:2,1,1,10;</v>
      </c>
      <c r="J185" s="18" t="str">
        <f>IF(装备表!$O187=0,"xxx",IFERROR(IF(INT(IF($D185=J$3,装备表!$E187,"xxx")/10000)=3,IF($D185=J$3,装备表!$E187,"xxx")&amp;":2,1,1,"&amp;装备表!$O187&amp;";","xxx"),"xxx"))</f>
        <v>xxx</v>
      </c>
    </row>
    <row r="186" spans="3:10" x14ac:dyDescent="0.2">
      <c r="C186">
        <v>14788</v>
      </c>
      <c r="D186" s="18">
        <f>装备表!L188</f>
        <v>5</v>
      </c>
      <c r="E186" s="18" t="str">
        <f>IF(装备表!$O188=0,"xxx",IFERROR(IF(INT(IF($D186=E$3,装备表!$E188,"xxx")/10000)=1,IF($D186=E$3,装备表!$E188,"xxx")&amp;":2,1,1,"&amp;装备表!$O188&amp;";","xxx"),"xxx"))</f>
        <v>xxx</v>
      </c>
      <c r="F186" s="18" t="str">
        <f>IF(装备表!$O188=0,"xxx",IFERROR(IF(INT(IF($D186=F$3,装备表!$E188,"xxx")/10000)=1,IF($D186=F$3,装备表!$E188,"xxx")&amp;":2,1,1,"&amp;装备表!$O188&amp;";","xxx"),"xxx"))</f>
        <v>xxx</v>
      </c>
      <c r="G186" s="18" t="str">
        <f>IF(装备表!$O188=0,"xxx",IFERROR(IF(INT(IF($D186=G$3,装备表!$E188,"xxx")/10000)=1,IF($D186=G$3,装备表!$E188,"xxx")&amp;":2,1,1,"&amp;装备表!$O188&amp;";","xxx"),"xxx"))</f>
        <v>xxx</v>
      </c>
      <c r="H186" s="18" t="str">
        <f>IF(装备表!$O188=0,"xxx",IFERROR(IF(INT(IF($D186=H$3,装备表!$E188,"xxx")/10000)=1,IF($D186=H$3,装备表!$E188,"xxx")&amp;":2,1,1,"&amp;装备表!$O188&amp;";","xxx"),"xxx"))</f>
        <v>xxx</v>
      </c>
      <c r="I186" s="18" t="str">
        <f>IF(装备表!$O188=0,"xxx",IFERROR(IF(INT(IF($D186=I$3,装备表!$E188,"xxx")/10000)=1,IF($D186=I$3,装备表!$E188,"xxx")&amp;":2,1,1,"&amp;装备表!$O188&amp;";","xxx"),"xxx"))</f>
        <v>14788:2,1,1,10;</v>
      </c>
      <c r="J186" s="18" t="str">
        <f>IF(装备表!$O188=0,"xxx",IFERROR(IF(INT(IF($D186=J$3,装备表!$E188,"xxx")/10000)=3,IF($D186=J$3,装备表!$E188,"xxx")&amp;":2,1,1,"&amp;装备表!$O188&amp;";","xxx"),"xxx"))</f>
        <v>xxx</v>
      </c>
    </row>
    <row r="187" spans="3:10" x14ac:dyDescent="0.2">
      <c r="C187">
        <v>14789</v>
      </c>
      <c r="D187" s="18">
        <f>装备表!L189</f>
        <v>5</v>
      </c>
      <c r="E187" s="18" t="str">
        <f>IF(装备表!$O189=0,"xxx",IFERROR(IF(INT(IF($D187=E$3,装备表!$E189,"xxx")/10000)=1,IF($D187=E$3,装备表!$E189,"xxx")&amp;":2,1,1,"&amp;装备表!$O189&amp;";","xxx"),"xxx"))</f>
        <v>xxx</v>
      </c>
      <c r="F187" s="18" t="str">
        <f>IF(装备表!$O189=0,"xxx",IFERROR(IF(INT(IF($D187=F$3,装备表!$E189,"xxx")/10000)=1,IF($D187=F$3,装备表!$E189,"xxx")&amp;":2,1,1,"&amp;装备表!$O189&amp;";","xxx"),"xxx"))</f>
        <v>xxx</v>
      </c>
      <c r="G187" s="18" t="str">
        <f>IF(装备表!$O189=0,"xxx",IFERROR(IF(INT(IF($D187=G$3,装备表!$E189,"xxx")/10000)=1,IF($D187=G$3,装备表!$E189,"xxx")&amp;":2,1,1,"&amp;装备表!$O189&amp;";","xxx"),"xxx"))</f>
        <v>xxx</v>
      </c>
      <c r="H187" s="18" t="str">
        <f>IF(装备表!$O189=0,"xxx",IFERROR(IF(INT(IF($D187=H$3,装备表!$E189,"xxx")/10000)=1,IF($D187=H$3,装备表!$E189,"xxx")&amp;":2,1,1,"&amp;装备表!$O189&amp;";","xxx"),"xxx"))</f>
        <v>xxx</v>
      </c>
      <c r="I187" s="18" t="str">
        <f>IF(装备表!$O189=0,"xxx",IFERROR(IF(INT(IF($D187=I$3,装备表!$E189,"xxx")/10000)=1,IF($D187=I$3,装备表!$E189,"xxx")&amp;":2,1,1,"&amp;装备表!$O189&amp;";","xxx"),"xxx"))</f>
        <v>14789:2,1,1,10;</v>
      </c>
      <c r="J187" s="18" t="str">
        <f>IF(装备表!$O189=0,"xxx",IFERROR(IF(INT(IF($D187=J$3,装备表!$E189,"xxx")/10000)=3,IF($D187=J$3,装备表!$E189,"xxx")&amp;":2,1,1,"&amp;装备表!$O189&amp;";","xxx"),"xxx"))</f>
        <v>xxx</v>
      </c>
    </row>
    <row r="188" spans="3:10" x14ac:dyDescent="0.2">
      <c r="C188">
        <v>14790</v>
      </c>
      <c r="D188" s="18">
        <f>装备表!L190</f>
        <v>5</v>
      </c>
      <c r="E188" s="18" t="str">
        <f>IF(装备表!$O190=0,"xxx",IFERROR(IF(INT(IF($D188=E$3,装备表!$E190,"xxx")/10000)=1,IF($D188=E$3,装备表!$E190,"xxx")&amp;":2,1,1,"&amp;装备表!$O190&amp;";","xxx"),"xxx"))</f>
        <v>xxx</v>
      </c>
      <c r="F188" s="18" t="str">
        <f>IF(装备表!$O190=0,"xxx",IFERROR(IF(INT(IF($D188=F$3,装备表!$E190,"xxx")/10000)=1,IF($D188=F$3,装备表!$E190,"xxx")&amp;":2,1,1,"&amp;装备表!$O190&amp;";","xxx"),"xxx"))</f>
        <v>xxx</v>
      </c>
      <c r="G188" s="18" t="str">
        <f>IF(装备表!$O190=0,"xxx",IFERROR(IF(INT(IF($D188=G$3,装备表!$E190,"xxx")/10000)=1,IF($D188=G$3,装备表!$E190,"xxx")&amp;":2,1,1,"&amp;装备表!$O190&amp;";","xxx"),"xxx"))</f>
        <v>xxx</v>
      </c>
      <c r="H188" s="18" t="str">
        <f>IF(装备表!$O190=0,"xxx",IFERROR(IF(INT(IF($D188=H$3,装备表!$E190,"xxx")/10000)=1,IF($D188=H$3,装备表!$E190,"xxx")&amp;":2,1,1,"&amp;装备表!$O190&amp;";","xxx"),"xxx"))</f>
        <v>xxx</v>
      </c>
      <c r="I188" s="18" t="str">
        <f>IF(装备表!$O190=0,"xxx",IFERROR(IF(INT(IF($D188=I$3,装备表!$E190,"xxx")/10000)=1,IF($D188=I$3,装备表!$E190,"xxx")&amp;":2,1,1,"&amp;装备表!$O190&amp;";","xxx"),"xxx"))</f>
        <v>14790:2,1,1,10;</v>
      </c>
      <c r="J188" s="18" t="str">
        <f>IF(装备表!$O190=0,"xxx",IFERROR(IF(INT(IF($D188=J$3,装备表!$E190,"xxx")/10000)=3,IF($D188=J$3,装备表!$E190,"xxx")&amp;":2,1,1,"&amp;装备表!$O190&amp;";","xxx"),"xxx"))</f>
        <v>xxx</v>
      </c>
    </row>
    <row r="189" spans="3:10" x14ac:dyDescent="0.2">
      <c r="C189">
        <v>14791</v>
      </c>
      <c r="D189" s="18">
        <f>装备表!L191</f>
        <v>5</v>
      </c>
      <c r="E189" s="18" t="str">
        <f>IF(装备表!$O191=0,"xxx",IFERROR(IF(INT(IF($D189=E$3,装备表!$E191,"xxx")/10000)=1,IF($D189=E$3,装备表!$E191,"xxx")&amp;":2,1,1,"&amp;装备表!$O191&amp;";","xxx"),"xxx"))</f>
        <v>xxx</v>
      </c>
      <c r="F189" s="18" t="str">
        <f>IF(装备表!$O191=0,"xxx",IFERROR(IF(INT(IF($D189=F$3,装备表!$E191,"xxx")/10000)=1,IF($D189=F$3,装备表!$E191,"xxx")&amp;":2,1,1,"&amp;装备表!$O191&amp;";","xxx"),"xxx"))</f>
        <v>xxx</v>
      </c>
      <c r="G189" s="18" t="str">
        <f>IF(装备表!$O191=0,"xxx",IFERROR(IF(INT(IF($D189=G$3,装备表!$E191,"xxx")/10000)=1,IF($D189=G$3,装备表!$E191,"xxx")&amp;":2,1,1,"&amp;装备表!$O191&amp;";","xxx"),"xxx"))</f>
        <v>xxx</v>
      </c>
      <c r="H189" s="18" t="str">
        <f>IF(装备表!$O191=0,"xxx",IFERROR(IF(INT(IF($D189=H$3,装备表!$E191,"xxx")/10000)=1,IF($D189=H$3,装备表!$E191,"xxx")&amp;":2,1,1,"&amp;装备表!$O191&amp;";","xxx"),"xxx"))</f>
        <v>xxx</v>
      </c>
      <c r="I189" s="18" t="str">
        <f>IF(装备表!$O191=0,"xxx",IFERROR(IF(INT(IF($D189=I$3,装备表!$E191,"xxx")/10000)=1,IF($D189=I$3,装备表!$E191,"xxx")&amp;":2,1,1,"&amp;装备表!$O191&amp;";","xxx"),"xxx"))</f>
        <v>14791:2,1,1,10;</v>
      </c>
      <c r="J189" s="18" t="str">
        <f>IF(装备表!$O191=0,"xxx",IFERROR(IF(INT(IF($D189=J$3,装备表!$E191,"xxx")/10000)=3,IF($D189=J$3,装备表!$E191,"xxx")&amp;":2,1,1,"&amp;装备表!$O191&amp;";","xxx"),"xxx"))</f>
        <v>xxx</v>
      </c>
    </row>
    <row r="190" spans="3:10" x14ac:dyDescent="0.2">
      <c r="C190">
        <v>14792</v>
      </c>
      <c r="D190" s="18">
        <f>装备表!L192</f>
        <v>5</v>
      </c>
      <c r="E190" s="18" t="str">
        <f>IF(装备表!$O192=0,"xxx",IFERROR(IF(INT(IF($D190=E$3,装备表!$E192,"xxx")/10000)=1,IF($D190=E$3,装备表!$E192,"xxx")&amp;":2,1,1,"&amp;装备表!$O192&amp;";","xxx"),"xxx"))</f>
        <v>xxx</v>
      </c>
      <c r="F190" s="18" t="str">
        <f>IF(装备表!$O192=0,"xxx",IFERROR(IF(INT(IF($D190=F$3,装备表!$E192,"xxx")/10000)=1,IF($D190=F$3,装备表!$E192,"xxx")&amp;":2,1,1,"&amp;装备表!$O192&amp;";","xxx"),"xxx"))</f>
        <v>xxx</v>
      </c>
      <c r="G190" s="18" t="str">
        <f>IF(装备表!$O192=0,"xxx",IFERROR(IF(INT(IF($D190=G$3,装备表!$E192,"xxx")/10000)=1,IF($D190=G$3,装备表!$E192,"xxx")&amp;":2,1,1,"&amp;装备表!$O192&amp;";","xxx"),"xxx"))</f>
        <v>xxx</v>
      </c>
      <c r="H190" s="18" t="str">
        <f>IF(装备表!$O192=0,"xxx",IFERROR(IF(INT(IF($D190=H$3,装备表!$E192,"xxx")/10000)=1,IF($D190=H$3,装备表!$E192,"xxx")&amp;":2,1,1,"&amp;装备表!$O192&amp;";","xxx"),"xxx"))</f>
        <v>xxx</v>
      </c>
      <c r="I190" s="18" t="str">
        <f>IF(装备表!$O192=0,"xxx",IFERROR(IF(INT(IF($D190=I$3,装备表!$E192,"xxx")/10000)=1,IF($D190=I$3,装备表!$E192,"xxx")&amp;":2,1,1,"&amp;装备表!$O192&amp;";","xxx"),"xxx"))</f>
        <v>14792:2,1,1,10;</v>
      </c>
      <c r="J190" s="18" t="str">
        <f>IF(装备表!$O192=0,"xxx",IFERROR(IF(INT(IF($D190=J$3,装备表!$E192,"xxx")/10000)=3,IF($D190=J$3,装备表!$E192,"xxx")&amp;":2,1,1,"&amp;装备表!$O192&amp;";","xxx"),"xxx"))</f>
        <v>xxx</v>
      </c>
    </row>
    <row r="191" spans="3:10" x14ac:dyDescent="0.2">
      <c r="C191">
        <v>14793</v>
      </c>
      <c r="D191" s="18">
        <f>装备表!L193</f>
        <v>5</v>
      </c>
      <c r="E191" s="18" t="str">
        <f>IF(装备表!$O193=0,"xxx",IFERROR(IF(INT(IF($D191=E$3,装备表!$E193,"xxx")/10000)=1,IF($D191=E$3,装备表!$E193,"xxx")&amp;":2,1,1,"&amp;装备表!$O193&amp;";","xxx"),"xxx"))</f>
        <v>xxx</v>
      </c>
      <c r="F191" s="18" t="str">
        <f>IF(装备表!$O193=0,"xxx",IFERROR(IF(INT(IF($D191=F$3,装备表!$E193,"xxx")/10000)=1,IF($D191=F$3,装备表!$E193,"xxx")&amp;":2,1,1,"&amp;装备表!$O193&amp;";","xxx"),"xxx"))</f>
        <v>xxx</v>
      </c>
      <c r="G191" s="18" t="str">
        <f>IF(装备表!$O193=0,"xxx",IFERROR(IF(INT(IF($D191=G$3,装备表!$E193,"xxx")/10000)=1,IF($D191=G$3,装备表!$E193,"xxx")&amp;":2,1,1,"&amp;装备表!$O193&amp;";","xxx"),"xxx"))</f>
        <v>xxx</v>
      </c>
      <c r="H191" s="18" t="str">
        <f>IF(装备表!$O193=0,"xxx",IFERROR(IF(INT(IF($D191=H$3,装备表!$E193,"xxx")/10000)=1,IF($D191=H$3,装备表!$E193,"xxx")&amp;":2,1,1,"&amp;装备表!$O193&amp;";","xxx"),"xxx"))</f>
        <v>xxx</v>
      </c>
      <c r="I191" s="18" t="str">
        <f>IF(装备表!$O193=0,"xxx",IFERROR(IF(INT(IF($D191=I$3,装备表!$E193,"xxx")/10000)=1,IF($D191=I$3,装备表!$E193,"xxx")&amp;":2,1,1,"&amp;装备表!$O193&amp;";","xxx"),"xxx"))</f>
        <v>14793:2,1,1,10;</v>
      </c>
      <c r="J191" s="18" t="str">
        <f>IF(装备表!$O193=0,"xxx",IFERROR(IF(INT(IF($D191=J$3,装备表!$E193,"xxx")/10000)=3,IF($D191=J$3,装备表!$E193,"xxx")&amp;":2,1,1,"&amp;装备表!$O193&amp;";","xxx"),"xxx"))</f>
        <v>xxx</v>
      </c>
    </row>
    <row r="192" spans="3:10" x14ac:dyDescent="0.2">
      <c r="C192">
        <v>14794</v>
      </c>
      <c r="D192" s="18">
        <f>装备表!L194</f>
        <v>5</v>
      </c>
      <c r="E192" s="18" t="str">
        <f>IF(装备表!$O194=0,"xxx",IFERROR(IF(INT(IF($D192=E$3,装备表!$E194,"xxx")/10000)=1,IF($D192=E$3,装备表!$E194,"xxx")&amp;":2,1,1,"&amp;装备表!$O194&amp;";","xxx"),"xxx"))</f>
        <v>xxx</v>
      </c>
      <c r="F192" s="18" t="str">
        <f>IF(装备表!$O194=0,"xxx",IFERROR(IF(INT(IF($D192=F$3,装备表!$E194,"xxx")/10000)=1,IF($D192=F$3,装备表!$E194,"xxx")&amp;":2,1,1,"&amp;装备表!$O194&amp;";","xxx"),"xxx"))</f>
        <v>xxx</v>
      </c>
      <c r="G192" s="18" t="str">
        <f>IF(装备表!$O194=0,"xxx",IFERROR(IF(INT(IF($D192=G$3,装备表!$E194,"xxx")/10000)=1,IF($D192=G$3,装备表!$E194,"xxx")&amp;":2,1,1,"&amp;装备表!$O194&amp;";","xxx"),"xxx"))</f>
        <v>xxx</v>
      </c>
      <c r="H192" s="18" t="str">
        <f>IF(装备表!$O194=0,"xxx",IFERROR(IF(INT(IF($D192=H$3,装备表!$E194,"xxx")/10000)=1,IF($D192=H$3,装备表!$E194,"xxx")&amp;":2,1,1,"&amp;装备表!$O194&amp;";","xxx"),"xxx"))</f>
        <v>xxx</v>
      </c>
      <c r="I192" s="18" t="str">
        <f>IF(装备表!$O194=0,"xxx",IFERROR(IF(INT(IF($D192=I$3,装备表!$E194,"xxx")/10000)=1,IF($D192=I$3,装备表!$E194,"xxx")&amp;":2,1,1,"&amp;装备表!$O194&amp;";","xxx"),"xxx"))</f>
        <v>14794:2,1,1,10;</v>
      </c>
      <c r="J192" s="18" t="str">
        <f>IF(装备表!$O194=0,"xxx",IFERROR(IF(INT(IF($D192=J$3,装备表!$E194,"xxx")/10000)=3,IF($D192=J$3,装备表!$E194,"xxx")&amp;":2,1,1,"&amp;装备表!$O194&amp;";","xxx"),"xxx"))</f>
        <v>xxx</v>
      </c>
    </row>
    <row r="193" spans="3:10" x14ac:dyDescent="0.2">
      <c r="C193">
        <v>14795</v>
      </c>
      <c r="D193" s="18">
        <f>装备表!L195</f>
        <v>5</v>
      </c>
      <c r="E193" s="18" t="str">
        <f>IF(装备表!$O195=0,"xxx",IFERROR(IF(INT(IF($D193=E$3,装备表!$E195,"xxx")/10000)=1,IF($D193=E$3,装备表!$E195,"xxx")&amp;":2,1,1,"&amp;装备表!$O195&amp;";","xxx"),"xxx"))</f>
        <v>xxx</v>
      </c>
      <c r="F193" s="18" t="str">
        <f>IF(装备表!$O195=0,"xxx",IFERROR(IF(INT(IF($D193=F$3,装备表!$E195,"xxx")/10000)=1,IF($D193=F$3,装备表!$E195,"xxx")&amp;":2,1,1,"&amp;装备表!$O195&amp;";","xxx"),"xxx"))</f>
        <v>xxx</v>
      </c>
      <c r="G193" s="18" t="str">
        <f>IF(装备表!$O195=0,"xxx",IFERROR(IF(INT(IF($D193=G$3,装备表!$E195,"xxx")/10000)=1,IF($D193=G$3,装备表!$E195,"xxx")&amp;":2,1,1,"&amp;装备表!$O195&amp;";","xxx"),"xxx"))</f>
        <v>xxx</v>
      </c>
      <c r="H193" s="18" t="str">
        <f>IF(装备表!$O195=0,"xxx",IFERROR(IF(INT(IF($D193=H$3,装备表!$E195,"xxx")/10000)=1,IF($D193=H$3,装备表!$E195,"xxx")&amp;":2,1,1,"&amp;装备表!$O195&amp;";","xxx"),"xxx"))</f>
        <v>xxx</v>
      </c>
      <c r="I193" s="18" t="str">
        <f>IF(装备表!$O195=0,"xxx",IFERROR(IF(INT(IF($D193=I$3,装备表!$E195,"xxx")/10000)=1,IF($D193=I$3,装备表!$E195,"xxx")&amp;":2,1,1,"&amp;装备表!$O195&amp;";","xxx"),"xxx"))</f>
        <v>14795:2,1,1,10;</v>
      </c>
      <c r="J193" s="18" t="str">
        <f>IF(装备表!$O195=0,"xxx",IFERROR(IF(INT(IF($D193=J$3,装备表!$E195,"xxx")/10000)=3,IF($D193=J$3,装备表!$E195,"xxx")&amp;":2,1,1,"&amp;装备表!$O195&amp;";","xxx"),"xxx"))</f>
        <v>xxx</v>
      </c>
    </row>
    <row r="194" spans="3:10" x14ac:dyDescent="0.2">
      <c r="C194">
        <v>14796</v>
      </c>
      <c r="D194" s="18">
        <f>装备表!L196</f>
        <v>5</v>
      </c>
      <c r="E194" s="18" t="str">
        <f>IF(装备表!$O196=0,"xxx",IFERROR(IF(INT(IF($D194=E$3,装备表!$E196,"xxx")/10000)=1,IF($D194=E$3,装备表!$E196,"xxx")&amp;":2,1,1,"&amp;装备表!$O196&amp;";","xxx"),"xxx"))</f>
        <v>xxx</v>
      </c>
      <c r="F194" s="18" t="str">
        <f>IF(装备表!$O196=0,"xxx",IFERROR(IF(INT(IF($D194=F$3,装备表!$E196,"xxx")/10000)=1,IF($D194=F$3,装备表!$E196,"xxx")&amp;":2,1,1,"&amp;装备表!$O196&amp;";","xxx"),"xxx"))</f>
        <v>xxx</v>
      </c>
      <c r="G194" s="18" t="str">
        <f>IF(装备表!$O196=0,"xxx",IFERROR(IF(INT(IF($D194=G$3,装备表!$E196,"xxx")/10000)=1,IF($D194=G$3,装备表!$E196,"xxx")&amp;":2,1,1,"&amp;装备表!$O196&amp;";","xxx"),"xxx"))</f>
        <v>xxx</v>
      </c>
      <c r="H194" s="18" t="str">
        <f>IF(装备表!$O196=0,"xxx",IFERROR(IF(INT(IF($D194=H$3,装备表!$E196,"xxx")/10000)=1,IF($D194=H$3,装备表!$E196,"xxx")&amp;":2,1,1,"&amp;装备表!$O196&amp;";","xxx"),"xxx"))</f>
        <v>xxx</v>
      </c>
      <c r="I194" s="18" t="str">
        <f>IF(装备表!$O196=0,"xxx",IFERROR(IF(INT(IF($D194=I$3,装备表!$E196,"xxx")/10000)=1,IF($D194=I$3,装备表!$E196,"xxx")&amp;":2,1,1,"&amp;装备表!$O196&amp;";","xxx"),"xxx"))</f>
        <v>14796:2,1,1,10;</v>
      </c>
      <c r="J194" s="18" t="str">
        <f>IF(装备表!$O196=0,"xxx",IFERROR(IF(INT(IF($D194=J$3,装备表!$E196,"xxx")/10000)=3,IF($D194=J$3,装备表!$E196,"xxx")&amp;":2,1,1,"&amp;装备表!$O196&amp;";","xxx"),"xxx"))</f>
        <v>xxx</v>
      </c>
    </row>
    <row r="195" spans="3:10" x14ac:dyDescent="0.2">
      <c r="C195">
        <v>14797</v>
      </c>
      <c r="D195" s="18" t="e">
        <f>装备表!#REF!</f>
        <v>#REF!</v>
      </c>
      <c r="E195" s="18" t="e">
        <f>IF(装备表!#REF!=0,"xxx",IFERROR(IF(INT(IF($D195=E$3,装备表!#REF!,"xxx")/10000)=1,IF($D195=E$3,装备表!#REF!,"xxx")&amp;":2,1,1,"&amp;装备表!#REF!&amp;";","xxx"),"xxx"))</f>
        <v>#REF!</v>
      </c>
      <c r="F195" s="18" t="e">
        <f>IF(装备表!#REF!=0,"xxx",IFERROR(IF(INT(IF($D195=F$3,装备表!#REF!,"xxx")/10000)=1,IF($D195=F$3,装备表!#REF!,"xxx")&amp;":2,1,1,"&amp;装备表!#REF!&amp;";","xxx"),"xxx"))</f>
        <v>#REF!</v>
      </c>
      <c r="G195" s="18" t="e">
        <f>IF(装备表!#REF!=0,"xxx",IFERROR(IF(INT(IF($D195=G$3,装备表!#REF!,"xxx")/10000)=1,IF($D195=G$3,装备表!#REF!,"xxx")&amp;":2,1,1,"&amp;装备表!#REF!&amp;";","xxx"),"xxx"))</f>
        <v>#REF!</v>
      </c>
      <c r="H195" s="18" t="e">
        <f>IF(装备表!#REF!=0,"xxx",IFERROR(IF(INT(IF($D195=H$3,装备表!#REF!,"xxx")/10000)=1,IF($D195=H$3,装备表!#REF!,"xxx")&amp;":2,1,1,"&amp;装备表!#REF!&amp;";","xxx"),"xxx"))</f>
        <v>#REF!</v>
      </c>
      <c r="I195" s="18" t="e">
        <f>IF(装备表!#REF!=0,"xxx",IFERROR(IF(INT(IF($D195=I$3,装备表!#REF!,"xxx")/10000)=1,IF($D195=I$3,装备表!#REF!,"xxx")&amp;":2,1,1,"&amp;装备表!#REF!&amp;";","xxx"),"xxx"))</f>
        <v>#REF!</v>
      </c>
      <c r="J195" s="18" t="e">
        <f>IF(装备表!#REF!=0,"xxx",IFERROR(IF(INT(IF($D195=J$3,装备表!#REF!,"xxx")/10000)=3,IF($D195=J$3,装备表!#REF!,"xxx")&amp;":2,1,1,"&amp;装备表!#REF!&amp;";","xxx"),"xxx"))</f>
        <v>#REF!</v>
      </c>
    </row>
    <row r="196" spans="3:10" x14ac:dyDescent="0.2">
      <c r="C196">
        <v>14798</v>
      </c>
      <c r="D196" s="18">
        <f>装备表!L197</f>
        <v>5</v>
      </c>
      <c r="E196" s="18" t="str">
        <f>IF(装备表!$O197=0,"xxx",IFERROR(IF(INT(IF($D196=E$3,装备表!$E197,"xxx")/10000)=1,IF($D196=E$3,装备表!$E197,"xxx")&amp;":2,1,1,"&amp;装备表!$O197&amp;";","xxx"),"xxx"))</f>
        <v>xxx</v>
      </c>
      <c r="F196" s="18" t="str">
        <f>IF(装备表!$O197=0,"xxx",IFERROR(IF(INT(IF($D196=F$3,装备表!$E197,"xxx")/10000)=1,IF($D196=F$3,装备表!$E197,"xxx")&amp;":2,1,1,"&amp;装备表!$O197&amp;";","xxx"),"xxx"))</f>
        <v>xxx</v>
      </c>
      <c r="G196" s="18" t="str">
        <f>IF(装备表!$O197=0,"xxx",IFERROR(IF(INT(IF($D196=G$3,装备表!$E197,"xxx")/10000)=1,IF($D196=G$3,装备表!$E197,"xxx")&amp;":2,1,1,"&amp;装备表!$O197&amp;";","xxx"),"xxx"))</f>
        <v>xxx</v>
      </c>
      <c r="H196" s="18" t="str">
        <f>IF(装备表!$O197=0,"xxx",IFERROR(IF(INT(IF($D196=H$3,装备表!$E197,"xxx")/10000)=1,IF($D196=H$3,装备表!$E197,"xxx")&amp;":2,1,1,"&amp;装备表!$O197&amp;";","xxx"),"xxx"))</f>
        <v>xxx</v>
      </c>
      <c r="I196" s="18" t="str">
        <f>IF(装备表!$O197=0,"xxx",IFERROR(IF(INT(IF($D196=I$3,装备表!$E197,"xxx")/10000)=1,IF($D196=I$3,装备表!$E197,"xxx")&amp;":2,1,1,"&amp;装备表!$O197&amp;";","xxx"),"xxx"))</f>
        <v>14798:2,1,1,10;</v>
      </c>
      <c r="J196" s="18" t="str">
        <f>IF(装备表!$O197=0,"xxx",IFERROR(IF(INT(IF($D196=J$3,装备表!$E197,"xxx")/10000)=3,IF($D196=J$3,装备表!$E197,"xxx")&amp;":2,1,1,"&amp;装备表!$O197&amp;";","xxx"),"xxx"))</f>
        <v>xxx</v>
      </c>
    </row>
    <row r="197" spans="3:10" x14ac:dyDescent="0.2">
      <c r="C197">
        <v>14799</v>
      </c>
      <c r="D197" s="18">
        <f>装备表!L198</f>
        <v>5</v>
      </c>
      <c r="E197" s="18" t="str">
        <f>IF(装备表!$O198=0,"xxx",IFERROR(IF(INT(IF($D197=E$3,装备表!$E198,"xxx")/10000)=1,IF($D197=E$3,装备表!$E198,"xxx")&amp;":2,1,1,"&amp;装备表!$O198&amp;";","xxx"),"xxx"))</f>
        <v>xxx</v>
      </c>
      <c r="F197" s="18" t="str">
        <f>IF(装备表!$O198=0,"xxx",IFERROR(IF(INT(IF($D197=F$3,装备表!$E198,"xxx")/10000)=1,IF($D197=F$3,装备表!$E198,"xxx")&amp;":2,1,1,"&amp;装备表!$O198&amp;";","xxx"),"xxx"))</f>
        <v>xxx</v>
      </c>
      <c r="G197" s="18" t="str">
        <f>IF(装备表!$O198=0,"xxx",IFERROR(IF(INT(IF($D197=G$3,装备表!$E198,"xxx")/10000)=1,IF($D197=G$3,装备表!$E198,"xxx")&amp;":2,1,1,"&amp;装备表!$O198&amp;";","xxx"),"xxx"))</f>
        <v>xxx</v>
      </c>
      <c r="H197" s="18" t="str">
        <f>IF(装备表!$O198=0,"xxx",IFERROR(IF(INT(IF($D197=H$3,装备表!$E198,"xxx")/10000)=1,IF($D197=H$3,装备表!$E198,"xxx")&amp;":2,1,1,"&amp;装备表!$O198&amp;";","xxx"),"xxx"))</f>
        <v>xxx</v>
      </c>
      <c r="I197" s="18" t="str">
        <f>IF(装备表!$O198=0,"xxx",IFERROR(IF(INT(IF($D197=I$3,装备表!$E198,"xxx")/10000)=1,IF($D197=I$3,装备表!$E198,"xxx")&amp;":2,1,1,"&amp;装备表!$O198&amp;";","xxx"),"xxx"))</f>
        <v>14799:2,1,1,10;</v>
      </c>
      <c r="J197" s="18" t="str">
        <f>IF(装备表!$O198=0,"xxx",IFERROR(IF(INT(IF($D197=J$3,装备表!$E198,"xxx")/10000)=3,IF($D197=J$3,装备表!$E198,"xxx")&amp;":2,1,1,"&amp;装备表!$O198&amp;";","xxx"),"xxx"))</f>
        <v>xxx</v>
      </c>
    </row>
    <row r="198" spans="3:10" x14ac:dyDescent="0.2">
      <c r="C198">
        <v>14800</v>
      </c>
      <c r="D198" s="18">
        <f>装备表!L199</f>
        <v>5</v>
      </c>
      <c r="E198" s="18" t="str">
        <f>IF(装备表!$O199=0,"xxx",IFERROR(IF(INT(IF($D198=E$3,装备表!$E199,"xxx")/10000)=1,IF($D198=E$3,装备表!$E199,"xxx")&amp;":2,1,1,"&amp;装备表!$O199&amp;";","xxx"),"xxx"))</f>
        <v>xxx</v>
      </c>
      <c r="F198" s="18" t="str">
        <f>IF(装备表!$O199=0,"xxx",IFERROR(IF(INT(IF($D198=F$3,装备表!$E199,"xxx")/10000)=1,IF($D198=F$3,装备表!$E199,"xxx")&amp;":2,1,1,"&amp;装备表!$O199&amp;";","xxx"),"xxx"))</f>
        <v>xxx</v>
      </c>
      <c r="G198" s="18" t="str">
        <f>IF(装备表!$O199=0,"xxx",IFERROR(IF(INT(IF($D198=G$3,装备表!$E199,"xxx")/10000)=1,IF($D198=G$3,装备表!$E199,"xxx")&amp;":2,1,1,"&amp;装备表!$O199&amp;";","xxx"),"xxx"))</f>
        <v>xxx</v>
      </c>
      <c r="H198" s="18" t="str">
        <f>IF(装备表!$O199=0,"xxx",IFERROR(IF(INT(IF($D198=H$3,装备表!$E199,"xxx")/10000)=1,IF($D198=H$3,装备表!$E199,"xxx")&amp;":2,1,1,"&amp;装备表!$O199&amp;";","xxx"),"xxx"))</f>
        <v>xxx</v>
      </c>
      <c r="I198" s="18" t="str">
        <f>IF(装备表!$O199=0,"xxx",IFERROR(IF(INT(IF($D198=I$3,装备表!$E199,"xxx")/10000)=1,IF($D198=I$3,装备表!$E199,"xxx")&amp;":2,1,1,"&amp;装备表!$O199&amp;";","xxx"),"xxx"))</f>
        <v>14800:2,1,1,10;</v>
      </c>
      <c r="J198" s="18" t="str">
        <f>IF(装备表!$O199=0,"xxx",IFERROR(IF(INT(IF($D198=J$3,装备表!$E199,"xxx")/10000)=3,IF($D198=J$3,装备表!$E199,"xxx")&amp;":2,1,1,"&amp;装备表!$O199&amp;";","xxx"),"xxx"))</f>
        <v>xxx</v>
      </c>
    </row>
    <row r="199" spans="3:10" x14ac:dyDescent="0.2">
      <c r="C199">
        <v>14801</v>
      </c>
      <c r="D199" s="18">
        <f>装备表!L200</f>
        <v>5</v>
      </c>
      <c r="E199" s="18" t="str">
        <f>IF(装备表!$O200=0,"xxx",IFERROR(IF(INT(IF($D199=E$3,装备表!$E200,"xxx")/10000)=1,IF($D199=E$3,装备表!$E200,"xxx")&amp;":2,1,1,"&amp;装备表!$O200&amp;";","xxx"),"xxx"))</f>
        <v>xxx</v>
      </c>
      <c r="F199" s="18" t="str">
        <f>IF(装备表!$O200=0,"xxx",IFERROR(IF(INT(IF($D199=F$3,装备表!$E200,"xxx")/10000)=1,IF($D199=F$3,装备表!$E200,"xxx")&amp;":2,1,1,"&amp;装备表!$O200&amp;";","xxx"),"xxx"))</f>
        <v>xxx</v>
      </c>
      <c r="G199" s="18" t="str">
        <f>IF(装备表!$O200=0,"xxx",IFERROR(IF(INT(IF($D199=G$3,装备表!$E200,"xxx")/10000)=1,IF($D199=G$3,装备表!$E200,"xxx")&amp;":2,1,1,"&amp;装备表!$O200&amp;";","xxx"),"xxx"))</f>
        <v>xxx</v>
      </c>
      <c r="H199" s="18" t="str">
        <f>IF(装备表!$O200=0,"xxx",IFERROR(IF(INT(IF($D199=H$3,装备表!$E200,"xxx")/10000)=1,IF($D199=H$3,装备表!$E200,"xxx")&amp;":2,1,1,"&amp;装备表!$O200&amp;";","xxx"),"xxx"))</f>
        <v>xxx</v>
      </c>
      <c r="I199" s="18" t="str">
        <f>IF(装备表!$O200=0,"xxx",IFERROR(IF(INT(IF($D199=I$3,装备表!$E200,"xxx")/10000)=1,IF($D199=I$3,装备表!$E200,"xxx")&amp;":2,1,1,"&amp;装备表!$O200&amp;";","xxx"),"xxx"))</f>
        <v>14801:2,1,1,10;</v>
      </c>
      <c r="J199" s="18" t="str">
        <f>IF(装备表!$O200=0,"xxx",IFERROR(IF(INT(IF($D199=J$3,装备表!$E200,"xxx")/10000)=3,IF($D199=J$3,装备表!$E200,"xxx")&amp;":2,1,1,"&amp;装备表!$O200&amp;";","xxx"),"xxx"))</f>
        <v>xxx</v>
      </c>
    </row>
    <row r="200" spans="3:10" x14ac:dyDescent="0.2">
      <c r="C200">
        <v>14802</v>
      </c>
      <c r="D200" s="18">
        <f>装备表!L201</f>
        <v>5</v>
      </c>
      <c r="E200" s="18" t="str">
        <f>IF(装备表!$O201=0,"xxx",IFERROR(IF(INT(IF($D200=E$3,装备表!$E201,"xxx")/10000)=1,IF($D200=E$3,装备表!$E201,"xxx")&amp;":2,1,1,"&amp;装备表!$O201&amp;";","xxx"),"xxx"))</f>
        <v>xxx</v>
      </c>
      <c r="F200" s="18" t="str">
        <f>IF(装备表!$O201=0,"xxx",IFERROR(IF(INT(IF($D200=F$3,装备表!$E201,"xxx")/10000)=1,IF($D200=F$3,装备表!$E201,"xxx")&amp;":2,1,1,"&amp;装备表!$O201&amp;";","xxx"),"xxx"))</f>
        <v>xxx</v>
      </c>
      <c r="G200" s="18" t="str">
        <f>IF(装备表!$O201=0,"xxx",IFERROR(IF(INT(IF($D200=G$3,装备表!$E201,"xxx")/10000)=1,IF($D200=G$3,装备表!$E201,"xxx")&amp;":2,1,1,"&amp;装备表!$O201&amp;";","xxx"),"xxx"))</f>
        <v>xxx</v>
      </c>
      <c r="H200" s="18" t="str">
        <f>IF(装备表!$O201=0,"xxx",IFERROR(IF(INT(IF($D200=H$3,装备表!$E201,"xxx")/10000)=1,IF($D200=H$3,装备表!$E201,"xxx")&amp;":2,1,1,"&amp;装备表!$O201&amp;";","xxx"),"xxx"))</f>
        <v>xxx</v>
      </c>
      <c r="I200" s="18" t="str">
        <f>IF(装备表!$O201=0,"xxx",IFERROR(IF(INT(IF($D200=I$3,装备表!$E201,"xxx")/10000)=1,IF($D200=I$3,装备表!$E201,"xxx")&amp;":2,1,1,"&amp;装备表!$O201&amp;";","xxx"),"xxx"))</f>
        <v>14802:2,1,1,10;</v>
      </c>
      <c r="J200" s="18" t="str">
        <f>IF(装备表!$O201=0,"xxx",IFERROR(IF(INT(IF($D200=J$3,装备表!$E201,"xxx")/10000)=3,IF($D200=J$3,装备表!$E201,"xxx")&amp;":2,1,1,"&amp;装备表!$O201&amp;";","xxx"),"xxx"))</f>
        <v>xxx</v>
      </c>
    </row>
    <row r="201" spans="3:10" x14ac:dyDescent="0.2">
      <c r="C201">
        <v>14803</v>
      </c>
      <c r="D201" s="18">
        <f>装备表!L202</f>
        <v>5</v>
      </c>
      <c r="E201" s="18" t="str">
        <f>IF(装备表!$O202=0,"xxx",IFERROR(IF(INT(IF($D201=E$3,装备表!$E202,"xxx")/10000)=1,IF($D201=E$3,装备表!$E202,"xxx")&amp;":2,1,1,"&amp;装备表!$O202&amp;";","xxx"),"xxx"))</f>
        <v>xxx</v>
      </c>
      <c r="F201" s="18" t="str">
        <f>IF(装备表!$O202=0,"xxx",IFERROR(IF(INT(IF($D201=F$3,装备表!$E202,"xxx")/10000)=1,IF($D201=F$3,装备表!$E202,"xxx")&amp;":2,1,1,"&amp;装备表!$O202&amp;";","xxx"),"xxx"))</f>
        <v>xxx</v>
      </c>
      <c r="G201" s="18" t="str">
        <f>IF(装备表!$O202=0,"xxx",IFERROR(IF(INT(IF($D201=G$3,装备表!$E202,"xxx")/10000)=1,IF($D201=G$3,装备表!$E202,"xxx")&amp;":2,1,1,"&amp;装备表!$O202&amp;";","xxx"),"xxx"))</f>
        <v>xxx</v>
      </c>
      <c r="H201" s="18" t="str">
        <f>IF(装备表!$O202=0,"xxx",IFERROR(IF(INT(IF($D201=H$3,装备表!$E202,"xxx")/10000)=1,IF($D201=H$3,装备表!$E202,"xxx")&amp;":2,1,1,"&amp;装备表!$O202&amp;";","xxx"),"xxx"))</f>
        <v>xxx</v>
      </c>
      <c r="I201" s="18" t="str">
        <f>IF(装备表!$O202=0,"xxx",IFERROR(IF(INT(IF($D201=I$3,装备表!$E202,"xxx")/10000)=1,IF($D201=I$3,装备表!$E202,"xxx")&amp;":2,1,1,"&amp;装备表!$O202&amp;";","xxx"),"xxx"))</f>
        <v>14803:2,1,1,10;</v>
      </c>
      <c r="J201" s="18" t="str">
        <f>IF(装备表!$O202=0,"xxx",IFERROR(IF(INT(IF($D201=J$3,装备表!$E202,"xxx")/10000)=3,IF($D201=J$3,装备表!$E202,"xxx")&amp;":2,1,1,"&amp;装备表!$O202&amp;";","xxx"),"xxx"))</f>
        <v>xxx</v>
      </c>
    </row>
    <row r="202" spans="3:10" x14ac:dyDescent="0.2">
      <c r="C202">
        <v>14804</v>
      </c>
      <c r="D202" s="18">
        <f>装备表!L203</f>
        <v>5</v>
      </c>
      <c r="E202" s="18" t="str">
        <f>IF(装备表!$O203=0,"xxx",IFERROR(IF(INT(IF($D202=E$3,装备表!$E203,"xxx")/10000)=1,IF($D202=E$3,装备表!$E203,"xxx")&amp;":2,1,1,"&amp;装备表!$O203&amp;";","xxx"),"xxx"))</f>
        <v>xxx</v>
      </c>
      <c r="F202" s="18" t="str">
        <f>IF(装备表!$O203=0,"xxx",IFERROR(IF(INT(IF($D202=F$3,装备表!$E203,"xxx")/10000)=1,IF($D202=F$3,装备表!$E203,"xxx")&amp;":2,1,1,"&amp;装备表!$O203&amp;";","xxx"),"xxx"))</f>
        <v>xxx</v>
      </c>
      <c r="G202" s="18" t="str">
        <f>IF(装备表!$O203=0,"xxx",IFERROR(IF(INT(IF($D202=G$3,装备表!$E203,"xxx")/10000)=1,IF($D202=G$3,装备表!$E203,"xxx")&amp;":2,1,1,"&amp;装备表!$O203&amp;";","xxx"),"xxx"))</f>
        <v>xxx</v>
      </c>
      <c r="H202" s="18" t="str">
        <f>IF(装备表!$O203=0,"xxx",IFERROR(IF(INT(IF($D202=H$3,装备表!$E203,"xxx")/10000)=1,IF($D202=H$3,装备表!$E203,"xxx")&amp;":2,1,1,"&amp;装备表!$O203&amp;";","xxx"),"xxx"))</f>
        <v>xxx</v>
      </c>
      <c r="I202" s="18" t="str">
        <f>IF(装备表!$O203=0,"xxx",IFERROR(IF(INT(IF($D202=I$3,装备表!$E203,"xxx")/10000)=1,IF($D202=I$3,装备表!$E203,"xxx")&amp;":2,1,1,"&amp;装备表!$O203&amp;";","xxx"),"xxx"))</f>
        <v>xxx</v>
      </c>
      <c r="J202" s="18" t="str">
        <f>IF(装备表!$O203=0,"xxx",IFERROR(IF(INT(IF($D202=J$3,装备表!$E203,"xxx")/10000)=3,IF($D202=J$3,装备表!$E203,"xxx")&amp;":2,1,1,"&amp;装备表!$O203&amp;";","xxx"),"xxx"))</f>
        <v>xxx</v>
      </c>
    </row>
    <row r="203" spans="3:10" x14ac:dyDescent="0.2">
      <c r="C203">
        <v>14805</v>
      </c>
      <c r="D203" s="18">
        <f>装备表!L204</f>
        <v>5</v>
      </c>
      <c r="E203" s="18" t="str">
        <f>IF(装备表!$O204=0,"xxx",IFERROR(IF(INT(IF($D203=E$3,装备表!$E204,"xxx")/10000)=1,IF($D203=E$3,装备表!$E204,"xxx")&amp;":2,1,1,"&amp;装备表!$O204&amp;";","xxx"),"xxx"))</f>
        <v>xxx</v>
      </c>
      <c r="F203" s="18" t="str">
        <f>IF(装备表!$O204=0,"xxx",IFERROR(IF(INT(IF($D203=F$3,装备表!$E204,"xxx")/10000)=1,IF($D203=F$3,装备表!$E204,"xxx")&amp;":2,1,1,"&amp;装备表!$O204&amp;";","xxx"),"xxx"))</f>
        <v>xxx</v>
      </c>
      <c r="G203" s="18" t="str">
        <f>IF(装备表!$O204=0,"xxx",IFERROR(IF(INT(IF($D203=G$3,装备表!$E204,"xxx")/10000)=1,IF($D203=G$3,装备表!$E204,"xxx")&amp;":2,1,1,"&amp;装备表!$O204&amp;";","xxx"),"xxx"))</f>
        <v>xxx</v>
      </c>
      <c r="H203" s="18" t="str">
        <f>IF(装备表!$O204=0,"xxx",IFERROR(IF(INT(IF($D203=H$3,装备表!$E204,"xxx")/10000)=1,IF($D203=H$3,装备表!$E204,"xxx")&amp;":2,1,1,"&amp;装备表!$O204&amp;";","xxx"),"xxx"))</f>
        <v>xxx</v>
      </c>
      <c r="I203" s="18" t="str">
        <f>IF(装备表!$O204=0,"xxx",IFERROR(IF(INT(IF($D203=I$3,装备表!$E204,"xxx")/10000)=1,IF($D203=I$3,装备表!$E204,"xxx")&amp;":2,1,1,"&amp;装备表!$O204&amp;";","xxx"),"xxx"))</f>
        <v>14805:2,1,1,10;</v>
      </c>
      <c r="J203" s="18" t="str">
        <f>IF(装备表!$O204=0,"xxx",IFERROR(IF(INT(IF($D203=J$3,装备表!$E204,"xxx")/10000)=3,IF($D203=J$3,装备表!$E204,"xxx")&amp;":2,1,1,"&amp;装备表!$O204&amp;";","xxx"),"xxx"))</f>
        <v>xxx</v>
      </c>
    </row>
    <row r="204" spans="3:10" x14ac:dyDescent="0.2">
      <c r="C204">
        <v>14806</v>
      </c>
      <c r="D204" s="18">
        <f>装备表!L205</f>
        <v>5</v>
      </c>
      <c r="E204" s="18" t="str">
        <f>IF(装备表!$O205=0,"xxx",IFERROR(IF(INT(IF($D204=E$3,装备表!$E205,"xxx")/10000)=1,IF($D204=E$3,装备表!$E205,"xxx")&amp;":2,1,1,"&amp;装备表!$O205&amp;";","xxx"),"xxx"))</f>
        <v>xxx</v>
      </c>
      <c r="F204" s="18" t="str">
        <f>IF(装备表!$O205=0,"xxx",IFERROR(IF(INT(IF($D204=F$3,装备表!$E205,"xxx")/10000)=1,IF($D204=F$3,装备表!$E205,"xxx")&amp;":2,1,1,"&amp;装备表!$O205&amp;";","xxx"),"xxx"))</f>
        <v>xxx</v>
      </c>
      <c r="G204" s="18" t="str">
        <f>IF(装备表!$O205=0,"xxx",IFERROR(IF(INT(IF($D204=G$3,装备表!$E205,"xxx")/10000)=1,IF($D204=G$3,装备表!$E205,"xxx")&amp;":2,1,1,"&amp;装备表!$O205&amp;";","xxx"),"xxx"))</f>
        <v>xxx</v>
      </c>
      <c r="H204" s="18" t="str">
        <f>IF(装备表!$O205=0,"xxx",IFERROR(IF(INT(IF($D204=H$3,装备表!$E205,"xxx")/10000)=1,IF($D204=H$3,装备表!$E205,"xxx")&amp;":2,1,1,"&amp;装备表!$O205&amp;";","xxx"),"xxx"))</f>
        <v>xxx</v>
      </c>
      <c r="I204" s="18" t="str">
        <f>IF(装备表!$O205=0,"xxx",IFERROR(IF(INT(IF($D204=I$3,装备表!$E205,"xxx")/10000)=1,IF($D204=I$3,装备表!$E205,"xxx")&amp;":2,1,1,"&amp;装备表!$O205&amp;";","xxx"),"xxx"))</f>
        <v>14806:2,1,1,10;</v>
      </c>
      <c r="J204" s="18" t="str">
        <f>IF(装备表!$O205=0,"xxx",IFERROR(IF(INT(IF($D204=J$3,装备表!$E205,"xxx")/10000)=3,IF($D204=J$3,装备表!$E205,"xxx")&amp;":2,1,1,"&amp;装备表!$O205&amp;";","xxx"),"xxx"))</f>
        <v>xxx</v>
      </c>
    </row>
    <row r="205" spans="3:10" x14ac:dyDescent="0.2">
      <c r="C205">
        <v>14807</v>
      </c>
      <c r="D205" s="18">
        <f>装备表!L206</f>
        <v>5</v>
      </c>
      <c r="E205" s="18" t="str">
        <f>IF(装备表!$O206=0,"xxx",IFERROR(IF(INT(IF($D205=E$3,装备表!$E206,"xxx")/10000)=1,IF($D205=E$3,装备表!$E206,"xxx")&amp;":2,1,1,"&amp;装备表!$O206&amp;";","xxx"),"xxx"))</f>
        <v>xxx</v>
      </c>
      <c r="F205" s="18" t="str">
        <f>IF(装备表!$O206=0,"xxx",IFERROR(IF(INT(IF($D205=F$3,装备表!$E206,"xxx")/10000)=1,IF($D205=F$3,装备表!$E206,"xxx")&amp;":2,1,1,"&amp;装备表!$O206&amp;";","xxx"),"xxx"))</f>
        <v>xxx</v>
      </c>
      <c r="G205" s="18" t="str">
        <f>IF(装备表!$O206=0,"xxx",IFERROR(IF(INT(IF($D205=G$3,装备表!$E206,"xxx")/10000)=1,IF($D205=G$3,装备表!$E206,"xxx")&amp;":2,1,1,"&amp;装备表!$O206&amp;";","xxx"),"xxx"))</f>
        <v>xxx</v>
      </c>
      <c r="H205" s="18" t="str">
        <f>IF(装备表!$O206=0,"xxx",IFERROR(IF(INT(IF($D205=H$3,装备表!$E206,"xxx")/10000)=1,IF($D205=H$3,装备表!$E206,"xxx")&amp;":2,1,1,"&amp;装备表!$O206&amp;";","xxx"),"xxx"))</f>
        <v>xxx</v>
      </c>
      <c r="I205" s="18" t="str">
        <f>IF(装备表!$O206=0,"xxx",IFERROR(IF(INT(IF($D205=I$3,装备表!$E206,"xxx")/10000)=1,IF($D205=I$3,装备表!$E206,"xxx")&amp;":2,1,1,"&amp;装备表!$O206&amp;";","xxx"),"xxx"))</f>
        <v>14807:2,1,1,10;</v>
      </c>
      <c r="J205" s="18" t="str">
        <f>IF(装备表!$O206=0,"xxx",IFERROR(IF(INT(IF($D205=J$3,装备表!$E206,"xxx")/10000)=3,IF($D205=J$3,装备表!$E206,"xxx")&amp;":2,1,1,"&amp;装备表!$O206&amp;";","xxx"),"xxx"))</f>
        <v>xxx</v>
      </c>
    </row>
    <row r="206" spans="3:10" x14ac:dyDescent="0.2">
      <c r="C206">
        <v>14808</v>
      </c>
      <c r="D206" s="18" t="e">
        <f>装备表!#REF!</f>
        <v>#REF!</v>
      </c>
      <c r="E206" s="18" t="e">
        <f>IF(装备表!#REF!=0,"xxx",IFERROR(IF(INT(IF($D206=E$3,装备表!#REF!,"xxx")/10000)=1,IF($D206=E$3,装备表!#REF!,"xxx")&amp;":2,1,1,"&amp;装备表!#REF!&amp;";","xxx"),"xxx"))</f>
        <v>#REF!</v>
      </c>
      <c r="F206" s="18" t="e">
        <f>IF(装备表!#REF!=0,"xxx",IFERROR(IF(INT(IF($D206=F$3,装备表!#REF!,"xxx")/10000)=1,IF($D206=F$3,装备表!#REF!,"xxx")&amp;":2,1,1,"&amp;装备表!#REF!&amp;";","xxx"),"xxx"))</f>
        <v>#REF!</v>
      </c>
      <c r="G206" s="18" t="e">
        <f>IF(装备表!#REF!=0,"xxx",IFERROR(IF(INT(IF($D206=G$3,装备表!#REF!,"xxx")/10000)=1,IF($D206=G$3,装备表!#REF!,"xxx")&amp;":2,1,1,"&amp;装备表!#REF!&amp;";","xxx"),"xxx"))</f>
        <v>#REF!</v>
      </c>
      <c r="H206" s="18" t="e">
        <f>IF(装备表!#REF!=0,"xxx",IFERROR(IF(INT(IF($D206=H$3,装备表!#REF!,"xxx")/10000)=1,IF($D206=H$3,装备表!#REF!,"xxx")&amp;":2,1,1,"&amp;装备表!#REF!&amp;";","xxx"),"xxx"))</f>
        <v>#REF!</v>
      </c>
      <c r="I206" s="18" t="e">
        <f>IF(装备表!#REF!=0,"xxx",IFERROR(IF(INT(IF($D206=I$3,装备表!#REF!,"xxx")/10000)=1,IF($D206=I$3,装备表!#REF!,"xxx")&amp;":2,1,1,"&amp;装备表!#REF!&amp;";","xxx"),"xxx"))</f>
        <v>#REF!</v>
      </c>
      <c r="J206" s="18" t="e">
        <f>IF(装备表!#REF!=0,"xxx",IFERROR(IF(INT(IF($D206=J$3,装备表!#REF!,"xxx")/10000)=3,IF($D206=J$3,装备表!#REF!,"xxx")&amp;":2,1,1,"&amp;装备表!#REF!&amp;";","xxx"),"xxx"))</f>
        <v>#REF!</v>
      </c>
    </row>
    <row r="207" spans="3:10" x14ac:dyDescent="0.2">
      <c r="C207">
        <v>14809</v>
      </c>
      <c r="D207" s="18">
        <f>装备表!L207</f>
        <v>5</v>
      </c>
      <c r="E207" s="18" t="str">
        <f>IF(装备表!$O207=0,"xxx",IFERROR(IF(INT(IF($D207=E$3,装备表!$E207,"xxx")/10000)=1,IF($D207=E$3,装备表!$E207,"xxx")&amp;":2,1,1,"&amp;装备表!$O207&amp;";","xxx"),"xxx"))</f>
        <v>xxx</v>
      </c>
      <c r="F207" s="18" t="str">
        <f>IF(装备表!$O207=0,"xxx",IFERROR(IF(INT(IF($D207=F$3,装备表!$E207,"xxx")/10000)=1,IF($D207=F$3,装备表!$E207,"xxx")&amp;":2,1,1,"&amp;装备表!$O207&amp;";","xxx"),"xxx"))</f>
        <v>xxx</v>
      </c>
      <c r="G207" s="18" t="str">
        <f>IF(装备表!$O207=0,"xxx",IFERROR(IF(INT(IF($D207=G$3,装备表!$E207,"xxx")/10000)=1,IF($D207=G$3,装备表!$E207,"xxx")&amp;":2,1,1,"&amp;装备表!$O207&amp;";","xxx"),"xxx"))</f>
        <v>xxx</v>
      </c>
      <c r="H207" s="18" t="str">
        <f>IF(装备表!$O207=0,"xxx",IFERROR(IF(INT(IF($D207=H$3,装备表!$E207,"xxx")/10000)=1,IF($D207=H$3,装备表!$E207,"xxx")&amp;":2,1,1,"&amp;装备表!$O207&amp;";","xxx"),"xxx"))</f>
        <v>xxx</v>
      </c>
      <c r="I207" s="18" t="str">
        <f>IF(装备表!$O207=0,"xxx",IFERROR(IF(INT(IF($D207=I$3,装备表!$E207,"xxx")/10000)=1,IF($D207=I$3,装备表!$E207,"xxx")&amp;":2,1,1,"&amp;装备表!$O207&amp;";","xxx"),"xxx"))</f>
        <v>14809:2,1,1,10;</v>
      </c>
      <c r="J207" s="18" t="str">
        <f>IF(装备表!$O207=0,"xxx",IFERROR(IF(INT(IF($D207=J$3,装备表!$E207,"xxx")/10000)=3,IF($D207=J$3,装备表!$E207,"xxx")&amp;":2,1,1,"&amp;装备表!$O207&amp;";","xxx"),"xxx"))</f>
        <v>xxx</v>
      </c>
    </row>
    <row r="208" spans="3:10" x14ac:dyDescent="0.2">
      <c r="C208">
        <v>14810</v>
      </c>
      <c r="D208" s="18">
        <f>装备表!L208</f>
        <v>5</v>
      </c>
      <c r="E208" s="18" t="str">
        <f>IF(装备表!$O208=0,"xxx",IFERROR(IF(INT(IF($D208=E$3,装备表!$E208,"xxx")/10000)=1,IF($D208=E$3,装备表!$E208,"xxx")&amp;":2,1,1,"&amp;装备表!$O208&amp;";","xxx"),"xxx"))</f>
        <v>xxx</v>
      </c>
      <c r="F208" s="18" t="str">
        <f>IF(装备表!$O208=0,"xxx",IFERROR(IF(INT(IF($D208=F$3,装备表!$E208,"xxx")/10000)=1,IF($D208=F$3,装备表!$E208,"xxx")&amp;":2,1,1,"&amp;装备表!$O208&amp;";","xxx"),"xxx"))</f>
        <v>xxx</v>
      </c>
      <c r="G208" s="18" t="str">
        <f>IF(装备表!$O208=0,"xxx",IFERROR(IF(INT(IF($D208=G$3,装备表!$E208,"xxx")/10000)=1,IF($D208=G$3,装备表!$E208,"xxx")&amp;":2,1,1,"&amp;装备表!$O208&amp;";","xxx"),"xxx"))</f>
        <v>xxx</v>
      </c>
      <c r="H208" s="18" t="str">
        <f>IF(装备表!$O208=0,"xxx",IFERROR(IF(INT(IF($D208=H$3,装备表!$E208,"xxx")/10000)=1,IF($D208=H$3,装备表!$E208,"xxx")&amp;":2,1,1,"&amp;装备表!$O208&amp;";","xxx"),"xxx"))</f>
        <v>xxx</v>
      </c>
      <c r="I208" s="18" t="str">
        <f>IF(装备表!$O208=0,"xxx",IFERROR(IF(INT(IF($D208=I$3,装备表!$E208,"xxx")/10000)=1,IF($D208=I$3,装备表!$E208,"xxx")&amp;":2,1,1,"&amp;装备表!$O208&amp;";","xxx"),"xxx"))</f>
        <v>14810:2,1,1,10;</v>
      </c>
      <c r="J208" s="18" t="str">
        <f>IF(装备表!$O208=0,"xxx",IFERROR(IF(INT(IF($D208=J$3,装备表!$E208,"xxx")/10000)=3,IF($D208=J$3,装备表!$E208,"xxx")&amp;":2,1,1,"&amp;装备表!$O208&amp;";","xxx"),"xxx"))</f>
        <v>xxx</v>
      </c>
    </row>
    <row r="209" spans="3:10" x14ac:dyDescent="0.2">
      <c r="C209">
        <v>14811</v>
      </c>
      <c r="D209" s="18">
        <f>装备表!L209</f>
        <v>5</v>
      </c>
      <c r="E209" s="18" t="str">
        <f>IF(装备表!$O209=0,"xxx",IFERROR(IF(INT(IF($D209=E$3,装备表!$E209,"xxx")/10000)=1,IF($D209=E$3,装备表!$E209,"xxx")&amp;":2,1,1,"&amp;装备表!$O209&amp;";","xxx"),"xxx"))</f>
        <v>xxx</v>
      </c>
      <c r="F209" s="18" t="str">
        <f>IF(装备表!$O209=0,"xxx",IFERROR(IF(INT(IF($D209=F$3,装备表!$E209,"xxx")/10000)=1,IF($D209=F$3,装备表!$E209,"xxx")&amp;":2,1,1,"&amp;装备表!$O209&amp;";","xxx"),"xxx"))</f>
        <v>xxx</v>
      </c>
      <c r="G209" s="18" t="str">
        <f>IF(装备表!$O209=0,"xxx",IFERROR(IF(INT(IF($D209=G$3,装备表!$E209,"xxx")/10000)=1,IF($D209=G$3,装备表!$E209,"xxx")&amp;":2,1,1,"&amp;装备表!$O209&amp;";","xxx"),"xxx"))</f>
        <v>xxx</v>
      </c>
      <c r="H209" s="18" t="str">
        <f>IF(装备表!$O209=0,"xxx",IFERROR(IF(INT(IF($D209=H$3,装备表!$E209,"xxx")/10000)=1,IF($D209=H$3,装备表!$E209,"xxx")&amp;":2,1,1,"&amp;装备表!$O209&amp;";","xxx"),"xxx"))</f>
        <v>xxx</v>
      </c>
      <c r="I209" s="18" t="str">
        <f>IF(装备表!$O209=0,"xxx",IFERROR(IF(INT(IF($D209=I$3,装备表!$E209,"xxx")/10000)=1,IF($D209=I$3,装备表!$E209,"xxx")&amp;":2,1,1,"&amp;装备表!$O209&amp;";","xxx"),"xxx"))</f>
        <v>14811:2,1,1,10;</v>
      </c>
      <c r="J209" s="18" t="str">
        <f>IF(装备表!$O209=0,"xxx",IFERROR(IF(INT(IF($D209=J$3,装备表!$E209,"xxx")/10000)=3,IF($D209=J$3,装备表!$E209,"xxx")&amp;":2,1,1,"&amp;装备表!$O209&amp;";","xxx"),"xxx"))</f>
        <v>xxx</v>
      </c>
    </row>
    <row r="210" spans="3:10" x14ac:dyDescent="0.2">
      <c r="C210">
        <v>14812</v>
      </c>
      <c r="D210" s="18">
        <f>装备表!L210</f>
        <v>5</v>
      </c>
      <c r="E210" s="18" t="str">
        <f>IF(装备表!$O210=0,"xxx",IFERROR(IF(INT(IF($D210=E$3,装备表!$E210,"xxx")/10000)=1,IF($D210=E$3,装备表!$E210,"xxx")&amp;":2,1,1,"&amp;装备表!$O210&amp;";","xxx"),"xxx"))</f>
        <v>xxx</v>
      </c>
      <c r="F210" s="18" t="str">
        <f>IF(装备表!$O210=0,"xxx",IFERROR(IF(INT(IF($D210=F$3,装备表!$E210,"xxx")/10000)=1,IF($D210=F$3,装备表!$E210,"xxx")&amp;":2,1,1,"&amp;装备表!$O210&amp;";","xxx"),"xxx"))</f>
        <v>xxx</v>
      </c>
      <c r="G210" s="18" t="str">
        <f>IF(装备表!$O210=0,"xxx",IFERROR(IF(INT(IF($D210=G$3,装备表!$E210,"xxx")/10000)=1,IF($D210=G$3,装备表!$E210,"xxx")&amp;":2,1,1,"&amp;装备表!$O210&amp;";","xxx"),"xxx"))</f>
        <v>xxx</v>
      </c>
      <c r="H210" s="18" t="str">
        <f>IF(装备表!$O210=0,"xxx",IFERROR(IF(INT(IF($D210=H$3,装备表!$E210,"xxx")/10000)=1,IF($D210=H$3,装备表!$E210,"xxx")&amp;":2,1,1,"&amp;装备表!$O210&amp;";","xxx"),"xxx"))</f>
        <v>xxx</v>
      </c>
      <c r="I210" s="18" t="str">
        <f>IF(装备表!$O210=0,"xxx",IFERROR(IF(INT(IF($D210=I$3,装备表!$E210,"xxx")/10000)=1,IF($D210=I$3,装备表!$E210,"xxx")&amp;":2,1,1,"&amp;装备表!$O210&amp;";","xxx"),"xxx"))</f>
        <v>14812:2,1,1,10;</v>
      </c>
      <c r="J210" s="18" t="str">
        <f>IF(装备表!$O210=0,"xxx",IFERROR(IF(INT(IF($D210=J$3,装备表!$E210,"xxx")/10000)=3,IF($D210=J$3,装备表!$E210,"xxx")&amp;":2,1,1,"&amp;装备表!$O210&amp;";","xxx"),"xxx"))</f>
        <v>xxx</v>
      </c>
    </row>
    <row r="211" spans="3:10" x14ac:dyDescent="0.2">
      <c r="C211">
        <v>14813</v>
      </c>
      <c r="D211" s="18" t="e">
        <f>装备表!#REF!</f>
        <v>#REF!</v>
      </c>
      <c r="E211" s="18" t="e">
        <f>IF(装备表!#REF!=0,"xxx",IFERROR(IF(INT(IF($D211=E$3,装备表!#REF!,"xxx")/10000)=1,IF($D211=E$3,装备表!#REF!,"xxx")&amp;":2,1,1,"&amp;装备表!#REF!&amp;";","xxx"),"xxx"))</f>
        <v>#REF!</v>
      </c>
      <c r="F211" s="18" t="e">
        <f>IF(装备表!#REF!=0,"xxx",IFERROR(IF(INT(IF($D211=F$3,装备表!#REF!,"xxx")/10000)=1,IF($D211=F$3,装备表!#REF!,"xxx")&amp;":2,1,1,"&amp;装备表!#REF!&amp;";","xxx"),"xxx"))</f>
        <v>#REF!</v>
      </c>
      <c r="G211" s="18" t="e">
        <f>IF(装备表!#REF!=0,"xxx",IFERROR(IF(INT(IF($D211=G$3,装备表!#REF!,"xxx")/10000)=1,IF($D211=G$3,装备表!#REF!,"xxx")&amp;":2,1,1,"&amp;装备表!#REF!&amp;";","xxx"),"xxx"))</f>
        <v>#REF!</v>
      </c>
      <c r="H211" s="18" t="e">
        <f>IF(装备表!#REF!=0,"xxx",IFERROR(IF(INT(IF($D211=H$3,装备表!#REF!,"xxx")/10000)=1,IF($D211=H$3,装备表!#REF!,"xxx")&amp;":2,1,1,"&amp;装备表!#REF!&amp;";","xxx"),"xxx"))</f>
        <v>#REF!</v>
      </c>
      <c r="I211" s="18" t="e">
        <f>IF(装备表!#REF!=0,"xxx",IFERROR(IF(INT(IF($D211=I$3,装备表!#REF!,"xxx")/10000)=1,IF($D211=I$3,装备表!#REF!,"xxx")&amp;":2,1,1,"&amp;装备表!#REF!&amp;";","xxx"),"xxx"))</f>
        <v>#REF!</v>
      </c>
      <c r="J211" s="18" t="e">
        <f>IF(装备表!#REF!=0,"xxx",IFERROR(IF(INT(IF($D211=J$3,装备表!#REF!,"xxx")/10000)=3,IF($D211=J$3,装备表!#REF!,"xxx")&amp;":2,1,1,"&amp;装备表!#REF!&amp;";","xxx"),"xxx"))</f>
        <v>#REF!</v>
      </c>
    </row>
    <row r="212" spans="3:10" x14ac:dyDescent="0.2">
      <c r="C212">
        <v>14814</v>
      </c>
      <c r="D212" s="18">
        <f>装备表!L211</f>
        <v>5</v>
      </c>
      <c r="E212" s="18" t="str">
        <f>IF(装备表!$O211=0,"xxx",IFERROR(IF(INT(IF($D212=E$3,装备表!$E211,"xxx")/10000)=1,IF($D212=E$3,装备表!$E211,"xxx")&amp;":2,1,1,"&amp;装备表!$O211&amp;";","xxx"),"xxx"))</f>
        <v>xxx</v>
      </c>
      <c r="F212" s="18" t="str">
        <f>IF(装备表!$O211=0,"xxx",IFERROR(IF(INT(IF($D212=F$3,装备表!$E211,"xxx")/10000)=1,IF($D212=F$3,装备表!$E211,"xxx")&amp;":2,1,1,"&amp;装备表!$O211&amp;";","xxx"),"xxx"))</f>
        <v>xxx</v>
      </c>
      <c r="G212" s="18" t="str">
        <f>IF(装备表!$O211=0,"xxx",IFERROR(IF(INT(IF($D212=G$3,装备表!$E211,"xxx")/10000)=1,IF($D212=G$3,装备表!$E211,"xxx")&amp;":2,1,1,"&amp;装备表!$O211&amp;";","xxx"),"xxx"))</f>
        <v>xxx</v>
      </c>
      <c r="H212" s="18" t="str">
        <f>IF(装备表!$O211=0,"xxx",IFERROR(IF(INT(IF($D212=H$3,装备表!$E211,"xxx")/10000)=1,IF($D212=H$3,装备表!$E211,"xxx")&amp;":2,1,1,"&amp;装备表!$O211&amp;";","xxx"),"xxx"))</f>
        <v>xxx</v>
      </c>
      <c r="I212" s="18" t="str">
        <f>IF(装备表!$O211=0,"xxx",IFERROR(IF(INT(IF($D212=I$3,装备表!$E211,"xxx")/10000)=1,IF($D212=I$3,装备表!$E211,"xxx")&amp;":2,1,1,"&amp;装备表!$O211&amp;";","xxx"),"xxx"))</f>
        <v>14814:2,1,1,10;</v>
      </c>
      <c r="J212" s="18" t="str">
        <f>IF(装备表!$O211=0,"xxx",IFERROR(IF(INT(IF($D212=J$3,装备表!$E211,"xxx")/10000)=3,IF($D212=J$3,装备表!$E211,"xxx")&amp;":2,1,1,"&amp;装备表!$O211&amp;";","xxx"),"xxx"))</f>
        <v>xxx</v>
      </c>
    </row>
    <row r="213" spans="3:10" x14ac:dyDescent="0.2">
      <c r="C213">
        <v>14815</v>
      </c>
      <c r="D213" s="18">
        <f>装备表!L212</f>
        <v>5</v>
      </c>
      <c r="E213" s="18" t="str">
        <f>IF(装备表!$O212=0,"xxx",IFERROR(IF(INT(IF($D213=E$3,装备表!$E212,"xxx")/10000)=1,IF($D213=E$3,装备表!$E212,"xxx")&amp;":2,1,1,"&amp;装备表!$O212&amp;";","xxx"),"xxx"))</f>
        <v>xxx</v>
      </c>
      <c r="F213" s="18" t="str">
        <f>IF(装备表!$O212=0,"xxx",IFERROR(IF(INT(IF($D213=F$3,装备表!$E212,"xxx")/10000)=1,IF($D213=F$3,装备表!$E212,"xxx")&amp;":2,1,1,"&amp;装备表!$O212&amp;";","xxx"),"xxx"))</f>
        <v>xxx</v>
      </c>
      <c r="G213" s="18" t="str">
        <f>IF(装备表!$O212=0,"xxx",IFERROR(IF(INT(IF($D213=G$3,装备表!$E212,"xxx")/10000)=1,IF($D213=G$3,装备表!$E212,"xxx")&amp;":2,1,1,"&amp;装备表!$O212&amp;";","xxx"),"xxx"))</f>
        <v>xxx</v>
      </c>
      <c r="H213" s="18" t="str">
        <f>IF(装备表!$O212=0,"xxx",IFERROR(IF(INT(IF($D213=H$3,装备表!$E212,"xxx")/10000)=1,IF($D213=H$3,装备表!$E212,"xxx")&amp;":2,1,1,"&amp;装备表!$O212&amp;";","xxx"),"xxx"))</f>
        <v>xxx</v>
      </c>
      <c r="I213" s="18" t="str">
        <f>IF(装备表!$O212=0,"xxx",IFERROR(IF(INT(IF($D213=I$3,装备表!$E212,"xxx")/10000)=1,IF($D213=I$3,装备表!$E212,"xxx")&amp;":2,1,1,"&amp;装备表!$O212&amp;";","xxx"),"xxx"))</f>
        <v>14815:2,1,1,10;</v>
      </c>
      <c r="J213" s="18" t="str">
        <f>IF(装备表!$O212=0,"xxx",IFERROR(IF(INT(IF($D213=J$3,装备表!$E212,"xxx")/10000)=3,IF($D213=J$3,装备表!$E212,"xxx")&amp;":2,1,1,"&amp;装备表!$O212&amp;";","xxx"),"xxx"))</f>
        <v>xxx</v>
      </c>
    </row>
    <row r="214" spans="3:10" x14ac:dyDescent="0.2">
      <c r="C214">
        <v>14816</v>
      </c>
      <c r="D214" s="18">
        <f>装备表!L213</f>
        <v>5</v>
      </c>
      <c r="E214" s="18" t="str">
        <f>IF(装备表!$O213=0,"xxx",IFERROR(IF(INT(IF($D214=E$3,装备表!$E213,"xxx")/10000)=1,IF($D214=E$3,装备表!$E213,"xxx")&amp;":2,1,1,"&amp;装备表!$O213&amp;";","xxx"),"xxx"))</f>
        <v>xxx</v>
      </c>
      <c r="F214" s="18" t="str">
        <f>IF(装备表!$O213=0,"xxx",IFERROR(IF(INT(IF($D214=F$3,装备表!$E213,"xxx")/10000)=1,IF($D214=F$3,装备表!$E213,"xxx")&amp;":2,1,1,"&amp;装备表!$O213&amp;";","xxx"),"xxx"))</f>
        <v>xxx</v>
      </c>
      <c r="G214" s="18" t="str">
        <f>IF(装备表!$O213=0,"xxx",IFERROR(IF(INT(IF($D214=G$3,装备表!$E213,"xxx")/10000)=1,IF($D214=G$3,装备表!$E213,"xxx")&amp;":2,1,1,"&amp;装备表!$O213&amp;";","xxx"),"xxx"))</f>
        <v>xxx</v>
      </c>
      <c r="H214" s="18" t="str">
        <f>IF(装备表!$O213=0,"xxx",IFERROR(IF(INT(IF($D214=H$3,装备表!$E213,"xxx")/10000)=1,IF($D214=H$3,装备表!$E213,"xxx")&amp;":2,1,1,"&amp;装备表!$O213&amp;";","xxx"),"xxx"))</f>
        <v>xxx</v>
      </c>
      <c r="I214" s="18" t="str">
        <f>IF(装备表!$O213=0,"xxx",IFERROR(IF(INT(IF($D214=I$3,装备表!$E213,"xxx")/10000)=1,IF($D214=I$3,装备表!$E213,"xxx")&amp;":2,1,1,"&amp;装备表!$O213&amp;";","xxx"),"xxx"))</f>
        <v>14816:2,1,1,10;</v>
      </c>
      <c r="J214" s="18" t="str">
        <f>IF(装备表!$O213=0,"xxx",IFERROR(IF(INT(IF($D214=J$3,装备表!$E213,"xxx")/10000)=3,IF($D214=J$3,装备表!$E213,"xxx")&amp;":2,1,1,"&amp;装备表!$O213&amp;";","xxx"),"xxx"))</f>
        <v>xxx</v>
      </c>
    </row>
    <row r="215" spans="3:10" x14ac:dyDescent="0.2">
      <c r="C215">
        <v>14817</v>
      </c>
      <c r="D215" s="18">
        <f>装备表!L214</f>
        <v>5</v>
      </c>
      <c r="E215" s="18" t="str">
        <f>IF(装备表!$O214=0,"xxx",IFERROR(IF(INT(IF($D215=E$3,装备表!$E214,"xxx")/10000)=1,IF($D215=E$3,装备表!$E214,"xxx")&amp;":2,1,1,"&amp;装备表!$O214&amp;";","xxx"),"xxx"))</f>
        <v>xxx</v>
      </c>
      <c r="F215" s="18" t="str">
        <f>IF(装备表!$O214=0,"xxx",IFERROR(IF(INT(IF($D215=F$3,装备表!$E214,"xxx")/10000)=1,IF($D215=F$3,装备表!$E214,"xxx")&amp;":2,1,1,"&amp;装备表!$O214&amp;";","xxx"),"xxx"))</f>
        <v>xxx</v>
      </c>
      <c r="G215" s="18" t="str">
        <f>IF(装备表!$O214=0,"xxx",IFERROR(IF(INT(IF($D215=G$3,装备表!$E214,"xxx")/10000)=1,IF($D215=G$3,装备表!$E214,"xxx")&amp;":2,1,1,"&amp;装备表!$O214&amp;";","xxx"),"xxx"))</f>
        <v>xxx</v>
      </c>
      <c r="H215" s="18" t="str">
        <f>IF(装备表!$O214=0,"xxx",IFERROR(IF(INT(IF($D215=H$3,装备表!$E214,"xxx")/10000)=1,IF($D215=H$3,装备表!$E214,"xxx")&amp;":2,1,1,"&amp;装备表!$O214&amp;";","xxx"),"xxx"))</f>
        <v>xxx</v>
      </c>
      <c r="I215" s="18" t="str">
        <f>IF(装备表!$O214=0,"xxx",IFERROR(IF(INT(IF($D215=I$3,装备表!$E214,"xxx")/10000)=1,IF($D215=I$3,装备表!$E214,"xxx")&amp;":2,1,1,"&amp;装备表!$O214&amp;";","xxx"),"xxx"))</f>
        <v>14817:2,1,1,10;</v>
      </c>
      <c r="J215" s="18" t="str">
        <f>IF(装备表!$O214=0,"xxx",IFERROR(IF(INT(IF($D215=J$3,装备表!$E214,"xxx")/10000)=3,IF($D215=J$3,装备表!$E214,"xxx")&amp;":2,1,1,"&amp;装备表!$O214&amp;";","xxx"),"xxx"))</f>
        <v>xxx</v>
      </c>
    </row>
    <row r="216" spans="3:10" x14ac:dyDescent="0.2">
      <c r="C216">
        <v>14818</v>
      </c>
      <c r="D216" s="18">
        <f>装备表!L215</f>
        <v>5</v>
      </c>
      <c r="E216" s="18" t="str">
        <f>IF(装备表!$O215=0,"xxx",IFERROR(IF(INT(IF($D216=E$3,装备表!$E215,"xxx")/10000)=1,IF($D216=E$3,装备表!$E215,"xxx")&amp;":2,1,1,"&amp;装备表!$O215&amp;";","xxx"),"xxx"))</f>
        <v>xxx</v>
      </c>
      <c r="F216" s="18" t="str">
        <f>IF(装备表!$O215=0,"xxx",IFERROR(IF(INT(IF($D216=F$3,装备表!$E215,"xxx")/10000)=1,IF($D216=F$3,装备表!$E215,"xxx")&amp;":2,1,1,"&amp;装备表!$O215&amp;";","xxx"),"xxx"))</f>
        <v>xxx</v>
      </c>
      <c r="G216" s="18" t="str">
        <f>IF(装备表!$O215=0,"xxx",IFERROR(IF(INT(IF($D216=G$3,装备表!$E215,"xxx")/10000)=1,IF($D216=G$3,装备表!$E215,"xxx")&amp;":2,1,1,"&amp;装备表!$O215&amp;";","xxx"),"xxx"))</f>
        <v>xxx</v>
      </c>
      <c r="H216" s="18" t="str">
        <f>IF(装备表!$O215=0,"xxx",IFERROR(IF(INT(IF($D216=H$3,装备表!$E215,"xxx")/10000)=1,IF($D216=H$3,装备表!$E215,"xxx")&amp;":2,1,1,"&amp;装备表!$O215&amp;";","xxx"),"xxx"))</f>
        <v>xxx</v>
      </c>
      <c r="I216" s="18" t="str">
        <f>IF(装备表!$O215=0,"xxx",IFERROR(IF(INT(IF($D216=I$3,装备表!$E215,"xxx")/10000)=1,IF($D216=I$3,装备表!$E215,"xxx")&amp;":2,1,1,"&amp;装备表!$O215&amp;";","xxx"),"xxx"))</f>
        <v>14818:2,1,1,10;</v>
      </c>
      <c r="J216" s="18" t="str">
        <f>IF(装备表!$O215=0,"xxx",IFERROR(IF(INT(IF($D216=J$3,装备表!$E215,"xxx")/10000)=3,IF($D216=J$3,装备表!$E215,"xxx")&amp;":2,1,1,"&amp;装备表!$O215&amp;";","xxx"),"xxx"))</f>
        <v>xxx</v>
      </c>
    </row>
    <row r="217" spans="3:10" x14ac:dyDescent="0.2">
      <c r="C217">
        <v>14819</v>
      </c>
      <c r="D217" s="18">
        <f>装备表!L216</f>
        <v>5</v>
      </c>
      <c r="E217" s="18" t="str">
        <f>IF(装备表!$O216=0,"xxx",IFERROR(IF(INT(IF($D217=E$3,装备表!$E216,"xxx")/10000)=1,IF($D217=E$3,装备表!$E216,"xxx")&amp;":2,1,1,"&amp;装备表!$O216&amp;";","xxx"),"xxx"))</f>
        <v>xxx</v>
      </c>
      <c r="F217" s="18" t="str">
        <f>IF(装备表!$O216=0,"xxx",IFERROR(IF(INT(IF($D217=F$3,装备表!$E216,"xxx")/10000)=1,IF($D217=F$3,装备表!$E216,"xxx")&amp;":2,1,1,"&amp;装备表!$O216&amp;";","xxx"),"xxx"))</f>
        <v>xxx</v>
      </c>
      <c r="G217" s="18" t="str">
        <f>IF(装备表!$O216=0,"xxx",IFERROR(IF(INT(IF($D217=G$3,装备表!$E216,"xxx")/10000)=1,IF($D217=G$3,装备表!$E216,"xxx")&amp;":2,1,1,"&amp;装备表!$O216&amp;";","xxx"),"xxx"))</f>
        <v>xxx</v>
      </c>
      <c r="H217" s="18" t="str">
        <f>IF(装备表!$O216=0,"xxx",IFERROR(IF(INT(IF($D217=H$3,装备表!$E216,"xxx")/10000)=1,IF($D217=H$3,装备表!$E216,"xxx")&amp;":2,1,1,"&amp;装备表!$O216&amp;";","xxx"),"xxx"))</f>
        <v>xxx</v>
      </c>
      <c r="I217" s="18" t="str">
        <f>IF(装备表!$O216=0,"xxx",IFERROR(IF(INT(IF($D217=I$3,装备表!$E216,"xxx")/10000)=1,IF($D217=I$3,装备表!$E216,"xxx")&amp;":2,1,1,"&amp;装备表!$O216&amp;";","xxx"),"xxx"))</f>
        <v>14819:2,1,1,10;</v>
      </c>
      <c r="J217" s="18" t="str">
        <f>IF(装备表!$O216=0,"xxx",IFERROR(IF(INT(IF($D217=J$3,装备表!$E216,"xxx")/10000)=3,IF($D217=J$3,装备表!$E216,"xxx")&amp;":2,1,1,"&amp;装备表!$O216&amp;";","xxx"),"xxx"))</f>
        <v>xxx</v>
      </c>
    </row>
    <row r="218" spans="3:10" x14ac:dyDescent="0.2">
      <c r="C218">
        <v>14820</v>
      </c>
      <c r="D218" s="18">
        <f>装备表!L217</f>
        <v>5</v>
      </c>
      <c r="E218" s="18" t="str">
        <f>IF(装备表!$O217=0,"xxx",IFERROR(IF(INT(IF($D218=E$3,装备表!$E217,"xxx")/10000)=1,IF($D218=E$3,装备表!$E217,"xxx")&amp;":2,1,1,"&amp;装备表!$O217&amp;";","xxx"),"xxx"))</f>
        <v>xxx</v>
      </c>
      <c r="F218" s="18" t="str">
        <f>IF(装备表!$O217=0,"xxx",IFERROR(IF(INT(IF($D218=F$3,装备表!$E217,"xxx")/10000)=1,IF($D218=F$3,装备表!$E217,"xxx")&amp;":2,1,1,"&amp;装备表!$O217&amp;";","xxx"),"xxx"))</f>
        <v>xxx</v>
      </c>
      <c r="G218" s="18" t="str">
        <f>IF(装备表!$O217=0,"xxx",IFERROR(IF(INT(IF($D218=G$3,装备表!$E217,"xxx")/10000)=1,IF($D218=G$3,装备表!$E217,"xxx")&amp;":2,1,1,"&amp;装备表!$O217&amp;";","xxx"),"xxx"))</f>
        <v>xxx</v>
      </c>
      <c r="H218" s="18" t="str">
        <f>IF(装备表!$O217=0,"xxx",IFERROR(IF(INT(IF($D218=H$3,装备表!$E217,"xxx")/10000)=1,IF($D218=H$3,装备表!$E217,"xxx")&amp;":2,1,1,"&amp;装备表!$O217&amp;";","xxx"),"xxx"))</f>
        <v>xxx</v>
      </c>
      <c r="I218" s="18" t="str">
        <f>IF(装备表!$O217=0,"xxx",IFERROR(IF(INT(IF($D218=I$3,装备表!$E217,"xxx")/10000)=1,IF($D218=I$3,装备表!$E217,"xxx")&amp;":2,1,1,"&amp;装备表!$O217&amp;";","xxx"),"xxx"))</f>
        <v>14820:2,1,1,10;</v>
      </c>
      <c r="J218" s="18" t="str">
        <f>IF(装备表!$O217=0,"xxx",IFERROR(IF(INT(IF($D218=J$3,装备表!$E217,"xxx")/10000)=3,IF($D218=J$3,装备表!$E217,"xxx")&amp;":2,1,1,"&amp;装备表!$O217&amp;";","xxx"),"xxx"))</f>
        <v>xxx</v>
      </c>
    </row>
    <row r="219" spans="3:10" x14ac:dyDescent="0.2">
      <c r="C219">
        <v>14821</v>
      </c>
      <c r="D219" s="18">
        <f>装备表!L218</f>
        <v>5</v>
      </c>
      <c r="E219" s="18" t="str">
        <f>IF(装备表!$O218=0,"xxx",IFERROR(IF(INT(IF($D219=E$3,装备表!$E218,"xxx")/10000)=1,IF($D219=E$3,装备表!$E218,"xxx")&amp;":2,1,1,"&amp;装备表!$O218&amp;";","xxx"),"xxx"))</f>
        <v>xxx</v>
      </c>
      <c r="F219" s="18" t="str">
        <f>IF(装备表!$O218=0,"xxx",IFERROR(IF(INT(IF($D219=F$3,装备表!$E218,"xxx")/10000)=1,IF($D219=F$3,装备表!$E218,"xxx")&amp;":2,1,1,"&amp;装备表!$O218&amp;";","xxx"),"xxx"))</f>
        <v>xxx</v>
      </c>
      <c r="G219" s="18" t="str">
        <f>IF(装备表!$O218=0,"xxx",IFERROR(IF(INT(IF($D219=G$3,装备表!$E218,"xxx")/10000)=1,IF($D219=G$3,装备表!$E218,"xxx")&amp;":2,1,1,"&amp;装备表!$O218&amp;";","xxx"),"xxx"))</f>
        <v>xxx</v>
      </c>
      <c r="H219" s="18" t="str">
        <f>IF(装备表!$O218=0,"xxx",IFERROR(IF(INT(IF($D219=H$3,装备表!$E218,"xxx")/10000)=1,IF($D219=H$3,装备表!$E218,"xxx")&amp;":2,1,1,"&amp;装备表!$O218&amp;";","xxx"),"xxx"))</f>
        <v>xxx</v>
      </c>
      <c r="I219" s="18" t="str">
        <f>IF(装备表!$O218=0,"xxx",IFERROR(IF(INT(IF($D219=I$3,装备表!$E218,"xxx")/10000)=1,IF($D219=I$3,装备表!$E218,"xxx")&amp;":2,1,1,"&amp;装备表!$O218&amp;";","xxx"),"xxx"))</f>
        <v>14821:2,1,1,10;</v>
      </c>
      <c r="J219" s="18" t="str">
        <f>IF(装备表!$O218=0,"xxx",IFERROR(IF(INT(IF($D219=J$3,装备表!$E218,"xxx")/10000)=3,IF($D219=J$3,装备表!$E218,"xxx")&amp;":2,1,1,"&amp;装备表!$O218&amp;";","xxx"),"xxx"))</f>
        <v>xxx</v>
      </c>
    </row>
    <row r="220" spans="3:10" x14ac:dyDescent="0.2">
      <c r="C220">
        <v>14822</v>
      </c>
      <c r="D220" s="18">
        <f>装备表!L219</f>
        <v>5</v>
      </c>
      <c r="E220" s="18" t="str">
        <f>IF(装备表!$O219=0,"xxx",IFERROR(IF(INT(IF($D220=E$3,装备表!$E219,"xxx")/10000)=1,IF($D220=E$3,装备表!$E219,"xxx")&amp;":2,1,1,"&amp;装备表!$O219&amp;";","xxx"),"xxx"))</f>
        <v>xxx</v>
      </c>
      <c r="F220" s="18" t="str">
        <f>IF(装备表!$O219=0,"xxx",IFERROR(IF(INT(IF($D220=F$3,装备表!$E219,"xxx")/10000)=1,IF($D220=F$3,装备表!$E219,"xxx")&amp;":2,1,1,"&amp;装备表!$O219&amp;";","xxx"),"xxx"))</f>
        <v>xxx</v>
      </c>
      <c r="G220" s="18" t="str">
        <f>IF(装备表!$O219=0,"xxx",IFERROR(IF(INT(IF($D220=G$3,装备表!$E219,"xxx")/10000)=1,IF($D220=G$3,装备表!$E219,"xxx")&amp;":2,1,1,"&amp;装备表!$O219&amp;";","xxx"),"xxx"))</f>
        <v>xxx</v>
      </c>
      <c r="H220" s="18" t="str">
        <f>IF(装备表!$O219=0,"xxx",IFERROR(IF(INT(IF($D220=H$3,装备表!$E219,"xxx")/10000)=1,IF($D220=H$3,装备表!$E219,"xxx")&amp;":2,1,1,"&amp;装备表!$O219&amp;";","xxx"),"xxx"))</f>
        <v>xxx</v>
      </c>
      <c r="I220" s="18" t="str">
        <f>IF(装备表!$O219=0,"xxx",IFERROR(IF(INT(IF($D220=I$3,装备表!$E219,"xxx")/10000)=1,IF($D220=I$3,装备表!$E219,"xxx")&amp;":2,1,1,"&amp;装备表!$O219&amp;";","xxx"),"xxx"))</f>
        <v>14822:2,1,1,10;</v>
      </c>
      <c r="J220" s="18" t="str">
        <f>IF(装备表!$O219=0,"xxx",IFERROR(IF(INT(IF($D220=J$3,装备表!$E219,"xxx")/10000)=3,IF($D220=J$3,装备表!$E219,"xxx")&amp;":2,1,1,"&amp;装备表!$O219&amp;";","xxx"),"xxx"))</f>
        <v>xxx</v>
      </c>
    </row>
    <row r="221" spans="3:10" x14ac:dyDescent="0.2">
      <c r="C221">
        <v>14823</v>
      </c>
      <c r="D221" s="18">
        <f>装备表!L220</f>
        <v>5</v>
      </c>
      <c r="E221" s="18" t="str">
        <f>IF(装备表!$O220=0,"xxx",IFERROR(IF(INT(IF($D221=E$3,装备表!$E220,"xxx")/10000)=1,IF($D221=E$3,装备表!$E220,"xxx")&amp;":2,1,1,"&amp;装备表!$O220&amp;";","xxx"),"xxx"))</f>
        <v>xxx</v>
      </c>
      <c r="F221" s="18" t="str">
        <f>IF(装备表!$O220=0,"xxx",IFERROR(IF(INT(IF($D221=F$3,装备表!$E220,"xxx")/10000)=1,IF($D221=F$3,装备表!$E220,"xxx")&amp;":2,1,1,"&amp;装备表!$O220&amp;";","xxx"),"xxx"))</f>
        <v>xxx</v>
      </c>
      <c r="G221" s="18" t="str">
        <f>IF(装备表!$O220=0,"xxx",IFERROR(IF(INT(IF($D221=G$3,装备表!$E220,"xxx")/10000)=1,IF($D221=G$3,装备表!$E220,"xxx")&amp;":2,1,1,"&amp;装备表!$O220&amp;";","xxx"),"xxx"))</f>
        <v>xxx</v>
      </c>
      <c r="H221" s="18" t="str">
        <f>IF(装备表!$O220=0,"xxx",IFERROR(IF(INT(IF($D221=H$3,装备表!$E220,"xxx")/10000)=1,IF($D221=H$3,装备表!$E220,"xxx")&amp;":2,1,1,"&amp;装备表!$O220&amp;";","xxx"),"xxx"))</f>
        <v>xxx</v>
      </c>
      <c r="I221" s="18" t="str">
        <f>IF(装备表!$O220=0,"xxx",IFERROR(IF(INT(IF($D221=I$3,装备表!$E220,"xxx")/10000)=1,IF($D221=I$3,装备表!$E220,"xxx")&amp;":2,1,1,"&amp;装备表!$O220&amp;";","xxx"),"xxx"))</f>
        <v>14823:2,1,1,10;</v>
      </c>
      <c r="J221" s="18" t="str">
        <f>IF(装备表!$O220=0,"xxx",IFERROR(IF(INT(IF($D221=J$3,装备表!$E220,"xxx")/10000)=3,IF($D221=J$3,装备表!$E220,"xxx")&amp;":2,1,1,"&amp;装备表!$O220&amp;";","xxx"),"xxx"))</f>
        <v>xxx</v>
      </c>
    </row>
    <row r="222" spans="3:10" x14ac:dyDescent="0.2">
      <c r="C222">
        <v>14824</v>
      </c>
      <c r="D222" s="18">
        <f>装备表!L221</f>
        <v>5</v>
      </c>
      <c r="E222" s="18" t="str">
        <f>IF(装备表!$O221=0,"xxx",IFERROR(IF(INT(IF($D222=E$3,装备表!$E221,"xxx")/10000)=1,IF($D222=E$3,装备表!$E221,"xxx")&amp;":2,1,1,"&amp;装备表!$O221&amp;";","xxx"),"xxx"))</f>
        <v>xxx</v>
      </c>
      <c r="F222" s="18" t="str">
        <f>IF(装备表!$O221=0,"xxx",IFERROR(IF(INT(IF($D222=F$3,装备表!$E221,"xxx")/10000)=1,IF($D222=F$3,装备表!$E221,"xxx")&amp;":2,1,1,"&amp;装备表!$O221&amp;";","xxx"),"xxx"))</f>
        <v>xxx</v>
      </c>
      <c r="G222" s="18" t="str">
        <f>IF(装备表!$O221=0,"xxx",IFERROR(IF(INT(IF($D222=G$3,装备表!$E221,"xxx")/10000)=1,IF($D222=G$3,装备表!$E221,"xxx")&amp;":2,1,1,"&amp;装备表!$O221&amp;";","xxx"),"xxx"))</f>
        <v>xxx</v>
      </c>
      <c r="H222" s="18" t="str">
        <f>IF(装备表!$O221=0,"xxx",IFERROR(IF(INT(IF($D222=H$3,装备表!$E221,"xxx")/10000)=1,IF($D222=H$3,装备表!$E221,"xxx")&amp;":2,1,1,"&amp;装备表!$O221&amp;";","xxx"),"xxx"))</f>
        <v>xxx</v>
      </c>
      <c r="I222" s="18" t="str">
        <f>IF(装备表!$O221=0,"xxx",IFERROR(IF(INT(IF($D222=I$3,装备表!$E221,"xxx")/10000)=1,IF($D222=I$3,装备表!$E221,"xxx")&amp;":2,1,1,"&amp;装备表!$O221&amp;";","xxx"),"xxx"))</f>
        <v>14824:2,1,1,10;</v>
      </c>
      <c r="J222" s="18" t="str">
        <f>IF(装备表!$O221=0,"xxx",IFERROR(IF(INT(IF($D222=J$3,装备表!$E221,"xxx")/10000)=3,IF($D222=J$3,装备表!$E221,"xxx")&amp;":2,1,1,"&amp;装备表!$O221&amp;";","xxx"),"xxx"))</f>
        <v>xxx</v>
      </c>
    </row>
    <row r="223" spans="3:10" x14ac:dyDescent="0.2">
      <c r="C223">
        <v>14825</v>
      </c>
      <c r="D223" s="18">
        <f>装备表!L222</f>
        <v>5</v>
      </c>
      <c r="E223" s="18" t="str">
        <f>IF(装备表!$O222=0,"xxx",IFERROR(IF(INT(IF($D223=E$3,装备表!$E222,"xxx")/10000)=1,IF($D223=E$3,装备表!$E222,"xxx")&amp;":2,1,1,"&amp;装备表!$O222&amp;";","xxx"),"xxx"))</f>
        <v>xxx</v>
      </c>
      <c r="F223" s="18" t="str">
        <f>IF(装备表!$O222=0,"xxx",IFERROR(IF(INT(IF($D223=F$3,装备表!$E222,"xxx")/10000)=1,IF($D223=F$3,装备表!$E222,"xxx")&amp;":2,1,1,"&amp;装备表!$O222&amp;";","xxx"),"xxx"))</f>
        <v>xxx</v>
      </c>
      <c r="G223" s="18" t="str">
        <f>IF(装备表!$O222=0,"xxx",IFERROR(IF(INT(IF($D223=G$3,装备表!$E222,"xxx")/10000)=1,IF($D223=G$3,装备表!$E222,"xxx")&amp;":2,1,1,"&amp;装备表!$O222&amp;";","xxx"),"xxx"))</f>
        <v>xxx</v>
      </c>
      <c r="H223" s="18" t="str">
        <f>IF(装备表!$O222=0,"xxx",IFERROR(IF(INT(IF($D223=H$3,装备表!$E222,"xxx")/10000)=1,IF($D223=H$3,装备表!$E222,"xxx")&amp;":2,1,1,"&amp;装备表!$O222&amp;";","xxx"),"xxx"))</f>
        <v>xxx</v>
      </c>
      <c r="I223" s="18" t="str">
        <f>IF(装备表!$O222=0,"xxx",IFERROR(IF(INT(IF($D223=I$3,装备表!$E222,"xxx")/10000)=1,IF($D223=I$3,装备表!$E222,"xxx")&amp;":2,1,1,"&amp;装备表!$O222&amp;";","xxx"),"xxx"))</f>
        <v>14825:2,1,1,10;</v>
      </c>
      <c r="J223" s="18" t="str">
        <f>IF(装备表!$O222=0,"xxx",IFERROR(IF(INT(IF($D223=J$3,装备表!$E222,"xxx")/10000)=3,IF($D223=J$3,装备表!$E222,"xxx")&amp;":2,1,1,"&amp;装备表!$O222&amp;";","xxx"),"xxx"))</f>
        <v>xxx</v>
      </c>
    </row>
    <row r="224" spans="3:10" x14ac:dyDescent="0.2">
      <c r="C224">
        <v>14826</v>
      </c>
      <c r="D224" s="18">
        <f>装备表!L223</f>
        <v>5</v>
      </c>
      <c r="E224" s="18" t="str">
        <f>IF(装备表!$O223=0,"xxx",IFERROR(IF(INT(IF($D224=E$3,装备表!$E223,"xxx")/10000)=1,IF($D224=E$3,装备表!$E223,"xxx")&amp;":2,1,1,"&amp;装备表!$O223&amp;";","xxx"),"xxx"))</f>
        <v>xxx</v>
      </c>
      <c r="F224" s="18" t="str">
        <f>IF(装备表!$O223=0,"xxx",IFERROR(IF(INT(IF($D224=F$3,装备表!$E223,"xxx")/10000)=1,IF($D224=F$3,装备表!$E223,"xxx")&amp;":2,1,1,"&amp;装备表!$O223&amp;";","xxx"),"xxx"))</f>
        <v>xxx</v>
      </c>
      <c r="G224" s="18" t="str">
        <f>IF(装备表!$O223=0,"xxx",IFERROR(IF(INT(IF($D224=G$3,装备表!$E223,"xxx")/10000)=1,IF($D224=G$3,装备表!$E223,"xxx")&amp;":2,1,1,"&amp;装备表!$O223&amp;";","xxx"),"xxx"))</f>
        <v>xxx</v>
      </c>
      <c r="H224" s="18" t="str">
        <f>IF(装备表!$O223=0,"xxx",IFERROR(IF(INT(IF($D224=H$3,装备表!$E223,"xxx")/10000)=1,IF($D224=H$3,装备表!$E223,"xxx")&amp;":2,1,1,"&amp;装备表!$O223&amp;";","xxx"),"xxx"))</f>
        <v>xxx</v>
      </c>
      <c r="I224" s="18" t="str">
        <f>IF(装备表!$O223=0,"xxx",IFERROR(IF(INT(IF($D224=I$3,装备表!$E223,"xxx")/10000)=1,IF($D224=I$3,装备表!$E223,"xxx")&amp;":2,1,1,"&amp;装备表!$O223&amp;";","xxx"),"xxx"))</f>
        <v>14826:2,1,1,10;</v>
      </c>
      <c r="J224" s="18" t="str">
        <f>IF(装备表!$O223=0,"xxx",IFERROR(IF(INT(IF($D224=J$3,装备表!$E223,"xxx")/10000)=3,IF($D224=J$3,装备表!$E223,"xxx")&amp;":2,1,1,"&amp;装备表!$O223&amp;";","xxx"),"xxx"))</f>
        <v>xxx</v>
      </c>
    </row>
    <row r="225" spans="3:10" x14ac:dyDescent="0.2">
      <c r="C225">
        <v>14827</v>
      </c>
      <c r="D225" s="18">
        <f>装备表!L224</f>
        <v>5</v>
      </c>
      <c r="E225" s="18" t="str">
        <f>IF(装备表!$O224=0,"xxx",IFERROR(IF(INT(IF($D225=E$3,装备表!$E224,"xxx")/10000)=1,IF($D225=E$3,装备表!$E224,"xxx")&amp;":2,1,1,"&amp;装备表!$O224&amp;";","xxx"),"xxx"))</f>
        <v>xxx</v>
      </c>
      <c r="F225" s="18" t="str">
        <f>IF(装备表!$O224=0,"xxx",IFERROR(IF(INT(IF($D225=F$3,装备表!$E224,"xxx")/10000)=1,IF($D225=F$3,装备表!$E224,"xxx")&amp;":2,1,1,"&amp;装备表!$O224&amp;";","xxx"),"xxx"))</f>
        <v>xxx</v>
      </c>
      <c r="G225" s="18" t="str">
        <f>IF(装备表!$O224=0,"xxx",IFERROR(IF(INT(IF($D225=G$3,装备表!$E224,"xxx")/10000)=1,IF($D225=G$3,装备表!$E224,"xxx")&amp;":2,1,1,"&amp;装备表!$O224&amp;";","xxx"),"xxx"))</f>
        <v>xxx</v>
      </c>
      <c r="H225" s="18" t="str">
        <f>IF(装备表!$O224=0,"xxx",IFERROR(IF(INT(IF($D225=H$3,装备表!$E224,"xxx")/10000)=1,IF($D225=H$3,装备表!$E224,"xxx")&amp;":2,1,1,"&amp;装备表!$O224&amp;";","xxx"),"xxx"))</f>
        <v>xxx</v>
      </c>
      <c r="I225" s="18" t="str">
        <f>IF(装备表!$O224=0,"xxx",IFERROR(IF(INT(IF($D225=I$3,装备表!$E224,"xxx")/10000)=1,IF($D225=I$3,装备表!$E224,"xxx")&amp;":2,1,1,"&amp;装备表!$O224&amp;";","xxx"),"xxx"))</f>
        <v>xxx</v>
      </c>
      <c r="J225" s="18" t="str">
        <f>IF(装备表!$O224=0,"xxx",IFERROR(IF(INT(IF($D225=J$3,装备表!$E224,"xxx")/10000)=3,IF($D225=J$3,装备表!$E224,"xxx")&amp;":2,1,1,"&amp;装备表!$O224&amp;";","xxx"),"xxx"))</f>
        <v>xxx</v>
      </c>
    </row>
    <row r="226" spans="3:10" x14ac:dyDescent="0.2">
      <c r="C226">
        <v>14828</v>
      </c>
      <c r="D226" s="18">
        <f>装备表!L225</f>
        <v>5</v>
      </c>
      <c r="E226" s="18" t="str">
        <f>IF(装备表!$O225=0,"xxx",IFERROR(IF(INT(IF($D226=E$3,装备表!$E225,"xxx")/10000)=1,IF($D226=E$3,装备表!$E225,"xxx")&amp;":2,1,1,"&amp;装备表!$O225&amp;";","xxx"),"xxx"))</f>
        <v>xxx</v>
      </c>
      <c r="F226" s="18" t="str">
        <f>IF(装备表!$O225=0,"xxx",IFERROR(IF(INT(IF($D226=F$3,装备表!$E225,"xxx")/10000)=1,IF($D226=F$3,装备表!$E225,"xxx")&amp;":2,1,1,"&amp;装备表!$O225&amp;";","xxx"),"xxx"))</f>
        <v>xxx</v>
      </c>
      <c r="G226" s="18" t="str">
        <f>IF(装备表!$O225=0,"xxx",IFERROR(IF(INT(IF($D226=G$3,装备表!$E225,"xxx")/10000)=1,IF($D226=G$3,装备表!$E225,"xxx")&amp;":2,1,1,"&amp;装备表!$O225&amp;";","xxx"),"xxx"))</f>
        <v>xxx</v>
      </c>
      <c r="H226" s="18" t="str">
        <f>IF(装备表!$O225=0,"xxx",IFERROR(IF(INT(IF($D226=H$3,装备表!$E225,"xxx")/10000)=1,IF($D226=H$3,装备表!$E225,"xxx")&amp;":2,1,1,"&amp;装备表!$O225&amp;";","xxx"),"xxx"))</f>
        <v>xxx</v>
      </c>
      <c r="I226" s="18" t="str">
        <f>IF(装备表!$O225=0,"xxx",IFERROR(IF(INT(IF($D226=I$3,装备表!$E225,"xxx")/10000)=1,IF($D226=I$3,装备表!$E225,"xxx")&amp;":2,1,1,"&amp;装备表!$O225&amp;";","xxx"),"xxx"))</f>
        <v>14828:2,1,1,10;</v>
      </c>
      <c r="J226" s="18" t="str">
        <f>IF(装备表!$O225=0,"xxx",IFERROR(IF(INT(IF($D226=J$3,装备表!$E225,"xxx")/10000)=3,IF($D226=J$3,装备表!$E225,"xxx")&amp;":2,1,1,"&amp;装备表!$O225&amp;";","xxx"),"xxx"))</f>
        <v>xxx</v>
      </c>
    </row>
    <row r="227" spans="3:10" x14ac:dyDescent="0.2">
      <c r="C227">
        <v>14829</v>
      </c>
      <c r="D227" s="18">
        <f>装备表!L226</f>
        <v>5</v>
      </c>
      <c r="E227" s="18" t="str">
        <f>IF(装备表!$O226=0,"xxx",IFERROR(IF(INT(IF($D227=E$3,装备表!$E226,"xxx")/10000)=1,IF($D227=E$3,装备表!$E226,"xxx")&amp;":2,1,1,"&amp;装备表!$O226&amp;";","xxx"),"xxx"))</f>
        <v>xxx</v>
      </c>
      <c r="F227" s="18" t="str">
        <f>IF(装备表!$O226=0,"xxx",IFERROR(IF(INT(IF($D227=F$3,装备表!$E226,"xxx")/10000)=1,IF($D227=F$3,装备表!$E226,"xxx")&amp;":2,1,1,"&amp;装备表!$O226&amp;";","xxx"),"xxx"))</f>
        <v>xxx</v>
      </c>
      <c r="G227" s="18" t="str">
        <f>IF(装备表!$O226=0,"xxx",IFERROR(IF(INT(IF($D227=G$3,装备表!$E226,"xxx")/10000)=1,IF($D227=G$3,装备表!$E226,"xxx")&amp;":2,1,1,"&amp;装备表!$O226&amp;";","xxx"),"xxx"))</f>
        <v>xxx</v>
      </c>
      <c r="H227" s="18" t="str">
        <f>IF(装备表!$O226=0,"xxx",IFERROR(IF(INT(IF($D227=H$3,装备表!$E226,"xxx")/10000)=1,IF($D227=H$3,装备表!$E226,"xxx")&amp;":2,1,1,"&amp;装备表!$O226&amp;";","xxx"),"xxx"))</f>
        <v>xxx</v>
      </c>
      <c r="I227" s="18" t="str">
        <f>IF(装备表!$O226=0,"xxx",IFERROR(IF(INT(IF($D227=I$3,装备表!$E226,"xxx")/10000)=1,IF($D227=I$3,装备表!$E226,"xxx")&amp;":2,1,1,"&amp;装备表!$O226&amp;";","xxx"),"xxx"))</f>
        <v>14829:2,1,1,10;</v>
      </c>
      <c r="J227" s="18" t="str">
        <f>IF(装备表!$O226=0,"xxx",IFERROR(IF(INT(IF($D227=J$3,装备表!$E226,"xxx")/10000)=3,IF($D227=J$3,装备表!$E226,"xxx")&amp;":2,1,1,"&amp;装备表!$O226&amp;";","xxx"),"xxx"))</f>
        <v>xxx</v>
      </c>
    </row>
    <row r="228" spans="3:10" x14ac:dyDescent="0.2">
      <c r="C228">
        <v>14830</v>
      </c>
      <c r="D228" s="18">
        <f>装备表!L227</f>
        <v>5</v>
      </c>
      <c r="E228" s="18" t="str">
        <f>IF(装备表!$O227=0,"xxx",IFERROR(IF(INT(IF($D228=E$3,装备表!$E227,"xxx")/10000)=1,IF($D228=E$3,装备表!$E227,"xxx")&amp;":2,1,1,"&amp;装备表!$O227&amp;";","xxx"),"xxx"))</f>
        <v>xxx</v>
      </c>
      <c r="F228" s="18" t="str">
        <f>IF(装备表!$O227=0,"xxx",IFERROR(IF(INT(IF($D228=F$3,装备表!$E227,"xxx")/10000)=1,IF($D228=F$3,装备表!$E227,"xxx")&amp;":2,1,1,"&amp;装备表!$O227&amp;";","xxx"),"xxx"))</f>
        <v>xxx</v>
      </c>
      <c r="G228" s="18" t="str">
        <f>IF(装备表!$O227=0,"xxx",IFERROR(IF(INT(IF($D228=G$3,装备表!$E227,"xxx")/10000)=1,IF($D228=G$3,装备表!$E227,"xxx")&amp;":2,1,1,"&amp;装备表!$O227&amp;";","xxx"),"xxx"))</f>
        <v>xxx</v>
      </c>
      <c r="H228" s="18" t="str">
        <f>IF(装备表!$O227=0,"xxx",IFERROR(IF(INT(IF($D228=H$3,装备表!$E227,"xxx")/10000)=1,IF($D228=H$3,装备表!$E227,"xxx")&amp;":2,1,1,"&amp;装备表!$O227&amp;";","xxx"),"xxx"))</f>
        <v>xxx</v>
      </c>
      <c r="I228" s="18" t="str">
        <f>IF(装备表!$O227=0,"xxx",IFERROR(IF(INT(IF($D228=I$3,装备表!$E227,"xxx")/10000)=1,IF($D228=I$3,装备表!$E227,"xxx")&amp;":2,1,1,"&amp;装备表!$O227&amp;";","xxx"),"xxx"))</f>
        <v>14830:2,1,1,10;</v>
      </c>
      <c r="J228" s="18" t="str">
        <f>IF(装备表!$O227=0,"xxx",IFERROR(IF(INT(IF($D228=J$3,装备表!$E227,"xxx")/10000)=3,IF($D228=J$3,装备表!$E227,"xxx")&amp;":2,1,1,"&amp;装备表!$O227&amp;";","xxx"),"xxx"))</f>
        <v>xxx</v>
      </c>
    </row>
    <row r="229" spans="3:10" x14ac:dyDescent="0.2">
      <c r="C229">
        <v>14831</v>
      </c>
      <c r="D229" s="18">
        <f>装备表!L228</f>
        <v>5</v>
      </c>
      <c r="E229" s="18" t="str">
        <f>IF(装备表!$O228=0,"xxx",IFERROR(IF(INT(IF($D229=E$3,装备表!$E228,"xxx")/10000)=1,IF($D229=E$3,装备表!$E228,"xxx")&amp;":2,1,1,"&amp;装备表!$O228&amp;";","xxx"),"xxx"))</f>
        <v>xxx</v>
      </c>
      <c r="F229" s="18" t="str">
        <f>IF(装备表!$O228=0,"xxx",IFERROR(IF(INT(IF($D229=F$3,装备表!$E228,"xxx")/10000)=1,IF($D229=F$3,装备表!$E228,"xxx")&amp;":2,1,1,"&amp;装备表!$O228&amp;";","xxx"),"xxx"))</f>
        <v>xxx</v>
      </c>
      <c r="G229" s="18" t="str">
        <f>IF(装备表!$O228=0,"xxx",IFERROR(IF(INT(IF($D229=G$3,装备表!$E228,"xxx")/10000)=1,IF($D229=G$3,装备表!$E228,"xxx")&amp;":2,1,1,"&amp;装备表!$O228&amp;";","xxx"),"xxx"))</f>
        <v>xxx</v>
      </c>
      <c r="H229" s="18" t="str">
        <f>IF(装备表!$O228=0,"xxx",IFERROR(IF(INT(IF($D229=H$3,装备表!$E228,"xxx")/10000)=1,IF($D229=H$3,装备表!$E228,"xxx")&amp;":2,1,1,"&amp;装备表!$O228&amp;";","xxx"),"xxx"))</f>
        <v>xxx</v>
      </c>
      <c r="I229" s="18" t="str">
        <f>IF(装备表!$O228=0,"xxx",IFERROR(IF(INT(IF($D229=I$3,装备表!$E228,"xxx")/10000)=1,IF($D229=I$3,装备表!$E228,"xxx")&amp;":2,1,1,"&amp;装备表!$O228&amp;";","xxx"),"xxx"))</f>
        <v>14831:2,1,1,10;</v>
      </c>
      <c r="J229" s="18" t="str">
        <f>IF(装备表!$O228=0,"xxx",IFERROR(IF(INT(IF($D229=J$3,装备表!$E228,"xxx")/10000)=3,IF($D229=J$3,装备表!$E228,"xxx")&amp;":2,1,1,"&amp;装备表!$O228&amp;";","xxx"),"xxx"))</f>
        <v>xxx</v>
      </c>
    </row>
    <row r="230" spans="3:10" x14ac:dyDescent="0.2">
      <c r="C230">
        <v>14832</v>
      </c>
      <c r="D230" s="18">
        <f>装备表!L229</f>
        <v>5</v>
      </c>
      <c r="E230" s="18" t="str">
        <f>IF(装备表!$O229=0,"xxx",IFERROR(IF(INT(IF($D230=E$3,装备表!$E229,"xxx")/10000)=1,IF($D230=E$3,装备表!$E229,"xxx")&amp;":2,1,1,"&amp;装备表!$O229&amp;";","xxx"),"xxx"))</f>
        <v>xxx</v>
      </c>
      <c r="F230" s="18" t="str">
        <f>IF(装备表!$O229=0,"xxx",IFERROR(IF(INT(IF($D230=F$3,装备表!$E229,"xxx")/10000)=1,IF($D230=F$3,装备表!$E229,"xxx")&amp;":2,1,1,"&amp;装备表!$O229&amp;";","xxx"),"xxx"))</f>
        <v>xxx</v>
      </c>
      <c r="G230" s="18" t="str">
        <f>IF(装备表!$O229=0,"xxx",IFERROR(IF(INT(IF($D230=G$3,装备表!$E229,"xxx")/10000)=1,IF($D230=G$3,装备表!$E229,"xxx")&amp;":2,1,1,"&amp;装备表!$O229&amp;";","xxx"),"xxx"))</f>
        <v>xxx</v>
      </c>
      <c r="H230" s="18" t="str">
        <f>IF(装备表!$O229=0,"xxx",IFERROR(IF(INT(IF($D230=H$3,装备表!$E229,"xxx")/10000)=1,IF($D230=H$3,装备表!$E229,"xxx")&amp;":2,1,1,"&amp;装备表!$O229&amp;";","xxx"),"xxx"))</f>
        <v>xxx</v>
      </c>
      <c r="I230" s="18" t="str">
        <f>IF(装备表!$O229=0,"xxx",IFERROR(IF(INT(IF($D230=I$3,装备表!$E229,"xxx")/10000)=1,IF($D230=I$3,装备表!$E229,"xxx")&amp;":2,1,1,"&amp;装备表!$O229&amp;";","xxx"),"xxx"))</f>
        <v>14832:2,1,1,10;</v>
      </c>
      <c r="J230" s="18" t="str">
        <f>IF(装备表!$O229=0,"xxx",IFERROR(IF(INT(IF($D230=J$3,装备表!$E229,"xxx")/10000)=3,IF($D230=J$3,装备表!$E229,"xxx")&amp;":2,1,1,"&amp;装备表!$O229&amp;";","xxx"),"xxx"))</f>
        <v>xxx</v>
      </c>
    </row>
    <row r="231" spans="3:10" x14ac:dyDescent="0.2">
      <c r="C231">
        <v>14833</v>
      </c>
      <c r="D231" s="18">
        <f>装备表!L230</f>
        <v>5</v>
      </c>
      <c r="E231" s="18" t="str">
        <f>IF(装备表!$O230=0,"xxx",IFERROR(IF(INT(IF($D231=E$3,装备表!$E230,"xxx")/10000)=1,IF($D231=E$3,装备表!$E230,"xxx")&amp;":2,1,1,"&amp;装备表!$O230&amp;";","xxx"),"xxx"))</f>
        <v>xxx</v>
      </c>
      <c r="F231" s="18" t="str">
        <f>IF(装备表!$O230=0,"xxx",IFERROR(IF(INT(IF($D231=F$3,装备表!$E230,"xxx")/10000)=1,IF($D231=F$3,装备表!$E230,"xxx")&amp;":2,1,1,"&amp;装备表!$O230&amp;";","xxx"),"xxx"))</f>
        <v>xxx</v>
      </c>
      <c r="G231" s="18" t="str">
        <f>IF(装备表!$O230=0,"xxx",IFERROR(IF(INT(IF($D231=G$3,装备表!$E230,"xxx")/10000)=1,IF($D231=G$3,装备表!$E230,"xxx")&amp;":2,1,1,"&amp;装备表!$O230&amp;";","xxx"),"xxx"))</f>
        <v>xxx</v>
      </c>
      <c r="H231" s="18" t="str">
        <f>IF(装备表!$O230=0,"xxx",IFERROR(IF(INT(IF($D231=H$3,装备表!$E230,"xxx")/10000)=1,IF($D231=H$3,装备表!$E230,"xxx")&amp;":2,1,1,"&amp;装备表!$O230&amp;";","xxx"),"xxx"))</f>
        <v>xxx</v>
      </c>
      <c r="I231" s="18" t="str">
        <f>IF(装备表!$O230=0,"xxx",IFERROR(IF(INT(IF($D231=I$3,装备表!$E230,"xxx")/10000)=1,IF($D231=I$3,装备表!$E230,"xxx")&amp;":2,1,1,"&amp;装备表!$O230&amp;";","xxx"),"xxx"))</f>
        <v>14833:2,1,1,10;</v>
      </c>
      <c r="J231" s="18" t="str">
        <f>IF(装备表!$O230=0,"xxx",IFERROR(IF(INT(IF($D231=J$3,装备表!$E230,"xxx")/10000)=3,IF($D231=J$3,装备表!$E230,"xxx")&amp;":2,1,1,"&amp;装备表!$O230&amp;";","xxx"),"xxx"))</f>
        <v>xxx</v>
      </c>
    </row>
    <row r="232" spans="3:10" x14ac:dyDescent="0.2">
      <c r="C232">
        <v>14834</v>
      </c>
      <c r="D232" s="18">
        <f>装备表!L231</f>
        <v>5</v>
      </c>
      <c r="E232" s="18" t="str">
        <f>IF(装备表!$O231=0,"xxx",IFERROR(IF(INT(IF($D232=E$3,装备表!$E231,"xxx")/10000)=1,IF($D232=E$3,装备表!$E231,"xxx")&amp;":2,1,1,"&amp;装备表!$O231&amp;";","xxx"),"xxx"))</f>
        <v>xxx</v>
      </c>
      <c r="F232" s="18" t="str">
        <f>IF(装备表!$O231=0,"xxx",IFERROR(IF(INT(IF($D232=F$3,装备表!$E231,"xxx")/10000)=1,IF($D232=F$3,装备表!$E231,"xxx")&amp;":2,1,1,"&amp;装备表!$O231&amp;";","xxx"),"xxx"))</f>
        <v>xxx</v>
      </c>
      <c r="G232" s="18" t="str">
        <f>IF(装备表!$O231=0,"xxx",IFERROR(IF(INT(IF($D232=G$3,装备表!$E231,"xxx")/10000)=1,IF($D232=G$3,装备表!$E231,"xxx")&amp;":2,1,1,"&amp;装备表!$O231&amp;";","xxx"),"xxx"))</f>
        <v>xxx</v>
      </c>
      <c r="H232" s="18" t="str">
        <f>IF(装备表!$O231=0,"xxx",IFERROR(IF(INT(IF($D232=H$3,装备表!$E231,"xxx")/10000)=1,IF($D232=H$3,装备表!$E231,"xxx")&amp;":2,1,1,"&amp;装备表!$O231&amp;";","xxx"),"xxx"))</f>
        <v>xxx</v>
      </c>
      <c r="I232" s="18" t="str">
        <f>IF(装备表!$O231=0,"xxx",IFERROR(IF(INT(IF($D232=I$3,装备表!$E231,"xxx")/10000)=1,IF($D232=I$3,装备表!$E231,"xxx")&amp;":2,1,1,"&amp;装备表!$O231&amp;";","xxx"),"xxx"))</f>
        <v>14834:2,1,1,10;</v>
      </c>
      <c r="J232" s="18" t="str">
        <f>IF(装备表!$O231=0,"xxx",IFERROR(IF(INT(IF($D232=J$3,装备表!$E231,"xxx")/10000)=3,IF($D232=J$3,装备表!$E231,"xxx")&amp;":2,1,1,"&amp;装备表!$O231&amp;";","xxx"),"xxx"))</f>
        <v>xxx</v>
      </c>
    </row>
    <row r="233" spans="3:10" x14ac:dyDescent="0.2">
      <c r="C233">
        <v>14835</v>
      </c>
      <c r="D233" s="18">
        <f>装备表!L232</f>
        <v>5</v>
      </c>
      <c r="E233" s="18" t="str">
        <f>IF(装备表!$O232=0,"xxx",IFERROR(IF(INT(IF($D233=E$3,装备表!$E232,"xxx")/10000)=1,IF($D233=E$3,装备表!$E232,"xxx")&amp;":2,1,1,"&amp;装备表!$O232&amp;";","xxx"),"xxx"))</f>
        <v>xxx</v>
      </c>
      <c r="F233" s="18" t="str">
        <f>IF(装备表!$O232=0,"xxx",IFERROR(IF(INT(IF($D233=F$3,装备表!$E232,"xxx")/10000)=1,IF($D233=F$3,装备表!$E232,"xxx")&amp;":2,1,1,"&amp;装备表!$O232&amp;";","xxx"),"xxx"))</f>
        <v>xxx</v>
      </c>
      <c r="G233" s="18" t="str">
        <f>IF(装备表!$O232=0,"xxx",IFERROR(IF(INT(IF($D233=G$3,装备表!$E232,"xxx")/10000)=1,IF($D233=G$3,装备表!$E232,"xxx")&amp;":2,1,1,"&amp;装备表!$O232&amp;";","xxx"),"xxx"))</f>
        <v>xxx</v>
      </c>
      <c r="H233" s="18" t="str">
        <f>IF(装备表!$O232=0,"xxx",IFERROR(IF(INT(IF($D233=H$3,装备表!$E232,"xxx")/10000)=1,IF($D233=H$3,装备表!$E232,"xxx")&amp;":2,1,1,"&amp;装备表!$O232&amp;";","xxx"),"xxx"))</f>
        <v>xxx</v>
      </c>
      <c r="I233" s="18" t="str">
        <f>IF(装备表!$O232=0,"xxx",IFERROR(IF(INT(IF($D233=I$3,装备表!$E232,"xxx")/10000)=1,IF($D233=I$3,装备表!$E232,"xxx")&amp;":2,1,1,"&amp;装备表!$O232&amp;";","xxx"),"xxx"))</f>
        <v>14835:2,1,1,10;</v>
      </c>
      <c r="J233" s="18" t="str">
        <f>IF(装备表!$O232=0,"xxx",IFERROR(IF(INT(IF($D233=J$3,装备表!$E232,"xxx")/10000)=3,IF($D233=J$3,装备表!$E232,"xxx")&amp;":2,1,1,"&amp;装备表!$O232&amp;";","xxx"),"xxx"))</f>
        <v>xxx</v>
      </c>
    </row>
    <row r="234" spans="3:10" x14ac:dyDescent="0.2">
      <c r="C234">
        <v>14836</v>
      </c>
      <c r="D234" s="18" t="e">
        <f>装备表!#REF!</f>
        <v>#REF!</v>
      </c>
      <c r="E234" s="18" t="e">
        <f>IF(装备表!#REF!=0,"xxx",IFERROR(IF(INT(IF($D234=E$3,装备表!#REF!,"xxx")/10000)=1,IF($D234=E$3,装备表!#REF!,"xxx")&amp;":2,1,1,"&amp;装备表!#REF!&amp;";","xxx"),"xxx"))</f>
        <v>#REF!</v>
      </c>
      <c r="F234" s="18" t="e">
        <f>IF(装备表!#REF!=0,"xxx",IFERROR(IF(INT(IF($D234=F$3,装备表!#REF!,"xxx")/10000)=1,IF($D234=F$3,装备表!#REF!,"xxx")&amp;":2,1,1,"&amp;装备表!#REF!&amp;";","xxx"),"xxx"))</f>
        <v>#REF!</v>
      </c>
      <c r="G234" s="18" t="e">
        <f>IF(装备表!#REF!=0,"xxx",IFERROR(IF(INT(IF($D234=G$3,装备表!#REF!,"xxx")/10000)=1,IF($D234=G$3,装备表!#REF!,"xxx")&amp;":2,1,1,"&amp;装备表!#REF!&amp;";","xxx"),"xxx"))</f>
        <v>#REF!</v>
      </c>
      <c r="H234" s="18" t="e">
        <f>IF(装备表!#REF!=0,"xxx",IFERROR(IF(INT(IF($D234=H$3,装备表!#REF!,"xxx")/10000)=1,IF($D234=H$3,装备表!#REF!,"xxx")&amp;":2,1,1,"&amp;装备表!#REF!&amp;";","xxx"),"xxx"))</f>
        <v>#REF!</v>
      </c>
      <c r="I234" s="18" t="e">
        <f>IF(装备表!#REF!=0,"xxx",IFERROR(IF(INT(IF($D234=I$3,装备表!#REF!,"xxx")/10000)=1,IF($D234=I$3,装备表!#REF!,"xxx")&amp;":2,1,1,"&amp;装备表!#REF!&amp;";","xxx"),"xxx"))</f>
        <v>#REF!</v>
      </c>
      <c r="J234" s="18" t="e">
        <f>IF(装备表!#REF!=0,"xxx",IFERROR(IF(INT(IF($D234=J$3,装备表!#REF!,"xxx")/10000)=3,IF($D234=J$3,装备表!#REF!,"xxx")&amp;":2,1,1,"&amp;装备表!#REF!&amp;";","xxx"),"xxx"))</f>
        <v>#REF!</v>
      </c>
    </row>
    <row r="235" spans="3:10" x14ac:dyDescent="0.2">
      <c r="C235">
        <v>14837</v>
      </c>
      <c r="D235" s="18">
        <f>装备表!L233</f>
        <v>5</v>
      </c>
      <c r="E235" s="18" t="str">
        <f>IF(装备表!$O233=0,"xxx",IFERROR(IF(INT(IF($D235=E$3,装备表!$E233,"xxx")/10000)=1,IF($D235=E$3,装备表!$E233,"xxx")&amp;":2,1,1,"&amp;装备表!$O233&amp;";","xxx"),"xxx"))</f>
        <v>xxx</v>
      </c>
      <c r="F235" s="18" t="str">
        <f>IF(装备表!$O233=0,"xxx",IFERROR(IF(INT(IF($D235=F$3,装备表!$E233,"xxx")/10000)=1,IF($D235=F$3,装备表!$E233,"xxx")&amp;":2,1,1,"&amp;装备表!$O233&amp;";","xxx"),"xxx"))</f>
        <v>xxx</v>
      </c>
      <c r="G235" s="18" t="str">
        <f>IF(装备表!$O233=0,"xxx",IFERROR(IF(INT(IF($D235=G$3,装备表!$E233,"xxx")/10000)=1,IF($D235=G$3,装备表!$E233,"xxx")&amp;":2,1,1,"&amp;装备表!$O233&amp;";","xxx"),"xxx"))</f>
        <v>xxx</v>
      </c>
      <c r="H235" s="18" t="str">
        <f>IF(装备表!$O233=0,"xxx",IFERROR(IF(INT(IF($D235=H$3,装备表!$E233,"xxx")/10000)=1,IF($D235=H$3,装备表!$E233,"xxx")&amp;":2,1,1,"&amp;装备表!$O233&amp;";","xxx"),"xxx"))</f>
        <v>xxx</v>
      </c>
      <c r="I235" s="18" t="str">
        <f>IF(装备表!$O233=0,"xxx",IFERROR(IF(INT(IF($D235=I$3,装备表!$E233,"xxx")/10000)=1,IF($D235=I$3,装备表!$E233,"xxx")&amp;":2,1,1,"&amp;装备表!$O233&amp;";","xxx"),"xxx"))</f>
        <v>14837:2,1,1,10;</v>
      </c>
      <c r="J235" s="18" t="str">
        <f>IF(装备表!$O233=0,"xxx",IFERROR(IF(INT(IF($D235=J$3,装备表!$E233,"xxx")/10000)=3,IF($D235=J$3,装备表!$E233,"xxx")&amp;":2,1,1,"&amp;装备表!$O233&amp;";","xxx"),"xxx"))</f>
        <v>xxx</v>
      </c>
    </row>
    <row r="236" spans="3:10" x14ac:dyDescent="0.2">
      <c r="C236">
        <v>14838</v>
      </c>
      <c r="D236" s="18">
        <f>装备表!L234</f>
        <v>5</v>
      </c>
      <c r="E236" s="18" t="str">
        <f>IF(装备表!$O234=0,"xxx",IFERROR(IF(INT(IF($D236=E$3,装备表!$E234,"xxx")/10000)=1,IF($D236=E$3,装备表!$E234,"xxx")&amp;":2,1,1,"&amp;装备表!$O234&amp;";","xxx"),"xxx"))</f>
        <v>xxx</v>
      </c>
      <c r="F236" s="18" t="str">
        <f>IF(装备表!$O234=0,"xxx",IFERROR(IF(INT(IF($D236=F$3,装备表!$E234,"xxx")/10000)=1,IF($D236=F$3,装备表!$E234,"xxx")&amp;":2,1,1,"&amp;装备表!$O234&amp;";","xxx"),"xxx"))</f>
        <v>xxx</v>
      </c>
      <c r="G236" s="18" t="str">
        <f>IF(装备表!$O234=0,"xxx",IFERROR(IF(INT(IF($D236=G$3,装备表!$E234,"xxx")/10000)=1,IF($D236=G$3,装备表!$E234,"xxx")&amp;":2,1,1,"&amp;装备表!$O234&amp;";","xxx"),"xxx"))</f>
        <v>xxx</v>
      </c>
      <c r="H236" s="18" t="str">
        <f>IF(装备表!$O234=0,"xxx",IFERROR(IF(INT(IF($D236=H$3,装备表!$E234,"xxx")/10000)=1,IF($D236=H$3,装备表!$E234,"xxx")&amp;":2,1,1,"&amp;装备表!$O234&amp;";","xxx"),"xxx"))</f>
        <v>xxx</v>
      </c>
      <c r="I236" s="18" t="str">
        <f>IF(装备表!$O234=0,"xxx",IFERROR(IF(INT(IF($D236=I$3,装备表!$E234,"xxx")/10000)=1,IF($D236=I$3,装备表!$E234,"xxx")&amp;":2,1,1,"&amp;装备表!$O234&amp;";","xxx"),"xxx"))</f>
        <v>14838:2,1,1,10;</v>
      </c>
      <c r="J236" s="18" t="str">
        <f>IF(装备表!$O234=0,"xxx",IFERROR(IF(INT(IF($D236=J$3,装备表!$E234,"xxx")/10000)=3,IF($D236=J$3,装备表!$E234,"xxx")&amp;":2,1,1,"&amp;装备表!$O234&amp;";","xxx"),"xxx"))</f>
        <v>xxx</v>
      </c>
    </row>
    <row r="237" spans="3:10" x14ac:dyDescent="0.2">
      <c r="C237">
        <v>14839</v>
      </c>
      <c r="D237" s="18">
        <f>装备表!L235</f>
        <v>5</v>
      </c>
      <c r="E237" s="18" t="str">
        <f>IF(装备表!$O235=0,"xxx",IFERROR(IF(INT(IF($D237=E$3,装备表!$E235,"xxx")/10000)=1,IF($D237=E$3,装备表!$E235,"xxx")&amp;":2,1,1,"&amp;装备表!$O235&amp;";","xxx"),"xxx"))</f>
        <v>xxx</v>
      </c>
      <c r="F237" s="18" t="str">
        <f>IF(装备表!$O235=0,"xxx",IFERROR(IF(INT(IF($D237=F$3,装备表!$E235,"xxx")/10000)=1,IF($D237=F$3,装备表!$E235,"xxx")&amp;":2,1,1,"&amp;装备表!$O235&amp;";","xxx"),"xxx"))</f>
        <v>xxx</v>
      </c>
      <c r="G237" s="18" t="str">
        <f>IF(装备表!$O235=0,"xxx",IFERROR(IF(INT(IF($D237=G$3,装备表!$E235,"xxx")/10000)=1,IF($D237=G$3,装备表!$E235,"xxx")&amp;":2,1,1,"&amp;装备表!$O235&amp;";","xxx"),"xxx"))</f>
        <v>xxx</v>
      </c>
      <c r="H237" s="18" t="str">
        <f>IF(装备表!$O235=0,"xxx",IFERROR(IF(INT(IF($D237=H$3,装备表!$E235,"xxx")/10000)=1,IF($D237=H$3,装备表!$E235,"xxx")&amp;":2,1,1,"&amp;装备表!$O235&amp;";","xxx"),"xxx"))</f>
        <v>xxx</v>
      </c>
      <c r="I237" s="18" t="str">
        <f>IF(装备表!$O235=0,"xxx",IFERROR(IF(INT(IF($D237=I$3,装备表!$E235,"xxx")/10000)=1,IF($D237=I$3,装备表!$E235,"xxx")&amp;":2,1,1,"&amp;装备表!$O235&amp;";","xxx"),"xxx"))</f>
        <v>14839:2,1,1,10;</v>
      </c>
      <c r="J237" s="18" t="str">
        <f>IF(装备表!$O235=0,"xxx",IFERROR(IF(INT(IF($D237=J$3,装备表!$E235,"xxx")/10000)=3,IF($D237=J$3,装备表!$E235,"xxx")&amp;":2,1,1,"&amp;装备表!$O235&amp;";","xxx"),"xxx"))</f>
        <v>xxx</v>
      </c>
    </row>
    <row r="238" spans="3:10" x14ac:dyDescent="0.2">
      <c r="C238">
        <v>14840</v>
      </c>
      <c r="D238" s="18">
        <f>装备表!L236</f>
        <v>5</v>
      </c>
      <c r="E238" s="18" t="str">
        <f>IF(装备表!$O236=0,"xxx",IFERROR(IF(INT(IF($D238=E$3,装备表!$E236,"xxx")/10000)=1,IF($D238=E$3,装备表!$E236,"xxx")&amp;":2,1,1,"&amp;装备表!$O236&amp;";","xxx"),"xxx"))</f>
        <v>xxx</v>
      </c>
      <c r="F238" s="18" t="str">
        <f>IF(装备表!$O236=0,"xxx",IFERROR(IF(INT(IF($D238=F$3,装备表!$E236,"xxx")/10000)=1,IF($D238=F$3,装备表!$E236,"xxx")&amp;":2,1,1,"&amp;装备表!$O236&amp;";","xxx"),"xxx"))</f>
        <v>xxx</v>
      </c>
      <c r="G238" s="18" t="str">
        <f>IF(装备表!$O236=0,"xxx",IFERROR(IF(INT(IF($D238=G$3,装备表!$E236,"xxx")/10000)=1,IF($D238=G$3,装备表!$E236,"xxx")&amp;":2,1,1,"&amp;装备表!$O236&amp;";","xxx"),"xxx"))</f>
        <v>xxx</v>
      </c>
      <c r="H238" s="18" t="str">
        <f>IF(装备表!$O236=0,"xxx",IFERROR(IF(INT(IF($D238=H$3,装备表!$E236,"xxx")/10000)=1,IF($D238=H$3,装备表!$E236,"xxx")&amp;":2,1,1,"&amp;装备表!$O236&amp;";","xxx"),"xxx"))</f>
        <v>xxx</v>
      </c>
      <c r="I238" s="18" t="str">
        <f>IF(装备表!$O236=0,"xxx",IFERROR(IF(INT(IF($D238=I$3,装备表!$E236,"xxx")/10000)=1,IF($D238=I$3,装备表!$E236,"xxx")&amp;":2,1,1,"&amp;装备表!$O236&amp;";","xxx"),"xxx"))</f>
        <v>14840:2,1,1,10;</v>
      </c>
      <c r="J238" s="18" t="str">
        <f>IF(装备表!$O236=0,"xxx",IFERROR(IF(INT(IF($D238=J$3,装备表!$E236,"xxx")/10000)=3,IF($D238=J$3,装备表!$E236,"xxx")&amp;":2,1,1,"&amp;装备表!$O236&amp;";","xxx"),"xxx"))</f>
        <v>xxx</v>
      </c>
    </row>
    <row r="239" spans="3:10" x14ac:dyDescent="0.2">
      <c r="C239">
        <v>14841</v>
      </c>
      <c r="D239" s="18">
        <f>装备表!L237</f>
        <v>5</v>
      </c>
      <c r="E239" s="18" t="str">
        <f>IF(装备表!$O237=0,"xxx",IFERROR(IF(INT(IF($D239=E$3,装备表!$E237,"xxx")/10000)=1,IF($D239=E$3,装备表!$E237,"xxx")&amp;":2,1,1,"&amp;装备表!$O237&amp;";","xxx"),"xxx"))</f>
        <v>xxx</v>
      </c>
      <c r="F239" s="18" t="str">
        <f>IF(装备表!$O237=0,"xxx",IFERROR(IF(INT(IF($D239=F$3,装备表!$E237,"xxx")/10000)=1,IF($D239=F$3,装备表!$E237,"xxx")&amp;":2,1,1,"&amp;装备表!$O237&amp;";","xxx"),"xxx"))</f>
        <v>xxx</v>
      </c>
      <c r="G239" s="18" t="str">
        <f>IF(装备表!$O237=0,"xxx",IFERROR(IF(INT(IF($D239=G$3,装备表!$E237,"xxx")/10000)=1,IF($D239=G$3,装备表!$E237,"xxx")&amp;":2,1,1,"&amp;装备表!$O237&amp;";","xxx"),"xxx"))</f>
        <v>xxx</v>
      </c>
      <c r="H239" s="18" t="str">
        <f>IF(装备表!$O237=0,"xxx",IFERROR(IF(INT(IF($D239=H$3,装备表!$E237,"xxx")/10000)=1,IF($D239=H$3,装备表!$E237,"xxx")&amp;":2,1,1,"&amp;装备表!$O237&amp;";","xxx"),"xxx"))</f>
        <v>xxx</v>
      </c>
      <c r="I239" s="18" t="str">
        <f>IF(装备表!$O237=0,"xxx",IFERROR(IF(INT(IF($D239=I$3,装备表!$E237,"xxx")/10000)=1,IF($D239=I$3,装备表!$E237,"xxx")&amp;":2,1,1,"&amp;装备表!$O237&amp;";","xxx"),"xxx"))</f>
        <v>14841:2,1,1,10;</v>
      </c>
      <c r="J239" s="18" t="str">
        <f>IF(装备表!$O237=0,"xxx",IFERROR(IF(INT(IF($D239=J$3,装备表!$E237,"xxx")/10000)=3,IF($D239=J$3,装备表!$E237,"xxx")&amp;":2,1,1,"&amp;装备表!$O237&amp;";","xxx"),"xxx"))</f>
        <v>xxx</v>
      </c>
    </row>
    <row r="240" spans="3:10" x14ac:dyDescent="0.2">
      <c r="C240">
        <v>14842</v>
      </c>
      <c r="D240" s="18">
        <f>装备表!L238</f>
        <v>5</v>
      </c>
      <c r="E240" s="18" t="str">
        <f>IF(装备表!$O238=0,"xxx",IFERROR(IF(INT(IF($D240=E$3,装备表!$E238,"xxx")/10000)=1,IF($D240=E$3,装备表!$E238,"xxx")&amp;":2,1,1,"&amp;装备表!$O238&amp;";","xxx"),"xxx"))</f>
        <v>xxx</v>
      </c>
      <c r="F240" s="18" t="str">
        <f>IF(装备表!$O238=0,"xxx",IFERROR(IF(INT(IF($D240=F$3,装备表!$E238,"xxx")/10000)=1,IF($D240=F$3,装备表!$E238,"xxx")&amp;":2,1,1,"&amp;装备表!$O238&amp;";","xxx"),"xxx"))</f>
        <v>xxx</v>
      </c>
      <c r="G240" s="18" t="str">
        <f>IF(装备表!$O238=0,"xxx",IFERROR(IF(INT(IF($D240=G$3,装备表!$E238,"xxx")/10000)=1,IF($D240=G$3,装备表!$E238,"xxx")&amp;":2,1,1,"&amp;装备表!$O238&amp;";","xxx"),"xxx"))</f>
        <v>xxx</v>
      </c>
      <c r="H240" s="18" t="str">
        <f>IF(装备表!$O238=0,"xxx",IFERROR(IF(INT(IF($D240=H$3,装备表!$E238,"xxx")/10000)=1,IF($D240=H$3,装备表!$E238,"xxx")&amp;":2,1,1,"&amp;装备表!$O238&amp;";","xxx"),"xxx"))</f>
        <v>xxx</v>
      </c>
      <c r="I240" s="18" t="str">
        <f>IF(装备表!$O238=0,"xxx",IFERROR(IF(INT(IF($D240=I$3,装备表!$E238,"xxx")/10000)=1,IF($D240=I$3,装备表!$E238,"xxx")&amp;":2,1,1,"&amp;装备表!$O238&amp;";","xxx"),"xxx"))</f>
        <v>14842:2,1,1,10;</v>
      </c>
      <c r="J240" s="18" t="str">
        <f>IF(装备表!$O238=0,"xxx",IFERROR(IF(INT(IF($D240=J$3,装备表!$E238,"xxx")/10000)=3,IF($D240=J$3,装备表!$E238,"xxx")&amp;":2,1,1,"&amp;装备表!$O238&amp;";","xxx"),"xxx"))</f>
        <v>xxx</v>
      </c>
    </row>
    <row r="241" spans="3:10" x14ac:dyDescent="0.2">
      <c r="C241">
        <v>14843</v>
      </c>
      <c r="D241" s="18">
        <f>装备表!L239</f>
        <v>5</v>
      </c>
      <c r="E241" s="18" t="str">
        <f>IF(装备表!$O239=0,"xxx",IFERROR(IF(INT(IF($D241=E$3,装备表!$E239,"xxx")/10000)=1,IF($D241=E$3,装备表!$E239,"xxx")&amp;":2,1,1,"&amp;装备表!$O239&amp;";","xxx"),"xxx"))</f>
        <v>xxx</v>
      </c>
      <c r="F241" s="18" t="str">
        <f>IF(装备表!$O239=0,"xxx",IFERROR(IF(INT(IF($D241=F$3,装备表!$E239,"xxx")/10000)=1,IF($D241=F$3,装备表!$E239,"xxx")&amp;":2,1,1,"&amp;装备表!$O239&amp;";","xxx"),"xxx"))</f>
        <v>xxx</v>
      </c>
      <c r="G241" s="18" t="str">
        <f>IF(装备表!$O239=0,"xxx",IFERROR(IF(INT(IF($D241=G$3,装备表!$E239,"xxx")/10000)=1,IF($D241=G$3,装备表!$E239,"xxx")&amp;":2,1,1,"&amp;装备表!$O239&amp;";","xxx"),"xxx"))</f>
        <v>xxx</v>
      </c>
      <c r="H241" s="18" t="str">
        <f>IF(装备表!$O239=0,"xxx",IFERROR(IF(INT(IF($D241=H$3,装备表!$E239,"xxx")/10000)=1,IF($D241=H$3,装备表!$E239,"xxx")&amp;":2,1,1,"&amp;装备表!$O239&amp;";","xxx"),"xxx"))</f>
        <v>xxx</v>
      </c>
      <c r="I241" s="18" t="str">
        <f>IF(装备表!$O239=0,"xxx",IFERROR(IF(INT(IF($D241=I$3,装备表!$E239,"xxx")/10000)=1,IF($D241=I$3,装备表!$E239,"xxx")&amp;":2,1,1,"&amp;装备表!$O239&amp;";","xxx"),"xxx"))</f>
        <v>14843:2,1,1,10;</v>
      </c>
      <c r="J241" s="18" t="str">
        <f>IF(装备表!$O239=0,"xxx",IFERROR(IF(INT(IF($D241=J$3,装备表!$E239,"xxx")/10000)=3,IF($D241=J$3,装备表!$E239,"xxx")&amp;":2,1,1,"&amp;装备表!$O239&amp;";","xxx"),"xxx"))</f>
        <v>xxx</v>
      </c>
    </row>
    <row r="242" spans="3:10" x14ac:dyDescent="0.2">
      <c r="C242">
        <v>14844</v>
      </c>
      <c r="D242" s="18">
        <f>装备表!L240</f>
        <v>5</v>
      </c>
      <c r="E242" s="18" t="str">
        <f>IF(装备表!$O240=0,"xxx",IFERROR(IF(INT(IF($D242=E$3,装备表!$E240,"xxx")/10000)=1,IF($D242=E$3,装备表!$E240,"xxx")&amp;":2,1,1,"&amp;装备表!$O240&amp;";","xxx"),"xxx"))</f>
        <v>xxx</v>
      </c>
      <c r="F242" s="18" t="str">
        <f>IF(装备表!$O240=0,"xxx",IFERROR(IF(INT(IF($D242=F$3,装备表!$E240,"xxx")/10000)=1,IF($D242=F$3,装备表!$E240,"xxx")&amp;":2,1,1,"&amp;装备表!$O240&amp;";","xxx"),"xxx"))</f>
        <v>xxx</v>
      </c>
      <c r="G242" s="18" t="str">
        <f>IF(装备表!$O240=0,"xxx",IFERROR(IF(INT(IF($D242=G$3,装备表!$E240,"xxx")/10000)=1,IF($D242=G$3,装备表!$E240,"xxx")&amp;":2,1,1,"&amp;装备表!$O240&amp;";","xxx"),"xxx"))</f>
        <v>xxx</v>
      </c>
      <c r="H242" s="18" t="str">
        <f>IF(装备表!$O240=0,"xxx",IFERROR(IF(INT(IF($D242=H$3,装备表!$E240,"xxx")/10000)=1,IF($D242=H$3,装备表!$E240,"xxx")&amp;":2,1,1,"&amp;装备表!$O240&amp;";","xxx"),"xxx"))</f>
        <v>xxx</v>
      </c>
      <c r="I242" s="18" t="str">
        <f>IF(装备表!$O240=0,"xxx",IFERROR(IF(INT(IF($D242=I$3,装备表!$E240,"xxx")/10000)=1,IF($D242=I$3,装备表!$E240,"xxx")&amp;":2,1,1,"&amp;装备表!$O240&amp;";","xxx"),"xxx"))</f>
        <v>14844:2,1,1,10;</v>
      </c>
      <c r="J242" s="18" t="str">
        <f>IF(装备表!$O240=0,"xxx",IFERROR(IF(INT(IF($D242=J$3,装备表!$E240,"xxx")/10000)=3,IF($D242=J$3,装备表!$E240,"xxx")&amp;":2,1,1,"&amp;装备表!$O240&amp;";","xxx"),"xxx"))</f>
        <v>xxx</v>
      </c>
    </row>
    <row r="243" spans="3:10" x14ac:dyDescent="0.2">
      <c r="C243">
        <v>14845</v>
      </c>
      <c r="D243" s="18">
        <f>装备表!L241</f>
        <v>5</v>
      </c>
      <c r="E243" s="18" t="str">
        <f>IF(装备表!$O241=0,"xxx",IFERROR(IF(INT(IF($D243=E$3,装备表!$E241,"xxx")/10000)=1,IF($D243=E$3,装备表!$E241,"xxx")&amp;":2,1,1,"&amp;装备表!$O241&amp;";","xxx"),"xxx"))</f>
        <v>xxx</v>
      </c>
      <c r="F243" s="18" t="str">
        <f>IF(装备表!$O241=0,"xxx",IFERROR(IF(INT(IF($D243=F$3,装备表!$E241,"xxx")/10000)=1,IF($D243=F$3,装备表!$E241,"xxx")&amp;":2,1,1,"&amp;装备表!$O241&amp;";","xxx"),"xxx"))</f>
        <v>xxx</v>
      </c>
      <c r="G243" s="18" t="str">
        <f>IF(装备表!$O241=0,"xxx",IFERROR(IF(INT(IF($D243=G$3,装备表!$E241,"xxx")/10000)=1,IF($D243=G$3,装备表!$E241,"xxx")&amp;":2,1,1,"&amp;装备表!$O241&amp;";","xxx"),"xxx"))</f>
        <v>xxx</v>
      </c>
      <c r="H243" s="18" t="str">
        <f>IF(装备表!$O241=0,"xxx",IFERROR(IF(INT(IF($D243=H$3,装备表!$E241,"xxx")/10000)=1,IF($D243=H$3,装备表!$E241,"xxx")&amp;":2,1,1,"&amp;装备表!$O241&amp;";","xxx"),"xxx"))</f>
        <v>xxx</v>
      </c>
      <c r="I243" s="18" t="str">
        <f>IF(装备表!$O241=0,"xxx",IFERROR(IF(INT(IF($D243=I$3,装备表!$E241,"xxx")/10000)=1,IF($D243=I$3,装备表!$E241,"xxx")&amp;":2,1,1,"&amp;装备表!$O241&amp;";","xxx"),"xxx"))</f>
        <v>14845:2,1,1,10;</v>
      </c>
      <c r="J243" s="18" t="str">
        <f>IF(装备表!$O241=0,"xxx",IFERROR(IF(INT(IF($D243=J$3,装备表!$E241,"xxx")/10000)=3,IF($D243=J$3,装备表!$E241,"xxx")&amp;":2,1,1,"&amp;装备表!$O241&amp;";","xxx"),"xxx"))</f>
        <v>xxx</v>
      </c>
    </row>
    <row r="244" spans="3:10" x14ac:dyDescent="0.2">
      <c r="C244">
        <v>14846</v>
      </c>
      <c r="D244" s="18">
        <f>装备表!L242</f>
        <v>5</v>
      </c>
      <c r="E244" s="18" t="str">
        <f>IF(装备表!$O242=0,"xxx",IFERROR(IF(INT(IF($D244=E$3,装备表!$E242,"xxx")/10000)=1,IF($D244=E$3,装备表!$E242,"xxx")&amp;":2,1,1,"&amp;装备表!$O242&amp;";","xxx"),"xxx"))</f>
        <v>xxx</v>
      </c>
      <c r="F244" s="18" t="str">
        <f>IF(装备表!$O242=0,"xxx",IFERROR(IF(INT(IF($D244=F$3,装备表!$E242,"xxx")/10000)=1,IF($D244=F$3,装备表!$E242,"xxx")&amp;":2,1,1,"&amp;装备表!$O242&amp;";","xxx"),"xxx"))</f>
        <v>xxx</v>
      </c>
      <c r="G244" s="18" t="str">
        <f>IF(装备表!$O242=0,"xxx",IFERROR(IF(INT(IF($D244=G$3,装备表!$E242,"xxx")/10000)=1,IF($D244=G$3,装备表!$E242,"xxx")&amp;":2,1,1,"&amp;装备表!$O242&amp;";","xxx"),"xxx"))</f>
        <v>xxx</v>
      </c>
      <c r="H244" s="18" t="str">
        <f>IF(装备表!$O242=0,"xxx",IFERROR(IF(INT(IF($D244=H$3,装备表!$E242,"xxx")/10000)=1,IF($D244=H$3,装备表!$E242,"xxx")&amp;":2,1,1,"&amp;装备表!$O242&amp;";","xxx"),"xxx"))</f>
        <v>xxx</v>
      </c>
      <c r="I244" s="18" t="str">
        <f>IF(装备表!$O242=0,"xxx",IFERROR(IF(INT(IF($D244=I$3,装备表!$E242,"xxx")/10000)=1,IF($D244=I$3,装备表!$E242,"xxx")&amp;":2,1,1,"&amp;装备表!$O242&amp;";","xxx"),"xxx"))</f>
        <v>14846:2,1,1,10;</v>
      </c>
      <c r="J244" s="18" t="str">
        <f>IF(装备表!$O242=0,"xxx",IFERROR(IF(INT(IF($D244=J$3,装备表!$E242,"xxx")/10000)=3,IF($D244=J$3,装备表!$E242,"xxx")&amp;":2,1,1,"&amp;装备表!$O242&amp;";","xxx"),"xxx"))</f>
        <v>xxx</v>
      </c>
    </row>
    <row r="245" spans="3:10" x14ac:dyDescent="0.2">
      <c r="C245">
        <v>14847</v>
      </c>
      <c r="D245" s="18">
        <f>装备表!L243</f>
        <v>5</v>
      </c>
      <c r="E245" s="18" t="str">
        <f>IF(装备表!$O243=0,"xxx",IFERROR(IF(INT(IF($D245=E$3,装备表!$E243,"xxx")/10000)=1,IF($D245=E$3,装备表!$E243,"xxx")&amp;":2,1,1,"&amp;装备表!$O243&amp;";","xxx"),"xxx"))</f>
        <v>xxx</v>
      </c>
      <c r="F245" s="18" t="str">
        <f>IF(装备表!$O243=0,"xxx",IFERROR(IF(INT(IF($D245=F$3,装备表!$E243,"xxx")/10000)=1,IF($D245=F$3,装备表!$E243,"xxx")&amp;":2,1,1,"&amp;装备表!$O243&amp;";","xxx"),"xxx"))</f>
        <v>xxx</v>
      </c>
      <c r="G245" s="18" t="str">
        <f>IF(装备表!$O243=0,"xxx",IFERROR(IF(INT(IF($D245=G$3,装备表!$E243,"xxx")/10000)=1,IF($D245=G$3,装备表!$E243,"xxx")&amp;":2,1,1,"&amp;装备表!$O243&amp;";","xxx"),"xxx"))</f>
        <v>xxx</v>
      </c>
      <c r="H245" s="18" t="str">
        <f>IF(装备表!$O243=0,"xxx",IFERROR(IF(INT(IF($D245=H$3,装备表!$E243,"xxx")/10000)=1,IF($D245=H$3,装备表!$E243,"xxx")&amp;":2,1,1,"&amp;装备表!$O243&amp;";","xxx"),"xxx"))</f>
        <v>xxx</v>
      </c>
      <c r="I245" s="18" t="str">
        <f>IF(装备表!$O243=0,"xxx",IFERROR(IF(INT(IF($D245=I$3,装备表!$E243,"xxx")/10000)=1,IF($D245=I$3,装备表!$E243,"xxx")&amp;":2,1,1,"&amp;装备表!$O243&amp;";","xxx"),"xxx"))</f>
        <v>14847:2,1,1,10;</v>
      </c>
      <c r="J245" s="18" t="str">
        <f>IF(装备表!$O243=0,"xxx",IFERROR(IF(INT(IF($D245=J$3,装备表!$E243,"xxx")/10000)=3,IF($D245=J$3,装备表!$E243,"xxx")&amp;":2,1,1,"&amp;装备表!$O243&amp;";","xxx"),"xxx"))</f>
        <v>xxx</v>
      </c>
    </row>
    <row r="246" spans="3:10" x14ac:dyDescent="0.2">
      <c r="C246">
        <v>14848</v>
      </c>
      <c r="D246" s="18">
        <f>装备表!L244</f>
        <v>5</v>
      </c>
      <c r="E246" s="18" t="str">
        <f>IF(装备表!$O244=0,"xxx",IFERROR(IF(INT(IF($D246=E$3,装备表!$E244,"xxx")/10000)=1,IF($D246=E$3,装备表!$E244,"xxx")&amp;":2,1,1,"&amp;装备表!$O244&amp;";","xxx"),"xxx"))</f>
        <v>xxx</v>
      </c>
      <c r="F246" s="18" t="str">
        <f>IF(装备表!$O244=0,"xxx",IFERROR(IF(INT(IF($D246=F$3,装备表!$E244,"xxx")/10000)=1,IF($D246=F$3,装备表!$E244,"xxx")&amp;":2,1,1,"&amp;装备表!$O244&amp;";","xxx"),"xxx"))</f>
        <v>xxx</v>
      </c>
      <c r="G246" s="18" t="str">
        <f>IF(装备表!$O244=0,"xxx",IFERROR(IF(INT(IF($D246=G$3,装备表!$E244,"xxx")/10000)=1,IF($D246=G$3,装备表!$E244,"xxx")&amp;":2,1,1,"&amp;装备表!$O244&amp;";","xxx"),"xxx"))</f>
        <v>xxx</v>
      </c>
      <c r="H246" s="18" t="str">
        <f>IF(装备表!$O244=0,"xxx",IFERROR(IF(INT(IF($D246=H$3,装备表!$E244,"xxx")/10000)=1,IF($D246=H$3,装备表!$E244,"xxx")&amp;":2,1,1,"&amp;装备表!$O244&amp;";","xxx"),"xxx"))</f>
        <v>xxx</v>
      </c>
      <c r="I246" s="18" t="str">
        <f>IF(装备表!$O244=0,"xxx",IFERROR(IF(INT(IF($D246=I$3,装备表!$E244,"xxx")/10000)=1,IF($D246=I$3,装备表!$E244,"xxx")&amp;":2,1,1,"&amp;装备表!$O244&amp;";","xxx"),"xxx"))</f>
        <v>14848:2,1,1,10;</v>
      </c>
      <c r="J246" s="18" t="str">
        <f>IF(装备表!$O244=0,"xxx",IFERROR(IF(INT(IF($D246=J$3,装备表!$E244,"xxx")/10000)=3,IF($D246=J$3,装备表!$E244,"xxx")&amp;":2,1,1,"&amp;装备表!$O244&amp;";","xxx"),"xxx"))</f>
        <v>xxx</v>
      </c>
    </row>
    <row r="247" spans="3:10" x14ac:dyDescent="0.2">
      <c r="C247">
        <v>14849</v>
      </c>
      <c r="D247" s="18">
        <f>装备表!L245</f>
        <v>5</v>
      </c>
      <c r="E247" s="18" t="str">
        <f>IF(装备表!$O245=0,"xxx",IFERROR(IF(INT(IF($D247=E$3,装备表!$E245,"xxx")/10000)=1,IF($D247=E$3,装备表!$E245,"xxx")&amp;":2,1,1,"&amp;装备表!$O245&amp;";","xxx"),"xxx"))</f>
        <v>xxx</v>
      </c>
      <c r="F247" s="18" t="str">
        <f>IF(装备表!$O245=0,"xxx",IFERROR(IF(INT(IF($D247=F$3,装备表!$E245,"xxx")/10000)=1,IF($D247=F$3,装备表!$E245,"xxx")&amp;":2,1,1,"&amp;装备表!$O245&amp;";","xxx"),"xxx"))</f>
        <v>xxx</v>
      </c>
      <c r="G247" s="18" t="str">
        <f>IF(装备表!$O245=0,"xxx",IFERROR(IF(INT(IF($D247=G$3,装备表!$E245,"xxx")/10000)=1,IF($D247=G$3,装备表!$E245,"xxx")&amp;":2,1,1,"&amp;装备表!$O245&amp;";","xxx"),"xxx"))</f>
        <v>xxx</v>
      </c>
      <c r="H247" s="18" t="str">
        <f>IF(装备表!$O245=0,"xxx",IFERROR(IF(INT(IF($D247=H$3,装备表!$E245,"xxx")/10000)=1,IF($D247=H$3,装备表!$E245,"xxx")&amp;":2,1,1,"&amp;装备表!$O245&amp;";","xxx"),"xxx"))</f>
        <v>xxx</v>
      </c>
      <c r="I247" s="18" t="str">
        <f>IF(装备表!$O245=0,"xxx",IFERROR(IF(INT(IF($D247=I$3,装备表!$E245,"xxx")/10000)=1,IF($D247=I$3,装备表!$E245,"xxx")&amp;":2,1,1,"&amp;装备表!$O245&amp;";","xxx"),"xxx"))</f>
        <v>14849:2,1,1,10;</v>
      </c>
      <c r="J247" s="18" t="str">
        <f>IF(装备表!$O245=0,"xxx",IFERROR(IF(INT(IF($D247=J$3,装备表!$E245,"xxx")/10000)=3,IF($D247=J$3,装备表!$E245,"xxx")&amp;":2,1,1,"&amp;装备表!$O245&amp;";","xxx"),"xxx"))</f>
        <v>xxx</v>
      </c>
    </row>
    <row r="248" spans="3:10" x14ac:dyDescent="0.2">
      <c r="C248">
        <v>14850</v>
      </c>
      <c r="D248" s="18">
        <f>装备表!L246</f>
        <v>5</v>
      </c>
      <c r="E248" s="18" t="str">
        <f>IF(装备表!$O246=0,"xxx",IFERROR(IF(INT(IF($D248=E$3,装备表!$E246,"xxx")/10000)=1,IF($D248=E$3,装备表!$E246,"xxx")&amp;":2,1,1,"&amp;装备表!$O246&amp;";","xxx"),"xxx"))</f>
        <v>xxx</v>
      </c>
      <c r="F248" s="18" t="str">
        <f>IF(装备表!$O246=0,"xxx",IFERROR(IF(INT(IF($D248=F$3,装备表!$E246,"xxx")/10000)=1,IF($D248=F$3,装备表!$E246,"xxx")&amp;":2,1,1,"&amp;装备表!$O246&amp;";","xxx"),"xxx"))</f>
        <v>xxx</v>
      </c>
      <c r="G248" s="18" t="str">
        <f>IF(装备表!$O246=0,"xxx",IFERROR(IF(INT(IF($D248=G$3,装备表!$E246,"xxx")/10000)=1,IF($D248=G$3,装备表!$E246,"xxx")&amp;":2,1,1,"&amp;装备表!$O246&amp;";","xxx"),"xxx"))</f>
        <v>xxx</v>
      </c>
      <c r="H248" s="18" t="str">
        <f>IF(装备表!$O246=0,"xxx",IFERROR(IF(INT(IF($D248=H$3,装备表!$E246,"xxx")/10000)=1,IF($D248=H$3,装备表!$E246,"xxx")&amp;":2,1,1,"&amp;装备表!$O246&amp;";","xxx"),"xxx"))</f>
        <v>xxx</v>
      </c>
      <c r="I248" s="18" t="str">
        <f>IF(装备表!$O246=0,"xxx",IFERROR(IF(INT(IF($D248=I$3,装备表!$E246,"xxx")/10000)=1,IF($D248=I$3,装备表!$E246,"xxx")&amp;":2,1,1,"&amp;装备表!$O246&amp;";","xxx"),"xxx"))</f>
        <v>14850:2,1,1,10;</v>
      </c>
      <c r="J248" s="18" t="str">
        <f>IF(装备表!$O246=0,"xxx",IFERROR(IF(INT(IF($D248=J$3,装备表!$E246,"xxx")/10000)=3,IF($D248=J$3,装备表!$E246,"xxx")&amp;":2,1,1,"&amp;装备表!$O246&amp;";","xxx"),"xxx"))</f>
        <v>xxx</v>
      </c>
    </row>
    <row r="249" spans="3:10" x14ac:dyDescent="0.2">
      <c r="C249">
        <v>14851</v>
      </c>
      <c r="D249" s="18">
        <f>装备表!L247</f>
        <v>5</v>
      </c>
      <c r="E249" s="18" t="str">
        <f>IF(装备表!$O247=0,"xxx",IFERROR(IF(INT(IF($D249=E$3,装备表!$E247,"xxx")/10000)=1,IF($D249=E$3,装备表!$E247,"xxx")&amp;":2,1,1,"&amp;装备表!$O247&amp;";","xxx"),"xxx"))</f>
        <v>xxx</v>
      </c>
      <c r="F249" s="18" t="str">
        <f>IF(装备表!$O247=0,"xxx",IFERROR(IF(INT(IF($D249=F$3,装备表!$E247,"xxx")/10000)=1,IF($D249=F$3,装备表!$E247,"xxx")&amp;":2,1,1,"&amp;装备表!$O247&amp;";","xxx"),"xxx"))</f>
        <v>xxx</v>
      </c>
      <c r="G249" s="18" t="str">
        <f>IF(装备表!$O247=0,"xxx",IFERROR(IF(INT(IF($D249=G$3,装备表!$E247,"xxx")/10000)=1,IF($D249=G$3,装备表!$E247,"xxx")&amp;":2,1,1,"&amp;装备表!$O247&amp;";","xxx"),"xxx"))</f>
        <v>xxx</v>
      </c>
      <c r="H249" s="18" t="str">
        <f>IF(装备表!$O247=0,"xxx",IFERROR(IF(INT(IF($D249=H$3,装备表!$E247,"xxx")/10000)=1,IF($D249=H$3,装备表!$E247,"xxx")&amp;":2,1,1,"&amp;装备表!$O247&amp;";","xxx"),"xxx"))</f>
        <v>xxx</v>
      </c>
      <c r="I249" s="18" t="str">
        <f>IF(装备表!$O247=0,"xxx",IFERROR(IF(INT(IF($D249=I$3,装备表!$E247,"xxx")/10000)=1,IF($D249=I$3,装备表!$E247,"xxx")&amp;":2,1,1,"&amp;装备表!$O247&amp;";","xxx"),"xxx"))</f>
        <v>14851:2,1,1,10;</v>
      </c>
      <c r="J249" s="18" t="str">
        <f>IF(装备表!$O247=0,"xxx",IFERROR(IF(INT(IF($D249=J$3,装备表!$E247,"xxx")/10000)=3,IF($D249=J$3,装备表!$E247,"xxx")&amp;":2,1,1,"&amp;装备表!$O247&amp;";","xxx"),"xxx"))</f>
        <v>xxx</v>
      </c>
    </row>
    <row r="250" spans="3:10" x14ac:dyDescent="0.2">
      <c r="C250">
        <v>14852</v>
      </c>
      <c r="D250" s="18">
        <f>装备表!L248</f>
        <v>5</v>
      </c>
      <c r="E250" s="18" t="str">
        <f>IF(装备表!$O248=0,"xxx",IFERROR(IF(INT(IF($D250=E$3,装备表!$E248,"xxx")/10000)=1,IF($D250=E$3,装备表!$E248,"xxx")&amp;":2,1,1,"&amp;装备表!$O248&amp;";","xxx"),"xxx"))</f>
        <v>xxx</v>
      </c>
      <c r="F250" s="18" t="str">
        <f>IF(装备表!$O248=0,"xxx",IFERROR(IF(INT(IF($D250=F$3,装备表!$E248,"xxx")/10000)=1,IF($D250=F$3,装备表!$E248,"xxx")&amp;":2,1,1,"&amp;装备表!$O248&amp;";","xxx"),"xxx"))</f>
        <v>xxx</v>
      </c>
      <c r="G250" s="18" t="str">
        <f>IF(装备表!$O248=0,"xxx",IFERROR(IF(INT(IF($D250=G$3,装备表!$E248,"xxx")/10000)=1,IF($D250=G$3,装备表!$E248,"xxx")&amp;":2,1,1,"&amp;装备表!$O248&amp;";","xxx"),"xxx"))</f>
        <v>xxx</v>
      </c>
      <c r="H250" s="18" t="str">
        <f>IF(装备表!$O248=0,"xxx",IFERROR(IF(INT(IF($D250=H$3,装备表!$E248,"xxx")/10000)=1,IF($D250=H$3,装备表!$E248,"xxx")&amp;":2,1,1,"&amp;装备表!$O248&amp;";","xxx"),"xxx"))</f>
        <v>xxx</v>
      </c>
      <c r="I250" s="18" t="str">
        <f>IF(装备表!$O248=0,"xxx",IFERROR(IF(INT(IF($D250=I$3,装备表!$E248,"xxx")/10000)=1,IF($D250=I$3,装备表!$E248,"xxx")&amp;":2,1,1,"&amp;装备表!$O248&amp;";","xxx"),"xxx"))</f>
        <v>14852:2,1,1,10;</v>
      </c>
      <c r="J250" s="18" t="str">
        <f>IF(装备表!$O248=0,"xxx",IFERROR(IF(INT(IF($D250=J$3,装备表!$E248,"xxx")/10000)=3,IF($D250=J$3,装备表!$E248,"xxx")&amp;":2,1,1,"&amp;装备表!$O248&amp;";","xxx"),"xxx"))</f>
        <v>xxx</v>
      </c>
    </row>
    <row r="251" spans="3:10" x14ac:dyDescent="0.2">
      <c r="C251">
        <v>14853</v>
      </c>
      <c r="D251" s="18">
        <f>装备表!L249</f>
        <v>5</v>
      </c>
      <c r="E251" s="18" t="str">
        <f>IF(装备表!$O249=0,"xxx",IFERROR(IF(INT(IF($D251=E$3,装备表!$E249,"xxx")/10000)=1,IF($D251=E$3,装备表!$E249,"xxx")&amp;":2,1,1,"&amp;装备表!$O249&amp;";","xxx"),"xxx"))</f>
        <v>xxx</v>
      </c>
      <c r="F251" s="18" t="str">
        <f>IF(装备表!$O249=0,"xxx",IFERROR(IF(INT(IF($D251=F$3,装备表!$E249,"xxx")/10000)=1,IF($D251=F$3,装备表!$E249,"xxx")&amp;":2,1,1,"&amp;装备表!$O249&amp;";","xxx"),"xxx"))</f>
        <v>xxx</v>
      </c>
      <c r="G251" s="18" t="str">
        <f>IF(装备表!$O249=0,"xxx",IFERROR(IF(INT(IF($D251=G$3,装备表!$E249,"xxx")/10000)=1,IF($D251=G$3,装备表!$E249,"xxx")&amp;":2,1,1,"&amp;装备表!$O249&amp;";","xxx"),"xxx"))</f>
        <v>xxx</v>
      </c>
      <c r="H251" s="18" t="str">
        <f>IF(装备表!$O249=0,"xxx",IFERROR(IF(INT(IF($D251=H$3,装备表!$E249,"xxx")/10000)=1,IF($D251=H$3,装备表!$E249,"xxx")&amp;":2,1,1,"&amp;装备表!$O249&amp;";","xxx"),"xxx"))</f>
        <v>xxx</v>
      </c>
      <c r="I251" s="18" t="str">
        <f>IF(装备表!$O249=0,"xxx",IFERROR(IF(INT(IF($D251=I$3,装备表!$E249,"xxx")/10000)=1,IF($D251=I$3,装备表!$E249,"xxx")&amp;":2,1,1,"&amp;装备表!$O249&amp;";","xxx"),"xxx"))</f>
        <v>14853:2,1,1,10;</v>
      </c>
      <c r="J251" s="18" t="str">
        <f>IF(装备表!$O249=0,"xxx",IFERROR(IF(INT(IF($D251=J$3,装备表!$E249,"xxx")/10000)=3,IF($D251=J$3,装备表!$E249,"xxx")&amp;":2,1,1,"&amp;装备表!$O249&amp;";","xxx"),"xxx"))</f>
        <v>xxx</v>
      </c>
    </row>
    <row r="252" spans="3:10" x14ac:dyDescent="0.2">
      <c r="C252">
        <v>14854</v>
      </c>
      <c r="D252" s="18">
        <f>装备表!L250</f>
        <v>5</v>
      </c>
      <c r="E252" s="18" t="str">
        <f>IF(装备表!$O250=0,"xxx",IFERROR(IF(INT(IF($D252=E$3,装备表!$E250,"xxx")/10000)=1,IF($D252=E$3,装备表!$E250,"xxx")&amp;":2,1,1,"&amp;装备表!$O250&amp;";","xxx"),"xxx"))</f>
        <v>xxx</v>
      </c>
      <c r="F252" s="18" t="str">
        <f>IF(装备表!$O250=0,"xxx",IFERROR(IF(INT(IF($D252=F$3,装备表!$E250,"xxx")/10000)=1,IF($D252=F$3,装备表!$E250,"xxx")&amp;":2,1,1,"&amp;装备表!$O250&amp;";","xxx"),"xxx"))</f>
        <v>xxx</v>
      </c>
      <c r="G252" s="18" t="str">
        <f>IF(装备表!$O250=0,"xxx",IFERROR(IF(INT(IF($D252=G$3,装备表!$E250,"xxx")/10000)=1,IF($D252=G$3,装备表!$E250,"xxx")&amp;":2,1,1,"&amp;装备表!$O250&amp;";","xxx"),"xxx"))</f>
        <v>xxx</v>
      </c>
      <c r="H252" s="18" t="str">
        <f>IF(装备表!$O250=0,"xxx",IFERROR(IF(INT(IF($D252=H$3,装备表!$E250,"xxx")/10000)=1,IF($D252=H$3,装备表!$E250,"xxx")&amp;":2,1,1,"&amp;装备表!$O250&amp;";","xxx"),"xxx"))</f>
        <v>xxx</v>
      </c>
      <c r="I252" s="18" t="str">
        <f>IF(装备表!$O250=0,"xxx",IFERROR(IF(INT(IF($D252=I$3,装备表!$E250,"xxx")/10000)=1,IF($D252=I$3,装备表!$E250,"xxx")&amp;":2,1,1,"&amp;装备表!$O250&amp;";","xxx"),"xxx"))</f>
        <v>14854:2,1,1,10;</v>
      </c>
      <c r="J252" s="18" t="str">
        <f>IF(装备表!$O250=0,"xxx",IFERROR(IF(INT(IF($D252=J$3,装备表!$E250,"xxx")/10000)=3,IF($D252=J$3,装备表!$E250,"xxx")&amp;":2,1,1,"&amp;装备表!$O250&amp;";","xxx"),"xxx"))</f>
        <v>xxx</v>
      </c>
    </row>
    <row r="253" spans="3:10" x14ac:dyDescent="0.2">
      <c r="C253">
        <v>14855</v>
      </c>
      <c r="D253" s="18">
        <f>装备表!L251</f>
        <v>5</v>
      </c>
      <c r="E253" s="18" t="str">
        <f>IF(装备表!$O251=0,"xxx",IFERROR(IF(INT(IF($D253=E$3,装备表!$E251,"xxx")/10000)=1,IF($D253=E$3,装备表!$E251,"xxx")&amp;":2,1,1,"&amp;装备表!$O251&amp;";","xxx"),"xxx"))</f>
        <v>xxx</v>
      </c>
      <c r="F253" s="18" t="str">
        <f>IF(装备表!$O251=0,"xxx",IFERROR(IF(INT(IF($D253=F$3,装备表!$E251,"xxx")/10000)=1,IF($D253=F$3,装备表!$E251,"xxx")&amp;":2,1,1,"&amp;装备表!$O251&amp;";","xxx"),"xxx"))</f>
        <v>xxx</v>
      </c>
      <c r="G253" s="18" t="str">
        <f>IF(装备表!$O251=0,"xxx",IFERROR(IF(INT(IF($D253=G$3,装备表!$E251,"xxx")/10000)=1,IF($D253=G$3,装备表!$E251,"xxx")&amp;":2,1,1,"&amp;装备表!$O251&amp;";","xxx"),"xxx"))</f>
        <v>xxx</v>
      </c>
      <c r="H253" s="18" t="str">
        <f>IF(装备表!$O251=0,"xxx",IFERROR(IF(INT(IF($D253=H$3,装备表!$E251,"xxx")/10000)=1,IF($D253=H$3,装备表!$E251,"xxx")&amp;":2,1,1,"&amp;装备表!$O251&amp;";","xxx"),"xxx"))</f>
        <v>xxx</v>
      </c>
      <c r="I253" s="18" t="str">
        <f>IF(装备表!$O251=0,"xxx",IFERROR(IF(INT(IF($D253=I$3,装备表!$E251,"xxx")/10000)=1,IF($D253=I$3,装备表!$E251,"xxx")&amp;":2,1,1,"&amp;装备表!$O251&amp;";","xxx"),"xxx"))</f>
        <v>14855:2,1,1,10;</v>
      </c>
      <c r="J253" s="18" t="str">
        <f>IF(装备表!$O251=0,"xxx",IFERROR(IF(INT(IF($D253=J$3,装备表!$E251,"xxx")/10000)=3,IF($D253=J$3,装备表!$E251,"xxx")&amp;":2,1,1,"&amp;装备表!$O251&amp;";","xxx"),"xxx"))</f>
        <v>xxx</v>
      </c>
    </row>
    <row r="254" spans="3:10" x14ac:dyDescent="0.2">
      <c r="C254">
        <v>14856</v>
      </c>
      <c r="D254" s="18">
        <f>装备表!L252</f>
        <v>5</v>
      </c>
      <c r="E254" s="18" t="str">
        <f>IF(装备表!$O252=0,"xxx",IFERROR(IF(INT(IF($D254=E$3,装备表!$E252,"xxx")/10000)=1,IF($D254=E$3,装备表!$E252,"xxx")&amp;":2,1,1,"&amp;装备表!$O252&amp;";","xxx"),"xxx"))</f>
        <v>xxx</v>
      </c>
      <c r="F254" s="18" t="str">
        <f>IF(装备表!$O252=0,"xxx",IFERROR(IF(INT(IF($D254=F$3,装备表!$E252,"xxx")/10000)=1,IF($D254=F$3,装备表!$E252,"xxx")&amp;":2,1,1,"&amp;装备表!$O252&amp;";","xxx"),"xxx"))</f>
        <v>xxx</v>
      </c>
      <c r="G254" s="18" t="str">
        <f>IF(装备表!$O252=0,"xxx",IFERROR(IF(INT(IF($D254=G$3,装备表!$E252,"xxx")/10000)=1,IF($D254=G$3,装备表!$E252,"xxx")&amp;":2,1,1,"&amp;装备表!$O252&amp;";","xxx"),"xxx"))</f>
        <v>xxx</v>
      </c>
      <c r="H254" s="18" t="str">
        <f>IF(装备表!$O252=0,"xxx",IFERROR(IF(INT(IF($D254=H$3,装备表!$E252,"xxx")/10000)=1,IF($D254=H$3,装备表!$E252,"xxx")&amp;":2,1,1,"&amp;装备表!$O252&amp;";","xxx"),"xxx"))</f>
        <v>xxx</v>
      </c>
      <c r="I254" s="18" t="str">
        <f>IF(装备表!$O252=0,"xxx",IFERROR(IF(INT(IF($D254=I$3,装备表!$E252,"xxx")/10000)=1,IF($D254=I$3,装备表!$E252,"xxx")&amp;":2,1,1,"&amp;装备表!$O252&amp;";","xxx"),"xxx"))</f>
        <v>xxx</v>
      </c>
      <c r="J254" s="18" t="str">
        <f>IF(装备表!$O252=0,"xxx",IFERROR(IF(INT(IF($D254=J$3,装备表!$E252,"xxx")/10000)=3,IF($D254=J$3,装备表!$E252,"xxx")&amp;":2,1,1,"&amp;装备表!$O252&amp;";","xxx"),"xxx"))</f>
        <v>xxx</v>
      </c>
    </row>
    <row r="255" spans="3:10" x14ac:dyDescent="0.2">
      <c r="C255">
        <v>14857</v>
      </c>
      <c r="D255" s="18">
        <f>装备表!L253</f>
        <v>5</v>
      </c>
      <c r="E255" s="18" t="str">
        <f>IF(装备表!$O253=0,"xxx",IFERROR(IF(INT(IF($D255=E$3,装备表!$E253,"xxx")/10000)=1,IF($D255=E$3,装备表!$E253,"xxx")&amp;":2,1,1,"&amp;装备表!$O253&amp;";","xxx"),"xxx"))</f>
        <v>xxx</v>
      </c>
      <c r="F255" s="18" t="str">
        <f>IF(装备表!$O253=0,"xxx",IFERROR(IF(INT(IF($D255=F$3,装备表!$E253,"xxx")/10000)=1,IF($D255=F$3,装备表!$E253,"xxx")&amp;":2,1,1,"&amp;装备表!$O253&amp;";","xxx"),"xxx"))</f>
        <v>xxx</v>
      </c>
      <c r="G255" s="18" t="str">
        <f>IF(装备表!$O253=0,"xxx",IFERROR(IF(INT(IF($D255=G$3,装备表!$E253,"xxx")/10000)=1,IF($D255=G$3,装备表!$E253,"xxx")&amp;":2,1,1,"&amp;装备表!$O253&amp;";","xxx"),"xxx"))</f>
        <v>xxx</v>
      </c>
      <c r="H255" s="18" t="str">
        <f>IF(装备表!$O253=0,"xxx",IFERROR(IF(INT(IF($D255=H$3,装备表!$E253,"xxx")/10000)=1,IF($D255=H$3,装备表!$E253,"xxx")&amp;":2,1,1,"&amp;装备表!$O253&amp;";","xxx"),"xxx"))</f>
        <v>xxx</v>
      </c>
      <c r="I255" s="18" t="str">
        <f>IF(装备表!$O253=0,"xxx",IFERROR(IF(INT(IF($D255=I$3,装备表!$E253,"xxx")/10000)=1,IF($D255=I$3,装备表!$E253,"xxx")&amp;":2,1,1,"&amp;装备表!$O253&amp;";","xxx"),"xxx"))</f>
        <v>14857:2,1,1,10;</v>
      </c>
      <c r="J255" s="18" t="str">
        <f>IF(装备表!$O253=0,"xxx",IFERROR(IF(INT(IF($D255=J$3,装备表!$E253,"xxx")/10000)=3,IF($D255=J$3,装备表!$E253,"xxx")&amp;":2,1,1,"&amp;装备表!$O253&amp;";","xxx"),"xxx"))</f>
        <v>xxx</v>
      </c>
    </row>
    <row r="256" spans="3:10" x14ac:dyDescent="0.2">
      <c r="C256">
        <v>14858</v>
      </c>
      <c r="D256" s="18">
        <f>装备表!L254</f>
        <v>5</v>
      </c>
      <c r="E256" s="18" t="str">
        <f>IF(装备表!$O254=0,"xxx",IFERROR(IF(INT(IF($D256=E$3,装备表!$E254,"xxx")/10000)=1,IF($D256=E$3,装备表!$E254,"xxx")&amp;":2,1,1,"&amp;装备表!$O254&amp;";","xxx"),"xxx"))</f>
        <v>xxx</v>
      </c>
      <c r="F256" s="18" t="str">
        <f>IF(装备表!$O254=0,"xxx",IFERROR(IF(INT(IF($D256=F$3,装备表!$E254,"xxx")/10000)=1,IF($D256=F$3,装备表!$E254,"xxx")&amp;":2,1,1,"&amp;装备表!$O254&amp;";","xxx"),"xxx"))</f>
        <v>xxx</v>
      </c>
      <c r="G256" s="18" t="str">
        <f>IF(装备表!$O254=0,"xxx",IFERROR(IF(INT(IF($D256=G$3,装备表!$E254,"xxx")/10000)=1,IF($D256=G$3,装备表!$E254,"xxx")&amp;":2,1,1,"&amp;装备表!$O254&amp;";","xxx"),"xxx"))</f>
        <v>xxx</v>
      </c>
      <c r="H256" s="18" t="str">
        <f>IF(装备表!$O254=0,"xxx",IFERROR(IF(INT(IF($D256=H$3,装备表!$E254,"xxx")/10000)=1,IF($D256=H$3,装备表!$E254,"xxx")&amp;":2,1,1,"&amp;装备表!$O254&amp;";","xxx"),"xxx"))</f>
        <v>xxx</v>
      </c>
      <c r="I256" s="18" t="str">
        <f>IF(装备表!$O254=0,"xxx",IFERROR(IF(INT(IF($D256=I$3,装备表!$E254,"xxx")/10000)=1,IF($D256=I$3,装备表!$E254,"xxx")&amp;":2,1,1,"&amp;装备表!$O254&amp;";","xxx"),"xxx"))</f>
        <v>14858:2,1,1,10;</v>
      </c>
      <c r="J256" s="18" t="str">
        <f>IF(装备表!$O254=0,"xxx",IFERROR(IF(INT(IF($D256=J$3,装备表!$E254,"xxx")/10000)=3,IF($D256=J$3,装备表!$E254,"xxx")&amp;":2,1,1,"&amp;装备表!$O254&amp;";","xxx"),"xxx"))</f>
        <v>xxx</v>
      </c>
    </row>
    <row r="257" spans="3:10" x14ac:dyDescent="0.2">
      <c r="C257">
        <v>14859</v>
      </c>
      <c r="D257" s="18">
        <f>装备表!L255</f>
        <v>5</v>
      </c>
      <c r="E257" s="18" t="str">
        <f>IF(装备表!$O255=0,"xxx",IFERROR(IF(INT(IF($D257=E$3,装备表!$E255,"xxx")/10000)=1,IF($D257=E$3,装备表!$E255,"xxx")&amp;":2,1,1,"&amp;装备表!$O255&amp;";","xxx"),"xxx"))</f>
        <v>xxx</v>
      </c>
      <c r="F257" s="18" t="str">
        <f>IF(装备表!$O255=0,"xxx",IFERROR(IF(INT(IF($D257=F$3,装备表!$E255,"xxx")/10000)=1,IF($D257=F$3,装备表!$E255,"xxx")&amp;":2,1,1,"&amp;装备表!$O255&amp;";","xxx"),"xxx"))</f>
        <v>xxx</v>
      </c>
      <c r="G257" s="18" t="str">
        <f>IF(装备表!$O255=0,"xxx",IFERROR(IF(INT(IF($D257=G$3,装备表!$E255,"xxx")/10000)=1,IF($D257=G$3,装备表!$E255,"xxx")&amp;":2,1,1,"&amp;装备表!$O255&amp;";","xxx"),"xxx"))</f>
        <v>xxx</v>
      </c>
      <c r="H257" s="18" t="str">
        <f>IF(装备表!$O255=0,"xxx",IFERROR(IF(INT(IF($D257=H$3,装备表!$E255,"xxx")/10000)=1,IF($D257=H$3,装备表!$E255,"xxx")&amp;":2,1,1,"&amp;装备表!$O255&amp;";","xxx"),"xxx"))</f>
        <v>xxx</v>
      </c>
      <c r="I257" s="18" t="str">
        <f>IF(装备表!$O255=0,"xxx",IFERROR(IF(INT(IF($D257=I$3,装备表!$E255,"xxx")/10000)=1,IF($D257=I$3,装备表!$E255,"xxx")&amp;":2,1,1,"&amp;装备表!$O255&amp;";","xxx"),"xxx"))</f>
        <v>xxx</v>
      </c>
      <c r="J257" s="18" t="str">
        <f>IF(装备表!$O255=0,"xxx",IFERROR(IF(INT(IF($D257=J$3,装备表!$E255,"xxx")/10000)=3,IF($D257=J$3,装备表!$E255,"xxx")&amp;":2,1,1,"&amp;装备表!$O255&amp;";","xxx"),"xxx"))</f>
        <v>xxx</v>
      </c>
    </row>
    <row r="258" spans="3:10" x14ac:dyDescent="0.2">
      <c r="C258">
        <v>14860</v>
      </c>
      <c r="D258" s="18">
        <f>装备表!L256</f>
        <v>5</v>
      </c>
      <c r="E258" s="18" t="str">
        <f>IF(装备表!$O256=0,"xxx",IFERROR(IF(INT(IF($D258=E$3,装备表!$E256,"xxx")/10000)=1,IF($D258=E$3,装备表!$E256,"xxx")&amp;":2,1,1,"&amp;装备表!$O256&amp;";","xxx"),"xxx"))</f>
        <v>xxx</v>
      </c>
      <c r="F258" s="18" t="str">
        <f>IF(装备表!$O256=0,"xxx",IFERROR(IF(INT(IF($D258=F$3,装备表!$E256,"xxx")/10000)=1,IF($D258=F$3,装备表!$E256,"xxx")&amp;":2,1,1,"&amp;装备表!$O256&amp;";","xxx"),"xxx"))</f>
        <v>xxx</v>
      </c>
      <c r="G258" s="18" t="str">
        <f>IF(装备表!$O256=0,"xxx",IFERROR(IF(INT(IF($D258=G$3,装备表!$E256,"xxx")/10000)=1,IF($D258=G$3,装备表!$E256,"xxx")&amp;":2,1,1,"&amp;装备表!$O256&amp;";","xxx"),"xxx"))</f>
        <v>xxx</v>
      </c>
      <c r="H258" s="18" t="str">
        <f>IF(装备表!$O256=0,"xxx",IFERROR(IF(INT(IF($D258=H$3,装备表!$E256,"xxx")/10000)=1,IF($D258=H$3,装备表!$E256,"xxx")&amp;":2,1,1,"&amp;装备表!$O256&amp;";","xxx"),"xxx"))</f>
        <v>xxx</v>
      </c>
      <c r="I258" s="18" t="str">
        <f>IF(装备表!$O256=0,"xxx",IFERROR(IF(INT(IF($D258=I$3,装备表!$E256,"xxx")/10000)=1,IF($D258=I$3,装备表!$E256,"xxx")&amp;":2,1,1,"&amp;装备表!$O256&amp;";","xxx"),"xxx"))</f>
        <v>14860:2,1,1,10;</v>
      </c>
      <c r="J258" s="18" t="str">
        <f>IF(装备表!$O256=0,"xxx",IFERROR(IF(INT(IF($D258=J$3,装备表!$E256,"xxx")/10000)=3,IF($D258=J$3,装备表!$E256,"xxx")&amp;":2,1,1,"&amp;装备表!$O256&amp;";","xxx"),"xxx"))</f>
        <v>xxx</v>
      </c>
    </row>
    <row r="259" spans="3:10" x14ac:dyDescent="0.2">
      <c r="C259">
        <v>14861</v>
      </c>
      <c r="D259" s="18">
        <f>装备表!L257</f>
        <v>5</v>
      </c>
      <c r="E259" s="18" t="str">
        <f>IF(装备表!$O257=0,"xxx",IFERROR(IF(INT(IF($D259=E$3,装备表!$E257,"xxx")/10000)=1,IF($D259=E$3,装备表!$E257,"xxx")&amp;":2,1,1,"&amp;装备表!$O257&amp;";","xxx"),"xxx"))</f>
        <v>xxx</v>
      </c>
      <c r="F259" s="18" t="str">
        <f>IF(装备表!$O257=0,"xxx",IFERROR(IF(INT(IF($D259=F$3,装备表!$E257,"xxx")/10000)=1,IF($D259=F$3,装备表!$E257,"xxx")&amp;":2,1,1,"&amp;装备表!$O257&amp;";","xxx"),"xxx"))</f>
        <v>xxx</v>
      </c>
      <c r="G259" s="18" t="str">
        <f>IF(装备表!$O257=0,"xxx",IFERROR(IF(INT(IF($D259=G$3,装备表!$E257,"xxx")/10000)=1,IF($D259=G$3,装备表!$E257,"xxx")&amp;":2,1,1,"&amp;装备表!$O257&amp;";","xxx"),"xxx"))</f>
        <v>xxx</v>
      </c>
      <c r="H259" s="18" t="str">
        <f>IF(装备表!$O257=0,"xxx",IFERROR(IF(INT(IF($D259=H$3,装备表!$E257,"xxx")/10000)=1,IF($D259=H$3,装备表!$E257,"xxx")&amp;":2,1,1,"&amp;装备表!$O257&amp;";","xxx"),"xxx"))</f>
        <v>xxx</v>
      </c>
      <c r="I259" s="18" t="str">
        <f>IF(装备表!$O257=0,"xxx",IFERROR(IF(INT(IF($D259=I$3,装备表!$E257,"xxx")/10000)=1,IF($D259=I$3,装备表!$E257,"xxx")&amp;":2,1,1,"&amp;装备表!$O257&amp;";","xxx"),"xxx"))</f>
        <v>14861:2,1,1,10;</v>
      </c>
      <c r="J259" s="18" t="str">
        <f>IF(装备表!$O257=0,"xxx",IFERROR(IF(INT(IF($D259=J$3,装备表!$E257,"xxx")/10000)=3,IF($D259=J$3,装备表!$E257,"xxx")&amp;":2,1,1,"&amp;装备表!$O257&amp;";","xxx"),"xxx"))</f>
        <v>xxx</v>
      </c>
    </row>
    <row r="260" spans="3:10" x14ac:dyDescent="0.2">
      <c r="C260">
        <v>14862</v>
      </c>
      <c r="D260" s="18">
        <f>装备表!L258</f>
        <v>5</v>
      </c>
      <c r="E260" s="18" t="str">
        <f>IF(装备表!$O258=0,"xxx",IFERROR(IF(INT(IF($D260=E$3,装备表!$E258,"xxx")/10000)=1,IF($D260=E$3,装备表!$E258,"xxx")&amp;":2,1,1,"&amp;装备表!$O258&amp;";","xxx"),"xxx"))</f>
        <v>xxx</v>
      </c>
      <c r="F260" s="18" t="str">
        <f>IF(装备表!$O258=0,"xxx",IFERROR(IF(INT(IF($D260=F$3,装备表!$E258,"xxx")/10000)=1,IF($D260=F$3,装备表!$E258,"xxx")&amp;":2,1,1,"&amp;装备表!$O258&amp;";","xxx"),"xxx"))</f>
        <v>xxx</v>
      </c>
      <c r="G260" s="18" t="str">
        <f>IF(装备表!$O258=0,"xxx",IFERROR(IF(INT(IF($D260=G$3,装备表!$E258,"xxx")/10000)=1,IF($D260=G$3,装备表!$E258,"xxx")&amp;":2,1,1,"&amp;装备表!$O258&amp;";","xxx"),"xxx"))</f>
        <v>xxx</v>
      </c>
      <c r="H260" s="18" t="str">
        <f>IF(装备表!$O258=0,"xxx",IFERROR(IF(INT(IF($D260=H$3,装备表!$E258,"xxx")/10000)=1,IF($D260=H$3,装备表!$E258,"xxx")&amp;":2,1,1,"&amp;装备表!$O258&amp;";","xxx"),"xxx"))</f>
        <v>xxx</v>
      </c>
      <c r="I260" s="18" t="str">
        <f>IF(装备表!$O258=0,"xxx",IFERROR(IF(INT(IF($D260=I$3,装备表!$E258,"xxx")/10000)=1,IF($D260=I$3,装备表!$E258,"xxx")&amp;":2,1,1,"&amp;装备表!$O258&amp;";","xxx"),"xxx"))</f>
        <v>14862:2,1,1,10;</v>
      </c>
      <c r="J260" s="18" t="str">
        <f>IF(装备表!$O258=0,"xxx",IFERROR(IF(INT(IF($D260=J$3,装备表!$E258,"xxx")/10000)=3,IF($D260=J$3,装备表!$E258,"xxx")&amp;":2,1,1,"&amp;装备表!$O258&amp;";","xxx"),"xxx"))</f>
        <v>xxx</v>
      </c>
    </row>
    <row r="261" spans="3:10" x14ac:dyDescent="0.2">
      <c r="C261">
        <v>14863</v>
      </c>
      <c r="D261" s="18">
        <f>装备表!L259</f>
        <v>5</v>
      </c>
      <c r="E261" s="18" t="str">
        <f>IF(装备表!$O259=0,"xxx",IFERROR(IF(INT(IF($D261=E$3,装备表!$E259,"xxx")/10000)=1,IF($D261=E$3,装备表!$E259,"xxx")&amp;":2,1,1,"&amp;装备表!$O259&amp;";","xxx"),"xxx"))</f>
        <v>xxx</v>
      </c>
      <c r="F261" s="18" t="str">
        <f>IF(装备表!$O259=0,"xxx",IFERROR(IF(INT(IF($D261=F$3,装备表!$E259,"xxx")/10000)=1,IF($D261=F$3,装备表!$E259,"xxx")&amp;":2,1,1,"&amp;装备表!$O259&amp;";","xxx"),"xxx"))</f>
        <v>xxx</v>
      </c>
      <c r="G261" s="18" t="str">
        <f>IF(装备表!$O259=0,"xxx",IFERROR(IF(INT(IF($D261=G$3,装备表!$E259,"xxx")/10000)=1,IF($D261=G$3,装备表!$E259,"xxx")&amp;":2,1,1,"&amp;装备表!$O259&amp;";","xxx"),"xxx"))</f>
        <v>xxx</v>
      </c>
      <c r="H261" s="18" t="str">
        <f>IF(装备表!$O259=0,"xxx",IFERROR(IF(INT(IF($D261=H$3,装备表!$E259,"xxx")/10000)=1,IF($D261=H$3,装备表!$E259,"xxx")&amp;":2,1,1,"&amp;装备表!$O259&amp;";","xxx"),"xxx"))</f>
        <v>xxx</v>
      </c>
      <c r="I261" s="18" t="str">
        <f>IF(装备表!$O259=0,"xxx",IFERROR(IF(INT(IF($D261=I$3,装备表!$E259,"xxx")/10000)=1,IF($D261=I$3,装备表!$E259,"xxx")&amp;":2,1,1,"&amp;装备表!$O259&amp;";","xxx"),"xxx"))</f>
        <v>14863:2,1,1,10;</v>
      </c>
      <c r="J261" s="18" t="str">
        <f>IF(装备表!$O259=0,"xxx",IFERROR(IF(INT(IF($D261=J$3,装备表!$E259,"xxx")/10000)=3,IF($D261=J$3,装备表!$E259,"xxx")&amp;":2,1,1,"&amp;装备表!$O259&amp;";","xxx"),"xxx"))</f>
        <v>xxx</v>
      </c>
    </row>
    <row r="262" spans="3:10" x14ac:dyDescent="0.2">
      <c r="C262">
        <v>14864</v>
      </c>
      <c r="D262" s="18">
        <f>装备表!L260</f>
        <v>5</v>
      </c>
      <c r="E262" s="18" t="str">
        <f>IF(装备表!$O260=0,"xxx",IFERROR(IF(INT(IF($D262=E$3,装备表!$E260,"xxx")/10000)=1,IF($D262=E$3,装备表!$E260,"xxx")&amp;":2,1,1,"&amp;装备表!$O260&amp;";","xxx"),"xxx"))</f>
        <v>xxx</v>
      </c>
      <c r="F262" s="18" t="str">
        <f>IF(装备表!$O260=0,"xxx",IFERROR(IF(INT(IF($D262=F$3,装备表!$E260,"xxx")/10000)=1,IF($D262=F$3,装备表!$E260,"xxx")&amp;":2,1,1,"&amp;装备表!$O260&amp;";","xxx"),"xxx"))</f>
        <v>xxx</v>
      </c>
      <c r="G262" s="18" t="str">
        <f>IF(装备表!$O260=0,"xxx",IFERROR(IF(INT(IF($D262=G$3,装备表!$E260,"xxx")/10000)=1,IF($D262=G$3,装备表!$E260,"xxx")&amp;":2,1,1,"&amp;装备表!$O260&amp;";","xxx"),"xxx"))</f>
        <v>xxx</v>
      </c>
      <c r="H262" s="18" t="str">
        <f>IF(装备表!$O260=0,"xxx",IFERROR(IF(INT(IF($D262=H$3,装备表!$E260,"xxx")/10000)=1,IF($D262=H$3,装备表!$E260,"xxx")&amp;":2,1,1,"&amp;装备表!$O260&amp;";","xxx"),"xxx"))</f>
        <v>xxx</v>
      </c>
      <c r="I262" s="18" t="str">
        <f>IF(装备表!$O260=0,"xxx",IFERROR(IF(INT(IF($D262=I$3,装备表!$E260,"xxx")/10000)=1,IF($D262=I$3,装备表!$E260,"xxx")&amp;":2,1,1,"&amp;装备表!$O260&amp;";","xxx"),"xxx"))</f>
        <v>14864:2,1,1,10;</v>
      </c>
      <c r="J262" s="18" t="str">
        <f>IF(装备表!$O260=0,"xxx",IFERROR(IF(INT(IF($D262=J$3,装备表!$E260,"xxx")/10000)=3,IF($D262=J$3,装备表!$E260,"xxx")&amp;":2,1,1,"&amp;装备表!$O260&amp;";","xxx"),"xxx"))</f>
        <v>xxx</v>
      </c>
    </row>
    <row r="263" spans="3:10" x14ac:dyDescent="0.2">
      <c r="C263">
        <v>14865</v>
      </c>
      <c r="D263" s="18">
        <f>装备表!L261</f>
        <v>5</v>
      </c>
      <c r="E263" s="18" t="str">
        <f>IF(装备表!$O261=0,"xxx",IFERROR(IF(INT(IF($D263=E$3,装备表!$E261,"xxx")/10000)=1,IF($D263=E$3,装备表!$E261,"xxx")&amp;":2,1,1,"&amp;装备表!$O261&amp;";","xxx"),"xxx"))</f>
        <v>xxx</v>
      </c>
      <c r="F263" s="18" t="str">
        <f>IF(装备表!$O261=0,"xxx",IFERROR(IF(INT(IF($D263=F$3,装备表!$E261,"xxx")/10000)=1,IF($D263=F$3,装备表!$E261,"xxx")&amp;":2,1,1,"&amp;装备表!$O261&amp;";","xxx"),"xxx"))</f>
        <v>xxx</v>
      </c>
      <c r="G263" s="18" t="str">
        <f>IF(装备表!$O261=0,"xxx",IFERROR(IF(INT(IF($D263=G$3,装备表!$E261,"xxx")/10000)=1,IF($D263=G$3,装备表!$E261,"xxx")&amp;":2,1,1,"&amp;装备表!$O261&amp;";","xxx"),"xxx"))</f>
        <v>xxx</v>
      </c>
      <c r="H263" s="18" t="str">
        <f>IF(装备表!$O261=0,"xxx",IFERROR(IF(INT(IF($D263=H$3,装备表!$E261,"xxx")/10000)=1,IF($D263=H$3,装备表!$E261,"xxx")&amp;":2,1,1,"&amp;装备表!$O261&amp;";","xxx"),"xxx"))</f>
        <v>xxx</v>
      </c>
      <c r="I263" s="18" t="str">
        <f>IF(装备表!$O261=0,"xxx",IFERROR(IF(INT(IF($D263=I$3,装备表!$E261,"xxx")/10000)=1,IF($D263=I$3,装备表!$E261,"xxx")&amp;":2,1,1,"&amp;装备表!$O261&amp;";","xxx"),"xxx"))</f>
        <v>14865:2,1,1,10;</v>
      </c>
      <c r="J263" s="18" t="str">
        <f>IF(装备表!$O261=0,"xxx",IFERROR(IF(INT(IF($D263=J$3,装备表!$E261,"xxx")/10000)=3,IF($D263=J$3,装备表!$E261,"xxx")&amp;":2,1,1,"&amp;装备表!$O261&amp;";","xxx"),"xxx"))</f>
        <v>xxx</v>
      </c>
    </row>
    <row r="264" spans="3:10" x14ac:dyDescent="0.2">
      <c r="C264">
        <v>20001</v>
      </c>
      <c r="D264" s="18">
        <f>装备表!L310</f>
        <v>2</v>
      </c>
      <c r="E264" s="18" t="str">
        <f>IF(装备表!$O310=0,"xxx",IFERROR(IF(INT(IF($D264=E$3,装备表!$E310,"xxx")/10000)=1,IF($D264=E$3,装备表!$E310,"xxx")&amp;":2,1,1,"&amp;装备表!$O310&amp;";","xxx"),"xxx"))</f>
        <v>xxx</v>
      </c>
      <c r="F264" s="18" t="str">
        <f>IF(装备表!$O310=0,"xxx",IFERROR(IF(INT(IF($D264=F$3,装备表!$E310,"xxx")/10000)=1,IF($D264=F$3,装备表!$E310,"xxx")&amp;":2,1,1,"&amp;装备表!$O310&amp;";","xxx"),"xxx"))</f>
        <v>xxx</v>
      </c>
      <c r="G264" s="18" t="str">
        <f>IF(装备表!$O310=0,"xxx",IFERROR(IF(INT(IF($D264=G$3,装备表!$E310,"xxx")/10000)=1,IF($D264=G$3,装备表!$E310,"xxx")&amp;":2,1,1,"&amp;装备表!$O310&amp;";","xxx"),"xxx"))</f>
        <v>xxx</v>
      </c>
      <c r="H264" s="18" t="str">
        <f>IF(装备表!$O310=0,"xxx",IFERROR(IF(INT(IF($D264=H$3,装备表!$E310,"xxx")/10000)=1,IF($D264=H$3,装备表!$E310,"xxx")&amp;":2,1,1,"&amp;装备表!$O310&amp;";","xxx"),"xxx"))</f>
        <v>xxx</v>
      </c>
      <c r="I264" s="18" t="str">
        <f>IF(装备表!$O310=0,"xxx",IFERROR(IF(INT(IF($D264=I$3,装备表!$E310,"xxx")/10000)=1,IF($D264=I$3,装备表!$E310,"xxx")&amp;":2,1,1,"&amp;装备表!$O310&amp;";","xxx"),"xxx"))</f>
        <v>xxx</v>
      </c>
      <c r="J264" s="18" t="str">
        <f>IF(装备表!$O310=0,"xxx",IFERROR(IF(INT(IF($D264=J$3,装备表!$E310,"xxx")/10000)=3,IF($D264=J$3,装备表!$E310,"xxx")&amp;":2,1,1,"&amp;装备表!$O310&amp;";","xxx"),"xxx"))</f>
        <v>xxx</v>
      </c>
    </row>
    <row r="265" spans="3:10" x14ac:dyDescent="0.2">
      <c r="C265">
        <v>20002</v>
      </c>
      <c r="D265" s="18">
        <f>装备表!L311</f>
        <v>5</v>
      </c>
      <c r="E265" s="18" t="str">
        <f>IF(装备表!$O311=0,"xxx",IFERROR(IF(INT(IF($D265=E$3,装备表!$E311,"xxx")/10000)=1,IF($D265=E$3,装备表!$E311,"xxx")&amp;":2,1,1,"&amp;装备表!$O311&amp;";","xxx"),"xxx"))</f>
        <v>xxx</v>
      </c>
      <c r="F265" s="18" t="str">
        <f>IF(装备表!$O311=0,"xxx",IFERROR(IF(INT(IF($D265=F$3,装备表!$E311,"xxx")/10000)=1,IF($D265=F$3,装备表!$E311,"xxx")&amp;":2,1,1,"&amp;装备表!$O311&amp;";","xxx"),"xxx"))</f>
        <v>xxx</v>
      </c>
      <c r="G265" s="18" t="str">
        <f>IF(装备表!$O311=0,"xxx",IFERROR(IF(INT(IF($D265=G$3,装备表!$E311,"xxx")/10000)=1,IF($D265=G$3,装备表!$E311,"xxx")&amp;":2,1,1,"&amp;装备表!$O311&amp;";","xxx"),"xxx"))</f>
        <v>xxx</v>
      </c>
      <c r="H265" s="18" t="str">
        <f>IF(装备表!$O311=0,"xxx",IFERROR(IF(INT(IF($D265=H$3,装备表!$E311,"xxx")/10000)=1,IF($D265=H$3,装备表!$E311,"xxx")&amp;":2,1,1,"&amp;装备表!$O311&amp;";","xxx"),"xxx"))</f>
        <v>xxx</v>
      </c>
      <c r="I265" s="18" t="str">
        <f>IF(装备表!$O311=0,"xxx",IFERROR(IF(INT(IF($D265=I$3,装备表!$E311,"xxx")/10000)=1,IF($D265=I$3,装备表!$E311,"xxx")&amp;":2,1,1,"&amp;装备表!$O311&amp;";","xxx"),"xxx"))</f>
        <v>xxx</v>
      </c>
      <c r="J265" s="18" t="str">
        <f>IF(装备表!$O311=0,"xxx",IFERROR(IF(INT(IF($D265=J$3,装备表!$E311,"xxx")/10000)=3,IF($D265=J$3,装备表!$E311,"xxx")&amp;":2,1,1,"&amp;装备表!$O311&amp;";","xxx"),"xxx"))</f>
        <v>xxx</v>
      </c>
    </row>
    <row r="266" spans="3:10" x14ac:dyDescent="0.2">
      <c r="C266">
        <v>20003</v>
      </c>
      <c r="D266" s="18">
        <f>装备表!L312</f>
        <v>5</v>
      </c>
      <c r="E266" s="18" t="str">
        <f>IF(装备表!$O312=0,"xxx",IFERROR(IF(INT(IF($D266=E$3,装备表!$E312,"xxx")/10000)=1,IF($D266=E$3,装备表!$E312,"xxx")&amp;":2,1,1,"&amp;装备表!$O312&amp;";","xxx"),"xxx"))</f>
        <v>xxx</v>
      </c>
      <c r="F266" s="18" t="str">
        <f>IF(装备表!$O312=0,"xxx",IFERROR(IF(INT(IF($D266=F$3,装备表!$E312,"xxx")/10000)=1,IF($D266=F$3,装备表!$E312,"xxx")&amp;":2,1,1,"&amp;装备表!$O312&amp;";","xxx"),"xxx"))</f>
        <v>xxx</v>
      </c>
      <c r="G266" s="18" t="str">
        <f>IF(装备表!$O312=0,"xxx",IFERROR(IF(INT(IF($D266=G$3,装备表!$E312,"xxx")/10000)=1,IF($D266=G$3,装备表!$E312,"xxx")&amp;":2,1,1,"&amp;装备表!$O312&amp;";","xxx"),"xxx"))</f>
        <v>xxx</v>
      </c>
      <c r="H266" s="18" t="str">
        <f>IF(装备表!$O312=0,"xxx",IFERROR(IF(INT(IF($D266=H$3,装备表!$E312,"xxx")/10000)=1,IF($D266=H$3,装备表!$E312,"xxx")&amp;":2,1,1,"&amp;装备表!$O312&amp;";","xxx"),"xxx"))</f>
        <v>xxx</v>
      </c>
      <c r="I266" s="18" t="str">
        <f>IF(装备表!$O312=0,"xxx",IFERROR(IF(INT(IF($D266=I$3,装备表!$E312,"xxx")/10000)=1,IF($D266=I$3,装备表!$E312,"xxx")&amp;":2,1,1,"&amp;装备表!$O312&amp;";","xxx"),"xxx"))</f>
        <v>xxx</v>
      </c>
      <c r="J266" s="18" t="str">
        <f>IF(装备表!$O312=0,"xxx",IFERROR(IF(INT(IF($D266=J$3,装备表!$E312,"xxx")/10000)=3,IF($D266=J$3,装备表!$E312,"xxx")&amp;":2,1,1,"&amp;装备表!$O312&amp;";","xxx"),"xxx"))</f>
        <v>xxx</v>
      </c>
    </row>
    <row r="267" spans="3:10" x14ac:dyDescent="0.2">
      <c r="C267">
        <v>20004</v>
      </c>
      <c r="D267" s="18">
        <f>装备表!L313</f>
        <v>5</v>
      </c>
      <c r="E267" s="18" t="str">
        <f>IF(装备表!$O313=0,"xxx",IFERROR(IF(INT(IF($D267=E$3,装备表!$E313,"xxx")/10000)=1,IF($D267=E$3,装备表!$E313,"xxx")&amp;":2,1,1,"&amp;装备表!$O313&amp;";","xxx"),"xxx"))</f>
        <v>xxx</v>
      </c>
      <c r="F267" s="18" t="str">
        <f>IF(装备表!$O313=0,"xxx",IFERROR(IF(INT(IF($D267=F$3,装备表!$E313,"xxx")/10000)=1,IF($D267=F$3,装备表!$E313,"xxx")&amp;":2,1,1,"&amp;装备表!$O313&amp;";","xxx"),"xxx"))</f>
        <v>xxx</v>
      </c>
      <c r="G267" s="18" t="str">
        <f>IF(装备表!$O313=0,"xxx",IFERROR(IF(INT(IF($D267=G$3,装备表!$E313,"xxx")/10000)=1,IF($D267=G$3,装备表!$E313,"xxx")&amp;":2,1,1,"&amp;装备表!$O313&amp;";","xxx"),"xxx"))</f>
        <v>xxx</v>
      </c>
      <c r="H267" s="18" t="str">
        <f>IF(装备表!$O313=0,"xxx",IFERROR(IF(INT(IF($D267=H$3,装备表!$E313,"xxx")/10000)=1,IF($D267=H$3,装备表!$E313,"xxx")&amp;":2,1,1,"&amp;装备表!$O313&amp;";","xxx"),"xxx"))</f>
        <v>xxx</v>
      </c>
      <c r="I267" s="18" t="str">
        <f>IF(装备表!$O313=0,"xxx",IFERROR(IF(INT(IF($D267=I$3,装备表!$E313,"xxx")/10000)=1,IF($D267=I$3,装备表!$E313,"xxx")&amp;":2,1,1,"&amp;装备表!$O313&amp;";","xxx"),"xxx"))</f>
        <v>xxx</v>
      </c>
      <c r="J267" s="18" t="str">
        <f>IF(装备表!$O313=0,"xxx",IFERROR(IF(INT(IF($D267=J$3,装备表!$E313,"xxx")/10000)=3,IF($D267=J$3,装备表!$E313,"xxx")&amp;":2,1,1,"&amp;装备表!$O313&amp;";","xxx"),"xxx"))</f>
        <v>xxx</v>
      </c>
    </row>
    <row r="268" spans="3:10" x14ac:dyDescent="0.2">
      <c r="C268">
        <v>20005</v>
      </c>
      <c r="D268" s="18">
        <f>装备表!L314</f>
        <v>5</v>
      </c>
      <c r="E268" s="18" t="str">
        <f>IF(装备表!$O314=0,"xxx",IFERROR(IF(INT(IF($D268=E$3,装备表!$E314,"xxx")/10000)=1,IF($D268=E$3,装备表!$E314,"xxx")&amp;":2,1,1,"&amp;装备表!$O314&amp;";","xxx"),"xxx"))</f>
        <v>xxx</v>
      </c>
      <c r="F268" s="18" t="str">
        <f>IF(装备表!$O314=0,"xxx",IFERROR(IF(INT(IF($D268=F$3,装备表!$E314,"xxx")/10000)=1,IF($D268=F$3,装备表!$E314,"xxx")&amp;":2,1,1,"&amp;装备表!$O314&amp;";","xxx"),"xxx"))</f>
        <v>xxx</v>
      </c>
      <c r="G268" s="18" t="str">
        <f>IF(装备表!$O314=0,"xxx",IFERROR(IF(INT(IF($D268=G$3,装备表!$E314,"xxx")/10000)=1,IF($D268=G$3,装备表!$E314,"xxx")&amp;":2,1,1,"&amp;装备表!$O314&amp;";","xxx"),"xxx"))</f>
        <v>xxx</v>
      </c>
      <c r="H268" s="18" t="str">
        <f>IF(装备表!$O314=0,"xxx",IFERROR(IF(INT(IF($D268=H$3,装备表!$E314,"xxx")/10000)=1,IF($D268=H$3,装备表!$E314,"xxx")&amp;":2,1,1,"&amp;装备表!$O314&amp;";","xxx"),"xxx"))</f>
        <v>xxx</v>
      </c>
      <c r="I268" s="18" t="str">
        <f>IF(装备表!$O314=0,"xxx",IFERROR(IF(INT(IF($D268=I$3,装备表!$E314,"xxx")/10000)=1,IF($D268=I$3,装备表!$E314,"xxx")&amp;":2,1,1,"&amp;装备表!$O314&amp;";","xxx"),"xxx"))</f>
        <v>xxx</v>
      </c>
      <c r="J268" s="18" t="str">
        <f>IF(装备表!$O314=0,"xxx",IFERROR(IF(INT(IF($D268=J$3,装备表!$E314,"xxx")/10000)=3,IF($D268=J$3,装备表!$E314,"xxx")&amp;":2,1,1,"&amp;装备表!$O314&amp;";","xxx"),"xxx"))</f>
        <v>xxx</v>
      </c>
    </row>
    <row r="269" spans="3:10" x14ac:dyDescent="0.2">
      <c r="C269">
        <v>20006</v>
      </c>
      <c r="D269" s="18">
        <f>装备表!L315</f>
        <v>5</v>
      </c>
      <c r="E269" s="18" t="str">
        <f>IF(装备表!$O315=0,"xxx",IFERROR(IF(INT(IF($D269=E$3,装备表!$E315,"xxx")/10000)=1,IF($D269=E$3,装备表!$E315,"xxx")&amp;":2,1,1,"&amp;装备表!$O315&amp;";","xxx"),"xxx"))</f>
        <v>xxx</v>
      </c>
      <c r="F269" s="18" t="str">
        <f>IF(装备表!$O315=0,"xxx",IFERROR(IF(INT(IF($D269=F$3,装备表!$E315,"xxx")/10000)=1,IF($D269=F$3,装备表!$E315,"xxx")&amp;":2,1,1,"&amp;装备表!$O315&amp;";","xxx"),"xxx"))</f>
        <v>xxx</v>
      </c>
      <c r="G269" s="18" t="str">
        <f>IF(装备表!$O315=0,"xxx",IFERROR(IF(INT(IF($D269=G$3,装备表!$E315,"xxx")/10000)=1,IF($D269=G$3,装备表!$E315,"xxx")&amp;":2,1,1,"&amp;装备表!$O315&amp;";","xxx"),"xxx"))</f>
        <v>xxx</v>
      </c>
      <c r="H269" s="18" t="str">
        <f>IF(装备表!$O315=0,"xxx",IFERROR(IF(INT(IF($D269=H$3,装备表!$E315,"xxx")/10000)=1,IF($D269=H$3,装备表!$E315,"xxx")&amp;":2,1,1,"&amp;装备表!$O315&amp;";","xxx"),"xxx"))</f>
        <v>xxx</v>
      </c>
      <c r="I269" s="18" t="str">
        <f>IF(装备表!$O315=0,"xxx",IFERROR(IF(INT(IF($D269=I$3,装备表!$E315,"xxx")/10000)=1,IF($D269=I$3,装备表!$E315,"xxx")&amp;":2,1,1,"&amp;装备表!$O315&amp;";","xxx"),"xxx"))</f>
        <v>xxx</v>
      </c>
      <c r="J269" s="18" t="str">
        <f>IF(装备表!$O315=0,"xxx",IFERROR(IF(INT(IF($D269=J$3,装备表!$E315,"xxx")/10000)=3,IF($D269=J$3,装备表!$E315,"xxx")&amp;":2,1,1,"&amp;装备表!$O315&amp;";","xxx"),"xxx"))</f>
        <v>xxx</v>
      </c>
    </row>
    <row r="270" spans="3:10" x14ac:dyDescent="0.2">
      <c r="C270">
        <v>30001</v>
      </c>
      <c r="D270" s="18">
        <f>装备表!L322</f>
        <v>6</v>
      </c>
      <c r="E270" s="18" t="str">
        <f>IF(装备表!$O322=0,"xxx",IFERROR(IF(INT(IF($D270=E$3,装备表!$E322,"xxx")/10000)=1,IF($D270=E$3,装备表!$E322,"xxx")&amp;":2,1,1,"&amp;装备表!$O322&amp;";","xxx"),"xxx"))</f>
        <v>xxx</v>
      </c>
      <c r="F270" s="18" t="str">
        <f>IF(装备表!$O322=0,"xxx",IFERROR(IF(INT(IF($D270=F$3,装备表!$E322,"xxx")/10000)=1,IF($D270=F$3,装备表!$E322,"xxx")&amp;":2,1,1,"&amp;装备表!$O322&amp;";","xxx"),"xxx"))</f>
        <v>xxx</v>
      </c>
      <c r="G270" s="18" t="str">
        <f>IF(装备表!$O322=0,"xxx",IFERROR(IF(INT(IF($D270=G$3,装备表!$E322,"xxx")/10000)=1,IF($D270=G$3,装备表!$E322,"xxx")&amp;":2,1,1,"&amp;装备表!$O322&amp;";","xxx"),"xxx"))</f>
        <v>xxx</v>
      </c>
      <c r="H270" s="18" t="str">
        <f>IF(装备表!$O322=0,"xxx",IFERROR(IF(INT(IF($D270=H$3,装备表!$E322,"xxx")/10000)=1,IF($D270=H$3,装备表!$E322,"xxx")&amp;":2,1,1,"&amp;装备表!$O322&amp;";","xxx"),"xxx"))</f>
        <v>xxx</v>
      </c>
      <c r="I270" s="18" t="str">
        <f>IF(装备表!$O322=0,"xxx",IFERROR(IF(INT(IF($D270=I$3,装备表!$E322,"xxx")/10000)=1,IF($D270=I$3,装备表!$E322,"xxx")&amp;":2,1,1,"&amp;装备表!$O322&amp;";","xxx"),"xxx"))</f>
        <v>xxx</v>
      </c>
      <c r="J270" s="18" t="str">
        <f>IF(装备表!$O322=0,"xxx",IFERROR(IF(INT(IF($D270=J$3,装备表!$E322,"xxx")/10000)=3,IF($D270=J$3,装备表!$E322,"xxx")&amp;":2,1,1,"&amp;装备表!$O322&amp;";","xxx"),"xxx"))</f>
        <v>30001:2,1,1,5;</v>
      </c>
    </row>
    <row r="271" spans="3:10" x14ac:dyDescent="0.2">
      <c r="C271">
        <v>30002</v>
      </c>
      <c r="D271" s="18">
        <f>装备表!L323</f>
        <v>6</v>
      </c>
      <c r="E271" s="18" t="str">
        <f>IF(装备表!$O323=0,"xxx",IFERROR(IF(INT(IF($D271=E$3,装备表!$E323,"xxx")/10000)=1,IF($D271=E$3,装备表!$E323,"xxx")&amp;":2,1,1,"&amp;装备表!$O323&amp;";","xxx"),"xxx"))</f>
        <v>xxx</v>
      </c>
      <c r="F271" s="18" t="str">
        <f>IF(装备表!$O323=0,"xxx",IFERROR(IF(INT(IF($D271=F$3,装备表!$E323,"xxx")/10000)=1,IF($D271=F$3,装备表!$E323,"xxx")&amp;":2,1,1,"&amp;装备表!$O323&amp;";","xxx"),"xxx"))</f>
        <v>xxx</v>
      </c>
      <c r="G271" s="18" t="str">
        <f>IF(装备表!$O323=0,"xxx",IFERROR(IF(INT(IF($D271=G$3,装备表!$E323,"xxx")/10000)=1,IF($D271=G$3,装备表!$E323,"xxx")&amp;":2,1,1,"&amp;装备表!$O323&amp;";","xxx"),"xxx"))</f>
        <v>xxx</v>
      </c>
      <c r="H271" s="18" t="str">
        <f>IF(装备表!$O323=0,"xxx",IFERROR(IF(INT(IF($D271=H$3,装备表!$E323,"xxx")/10000)=1,IF($D271=H$3,装备表!$E323,"xxx")&amp;":2,1,1,"&amp;装备表!$O323&amp;";","xxx"),"xxx"))</f>
        <v>xxx</v>
      </c>
      <c r="I271" s="18" t="str">
        <f>IF(装备表!$O323=0,"xxx",IFERROR(IF(INT(IF($D271=I$3,装备表!$E323,"xxx")/10000)=1,IF($D271=I$3,装备表!$E323,"xxx")&amp;":2,1,1,"&amp;装备表!$O323&amp;";","xxx"),"xxx"))</f>
        <v>xxx</v>
      </c>
      <c r="J271" s="18" t="str">
        <f>IF(装备表!$O323=0,"xxx",IFERROR(IF(INT(IF($D271=J$3,装备表!$E323,"xxx")/10000)=3,IF($D271=J$3,装备表!$E323,"xxx")&amp;":2,1,1,"&amp;装备表!$O323&amp;";","xxx"),"xxx"))</f>
        <v>30002:2,1,1,5;</v>
      </c>
    </row>
    <row r="272" spans="3:10" x14ac:dyDescent="0.2">
      <c r="C272">
        <v>30003</v>
      </c>
      <c r="D272" s="18">
        <f>装备表!L324</f>
        <v>6</v>
      </c>
      <c r="E272" s="18" t="str">
        <f>IF(装备表!$O324=0,"xxx",IFERROR(IF(INT(IF($D272=E$3,装备表!$E324,"xxx")/10000)=1,IF($D272=E$3,装备表!$E324,"xxx")&amp;":2,1,1,"&amp;装备表!$O324&amp;";","xxx"),"xxx"))</f>
        <v>xxx</v>
      </c>
      <c r="F272" s="18" t="str">
        <f>IF(装备表!$O324=0,"xxx",IFERROR(IF(INT(IF($D272=F$3,装备表!$E324,"xxx")/10000)=1,IF($D272=F$3,装备表!$E324,"xxx")&amp;":2,1,1,"&amp;装备表!$O324&amp;";","xxx"),"xxx"))</f>
        <v>xxx</v>
      </c>
      <c r="G272" s="18" t="str">
        <f>IF(装备表!$O324=0,"xxx",IFERROR(IF(INT(IF($D272=G$3,装备表!$E324,"xxx")/10000)=1,IF($D272=G$3,装备表!$E324,"xxx")&amp;":2,1,1,"&amp;装备表!$O324&amp;";","xxx"),"xxx"))</f>
        <v>xxx</v>
      </c>
      <c r="H272" s="18" t="str">
        <f>IF(装备表!$O324=0,"xxx",IFERROR(IF(INT(IF($D272=H$3,装备表!$E324,"xxx")/10000)=1,IF($D272=H$3,装备表!$E324,"xxx")&amp;":2,1,1,"&amp;装备表!$O324&amp;";","xxx"),"xxx"))</f>
        <v>xxx</v>
      </c>
      <c r="I272" s="18" t="str">
        <f>IF(装备表!$O324=0,"xxx",IFERROR(IF(INT(IF($D272=I$3,装备表!$E324,"xxx")/10000)=1,IF($D272=I$3,装备表!$E324,"xxx")&amp;":2,1,1,"&amp;装备表!$O324&amp;";","xxx"),"xxx"))</f>
        <v>xxx</v>
      </c>
      <c r="J272" s="18" t="str">
        <f>IF(装备表!$O324=0,"xxx",IFERROR(IF(INT(IF($D272=J$3,装备表!$E324,"xxx")/10000)=3,IF($D272=J$3,装备表!$E324,"xxx")&amp;":2,1,1,"&amp;装备表!$O324&amp;";","xxx"),"xxx"))</f>
        <v>30003:2,1,1,5;</v>
      </c>
    </row>
    <row r="273" spans="3:10" x14ac:dyDescent="0.2">
      <c r="C273">
        <v>30004</v>
      </c>
      <c r="D273" s="18">
        <f>装备表!L325</f>
        <v>6</v>
      </c>
      <c r="E273" s="18" t="str">
        <f>IF(装备表!$O325=0,"xxx",IFERROR(IF(INT(IF($D273=E$3,装备表!$E325,"xxx")/10000)=1,IF($D273=E$3,装备表!$E325,"xxx")&amp;":2,1,1,"&amp;装备表!$O325&amp;";","xxx"),"xxx"))</f>
        <v>xxx</v>
      </c>
      <c r="F273" s="18" t="str">
        <f>IF(装备表!$O325=0,"xxx",IFERROR(IF(INT(IF($D273=F$3,装备表!$E325,"xxx")/10000)=1,IF($D273=F$3,装备表!$E325,"xxx")&amp;":2,1,1,"&amp;装备表!$O325&amp;";","xxx"),"xxx"))</f>
        <v>xxx</v>
      </c>
      <c r="G273" s="18" t="str">
        <f>IF(装备表!$O325=0,"xxx",IFERROR(IF(INT(IF($D273=G$3,装备表!$E325,"xxx")/10000)=1,IF($D273=G$3,装备表!$E325,"xxx")&amp;":2,1,1,"&amp;装备表!$O325&amp;";","xxx"),"xxx"))</f>
        <v>xxx</v>
      </c>
      <c r="H273" s="18" t="str">
        <f>IF(装备表!$O325=0,"xxx",IFERROR(IF(INT(IF($D273=H$3,装备表!$E325,"xxx")/10000)=1,IF($D273=H$3,装备表!$E325,"xxx")&amp;":2,1,1,"&amp;装备表!$O325&amp;";","xxx"),"xxx"))</f>
        <v>xxx</v>
      </c>
      <c r="I273" s="18" t="str">
        <f>IF(装备表!$O325=0,"xxx",IFERROR(IF(INT(IF($D273=I$3,装备表!$E325,"xxx")/10000)=1,IF($D273=I$3,装备表!$E325,"xxx")&amp;":2,1,1,"&amp;装备表!$O325&amp;";","xxx"),"xxx"))</f>
        <v>xxx</v>
      </c>
      <c r="J273" s="18" t="str">
        <f>IF(装备表!$O325=0,"xxx",IFERROR(IF(INT(IF($D273=J$3,装备表!$E325,"xxx")/10000)=3,IF($D273=J$3,装备表!$E325,"xxx")&amp;":2,1,1,"&amp;装备表!$O325&amp;";","xxx"),"xxx"))</f>
        <v>30004:2,1,1,5;</v>
      </c>
    </row>
    <row r="274" spans="3:10" x14ac:dyDescent="0.2">
      <c r="C274">
        <v>30005</v>
      </c>
      <c r="D274" s="18">
        <f>装备表!L326</f>
        <v>6</v>
      </c>
      <c r="E274" s="18" t="str">
        <f>IF(装备表!$O326=0,"xxx",IFERROR(IF(INT(IF($D274=E$3,装备表!$E326,"xxx")/10000)=1,IF($D274=E$3,装备表!$E326,"xxx")&amp;":2,1,1,"&amp;装备表!$O326&amp;";","xxx"),"xxx"))</f>
        <v>xxx</v>
      </c>
      <c r="F274" s="18" t="str">
        <f>IF(装备表!$O326=0,"xxx",IFERROR(IF(INT(IF($D274=F$3,装备表!$E326,"xxx")/10000)=1,IF($D274=F$3,装备表!$E326,"xxx")&amp;":2,1,1,"&amp;装备表!$O326&amp;";","xxx"),"xxx"))</f>
        <v>xxx</v>
      </c>
      <c r="G274" s="18" t="str">
        <f>IF(装备表!$O326=0,"xxx",IFERROR(IF(INT(IF($D274=G$3,装备表!$E326,"xxx")/10000)=1,IF($D274=G$3,装备表!$E326,"xxx")&amp;":2,1,1,"&amp;装备表!$O326&amp;";","xxx"),"xxx"))</f>
        <v>xxx</v>
      </c>
      <c r="H274" s="18" t="str">
        <f>IF(装备表!$O326=0,"xxx",IFERROR(IF(INT(IF($D274=H$3,装备表!$E326,"xxx")/10000)=1,IF($D274=H$3,装备表!$E326,"xxx")&amp;":2,1,1,"&amp;装备表!$O326&amp;";","xxx"),"xxx"))</f>
        <v>xxx</v>
      </c>
      <c r="I274" s="18" t="str">
        <f>IF(装备表!$O326=0,"xxx",IFERROR(IF(INT(IF($D274=I$3,装备表!$E326,"xxx")/10000)=1,IF($D274=I$3,装备表!$E326,"xxx")&amp;":2,1,1,"&amp;装备表!$O326&amp;";","xxx"),"xxx"))</f>
        <v>xxx</v>
      </c>
      <c r="J274" s="18" t="str">
        <f>IF(装备表!$O326=0,"xxx",IFERROR(IF(INT(IF($D274=J$3,装备表!$E326,"xxx")/10000)=3,IF($D274=J$3,装备表!$E326,"xxx")&amp;":2,1,1,"&amp;装备表!$O326&amp;";","xxx"),"xxx"))</f>
        <v>30005:2,1,1,5;</v>
      </c>
    </row>
    <row r="275" spans="3:10" x14ac:dyDescent="0.2">
      <c r="C275">
        <v>30006</v>
      </c>
      <c r="D275" s="18">
        <f>装备表!L327</f>
        <v>6</v>
      </c>
      <c r="E275" s="18" t="str">
        <f>IF(装备表!$O327=0,"xxx",IFERROR(IF(INT(IF($D275=E$3,装备表!$E327,"xxx")/10000)=1,IF($D275=E$3,装备表!$E327,"xxx")&amp;":2,1,1,"&amp;装备表!$O327&amp;";","xxx"),"xxx"))</f>
        <v>xxx</v>
      </c>
      <c r="F275" s="18" t="str">
        <f>IF(装备表!$O327=0,"xxx",IFERROR(IF(INT(IF($D275=F$3,装备表!$E327,"xxx")/10000)=1,IF($D275=F$3,装备表!$E327,"xxx")&amp;":2,1,1,"&amp;装备表!$O327&amp;";","xxx"),"xxx"))</f>
        <v>xxx</v>
      </c>
      <c r="G275" s="18" t="str">
        <f>IF(装备表!$O327=0,"xxx",IFERROR(IF(INT(IF($D275=G$3,装备表!$E327,"xxx")/10000)=1,IF($D275=G$3,装备表!$E327,"xxx")&amp;":2,1,1,"&amp;装备表!$O327&amp;";","xxx"),"xxx"))</f>
        <v>xxx</v>
      </c>
      <c r="H275" s="18" t="str">
        <f>IF(装备表!$O327=0,"xxx",IFERROR(IF(INT(IF($D275=H$3,装备表!$E327,"xxx")/10000)=1,IF($D275=H$3,装备表!$E327,"xxx")&amp;":2,1,1,"&amp;装备表!$O327&amp;";","xxx"),"xxx"))</f>
        <v>xxx</v>
      </c>
      <c r="I275" s="18" t="str">
        <f>IF(装备表!$O327=0,"xxx",IFERROR(IF(INT(IF($D275=I$3,装备表!$E327,"xxx")/10000)=1,IF($D275=I$3,装备表!$E327,"xxx")&amp;":2,1,1,"&amp;装备表!$O327&amp;";","xxx"),"xxx"))</f>
        <v>xxx</v>
      </c>
      <c r="J275" s="18" t="str">
        <f>IF(装备表!$O327=0,"xxx",IFERROR(IF(INT(IF($D275=J$3,装备表!$E327,"xxx")/10000)=3,IF($D275=J$3,装备表!$E327,"xxx")&amp;":2,1,1,"&amp;装备表!$O327&amp;";","xxx"),"xxx"))</f>
        <v>30006:2,1,1,5;</v>
      </c>
    </row>
    <row r="276" spans="3:10" x14ac:dyDescent="0.2">
      <c r="C276">
        <v>30007</v>
      </c>
      <c r="D276" s="18">
        <f>装备表!L328</f>
        <v>6</v>
      </c>
      <c r="E276" s="18" t="str">
        <f>IF(装备表!$O328=0,"xxx",IFERROR(IF(INT(IF($D276=E$3,装备表!$E328,"xxx")/10000)=1,IF($D276=E$3,装备表!$E328,"xxx")&amp;":2,1,1,"&amp;装备表!$O328&amp;";","xxx"),"xxx"))</f>
        <v>xxx</v>
      </c>
      <c r="F276" s="18" t="str">
        <f>IF(装备表!$O328=0,"xxx",IFERROR(IF(INT(IF($D276=F$3,装备表!$E328,"xxx")/10000)=1,IF($D276=F$3,装备表!$E328,"xxx")&amp;":2,1,1,"&amp;装备表!$O328&amp;";","xxx"),"xxx"))</f>
        <v>xxx</v>
      </c>
      <c r="G276" s="18" t="str">
        <f>IF(装备表!$O328=0,"xxx",IFERROR(IF(INT(IF($D276=G$3,装备表!$E328,"xxx")/10000)=1,IF($D276=G$3,装备表!$E328,"xxx")&amp;":2,1,1,"&amp;装备表!$O328&amp;";","xxx"),"xxx"))</f>
        <v>xxx</v>
      </c>
      <c r="H276" s="18" t="str">
        <f>IF(装备表!$O328=0,"xxx",IFERROR(IF(INT(IF($D276=H$3,装备表!$E328,"xxx")/10000)=1,IF($D276=H$3,装备表!$E328,"xxx")&amp;":2,1,1,"&amp;装备表!$O328&amp;";","xxx"),"xxx"))</f>
        <v>xxx</v>
      </c>
      <c r="I276" s="18" t="str">
        <f>IF(装备表!$O328=0,"xxx",IFERROR(IF(INT(IF($D276=I$3,装备表!$E328,"xxx")/10000)=1,IF($D276=I$3,装备表!$E328,"xxx")&amp;":2,1,1,"&amp;装备表!$O328&amp;";","xxx"),"xxx"))</f>
        <v>xxx</v>
      </c>
      <c r="J276" s="18" t="str">
        <f>IF(装备表!$O328=0,"xxx",IFERROR(IF(INT(IF($D276=J$3,装备表!$E328,"xxx")/10000)=3,IF($D276=J$3,装备表!$E328,"xxx")&amp;":2,1,1,"&amp;装备表!$O328&amp;";","xxx"),"xxx"))</f>
        <v>30007:2,1,1,5;</v>
      </c>
    </row>
    <row r="277" spans="3:10" x14ac:dyDescent="0.2">
      <c r="C277">
        <v>30008</v>
      </c>
      <c r="D277" s="18">
        <f>装备表!L329</f>
        <v>6</v>
      </c>
      <c r="E277" s="18" t="str">
        <f>IF(装备表!$O329=0,"xxx",IFERROR(IF(INT(IF($D277=E$3,装备表!$E329,"xxx")/10000)=1,IF($D277=E$3,装备表!$E329,"xxx")&amp;":2,1,1,"&amp;装备表!$O329&amp;";","xxx"),"xxx"))</f>
        <v>xxx</v>
      </c>
      <c r="F277" s="18" t="str">
        <f>IF(装备表!$O329=0,"xxx",IFERROR(IF(INT(IF($D277=F$3,装备表!$E329,"xxx")/10000)=1,IF($D277=F$3,装备表!$E329,"xxx")&amp;":2,1,1,"&amp;装备表!$O329&amp;";","xxx"),"xxx"))</f>
        <v>xxx</v>
      </c>
      <c r="G277" s="18" t="str">
        <f>IF(装备表!$O329=0,"xxx",IFERROR(IF(INT(IF($D277=G$3,装备表!$E329,"xxx")/10000)=1,IF($D277=G$3,装备表!$E329,"xxx")&amp;":2,1,1,"&amp;装备表!$O329&amp;";","xxx"),"xxx"))</f>
        <v>xxx</v>
      </c>
      <c r="H277" s="18" t="str">
        <f>IF(装备表!$O329=0,"xxx",IFERROR(IF(INT(IF($D277=H$3,装备表!$E329,"xxx")/10000)=1,IF($D277=H$3,装备表!$E329,"xxx")&amp;":2,1,1,"&amp;装备表!$O329&amp;";","xxx"),"xxx"))</f>
        <v>xxx</v>
      </c>
      <c r="I277" s="18" t="str">
        <f>IF(装备表!$O329=0,"xxx",IFERROR(IF(INT(IF($D277=I$3,装备表!$E329,"xxx")/10000)=1,IF($D277=I$3,装备表!$E329,"xxx")&amp;":2,1,1,"&amp;装备表!$O329&amp;";","xxx"),"xxx"))</f>
        <v>xxx</v>
      </c>
      <c r="J277" s="18" t="str">
        <f>IF(装备表!$O329=0,"xxx",IFERROR(IF(INT(IF($D277=J$3,装备表!$E329,"xxx")/10000)=3,IF($D277=J$3,装备表!$E329,"xxx")&amp;":2,1,1,"&amp;装备表!$O329&amp;";","xxx"),"xxx"))</f>
        <v>30008:2,1,1,5;</v>
      </c>
    </row>
    <row r="278" spans="3:10" x14ac:dyDescent="0.2">
      <c r="C278">
        <v>30009</v>
      </c>
      <c r="D278" s="18">
        <f>装备表!L330</f>
        <v>6</v>
      </c>
      <c r="E278" s="18" t="str">
        <f>IF(装备表!$O330=0,"xxx",IFERROR(IF(INT(IF($D278=E$3,装备表!$E330,"xxx")/10000)=1,IF($D278=E$3,装备表!$E330,"xxx")&amp;":2,1,1,"&amp;装备表!$O330&amp;";","xxx"),"xxx"))</f>
        <v>xxx</v>
      </c>
      <c r="F278" s="18" t="str">
        <f>IF(装备表!$O330=0,"xxx",IFERROR(IF(INT(IF($D278=F$3,装备表!$E330,"xxx")/10000)=1,IF($D278=F$3,装备表!$E330,"xxx")&amp;":2,1,1,"&amp;装备表!$O330&amp;";","xxx"),"xxx"))</f>
        <v>xxx</v>
      </c>
      <c r="G278" s="18" t="str">
        <f>IF(装备表!$O330=0,"xxx",IFERROR(IF(INT(IF($D278=G$3,装备表!$E330,"xxx")/10000)=1,IF($D278=G$3,装备表!$E330,"xxx")&amp;":2,1,1,"&amp;装备表!$O330&amp;";","xxx"),"xxx"))</f>
        <v>xxx</v>
      </c>
      <c r="H278" s="18" t="str">
        <f>IF(装备表!$O330=0,"xxx",IFERROR(IF(INT(IF($D278=H$3,装备表!$E330,"xxx")/10000)=1,IF($D278=H$3,装备表!$E330,"xxx")&amp;":2,1,1,"&amp;装备表!$O330&amp;";","xxx"),"xxx"))</f>
        <v>xxx</v>
      </c>
      <c r="I278" s="18" t="str">
        <f>IF(装备表!$O330=0,"xxx",IFERROR(IF(INT(IF($D278=I$3,装备表!$E330,"xxx")/10000)=1,IF($D278=I$3,装备表!$E330,"xxx")&amp;":2,1,1,"&amp;装备表!$O330&amp;";","xxx"),"xxx"))</f>
        <v>xxx</v>
      </c>
      <c r="J278" s="18" t="str">
        <f>IF(装备表!$O330=0,"xxx",IFERROR(IF(INT(IF($D278=J$3,装备表!$E330,"xxx")/10000)=3,IF($D278=J$3,装备表!$E330,"xxx")&amp;":2,1,1,"&amp;装备表!$O330&amp;";","xxx"),"xxx"))</f>
        <v>30009:2,1,1,5;</v>
      </c>
    </row>
    <row r="279" spans="3:10" x14ac:dyDescent="0.2">
      <c r="C279">
        <v>30010</v>
      </c>
      <c r="D279" s="18">
        <f>装备表!L331</f>
        <v>6</v>
      </c>
      <c r="E279" s="18" t="str">
        <f>IF(装备表!$O331=0,"xxx",IFERROR(IF(INT(IF($D279=E$3,装备表!$E331,"xxx")/10000)=1,IF($D279=E$3,装备表!$E331,"xxx")&amp;":2,1,1,"&amp;装备表!$O331&amp;";","xxx"),"xxx"))</f>
        <v>xxx</v>
      </c>
      <c r="F279" s="18" t="str">
        <f>IF(装备表!$O331=0,"xxx",IFERROR(IF(INT(IF($D279=F$3,装备表!$E331,"xxx")/10000)=1,IF($D279=F$3,装备表!$E331,"xxx")&amp;":2,1,1,"&amp;装备表!$O331&amp;";","xxx"),"xxx"))</f>
        <v>xxx</v>
      </c>
      <c r="G279" s="18" t="str">
        <f>IF(装备表!$O331=0,"xxx",IFERROR(IF(INT(IF($D279=G$3,装备表!$E331,"xxx")/10000)=1,IF($D279=G$3,装备表!$E331,"xxx")&amp;":2,1,1,"&amp;装备表!$O331&amp;";","xxx"),"xxx"))</f>
        <v>xxx</v>
      </c>
      <c r="H279" s="18" t="str">
        <f>IF(装备表!$O331=0,"xxx",IFERROR(IF(INT(IF($D279=H$3,装备表!$E331,"xxx")/10000)=1,IF($D279=H$3,装备表!$E331,"xxx")&amp;":2,1,1,"&amp;装备表!$O331&amp;";","xxx"),"xxx"))</f>
        <v>xxx</v>
      </c>
      <c r="I279" s="18" t="str">
        <f>IF(装备表!$O331=0,"xxx",IFERROR(IF(INT(IF($D279=I$3,装备表!$E331,"xxx")/10000)=1,IF($D279=I$3,装备表!$E331,"xxx")&amp;":2,1,1,"&amp;装备表!$O331&amp;";","xxx"),"xxx"))</f>
        <v>xxx</v>
      </c>
      <c r="J279" s="18" t="str">
        <f>IF(装备表!$O331=0,"xxx",IFERROR(IF(INT(IF($D279=J$3,装备表!$E331,"xxx")/10000)=3,IF($D279=J$3,装备表!$E331,"xxx")&amp;":2,1,1,"&amp;装备表!$O331&amp;";","xxx"),"xxx"))</f>
        <v>30010:2,1,1,5;</v>
      </c>
    </row>
    <row r="280" spans="3:10" x14ac:dyDescent="0.2">
      <c r="C280">
        <v>30011</v>
      </c>
      <c r="D280" s="18">
        <f>装备表!L332</f>
        <v>6</v>
      </c>
      <c r="E280" s="18" t="str">
        <f>IF(装备表!$O332=0,"xxx",IFERROR(IF(INT(IF($D280=E$3,装备表!$E332,"xxx")/10000)=1,IF($D280=E$3,装备表!$E332,"xxx")&amp;":2,1,1,"&amp;装备表!$O332&amp;";","xxx"),"xxx"))</f>
        <v>xxx</v>
      </c>
      <c r="F280" s="18" t="str">
        <f>IF(装备表!$O332=0,"xxx",IFERROR(IF(INT(IF($D280=F$3,装备表!$E332,"xxx")/10000)=1,IF($D280=F$3,装备表!$E332,"xxx")&amp;":2,1,1,"&amp;装备表!$O332&amp;";","xxx"),"xxx"))</f>
        <v>xxx</v>
      </c>
      <c r="G280" s="18" t="str">
        <f>IF(装备表!$O332=0,"xxx",IFERROR(IF(INT(IF($D280=G$3,装备表!$E332,"xxx")/10000)=1,IF($D280=G$3,装备表!$E332,"xxx")&amp;":2,1,1,"&amp;装备表!$O332&amp;";","xxx"),"xxx"))</f>
        <v>xxx</v>
      </c>
      <c r="H280" s="18" t="str">
        <f>IF(装备表!$O332=0,"xxx",IFERROR(IF(INT(IF($D280=H$3,装备表!$E332,"xxx")/10000)=1,IF($D280=H$3,装备表!$E332,"xxx")&amp;":2,1,1,"&amp;装备表!$O332&amp;";","xxx"),"xxx"))</f>
        <v>xxx</v>
      </c>
      <c r="I280" s="18" t="str">
        <f>IF(装备表!$O332=0,"xxx",IFERROR(IF(INT(IF($D280=I$3,装备表!$E332,"xxx")/10000)=1,IF($D280=I$3,装备表!$E332,"xxx")&amp;":2,1,1,"&amp;装备表!$O332&amp;";","xxx"),"xxx"))</f>
        <v>xxx</v>
      </c>
      <c r="J280" s="18" t="str">
        <f>IF(装备表!$O332=0,"xxx",IFERROR(IF(INT(IF($D280=J$3,装备表!$E332,"xxx")/10000)=3,IF($D280=J$3,装备表!$E332,"xxx")&amp;":2,1,1,"&amp;装备表!$O332&amp;";","xxx"),"xxx"))</f>
        <v>30011:2,1,1,5;</v>
      </c>
    </row>
    <row r="281" spans="3:10" x14ac:dyDescent="0.2">
      <c r="C281">
        <v>30012</v>
      </c>
      <c r="D281" s="18">
        <f>装备表!L333</f>
        <v>6</v>
      </c>
      <c r="E281" s="18" t="str">
        <f>IF(装备表!$O333=0,"xxx",IFERROR(IF(INT(IF($D281=E$3,装备表!$E333,"xxx")/10000)=1,IF($D281=E$3,装备表!$E333,"xxx")&amp;":2,1,1,"&amp;装备表!$O333&amp;";","xxx"),"xxx"))</f>
        <v>xxx</v>
      </c>
      <c r="F281" s="18" t="str">
        <f>IF(装备表!$O333=0,"xxx",IFERROR(IF(INT(IF($D281=F$3,装备表!$E333,"xxx")/10000)=1,IF($D281=F$3,装备表!$E333,"xxx")&amp;":2,1,1,"&amp;装备表!$O333&amp;";","xxx"),"xxx"))</f>
        <v>xxx</v>
      </c>
      <c r="G281" s="18" t="str">
        <f>IF(装备表!$O333=0,"xxx",IFERROR(IF(INT(IF($D281=G$3,装备表!$E333,"xxx")/10000)=1,IF($D281=G$3,装备表!$E333,"xxx")&amp;":2,1,1,"&amp;装备表!$O333&amp;";","xxx"),"xxx"))</f>
        <v>xxx</v>
      </c>
      <c r="H281" s="18" t="str">
        <f>IF(装备表!$O333=0,"xxx",IFERROR(IF(INT(IF($D281=H$3,装备表!$E333,"xxx")/10000)=1,IF($D281=H$3,装备表!$E333,"xxx")&amp;":2,1,1,"&amp;装备表!$O333&amp;";","xxx"),"xxx"))</f>
        <v>xxx</v>
      </c>
      <c r="I281" s="18" t="str">
        <f>IF(装备表!$O333=0,"xxx",IFERROR(IF(INT(IF($D281=I$3,装备表!$E333,"xxx")/10000)=1,IF($D281=I$3,装备表!$E333,"xxx")&amp;":2,1,1,"&amp;装备表!$O333&amp;";","xxx"),"xxx"))</f>
        <v>xxx</v>
      </c>
      <c r="J281" s="18" t="str">
        <f>IF(装备表!$O333=0,"xxx",IFERROR(IF(INT(IF($D281=J$3,装备表!$E333,"xxx")/10000)=3,IF($D281=J$3,装备表!$E333,"xxx")&amp;":2,1,1,"&amp;装备表!$O333&amp;";","xxx"),"xxx"))</f>
        <v>30012:2,1,1,5;</v>
      </c>
    </row>
    <row r="282" spans="3:10" x14ac:dyDescent="0.2">
      <c r="C282">
        <v>30013</v>
      </c>
      <c r="D282" s="18">
        <f>装备表!L334</f>
        <v>6</v>
      </c>
      <c r="E282" s="18" t="str">
        <f>IF(装备表!$O334=0,"xxx",IFERROR(IF(INT(IF($D282=E$3,装备表!$E334,"xxx")/10000)=1,IF($D282=E$3,装备表!$E334,"xxx")&amp;":2,1,1,"&amp;装备表!$O334&amp;";","xxx"),"xxx"))</f>
        <v>xxx</v>
      </c>
      <c r="F282" s="18" t="str">
        <f>IF(装备表!$O334=0,"xxx",IFERROR(IF(INT(IF($D282=F$3,装备表!$E334,"xxx")/10000)=1,IF($D282=F$3,装备表!$E334,"xxx")&amp;":2,1,1,"&amp;装备表!$O334&amp;";","xxx"),"xxx"))</f>
        <v>xxx</v>
      </c>
      <c r="G282" s="18" t="str">
        <f>IF(装备表!$O334=0,"xxx",IFERROR(IF(INT(IF($D282=G$3,装备表!$E334,"xxx")/10000)=1,IF($D282=G$3,装备表!$E334,"xxx")&amp;":2,1,1,"&amp;装备表!$O334&amp;";","xxx"),"xxx"))</f>
        <v>xxx</v>
      </c>
      <c r="H282" s="18" t="str">
        <f>IF(装备表!$O334=0,"xxx",IFERROR(IF(INT(IF($D282=H$3,装备表!$E334,"xxx")/10000)=1,IF($D282=H$3,装备表!$E334,"xxx")&amp;":2,1,1,"&amp;装备表!$O334&amp;";","xxx"),"xxx"))</f>
        <v>xxx</v>
      </c>
      <c r="I282" s="18" t="str">
        <f>IF(装备表!$O334=0,"xxx",IFERROR(IF(INT(IF($D282=I$3,装备表!$E334,"xxx")/10000)=1,IF($D282=I$3,装备表!$E334,"xxx")&amp;":2,1,1,"&amp;装备表!$O334&amp;";","xxx"),"xxx"))</f>
        <v>xxx</v>
      </c>
      <c r="J282" s="18" t="str">
        <f>IF(装备表!$O334=0,"xxx",IFERROR(IF(INT(IF($D282=J$3,装备表!$E334,"xxx")/10000)=3,IF($D282=J$3,装备表!$E334,"xxx")&amp;":2,1,1,"&amp;装备表!$O334&amp;";","xxx"),"xxx"))</f>
        <v>30013:2,1,1,5;</v>
      </c>
    </row>
    <row r="283" spans="3:10" x14ac:dyDescent="0.2">
      <c r="C283">
        <v>30014</v>
      </c>
      <c r="D283" s="18">
        <f>装备表!L335</f>
        <v>6</v>
      </c>
      <c r="E283" s="18" t="str">
        <f>IF(装备表!$O335=0,"xxx",IFERROR(IF(INT(IF($D283=E$3,装备表!$E335,"xxx")/10000)=1,IF($D283=E$3,装备表!$E335,"xxx")&amp;":2,1,1,"&amp;装备表!$O335&amp;";","xxx"),"xxx"))</f>
        <v>xxx</v>
      </c>
      <c r="F283" s="18" t="str">
        <f>IF(装备表!$O335=0,"xxx",IFERROR(IF(INT(IF($D283=F$3,装备表!$E335,"xxx")/10000)=1,IF($D283=F$3,装备表!$E335,"xxx")&amp;":2,1,1,"&amp;装备表!$O335&amp;";","xxx"),"xxx"))</f>
        <v>xxx</v>
      </c>
      <c r="G283" s="18" t="str">
        <f>IF(装备表!$O335=0,"xxx",IFERROR(IF(INT(IF($D283=G$3,装备表!$E335,"xxx")/10000)=1,IF($D283=G$3,装备表!$E335,"xxx")&amp;":2,1,1,"&amp;装备表!$O335&amp;";","xxx"),"xxx"))</f>
        <v>xxx</v>
      </c>
      <c r="H283" s="18" t="str">
        <f>IF(装备表!$O335=0,"xxx",IFERROR(IF(INT(IF($D283=H$3,装备表!$E335,"xxx")/10000)=1,IF($D283=H$3,装备表!$E335,"xxx")&amp;":2,1,1,"&amp;装备表!$O335&amp;";","xxx"),"xxx"))</f>
        <v>xxx</v>
      </c>
      <c r="I283" s="18" t="str">
        <f>IF(装备表!$O335=0,"xxx",IFERROR(IF(INT(IF($D283=I$3,装备表!$E335,"xxx")/10000)=1,IF($D283=I$3,装备表!$E335,"xxx")&amp;":2,1,1,"&amp;装备表!$O335&amp;";","xxx"),"xxx"))</f>
        <v>xxx</v>
      </c>
      <c r="J283" s="18" t="str">
        <f>IF(装备表!$O335=0,"xxx",IFERROR(IF(INT(IF($D283=J$3,装备表!$E335,"xxx")/10000)=3,IF($D283=J$3,装备表!$E335,"xxx")&amp;":2,1,1,"&amp;装备表!$O335&amp;";","xxx"),"xxx"))</f>
        <v>30014:2,1,1,5;</v>
      </c>
    </row>
    <row r="284" spans="3:10" x14ac:dyDescent="0.2">
      <c r="C284">
        <v>30015</v>
      </c>
      <c r="D284" s="18">
        <f>装备表!L336</f>
        <v>6</v>
      </c>
      <c r="E284" s="18" t="str">
        <f>IF(装备表!$O336=0,"xxx",IFERROR(IF(INT(IF($D284=E$3,装备表!$E336,"xxx")/10000)=1,IF($D284=E$3,装备表!$E336,"xxx")&amp;":2,1,1,"&amp;装备表!$O336&amp;";","xxx"),"xxx"))</f>
        <v>xxx</v>
      </c>
      <c r="F284" s="18" t="str">
        <f>IF(装备表!$O336=0,"xxx",IFERROR(IF(INT(IF($D284=F$3,装备表!$E336,"xxx")/10000)=1,IF($D284=F$3,装备表!$E336,"xxx")&amp;":2,1,1,"&amp;装备表!$O336&amp;";","xxx"),"xxx"))</f>
        <v>xxx</v>
      </c>
      <c r="G284" s="18" t="str">
        <f>IF(装备表!$O336=0,"xxx",IFERROR(IF(INT(IF($D284=G$3,装备表!$E336,"xxx")/10000)=1,IF($D284=G$3,装备表!$E336,"xxx")&amp;":2,1,1,"&amp;装备表!$O336&amp;";","xxx"),"xxx"))</f>
        <v>xxx</v>
      </c>
      <c r="H284" s="18" t="str">
        <f>IF(装备表!$O336=0,"xxx",IFERROR(IF(INT(IF($D284=H$3,装备表!$E336,"xxx")/10000)=1,IF($D284=H$3,装备表!$E336,"xxx")&amp;":2,1,1,"&amp;装备表!$O336&amp;";","xxx"),"xxx"))</f>
        <v>xxx</v>
      </c>
      <c r="I284" s="18" t="str">
        <f>IF(装备表!$O336=0,"xxx",IFERROR(IF(INT(IF($D284=I$3,装备表!$E336,"xxx")/10000)=1,IF($D284=I$3,装备表!$E336,"xxx")&amp;":2,1,1,"&amp;装备表!$O336&amp;";","xxx"),"xxx"))</f>
        <v>xxx</v>
      </c>
      <c r="J284" s="18" t="str">
        <f>IF(装备表!$O336=0,"xxx",IFERROR(IF(INT(IF($D284=J$3,装备表!$E336,"xxx")/10000)=3,IF($D284=J$3,装备表!$E336,"xxx")&amp;":2,1,1,"&amp;装备表!$O336&amp;";","xxx"),"xxx"))</f>
        <v>30015:2,1,1,5;</v>
      </c>
    </row>
    <row r="285" spans="3:10" x14ac:dyDescent="0.2">
      <c r="C285">
        <v>30016</v>
      </c>
      <c r="D285" s="18">
        <f>装备表!L337</f>
        <v>6</v>
      </c>
      <c r="E285" s="18" t="str">
        <f>IF(装备表!$O337=0,"xxx",IFERROR(IF(INT(IF($D285=E$3,装备表!$E337,"xxx")/10000)=1,IF($D285=E$3,装备表!$E337,"xxx")&amp;":2,1,1,"&amp;装备表!$O337&amp;";","xxx"),"xxx"))</f>
        <v>xxx</v>
      </c>
      <c r="F285" s="18" t="str">
        <f>IF(装备表!$O337=0,"xxx",IFERROR(IF(INT(IF($D285=F$3,装备表!$E337,"xxx")/10000)=1,IF($D285=F$3,装备表!$E337,"xxx")&amp;":2,1,1,"&amp;装备表!$O337&amp;";","xxx"),"xxx"))</f>
        <v>xxx</v>
      </c>
      <c r="G285" s="18" t="str">
        <f>IF(装备表!$O337=0,"xxx",IFERROR(IF(INT(IF($D285=G$3,装备表!$E337,"xxx")/10000)=1,IF($D285=G$3,装备表!$E337,"xxx")&amp;":2,1,1,"&amp;装备表!$O337&amp;";","xxx"),"xxx"))</f>
        <v>xxx</v>
      </c>
      <c r="H285" s="18" t="str">
        <f>IF(装备表!$O337=0,"xxx",IFERROR(IF(INT(IF($D285=H$3,装备表!$E337,"xxx")/10000)=1,IF($D285=H$3,装备表!$E337,"xxx")&amp;":2,1,1,"&amp;装备表!$O337&amp;";","xxx"),"xxx"))</f>
        <v>xxx</v>
      </c>
      <c r="I285" s="18" t="str">
        <f>IF(装备表!$O337=0,"xxx",IFERROR(IF(INT(IF($D285=I$3,装备表!$E337,"xxx")/10000)=1,IF($D285=I$3,装备表!$E337,"xxx")&amp;":2,1,1,"&amp;装备表!$O337&amp;";","xxx"),"xxx"))</f>
        <v>xxx</v>
      </c>
      <c r="J285" s="18" t="str">
        <f>IF(装备表!$O337=0,"xxx",IFERROR(IF(INT(IF($D285=J$3,装备表!$E337,"xxx")/10000)=3,IF($D285=J$3,装备表!$E337,"xxx")&amp;":2,1,1,"&amp;装备表!$O337&amp;";","xxx"),"xxx"))</f>
        <v>30016:2,1,1,5;</v>
      </c>
    </row>
    <row r="286" spans="3:10" x14ac:dyDescent="0.2">
      <c r="C286">
        <v>30017</v>
      </c>
      <c r="D286" s="18">
        <f>装备表!L338</f>
        <v>6</v>
      </c>
      <c r="E286" s="18" t="str">
        <f>IF(装备表!$O338=0,"xxx",IFERROR(IF(INT(IF($D286=E$3,装备表!$E338,"xxx")/10000)=1,IF($D286=E$3,装备表!$E338,"xxx")&amp;":2,1,1,"&amp;装备表!$O338&amp;";","xxx"),"xxx"))</f>
        <v>xxx</v>
      </c>
      <c r="F286" s="18" t="str">
        <f>IF(装备表!$O338=0,"xxx",IFERROR(IF(INT(IF($D286=F$3,装备表!$E338,"xxx")/10000)=1,IF($D286=F$3,装备表!$E338,"xxx")&amp;":2,1,1,"&amp;装备表!$O338&amp;";","xxx"),"xxx"))</f>
        <v>xxx</v>
      </c>
      <c r="G286" s="18" t="str">
        <f>IF(装备表!$O338=0,"xxx",IFERROR(IF(INT(IF($D286=G$3,装备表!$E338,"xxx")/10000)=1,IF($D286=G$3,装备表!$E338,"xxx")&amp;":2,1,1,"&amp;装备表!$O338&amp;";","xxx"),"xxx"))</f>
        <v>xxx</v>
      </c>
      <c r="H286" s="18" t="str">
        <f>IF(装备表!$O338=0,"xxx",IFERROR(IF(INT(IF($D286=H$3,装备表!$E338,"xxx")/10000)=1,IF($D286=H$3,装备表!$E338,"xxx")&amp;":2,1,1,"&amp;装备表!$O338&amp;";","xxx"),"xxx"))</f>
        <v>xxx</v>
      </c>
      <c r="I286" s="18" t="str">
        <f>IF(装备表!$O338=0,"xxx",IFERROR(IF(INT(IF($D286=I$3,装备表!$E338,"xxx")/10000)=1,IF($D286=I$3,装备表!$E338,"xxx")&amp;":2,1,1,"&amp;装备表!$O338&amp;";","xxx"),"xxx"))</f>
        <v>xxx</v>
      </c>
      <c r="J286" s="18" t="str">
        <f>IF(装备表!$O338=0,"xxx",IFERROR(IF(INT(IF($D286=J$3,装备表!$E338,"xxx")/10000)=3,IF($D286=J$3,装备表!$E338,"xxx")&amp;":2,1,1,"&amp;装备表!$O338&amp;";","xxx"),"xxx"))</f>
        <v>30017:2,1,1,5;</v>
      </c>
    </row>
    <row r="287" spans="3:10" x14ac:dyDescent="0.2">
      <c r="C287">
        <v>30018</v>
      </c>
      <c r="D287" s="18">
        <f>装备表!L339</f>
        <v>6</v>
      </c>
      <c r="E287" s="18" t="str">
        <f>IF(装备表!$O339=0,"xxx",IFERROR(IF(INT(IF($D287=E$3,装备表!$E339,"xxx")/10000)=1,IF($D287=E$3,装备表!$E339,"xxx")&amp;":2,1,1,"&amp;装备表!$O339&amp;";","xxx"),"xxx"))</f>
        <v>xxx</v>
      </c>
      <c r="F287" s="18" t="str">
        <f>IF(装备表!$O339=0,"xxx",IFERROR(IF(INT(IF($D287=F$3,装备表!$E339,"xxx")/10000)=1,IF($D287=F$3,装备表!$E339,"xxx")&amp;":2,1,1,"&amp;装备表!$O339&amp;";","xxx"),"xxx"))</f>
        <v>xxx</v>
      </c>
      <c r="G287" s="18" t="str">
        <f>IF(装备表!$O339=0,"xxx",IFERROR(IF(INT(IF($D287=G$3,装备表!$E339,"xxx")/10000)=1,IF($D287=G$3,装备表!$E339,"xxx")&amp;":2,1,1,"&amp;装备表!$O339&amp;";","xxx"),"xxx"))</f>
        <v>xxx</v>
      </c>
      <c r="H287" s="18" t="str">
        <f>IF(装备表!$O339=0,"xxx",IFERROR(IF(INT(IF($D287=H$3,装备表!$E339,"xxx")/10000)=1,IF($D287=H$3,装备表!$E339,"xxx")&amp;":2,1,1,"&amp;装备表!$O339&amp;";","xxx"),"xxx"))</f>
        <v>xxx</v>
      </c>
      <c r="I287" s="18" t="str">
        <f>IF(装备表!$O339=0,"xxx",IFERROR(IF(INT(IF($D287=I$3,装备表!$E339,"xxx")/10000)=1,IF($D287=I$3,装备表!$E339,"xxx")&amp;":2,1,1,"&amp;装备表!$O339&amp;";","xxx"),"xxx"))</f>
        <v>xxx</v>
      </c>
      <c r="J287" s="18" t="str">
        <f>IF(装备表!$O339=0,"xxx",IFERROR(IF(INT(IF($D287=J$3,装备表!$E339,"xxx")/10000)=3,IF($D287=J$3,装备表!$E339,"xxx")&amp;":2,1,1,"&amp;装备表!$O339&amp;";","xxx"),"xxx"))</f>
        <v>30018:2,1,1,5;</v>
      </c>
    </row>
    <row r="288" spans="3:10" x14ac:dyDescent="0.2">
      <c r="C288">
        <v>30019</v>
      </c>
      <c r="D288" s="18">
        <f>装备表!L340</f>
        <v>6</v>
      </c>
      <c r="E288" s="18" t="str">
        <f>IF(装备表!$O340=0,"xxx",IFERROR(IF(INT(IF($D288=E$3,装备表!$E340,"xxx")/10000)=1,IF($D288=E$3,装备表!$E340,"xxx")&amp;":2,1,1,"&amp;装备表!$O340&amp;";","xxx"),"xxx"))</f>
        <v>xxx</v>
      </c>
      <c r="F288" s="18" t="str">
        <f>IF(装备表!$O340=0,"xxx",IFERROR(IF(INT(IF($D288=F$3,装备表!$E340,"xxx")/10000)=1,IF($D288=F$3,装备表!$E340,"xxx")&amp;":2,1,1,"&amp;装备表!$O340&amp;";","xxx"),"xxx"))</f>
        <v>xxx</v>
      </c>
      <c r="G288" s="18" t="str">
        <f>IF(装备表!$O340=0,"xxx",IFERROR(IF(INT(IF($D288=G$3,装备表!$E340,"xxx")/10000)=1,IF($D288=G$3,装备表!$E340,"xxx")&amp;":2,1,1,"&amp;装备表!$O340&amp;";","xxx"),"xxx"))</f>
        <v>xxx</v>
      </c>
      <c r="H288" s="18" t="str">
        <f>IF(装备表!$O340=0,"xxx",IFERROR(IF(INT(IF($D288=H$3,装备表!$E340,"xxx")/10000)=1,IF($D288=H$3,装备表!$E340,"xxx")&amp;":2,1,1,"&amp;装备表!$O340&amp;";","xxx"),"xxx"))</f>
        <v>xxx</v>
      </c>
      <c r="I288" s="18" t="str">
        <f>IF(装备表!$O340=0,"xxx",IFERROR(IF(INT(IF($D288=I$3,装备表!$E340,"xxx")/10000)=1,IF($D288=I$3,装备表!$E340,"xxx")&amp;":2,1,1,"&amp;装备表!$O340&amp;";","xxx"),"xxx"))</f>
        <v>xxx</v>
      </c>
      <c r="J288" s="18" t="str">
        <f>IF(装备表!$O340=0,"xxx",IFERROR(IF(INT(IF($D288=J$3,装备表!$E340,"xxx")/10000)=3,IF($D288=J$3,装备表!$E340,"xxx")&amp;":2,1,1,"&amp;装备表!$O340&amp;";","xxx"),"xxx"))</f>
        <v>30019:2,1,1,5;</v>
      </c>
    </row>
    <row r="289" spans="3:10" x14ac:dyDescent="0.2">
      <c r="C289">
        <v>30020</v>
      </c>
      <c r="D289" s="18">
        <f>装备表!L341</f>
        <v>6</v>
      </c>
      <c r="E289" s="18" t="str">
        <f>IF(装备表!$O341=0,"xxx",IFERROR(IF(INT(IF($D289=E$3,装备表!$E341,"xxx")/10000)=1,IF($D289=E$3,装备表!$E341,"xxx")&amp;":2,1,1,"&amp;装备表!$O341&amp;";","xxx"),"xxx"))</f>
        <v>xxx</v>
      </c>
      <c r="F289" s="18" t="str">
        <f>IF(装备表!$O341=0,"xxx",IFERROR(IF(INT(IF($D289=F$3,装备表!$E341,"xxx")/10000)=1,IF($D289=F$3,装备表!$E341,"xxx")&amp;":2,1,1,"&amp;装备表!$O341&amp;";","xxx"),"xxx"))</f>
        <v>xxx</v>
      </c>
      <c r="G289" s="18" t="str">
        <f>IF(装备表!$O341=0,"xxx",IFERROR(IF(INT(IF($D289=G$3,装备表!$E341,"xxx")/10000)=1,IF($D289=G$3,装备表!$E341,"xxx")&amp;":2,1,1,"&amp;装备表!$O341&amp;";","xxx"),"xxx"))</f>
        <v>xxx</v>
      </c>
      <c r="H289" s="18" t="str">
        <f>IF(装备表!$O341=0,"xxx",IFERROR(IF(INT(IF($D289=H$3,装备表!$E341,"xxx")/10000)=1,IF($D289=H$3,装备表!$E341,"xxx")&amp;":2,1,1,"&amp;装备表!$O341&amp;";","xxx"),"xxx"))</f>
        <v>xxx</v>
      </c>
      <c r="I289" s="18" t="str">
        <f>IF(装备表!$O341=0,"xxx",IFERROR(IF(INT(IF($D289=I$3,装备表!$E341,"xxx")/10000)=1,IF($D289=I$3,装备表!$E341,"xxx")&amp;":2,1,1,"&amp;装备表!$O341&amp;";","xxx"),"xxx"))</f>
        <v>xxx</v>
      </c>
      <c r="J289" s="18" t="str">
        <f>IF(装备表!$O341=0,"xxx",IFERROR(IF(INT(IF($D289=J$3,装备表!$E341,"xxx")/10000)=3,IF($D289=J$3,装备表!$E341,"xxx")&amp;":2,1,1,"&amp;装备表!$O341&amp;";","xxx"),"xxx"))</f>
        <v>30020:2,1,1,5;</v>
      </c>
    </row>
    <row r="290" spans="3:10" x14ac:dyDescent="0.2">
      <c r="C290">
        <v>30021</v>
      </c>
      <c r="D290" s="18">
        <f>装备表!L342</f>
        <v>6</v>
      </c>
      <c r="E290" s="18" t="str">
        <f>IF(装备表!$O342=0,"xxx",IFERROR(IF(INT(IF($D290=E$3,装备表!$E342,"xxx")/10000)=1,IF($D290=E$3,装备表!$E342,"xxx")&amp;":2,1,1,"&amp;装备表!$O342&amp;";","xxx"),"xxx"))</f>
        <v>xxx</v>
      </c>
      <c r="F290" s="18" t="str">
        <f>IF(装备表!$O342=0,"xxx",IFERROR(IF(INT(IF($D290=F$3,装备表!$E342,"xxx")/10000)=1,IF($D290=F$3,装备表!$E342,"xxx")&amp;":2,1,1,"&amp;装备表!$O342&amp;";","xxx"),"xxx"))</f>
        <v>xxx</v>
      </c>
      <c r="G290" s="18" t="str">
        <f>IF(装备表!$O342=0,"xxx",IFERROR(IF(INT(IF($D290=G$3,装备表!$E342,"xxx")/10000)=1,IF($D290=G$3,装备表!$E342,"xxx")&amp;":2,1,1,"&amp;装备表!$O342&amp;";","xxx"),"xxx"))</f>
        <v>xxx</v>
      </c>
      <c r="H290" s="18" t="str">
        <f>IF(装备表!$O342=0,"xxx",IFERROR(IF(INT(IF($D290=H$3,装备表!$E342,"xxx")/10000)=1,IF($D290=H$3,装备表!$E342,"xxx")&amp;":2,1,1,"&amp;装备表!$O342&amp;";","xxx"),"xxx"))</f>
        <v>xxx</v>
      </c>
      <c r="I290" s="18" t="str">
        <f>IF(装备表!$O342=0,"xxx",IFERROR(IF(INT(IF($D290=I$3,装备表!$E342,"xxx")/10000)=1,IF($D290=I$3,装备表!$E342,"xxx")&amp;":2,1,1,"&amp;装备表!$O342&amp;";","xxx"),"xxx"))</f>
        <v>xxx</v>
      </c>
      <c r="J290" s="18" t="str">
        <f>IF(装备表!$O342=0,"xxx",IFERROR(IF(INT(IF($D290=J$3,装备表!$E342,"xxx")/10000)=3,IF($D290=J$3,装备表!$E342,"xxx")&amp;":2,1,1,"&amp;装备表!$O342&amp;";","xxx"),"xxx"))</f>
        <v>30021:2,1,1,5;</v>
      </c>
    </row>
    <row r="291" spans="3:10" x14ac:dyDescent="0.2">
      <c r="C291">
        <v>30022</v>
      </c>
      <c r="D291" s="18">
        <f>装备表!L343</f>
        <v>6</v>
      </c>
      <c r="E291" s="18" t="str">
        <f>IF(装备表!$O343=0,"xxx",IFERROR(IF(INT(IF($D291=E$3,装备表!$E343,"xxx")/10000)=1,IF($D291=E$3,装备表!$E343,"xxx")&amp;":2,1,1,"&amp;装备表!$O343&amp;";","xxx"),"xxx"))</f>
        <v>xxx</v>
      </c>
      <c r="F291" s="18" t="str">
        <f>IF(装备表!$O343=0,"xxx",IFERROR(IF(INT(IF($D291=F$3,装备表!$E343,"xxx")/10000)=1,IF($D291=F$3,装备表!$E343,"xxx")&amp;":2,1,1,"&amp;装备表!$O343&amp;";","xxx"),"xxx"))</f>
        <v>xxx</v>
      </c>
      <c r="G291" s="18" t="str">
        <f>IF(装备表!$O343=0,"xxx",IFERROR(IF(INT(IF($D291=G$3,装备表!$E343,"xxx")/10000)=1,IF($D291=G$3,装备表!$E343,"xxx")&amp;":2,1,1,"&amp;装备表!$O343&amp;";","xxx"),"xxx"))</f>
        <v>xxx</v>
      </c>
      <c r="H291" s="18" t="str">
        <f>IF(装备表!$O343=0,"xxx",IFERROR(IF(INT(IF($D291=H$3,装备表!$E343,"xxx")/10000)=1,IF($D291=H$3,装备表!$E343,"xxx")&amp;":2,1,1,"&amp;装备表!$O343&amp;";","xxx"),"xxx"))</f>
        <v>xxx</v>
      </c>
      <c r="I291" s="18" t="str">
        <f>IF(装备表!$O343=0,"xxx",IFERROR(IF(INT(IF($D291=I$3,装备表!$E343,"xxx")/10000)=1,IF($D291=I$3,装备表!$E343,"xxx")&amp;":2,1,1,"&amp;装备表!$O343&amp;";","xxx"),"xxx"))</f>
        <v>xxx</v>
      </c>
      <c r="J291" s="18" t="str">
        <f>IF(装备表!$O343=0,"xxx",IFERROR(IF(INT(IF($D291=J$3,装备表!$E343,"xxx")/10000)=3,IF($D291=J$3,装备表!$E343,"xxx")&amp;":2,1,1,"&amp;装备表!$O343&amp;";","xxx"),"xxx"))</f>
        <v>30022:2,1,1,5;</v>
      </c>
    </row>
    <row r="292" spans="3:10" x14ac:dyDescent="0.2">
      <c r="C292">
        <v>30023</v>
      </c>
      <c r="D292" s="18">
        <f>装备表!L344</f>
        <v>6</v>
      </c>
      <c r="E292" s="18" t="str">
        <f>IF(装备表!$O344=0,"xxx",IFERROR(IF(INT(IF($D292=E$3,装备表!$E344,"xxx")/10000)=1,IF($D292=E$3,装备表!$E344,"xxx")&amp;":2,1,1,"&amp;装备表!$O344&amp;";","xxx"),"xxx"))</f>
        <v>xxx</v>
      </c>
      <c r="F292" s="18" t="str">
        <f>IF(装备表!$O344=0,"xxx",IFERROR(IF(INT(IF($D292=F$3,装备表!$E344,"xxx")/10000)=1,IF($D292=F$3,装备表!$E344,"xxx")&amp;":2,1,1,"&amp;装备表!$O344&amp;";","xxx"),"xxx"))</f>
        <v>xxx</v>
      </c>
      <c r="G292" s="18" t="str">
        <f>IF(装备表!$O344=0,"xxx",IFERROR(IF(INT(IF($D292=G$3,装备表!$E344,"xxx")/10000)=1,IF($D292=G$3,装备表!$E344,"xxx")&amp;":2,1,1,"&amp;装备表!$O344&amp;";","xxx"),"xxx"))</f>
        <v>xxx</v>
      </c>
      <c r="H292" s="18" t="str">
        <f>IF(装备表!$O344=0,"xxx",IFERROR(IF(INT(IF($D292=H$3,装备表!$E344,"xxx")/10000)=1,IF($D292=H$3,装备表!$E344,"xxx")&amp;":2,1,1,"&amp;装备表!$O344&amp;";","xxx"),"xxx"))</f>
        <v>xxx</v>
      </c>
      <c r="I292" s="18" t="str">
        <f>IF(装备表!$O344=0,"xxx",IFERROR(IF(INT(IF($D292=I$3,装备表!$E344,"xxx")/10000)=1,IF($D292=I$3,装备表!$E344,"xxx")&amp;":2,1,1,"&amp;装备表!$O344&amp;";","xxx"),"xxx"))</f>
        <v>xxx</v>
      </c>
      <c r="J292" s="18" t="str">
        <f>IF(装备表!$O344=0,"xxx",IFERROR(IF(INT(IF($D292=J$3,装备表!$E344,"xxx")/10000)=3,IF($D292=J$3,装备表!$E344,"xxx")&amp;":2,1,1,"&amp;装备表!$O344&amp;";","xxx"),"xxx"))</f>
        <v>30023:2,1,1,5;</v>
      </c>
    </row>
    <row r="293" spans="3:10" x14ac:dyDescent="0.2">
      <c r="C293">
        <v>30024</v>
      </c>
      <c r="D293" s="18">
        <f>装备表!L345</f>
        <v>6</v>
      </c>
      <c r="E293" s="18" t="str">
        <f>IF(装备表!$O345=0,"xxx",IFERROR(IF(INT(IF($D293=E$3,装备表!$E345,"xxx")/10000)=1,IF($D293=E$3,装备表!$E345,"xxx")&amp;":2,1,1,"&amp;装备表!$O345&amp;";","xxx"),"xxx"))</f>
        <v>xxx</v>
      </c>
      <c r="F293" s="18" t="str">
        <f>IF(装备表!$O345=0,"xxx",IFERROR(IF(INT(IF($D293=F$3,装备表!$E345,"xxx")/10000)=1,IF($D293=F$3,装备表!$E345,"xxx")&amp;":2,1,1,"&amp;装备表!$O345&amp;";","xxx"),"xxx"))</f>
        <v>xxx</v>
      </c>
      <c r="G293" s="18" t="str">
        <f>IF(装备表!$O345=0,"xxx",IFERROR(IF(INT(IF($D293=G$3,装备表!$E345,"xxx")/10000)=1,IF($D293=G$3,装备表!$E345,"xxx")&amp;":2,1,1,"&amp;装备表!$O345&amp;";","xxx"),"xxx"))</f>
        <v>xxx</v>
      </c>
      <c r="H293" s="18" t="str">
        <f>IF(装备表!$O345=0,"xxx",IFERROR(IF(INT(IF($D293=H$3,装备表!$E345,"xxx")/10000)=1,IF($D293=H$3,装备表!$E345,"xxx")&amp;":2,1,1,"&amp;装备表!$O345&amp;";","xxx"),"xxx"))</f>
        <v>xxx</v>
      </c>
      <c r="I293" s="18" t="str">
        <f>IF(装备表!$O345=0,"xxx",IFERROR(IF(INT(IF($D293=I$3,装备表!$E345,"xxx")/10000)=1,IF($D293=I$3,装备表!$E345,"xxx")&amp;":2,1,1,"&amp;装备表!$O345&amp;";","xxx"),"xxx"))</f>
        <v>xxx</v>
      </c>
      <c r="J293" s="18" t="str">
        <f>IF(装备表!$O345=0,"xxx",IFERROR(IF(INT(IF($D293=J$3,装备表!$E345,"xxx")/10000)=3,IF($D293=J$3,装备表!$E345,"xxx")&amp;":2,1,1,"&amp;装备表!$O345&amp;";","xxx"),"xxx"))</f>
        <v>30024:2,1,1,5;</v>
      </c>
    </row>
    <row r="294" spans="3:10" x14ac:dyDescent="0.2">
      <c r="C294">
        <v>30025</v>
      </c>
      <c r="D294" s="18">
        <f>装备表!L346</f>
        <v>6</v>
      </c>
      <c r="E294" s="18" t="str">
        <f>IF(装备表!$O346=0,"xxx",IFERROR(IF(INT(IF($D294=E$3,装备表!$E346,"xxx")/10000)=1,IF($D294=E$3,装备表!$E346,"xxx")&amp;":2,1,1,"&amp;装备表!$O346&amp;";","xxx"),"xxx"))</f>
        <v>xxx</v>
      </c>
      <c r="F294" s="18" t="str">
        <f>IF(装备表!$O346=0,"xxx",IFERROR(IF(INT(IF($D294=F$3,装备表!$E346,"xxx")/10000)=1,IF($D294=F$3,装备表!$E346,"xxx")&amp;":2,1,1,"&amp;装备表!$O346&amp;";","xxx"),"xxx"))</f>
        <v>xxx</v>
      </c>
      <c r="G294" s="18" t="str">
        <f>IF(装备表!$O346=0,"xxx",IFERROR(IF(INT(IF($D294=G$3,装备表!$E346,"xxx")/10000)=1,IF($D294=G$3,装备表!$E346,"xxx")&amp;":2,1,1,"&amp;装备表!$O346&amp;";","xxx"),"xxx"))</f>
        <v>xxx</v>
      </c>
      <c r="H294" s="18" t="str">
        <f>IF(装备表!$O346=0,"xxx",IFERROR(IF(INT(IF($D294=H$3,装备表!$E346,"xxx")/10000)=1,IF($D294=H$3,装备表!$E346,"xxx")&amp;":2,1,1,"&amp;装备表!$O346&amp;";","xxx"),"xxx"))</f>
        <v>xxx</v>
      </c>
      <c r="I294" s="18" t="str">
        <f>IF(装备表!$O346=0,"xxx",IFERROR(IF(INT(IF($D294=I$3,装备表!$E346,"xxx")/10000)=1,IF($D294=I$3,装备表!$E346,"xxx")&amp;":2,1,1,"&amp;装备表!$O346&amp;";","xxx"),"xxx"))</f>
        <v>xxx</v>
      </c>
      <c r="J294" s="18" t="str">
        <f>IF(装备表!$O346=0,"xxx",IFERROR(IF(INT(IF($D294=J$3,装备表!$E346,"xxx")/10000)=3,IF($D294=J$3,装备表!$E346,"xxx")&amp;":2,1,1,"&amp;装备表!$O346&amp;";","xxx"),"xxx"))</f>
        <v>30025:2,1,1,5;</v>
      </c>
    </row>
    <row r="295" spans="3:10" x14ac:dyDescent="0.2">
      <c r="C295">
        <v>30026</v>
      </c>
      <c r="D295" s="18">
        <f>装备表!L347</f>
        <v>6</v>
      </c>
      <c r="E295" s="18" t="str">
        <f>IF(装备表!$O347=0,"xxx",IFERROR(IF(INT(IF($D295=E$3,装备表!$E347,"xxx")/10000)=1,IF($D295=E$3,装备表!$E347,"xxx")&amp;":2,1,1,"&amp;装备表!$O347&amp;";","xxx"),"xxx"))</f>
        <v>xxx</v>
      </c>
      <c r="F295" s="18" t="str">
        <f>IF(装备表!$O347=0,"xxx",IFERROR(IF(INT(IF($D295=F$3,装备表!$E347,"xxx")/10000)=1,IF($D295=F$3,装备表!$E347,"xxx")&amp;":2,1,1,"&amp;装备表!$O347&amp;";","xxx"),"xxx"))</f>
        <v>xxx</v>
      </c>
      <c r="G295" s="18" t="str">
        <f>IF(装备表!$O347=0,"xxx",IFERROR(IF(INT(IF($D295=G$3,装备表!$E347,"xxx")/10000)=1,IF($D295=G$3,装备表!$E347,"xxx")&amp;":2,1,1,"&amp;装备表!$O347&amp;";","xxx"),"xxx"))</f>
        <v>xxx</v>
      </c>
      <c r="H295" s="18" t="str">
        <f>IF(装备表!$O347=0,"xxx",IFERROR(IF(INT(IF($D295=H$3,装备表!$E347,"xxx")/10000)=1,IF($D295=H$3,装备表!$E347,"xxx")&amp;":2,1,1,"&amp;装备表!$O347&amp;";","xxx"),"xxx"))</f>
        <v>xxx</v>
      </c>
      <c r="I295" s="18" t="str">
        <f>IF(装备表!$O347=0,"xxx",IFERROR(IF(INT(IF($D295=I$3,装备表!$E347,"xxx")/10000)=1,IF($D295=I$3,装备表!$E347,"xxx")&amp;":2,1,1,"&amp;装备表!$O347&amp;";","xxx"),"xxx"))</f>
        <v>xxx</v>
      </c>
      <c r="J295" s="18" t="str">
        <f>IF(装备表!$O347=0,"xxx",IFERROR(IF(INT(IF($D295=J$3,装备表!$E347,"xxx")/10000)=3,IF($D295=J$3,装备表!$E347,"xxx")&amp;":2,1,1,"&amp;装备表!$O347&amp;";","xxx"),"xxx"))</f>
        <v>30026:2,1,1,5;</v>
      </c>
    </row>
    <row r="296" spans="3:10" x14ac:dyDescent="0.2">
      <c r="C296">
        <v>30027</v>
      </c>
      <c r="D296" s="18">
        <f>装备表!L348</f>
        <v>6</v>
      </c>
      <c r="E296" s="18" t="str">
        <f>IF(装备表!$O348=0,"xxx",IFERROR(IF(INT(IF($D296=E$3,装备表!$E348,"xxx")/10000)=1,IF($D296=E$3,装备表!$E348,"xxx")&amp;":2,1,1,"&amp;装备表!$O348&amp;";","xxx"),"xxx"))</f>
        <v>xxx</v>
      </c>
      <c r="F296" s="18" t="str">
        <f>IF(装备表!$O348=0,"xxx",IFERROR(IF(INT(IF($D296=F$3,装备表!$E348,"xxx")/10000)=1,IF($D296=F$3,装备表!$E348,"xxx")&amp;":2,1,1,"&amp;装备表!$O348&amp;";","xxx"),"xxx"))</f>
        <v>xxx</v>
      </c>
      <c r="G296" s="18" t="str">
        <f>IF(装备表!$O348=0,"xxx",IFERROR(IF(INT(IF($D296=G$3,装备表!$E348,"xxx")/10000)=1,IF($D296=G$3,装备表!$E348,"xxx")&amp;":2,1,1,"&amp;装备表!$O348&amp;";","xxx"),"xxx"))</f>
        <v>xxx</v>
      </c>
      <c r="H296" s="18" t="str">
        <f>IF(装备表!$O348=0,"xxx",IFERROR(IF(INT(IF($D296=H$3,装备表!$E348,"xxx")/10000)=1,IF($D296=H$3,装备表!$E348,"xxx")&amp;":2,1,1,"&amp;装备表!$O348&amp;";","xxx"),"xxx"))</f>
        <v>xxx</v>
      </c>
      <c r="I296" s="18" t="str">
        <f>IF(装备表!$O348=0,"xxx",IFERROR(IF(INT(IF($D296=I$3,装备表!$E348,"xxx")/10000)=1,IF($D296=I$3,装备表!$E348,"xxx")&amp;":2,1,1,"&amp;装备表!$O348&amp;";","xxx"),"xxx"))</f>
        <v>xxx</v>
      </c>
      <c r="J296" s="18" t="str">
        <f>IF(装备表!$O348=0,"xxx",IFERROR(IF(INT(IF($D296=J$3,装备表!$E348,"xxx")/10000)=3,IF($D296=J$3,装备表!$E348,"xxx")&amp;":2,1,1,"&amp;装备表!$O348&amp;";","xxx"),"xxx"))</f>
        <v>30027:2,1,1,5;</v>
      </c>
    </row>
    <row r="297" spans="3:10" x14ac:dyDescent="0.2">
      <c r="C297">
        <v>30028</v>
      </c>
      <c r="D297" s="18">
        <f>装备表!L349</f>
        <v>6</v>
      </c>
      <c r="E297" s="18" t="str">
        <f>IF(装备表!$O349=0,"xxx",IFERROR(IF(INT(IF($D297=E$3,装备表!$E349,"xxx")/10000)=1,IF($D297=E$3,装备表!$E349,"xxx")&amp;":2,1,1,"&amp;装备表!$O349&amp;";","xxx"),"xxx"))</f>
        <v>xxx</v>
      </c>
      <c r="F297" s="18" t="str">
        <f>IF(装备表!$O349=0,"xxx",IFERROR(IF(INT(IF($D297=F$3,装备表!$E349,"xxx")/10000)=1,IF($D297=F$3,装备表!$E349,"xxx")&amp;":2,1,1,"&amp;装备表!$O349&amp;";","xxx"),"xxx"))</f>
        <v>xxx</v>
      </c>
      <c r="G297" s="18" t="str">
        <f>IF(装备表!$O349=0,"xxx",IFERROR(IF(INT(IF($D297=G$3,装备表!$E349,"xxx")/10000)=1,IF($D297=G$3,装备表!$E349,"xxx")&amp;":2,1,1,"&amp;装备表!$O349&amp;";","xxx"),"xxx"))</f>
        <v>xxx</v>
      </c>
      <c r="H297" s="18" t="str">
        <f>IF(装备表!$O349=0,"xxx",IFERROR(IF(INT(IF($D297=H$3,装备表!$E349,"xxx")/10000)=1,IF($D297=H$3,装备表!$E349,"xxx")&amp;":2,1,1,"&amp;装备表!$O349&amp;";","xxx"),"xxx"))</f>
        <v>xxx</v>
      </c>
      <c r="I297" s="18" t="str">
        <f>IF(装备表!$O349=0,"xxx",IFERROR(IF(INT(IF($D297=I$3,装备表!$E349,"xxx")/10000)=1,IF($D297=I$3,装备表!$E349,"xxx")&amp;":2,1,1,"&amp;装备表!$O349&amp;";","xxx"),"xxx"))</f>
        <v>xxx</v>
      </c>
      <c r="J297" s="18" t="str">
        <f>IF(装备表!$O349=0,"xxx",IFERROR(IF(INT(IF($D297=J$3,装备表!$E349,"xxx")/10000)=3,IF($D297=J$3,装备表!$E349,"xxx")&amp;":2,1,1,"&amp;装备表!$O349&amp;";","xxx"),"xxx"))</f>
        <v>30028:2,1,1,5;</v>
      </c>
    </row>
    <row r="298" spans="3:10" x14ac:dyDescent="0.2">
      <c r="C298">
        <v>30029</v>
      </c>
      <c r="D298" s="18">
        <f>装备表!L350</f>
        <v>6</v>
      </c>
      <c r="E298" s="18" t="str">
        <f>IF(装备表!$O350=0,"xxx",IFERROR(IF(INT(IF($D298=E$3,装备表!$E350,"xxx")/10000)=1,IF($D298=E$3,装备表!$E350,"xxx")&amp;":2,1,1,"&amp;装备表!$O350&amp;";","xxx"),"xxx"))</f>
        <v>xxx</v>
      </c>
      <c r="F298" s="18" t="str">
        <f>IF(装备表!$O350=0,"xxx",IFERROR(IF(INT(IF($D298=F$3,装备表!$E350,"xxx")/10000)=1,IF($D298=F$3,装备表!$E350,"xxx")&amp;":2,1,1,"&amp;装备表!$O350&amp;";","xxx"),"xxx"))</f>
        <v>xxx</v>
      </c>
      <c r="G298" s="18" t="str">
        <f>IF(装备表!$O350=0,"xxx",IFERROR(IF(INT(IF($D298=G$3,装备表!$E350,"xxx")/10000)=1,IF($D298=G$3,装备表!$E350,"xxx")&amp;":2,1,1,"&amp;装备表!$O350&amp;";","xxx"),"xxx"))</f>
        <v>xxx</v>
      </c>
      <c r="H298" s="18" t="str">
        <f>IF(装备表!$O350=0,"xxx",IFERROR(IF(INT(IF($D298=H$3,装备表!$E350,"xxx")/10000)=1,IF($D298=H$3,装备表!$E350,"xxx")&amp;":2,1,1,"&amp;装备表!$O350&amp;";","xxx"),"xxx"))</f>
        <v>xxx</v>
      </c>
      <c r="I298" s="18" t="str">
        <f>IF(装备表!$O350=0,"xxx",IFERROR(IF(INT(IF($D298=I$3,装备表!$E350,"xxx")/10000)=1,IF($D298=I$3,装备表!$E350,"xxx")&amp;":2,1,1,"&amp;装备表!$O350&amp;";","xxx"),"xxx"))</f>
        <v>xxx</v>
      </c>
      <c r="J298" s="18" t="str">
        <f>IF(装备表!$O350=0,"xxx",IFERROR(IF(INT(IF($D298=J$3,装备表!$E350,"xxx")/10000)=3,IF($D298=J$3,装备表!$E350,"xxx")&amp;":2,1,1,"&amp;装备表!$O350&amp;";","xxx"),"xxx"))</f>
        <v>30029:2,1,1,5;</v>
      </c>
    </row>
    <row r="299" spans="3:10" x14ac:dyDescent="0.2">
      <c r="C299">
        <v>30030</v>
      </c>
      <c r="D299" s="18">
        <f>装备表!L351</f>
        <v>6</v>
      </c>
      <c r="E299" s="18" t="str">
        <f>IF(装备表!$O351=0,"xxx",IFERROR(IF(INT(IF($D299=E$3,装备表!$E351,"xxx")/10000)=1,IF($D299=E$3,装备表!$E351,"xxx")&amp;":2,1,1,"&amp;装备表!$O351&amp;";","xxx"),"xxx"))</f>
        <v>xxx</v>
      </c>
      <c r="F299" s="18" t="str">
        <f>IF(装备表!$O351=0,"xxx",IFERROR(IF(INT(IF($D299=F$3,装备表!$E351,"xxx")/10000)=1,IF($D299=F$3,装备表!$E351,"xxx")&amp;":2,1,1,"&amp;装备表!$O351&amp;";","xxx"),"xxx"))</f>
        <v>xxx</v>
      </c>
      <c r="G299" s="18" t="str">
        <f>IF(装备表!$O351=0,"xxx",IFERROR(IF(INT(IF($D299=G$3,装备表!$E351,"xxx")/10000)=1,IF($D299=G$3,装备表!$E351,"xxx")&amp;":2,1,1,"&amp;装备表!$O351&amp;";","xxx"),"xxx"))</f>
        <v>xxx</v>
      </c>
      <c r="H299" s="18" t="str">
        <f>IF(装备表!$O351=0,"xxx",IFERROR(IF(INT(IF($D299=H$3,装备表!$E351,"xxx")/10000)=1,IF($D299=H$3,装备表!$E351,"xxx")&amp;":2,1,1,"&amp;装备表!$O351&amp;";","xxx"),"xxx"))</f>
        <v>xxx</v>
      </c>
      <c r="I299" s="18" t="str">
        <f>IF(装备表!$O351=0,"xxx",IFERROR(IF(INT(IF($D299=I$3,装备表!$E351,"xxx")/10000)=1,IF($D299=I$3,装备表!$E351,"xxx")&amp;":2,1,1,"&amp;装备表!$O351&amp;";","xxx"),"xxx"))</f>
        <v>xxx</v>
      </c>
      <c r="J299" s="18" t="str">
        <f>IF(装备表!$O351=0,"xxx",IFERROR(IF(INT(IF($D299=J$3,装备表!$E351,"xxx")/10000)=3,IF($D299=J$3,装备表!$E351,"xxx")&amp;":2,1,1,"&amp;装备表!$O351&amp;";","xxx"),"xxx"))</f>
        <v>30030:2,1,1,5;</v>
      </c>
    </row>
    <row r="300" spans="3:10" x14ac:dyDescent="0.2">
      <c r="C300">
        <v>30031</v>
      </c>
      <c r="D300" s="18">
        <f>装备表!L352</f>
        <v>6</v>
      </c>
      <c r="E300" s="18" t="str">
        <f>IF(装备表!$O352=0,"xxx",IFERROR(IF(INT(IF($D300=E$3,装备表!$E352,"xxx")/10000)=1,IF($D300=E$3,装备表!$E352,"xxx")&amp;":2,1,1,"&amp;装备表!$O352&amp;";","xxx"),"xxx"))</f>
        <v>xxx</v>
      </c>
      <c r="F300" s="18" t="str">
        <f>IF(装备表!$O352=0,"xxx",IFERROR(IF(INT(IF($D300=F$3,装备表!$E352,"xxx")/10000)=1,IF($D300=F$3,装备表!$E352,"xxx")&amp;":2,1,1,"&amp;装备表!$O352&amp;";","xxx"),"xxx"))</f>
        <v>xxx</v>
      </c>
      <c r="G300" s="18" t="str">
        <f>IF(装备表!$O352=0,"xxx",IFERROR(IF(INT(IF($D300=G$3,装备表!$E352,"xxx")/10000)=1,IF($D300=G$3,装备表!$E352,"xxx")&amp;":2,1,1,"&amp;装备表!$O352&amp;";","xxx"),"xxx"))</f>
        <v>xxx</v>
      </c>
      <c r="H300" s="18" t="str">
        <f>IF(装备表!$O352=0,"xxx",IFERROR(IF(INT(IF($D300=H$3,装备表!$E352,"xxx")/10000)=1,IF($D300=H$3,装备表!$E352,"xxx")&amp;":2,1,1,"&amp;装备表!$O352&amp;";","xxx"),"xxx"))</f>
        <v>xxx</v>
      </c>
      <c r="I300" s="18" t="str">
        <f>IF(装备表!$O352=0,"xxx",IFERROR(IF(INT(IF($D300=I$3,装备表!$E352,"xxx")/10000)=1,IF($D300=I$3,装备表!$E352,"xxx")&amp;":2,1,1,"&amp;装备表!$O352&amp;";","xxx"),"xxx"))</f>
        <v>xxx</v>
      </c>
      <c r="J300" s="18" t="str">
        <f>IF(装备表!$O352=0,"xxx",IFERROR(IF(INT(IF($D300=J$3,装备表!$E352,"xxx")/10000)=3,IF($D300=J$3,装备表!$E352,"xxx")&amp;":2,1,1,"&amp;装备表!$O352&amp;";","xxx"),"xxx"))</f>
        <v>30031:2,1,1,5;</v>
      </c>
    </row>
    <row r="301" spans="3:10" x14ac:dyDescent="0.2">
      <c r="C301">
        <v>30032</v>
      </c>
      <c r="D301" s="18">
        <f>装备表!L353</f>
        <v>6</v>
      </c>
      <c r="E301" s="18" t="str">
        <f>IF(装备表!$O353=0,"xxx",IFERROR(IF(INT(IF($D301=E$3,装备表!$E353,"xxx")/10000)=1,IF($D301=E$3,装备表!$E353,"xxx")&amp;":2,1,1,"&amp;装备表!$O353&amp;";","xxx"),"xxx"))</f>
        <v>xxx</v>
      </c>
      <c r="F301" s="18" t="str">
        <f>IF(装备表!$O353=0,"xxx",IFERROR(IF(INT(IF($D301=F$3,装备表!$E353,"xxx")/10000)=1,IF($D301=F$3,装备表!$E353,"xxx")&amp;":2,1,1,"&amp;装备表!$O353&amp;";","xxx"),"xxx"))</f>
        <v>xxx</v>
      </c>
      <c r="G301" s="18" t="str">
        <f>IF(装备表!$O353=0,"xxx",IFERROR(IF(INT(IF($D301=G$3,装备表!$E353,"xxx")/10000)=1,IF($D301=G$3,装备表!$E353,"xxx")&amp;":2,1,1,"&amp;装备表!$O353&amp;";","xxx"),"xxx"))</f>
        <v>xxx</v>
      </c>
      <c r="H301" s="18" t="str">
        <f>IF(装备表!$O353=0,"xxx",IFERROR(IF(INT(IF($D301=H$3,装备表!$E353,"xxx")/10000)=1,IF($D301=H$3,装备表!$E353,"xxx")&amp;":2,1,1,"&amp;装备表!$O353&amp;";","xxx"),"xxx"))</f>
        <v>xxx</v>
      </c>
      <c r="I301" s="18" t="str">
        <f>IF(装备表!$O353=0,"xxx",IFERROR(IF(INT(IF($D301=I$3,装备表!$E353,"xxx")/10000)=1,IF($D301=I$3,装备表!$E353,"xxx")&amp;":2,1,1,"&amp;装备表!$O353&amp;";","xxx"),"xxx"))</f>
        <v>xxx</v>
      </c>
      <c r="J301" s="18" t="str">
        <f>IF(装备表!$O353=0,"xxx",IFERROR(IF(INT(IF($D301=J$3,装备表!$E353,"xxx")/10000)=3,IF($D301=J$3,装备表!$E353,"xxx")&amp;":2,1,1,"&amp;装备表!$O353&amp;";","xxx"),"xxx"))</f>
        <v>30032:2,1,1,5;</v>
      </c>
    </row>
    <row r="302" spans="3:10" x14ac:dyDescent="0.2">
      <c r="C302">
        <v>30033</v>
      </c>
      <c r="D302" s="18">
        <f>装备表!L354</f>
        <v>6</v>
      </c>
      <c r="E302" s="18" t="str">
        <f>IF(装备表!$O354=0,"xxx",IFERROR(IF(INT(IF($D302=E$3,装备表!$E354,"xxx")/10000)=1,IF($D302=E$3,装备表!$E354,"xxx")&amp;":2,1,1,"&amp;装备表!$O354&amp;";","xxx"),"xxx"))</f>
        <v>xxx</v>
      </c>
      <c r="F302" s="18" t="str">
        <f>IF(装备表!$O354=0,"xxx",IFERROR(IF(INT(IF($D302=F$3,装备表!$E354,"xxx")/10000)=1,IF($D302=F$3,装备表!$E354,"xxx")&amp;":2,1,1,"&amp;装备表!$O354&amp;";","xxx"),"xxx"))</f>
        <v>xxx</v>
      </c>
      <c r="G302" s="18" t="str">
        <f>IF(装备表!$O354=0,"xxx",IFERROR(IF(INT(IF($D302=G$3,装备表!$E354,"xxx")/10000)=1,IF($D302=G$3,装备表!$E354,"xxx")&amp;":2,1,1,"&amp;装备表!$O354&amp;";","xxx"),"xxx"))</f>
        <v>xxx</v>
      </c>
      <c r="H302" s="18" t="str">
        <f>IF(装备表!$O354=0,"xxx",IFERROR(IF(INT(IF($D302=H$3,装备表!$E354,"xxx")/10000)=1,IF($D302=H$3,装备表!$E354,"xxx")&amp;":2,1,1,"&amp;装备表!$O354&amp;";","xxx"),"xxx"))</f>
        <v>xxx</v>
      </c>
      <c r="I302" s="18" t="str">
        <f>IF(装备表!$O354=0,"xxx",IFERROR(IF(INT(IF($D302=I$3,装备表!$E354,"xxx")/10000)=1,IF($D302=I$3,装备表!$E354,"xxx")&amp;":2,1,1,"&amp;装备表!$O354&amp;";","xxx"),"xxx"))</f>
        <v>xxx</v>
      </c>
      <c r="J302" s="18" t="str">
        <f>IF(装备表!$O354=0,"xxx",IFERROR(IF(INT(IF($D302=J$3,装备表!$E354,"xxx")/10000)=3,IF($D302=J$3,装备表!$E354,"xxx")&amp;":2,1,1,"&amp;装备表!$O354&amp;";","xxx"),"xxx"))</f>
        <v>30033:2,1,1,5;</v>
      </c>
    </row>
    <row r="303" spans="3:10" x14ac:dyDescent="0.2">
      <c r="C303">
        <v>30034</v>
      </c>
      <c r="D303" s="18">
        <f>装备表!L355</f>
        <v>6</v>
      </c>
      <c r="E303" s="18" t="str">
        <f>IF(装备表!$O355=0,"xxx",IFERROR(IF(INT(IF($D303=E$3,装备表!$E355,"xxx")/10000)=1,IF($D303=E$3,装备表!$E355,"xxx")&amp;":2,1,1,"&amp;装备表!$O355&amp;";","xxx"),"xxx"))</f>
        <v>xxx</v>
      </c>
      <c r="F303" s="18" t="str">
        <f>IF(装备表!$O355=0,"xxx",IFERROR(IF(INT(IF($D303=F$3,装备表!$E355,"xxx")/10000)=1,IF($D303=F$3,装备表!$E355,"xxx")&amp;":2,1,1,"&amp;装备表!$O355&amp;";","xxx"),"xxx"))</f>
        <v>xxx</v>
      </c>
      <c r="G303" s="18" t="str">
        <f>IF(装备表!$O355=0,"xxx",IFERROR(IF(INT(IF($D303=G$3,装备表!$E355,"xxx")/10000)=1,IF($D303=G$3,装备表!$E355,"xxx")&amp;":2,1,1,"&amp;装备表!$O355&amp;";","xxx"),"xxx"))</f>
        <v>xxx</v>
      </c>
      <c r="H303" s="18" t="str">
        <f>IF(装备表!$O355=0,"xxx",IFERROR(IF(INT(IF($D303=H$3,装备表!$E355,"xxx")/10000)=1,IF($D303=H$3,装备表!$E355,"xxx")&amp;":2,1,1,"&amp;装备表!$O355&amp;";","xxx"),"xxx"))</f>
        <v>xxx</v>
      </c>
      <c r="I303" s="18" t="str">
        <f>IF(装备表!$O355=0,"xxx",IFERROR(IF(INT(IF($D303=I$3,装备表!$E355,"xxx")/10000)=1,IF($D303=I$3,装备表!$E355,"xxx")&amp;":2,1,1,"&amp;装备表!$O355&amp;";","xxx"),"xxx"))</f>
        <v>xxx</v>
      </c>
      <c r="J303" s="18" t="str">
        <f>IF(装备表!$O355=0,"xxx",IFERROR(IF(INT(IF($D303=J$3,装备表!$E355,"xxx")/10000)=3,IF($D303=J$3,装备表!$E355,"xxx")&amp;":2,1,1,"&amp;装备表!$O355&amp;";","xxx"),"xxx"))</f>
        <v>30034:2,1,1,5;</v>
      </c>
    </row>
    <row r="304" spans="3:10" x14ac:dyDescent="0.2">
      <c r="C304">
        <v>30035</v>
      </c>
      <c r="D304" s="18">
        <f>装备表!L356</f>
        <v>6</v>
      </c>
      <c r="E304" s="18" t="str">
        <f>IF(装备表!$O356=0,"xxx",IFERROR(IF(INT(IF($D304=E$3,装备表!$E356,"xxx")/10000)=1,IF($D304=E$3,装备表!$E356,"xxx")&amp;":2,1,1,"&amp;装备表!$O356&amp;";","xxx"),"xxx"))</f>
        <v>xxx</v>
      </c>
      <c r="F304" s="18" t="str">
        <f>IF(装备表!$O356=0,"xxx",IFERROR(IF(INT(IF($D304=F$3,装备表!$E356,"xxx")/10000)=1,IF($D304=F$3,装备表!$E356,"xxx")&amp;":2,1,1,"&amp;装备表!$O356&amp;";","xxx"),"xxx"))</f>
        <v>xxx</v>
      </c>
      <c r="G304" s="18" t="str">
        <f>IF(装备表!$O356=0,"xxx",IFERROR(IF(INT(IF($D304=G$3,装备表!$E356,"xxx")/10000)=1,IF($D304=G$3,装备表!$E356,"xxx")&amp;":2,1,1,"&amp;装备表!$O356&amp;";","xxx"),"xxx"))</f>
        <v>xxx</v>
      </c>
      <c r="H304" s="18" t="str">
        <f>IF(装备表!$O356=0,"xxx",IFERROR(IF(INT(IF($D304=H$3,装备表!$E356,"xxx")/10000)=1,IF($D304=H$3,装备表!$E356,"xxx")&amp;":2,1,1,"&amp;装备表!$O356&amp;";","xxx"),"xxx"))</f>
        <v>xxx</v>
      </c>
      <c r="I304" s="18" t="str">
        <f>IF(装备表!$O356=0,"xxx",IFERROR(IF(INT(IF($D304=I$3,装备表!$E356,"xxx")/10000)=1,IF($D304=I$3,装备表!$E356,"xxx")&amp;":2,1,1,"&amp;装备表!$O356&amp;";","xxx"),"xxx"))</f>
        <v>xxx</v>
      </c>
      <c r="J304" s="18" t="str">
        <f>IF(装备表!$O356=0,"xxx",IFERROR(IF(INT(IF($D304=J$3,装备表!$E356,"xxx")/10000)=3,IF($D304=J$3,装备表!$E356,"xxx")&amp;":2,1,1,"&amp;装备表!$O356&amp;";","xxx"),"xxx"))</f>
        <v>30035:2,1,1,5;</v>
      </c>
    </row>
    <row r="305" spans="3:10" x14ac:dyDescent="0.2">
      <c r="C305">
        <v>30036</v>
      </c>
      <c r="D305" s="18">
        <f>装备表!L357</f>
        <v>6</v>
      </c>
      <c r="E305" s="18" t="str">
        <f>IF(装备表!$O357=0,"xxx",IFERROR(IF(INT(IF($D305=E$3,装备表!$E357,"xxx")/10000)=1,IF($D305=E$3,装备表!$E357,"xxx")&amp;":2,1,1,"&amp;装备表!$O357&amp;";","xxx"),"xxx"))</f>
        <v>xxx</v>
      </c>
      <c r="F305" s="18" t="str">
        <f>IF(装备表!$O357=0,"xxx",IFERROR(IF(INT(IF($D305=F$3,装备表!$E357,"xxx")/10000)=1,IF($D305=F$3,装备表!$E357,"xxx")&amp;":2,1,1,"&amp;装备表!$O357&amp;";","xxx"),"xxx"))</f>
        <v>xxx</v>
      </c>
      <c r="G305" s="18" t="str">
        <f>IF(装备表!$O357=0,"xxx",IFERROR(IF(INT(IF($D305=G$3,装备表!$E357,"xxx")/10000)=1,IF($D305=G$3,装备表!$E357,"xxx")&amp;":2,1,1,"&amp;装备表!$O357&amp;";","xxx"),"xxx"))</f>
        <v>xxx</v>
      </c>
      <c r="H305" s="18" t="str">
        <f>IF(装备表!$O357=0,"xxx",IFERROR(IF(INT(IF($D305=H$3,装备表!$E357,"xxx")/10000)=1,IF($D305=H$3,装备表!$E357,"xxx")&amp;":2,1,1,"&amp;装备表!$O357&amp;";","xxx"),"xxx"))</f>
        <v>xxx</v>
      </c>
      <c r="I305" s="18" t="str">
        <f>IF(装备表!$O357=0,"xxx",IFERROR(IF(INT(IF($D305=I$3,装备表!$E357,"xxx")/10000)=1,IF($D305=I$3,装备表!$E357,"xxx")&amp;":2,1,1,"&amp;装备表!$O357&amp;";","xxx"),"xxx"))</f>
        <v>xxx</v>
      </c>
      <c r="J305" s="18" t="str">
        <f>IF(装备表!$O357=0,"xxx",IFERROR(IF(INT(IF($D305=J$3,装备表!$E357,"xxx")/10000)=3,IF($D305=J$3,装备表!$E357,"xxx")&amp;":2,1,1,"&amp;装备表!$O357&amp;";","xxx"),"xxx"))</f>
        <v>30036:2,1,1,5;</v>
      </c>
    </row>
    <row r="306" spans="3:10" x14ac:dyDescent="0.2">
      <c r="C306">
        <v>30037</v>
      </c>
      <c r="D306" s="18">
        <f>装备表!L358</f>
        <v>6</v>
      </c>
      <c r="E306" s="18" t="str">
        <f>IF(装备表!$O358=0,"xxx",IFERROR(IF(INT(IF($D306=E$3,装备表!$E358,"xxx")/10000)=1,IF($D306=E$3,装备表!$E358,"xxx")&amp;":2,1,1,"&amp;装备表!$O358&amp;";","xxx"),"xxx"))</f>
        <v>xxx</v>
      </c>
      <c r="F306" s="18" t="str">
        <f>IF(装备表!$O358=0,"xxx",IFERROR(IF(INT(IF($D306=F$3,装备表!$E358,"xxx")/10000)=1,IF($D306=F$3,装备表!$E358,"xxx")&amp;":2,1,1,"&amp;装备表!$O358&amp;";","xxx"),"xxx"))</f>
        <v>xxx</v>
      </c>
      <c r="G306" s="18" t="str">
        <f>IF(装备表!$O358=0,"xxx",IFERROR(IF(INT(IF($D306=G$3,装备表!$E358,"xxx")/10000)=1,IF($D306=G$3,装备表!$E358,"xxx")&amp;":2,1,1,"&amp;装备表!$O358&amp;";","xxx"),"xxx"))</f>
        <v>xxx</v>
      </c>
      <c r="H306" s="18" t="str">
        <f>IF(装备表!$O358=0,"xxx",IFERROR(IF(INT(IF($D306=H$3,装备表!$E358,"xxx")/10000)=1,IF($D306=H$3,装备表!$E358,"xxx")&amp;":2,1,1,"&amp;装备表!$O358&amp;";","xxx"),"xxx"))</f>
        <v>xxx</v>
      </c>
      <c r="I306" s="18" t="str">
        <f>IF(装备表!$O358=0,"xxx",IFERROR(IF(INT(IF($D306=I$3,装备表!$E358,"xxx")/10000)=1,IF($D306=I$3,装备表!$E358,"xxx")&amp;":2,1,1,"&amp;装备表!$O358&amp;";","xxx"),"xxx"))</f>
        <v>xxx</v>
      </c>
      <c r="J306" s="18" t="str">
        <f>IF(装备表!$O358=0,"xxx",IFERROR(IF(INT(IF($D306=J$3,装备表!$E358,"xxx")/10000)=3,IF($D306=J$3,装备表!$E358,"xxx")&amp;":2,1,1,"&amp;装备表!$O358&amp;";","xxx"),"xxx"))</f>
        <v>30037:2,1,1,5;</v>
      </c>
    </row>
    <row r="307" spans="3:10" x14ac:dyDescent="0.2">
      <c r="C307">
        <v>30038</v>
      </c>
      <c r="D307" s="18">
        <f>装备表!L359</f>
        <v>6</v>
      </c>
      <c r="E307" s="18" t="str">
        <f>IF(装备表!$O359=0,"xxx",IFERROR(IF(INT(IF($D307=E$3,装备表!$E359,"xxx")/10000)=1,IF($D307=E$3,装备表!$E359,"xxx")&amp;":2,1,1,"&amp;装备表!$O359&amp;";","xxx"),"xxx"))</f>
        <v>xxx</v>
      </c>
      <c r="F307" s="18" t="str">
        <f>IF(装备表!$O359=0,"xxx",IFERROR(IF(INT(IF($D307=F$3,装备表!$E359,"xxx")/10000)=1,IF($D307=F$3,装备表!$E359,"xxx")&amp;":2,1,1,"&amp;装备表!$O359&amp;";","xxx"),"xxx"))</f>
        <v>xxx</v>
      </c>
      <c r="G307" s="18" t="str">
        <f>IF(装备表!$O359=0,"xxx",IFERROR(IF(INT(IF($D307=G$3,装备表!$E359,"xxx")/10000)=1,IF($D307=G$3,装备表!$E359,"xxx")&amp;":2,1,1,"&amp;装备表!$O359&amp;";","xxx"),"xxx"))</f>
        <v>xxx</v>
      </c>
      <c r="H307" s="18" t="str">
        <f>IF(装备表!$O359=0,"xxx",IFERROR(IF(INT(IF($D307=H$3,装备表!$E359,"xxx")/10000)=1,IF($D307=H$3,装备表!$E359,"xxx")&amp;":2,1,1,"&amp;装备表!$O359&amp;";","xxx"),"xxx"))</f>
        <v>xxx</v>
      </c>
      <c r="I307" s="18" t="str">
        <f>IF(装备表!$O359=0,"xxx",IFERROR(IF(INT(IF($D307=I$3,装备表!$E359,"xxx")/10000)=1,IF($D307=I$3,装备表!$E359,"xxx")&amp;":2,1,1,"&amp;装备表!$O359&amp;";","xxx"),"xxx"))</f>
        <v>xxx</v>
      </c>
      <c r="J307" s="18" t="str">
        <f>IF(装备表!$O359=0,"xxx",IFERROR(IF(INT(IF($D307=J$3,装备表!$E359,"xxx")/10000)=3,IF($D307=J$3,装备表!$E359,"xxx")&amp;":2,1,1,"&amp;装备表!$O359&amp;";","xxx"),"xxx"))</f>
        <v>30038:2,1,1,5;</v>
      </c>
    </row>
    <row r="308" spans="3:10" x14ac:dyDescent="0.2">
      <c r="C308">
        <v>30039</v>
      </c>
      <c r="D308" s="18">
        <f>装备表!L360</f>
        <v>6</v>
      </c>
      <c r="E308" s="18" t="str">
        <f>IF(装备表!$O360=0,"xxx",IFERROR(IF(INT(IF($D308=E$3,装备表!$E360,"xxx")/10000)=1,IF($D308=E$3,装备表!$E360,"xxx")&amp;":2,1,1,"&amp;装备表!$O360&amp;";","xxx"),"xxx"))</f>
        <v>xxx</v>
      </c>
      <c r="F308" s="18" t="str">
        <f>IF(装备表!$O360=0,"xxx",IFERROR(IF(INT(IF($D308=F$3,装备表!$E360,"xxx")/10000)=1,IF($D308=F$3,装备表!$E360,"xxx")&amp;":2,1,1,"&amp;装备表!$O360&amp;";","xxx"),"xxx"))</f>
        <v>xxx</v>
      </c>
      <c r="G308" s="18" t="str">
        <f>IF(装备表!$O360=0,"xxx",IFERROR(IF(INT(IF($D308=G$3,装备表!$E360,"xxx")/10000)=1,IF($D308=G$3,装备表!$E360,"xxx")&amp;":2,1,1,"&amp;装备表!$O360&amp;";","xxx"),"xxx"))</f>
        <v>xxx</v>
      </c>
      <c r="H308" s="18" t="str">
        <f>IF(装备表!$O360=0,"xxx",IFERROR(IF(INT(IF($D308=H$3,装备表!$E360,"xxx")/10000)=1,IF($D308=H$3,装备表!$E360,"xxx")&amp;":2,1,1,"&amp;装备表!$O360&amp;";","xxx"),"xxx"))</f>
        <v>xxx</v>
      </c>
      <c r="I308" s="18" t="str">
        <f>IF(装备表!$O360=0,"xxx",IFERROR(IF(INT(IF($D308=I$3,装备表!$E360,"xxx")/10000)=1,IF($D308=I$3,装备表!$E360,"xxx")&amp;":2,1,1,"&amp;装备表!$O360&amp;";","xxx"),"xxx"))</f>
        <v>xxx</v>
      </c>
      <c r="J308" s="18" t="str">
        <f>IF(装备表!$O360=0,"xxx",IFERROR(IF(INT(IF($D308=J$3,装备表!$E360,"xxx")/10000)=3,IF($D308=J$3,装备表!$E360,"xxx")&amp;":2,1,1,"&amp;装备表!$O360&amp;";","xxx"),"xxx"))</f>
        <v>30039:2,1,1,5;</v>
      </c>
    </row>
    <row r="309" spans="3:10" x14ac:dyDescent="0.2">
      <c r="C309">
        <v>30040</v>
      </c>
      <c r="D309" s="18">
        <f>装备表!L361</f>
        <v>6</v>
      </c>
      <c r="E309" s="18" t="str">
        <f>IF(装备表!$O361=0,"xxx",IFERROR(IF(INT(IF($D309=E$3,装备表!$E361,"xxx")/10000)=1,IF($D309=E$3,装备表!$E361,"xxx")&amp;":2,1,1,"&amp;装备表!$O361&amp;";","xxx"),"xxx"))</f>
        <v>xxx</v>
      </c>
      <c r="F309" s="18" t="str">
        <f>IF(装备表!$O361=0,"xxx",IFERROR(IF(INT(IF($D309=F$3,装备表!$E361,"xxx")/10000)=1,IF($D309=F$3,装备表!$E361,"xxx")&amp;":2,1,1,"&amp;装备表!$O361&amp;";","xxx"),"xxx"))</f>
        <v>xxx</v>
      </c>
      <c r="G309" s="18" t="str">
        <f>IF(装备表!$O361=0,"xxx",IFERROR(IF(INT(IF($D309=G$3,装备表!$E361,"xxx")/10000)=1,IF($D309=G$3,装备表!$E361,"xxx")&amp;":2,1,1,"&amp;装备表!$O361&amp;";","xxx"),"xxx"))</f>
        <v>xxx</v>
      </c>
      <c r="H309" s="18" t="str">
        <f>IF(装备表!$O361=0,"xxx",IFERROR(IF(INT(IF($D309=H$3,装备表!$E361,"xxx")/10000)=1,IF($D309=H$3,装备表!$E361,"xxx")&amp;":2,1,1,"&amp;装备表!$O361&amp;";","xxx"),"xxx"))</f>
        <v>xxx</v>
      </c>
      <c r="I309" s="18" t="str">
        <f>IF(装备表!$O361=0,"xxx",IFERROR(IF(INT(IF($D309=I$3,装备表!$E361,"xxx")/10000)=1,IF($D309=I$3,装备表!$E361,"xxx")&amp;":2,1,1,"&amp;装备表!$O361&amp;";","xxx"),"xxx"))</f>
        <v>xxx</v>
      </c>
      <c r="J309" s="18" t="str">
        <f>IF(装备表!$O361=0,"xxx",IFERROR(IF(INT(IF($D309=J$3,装备表!$E361,"xxx")/10000)=3,IF($D309=J$3,装备表!$E361,"xxx")&amp;":2,1,1,"&amp;装备表!$O361&amp;";","xxx"),"xxx"))</f>
        <v>30040:2,1,1,5;</v>
      </c>
    </row>
    <row r="310" spans="3:10" x14ac:dyDescent="0.2">
      <c r="C310">
        <v>30041</v>
      </c>
      <c r="D310" s="18">
        <f>装备表!L362</f>
        <v>6</v>
      </c>
      <c r="E310" s="18" t="str">
        <f>IF(装备表!$O362=0,"xxx",IFERROR(IF(INT(IF($D310=E$3,装备表!$E362,"xxx")/10000)=1,IF($D310=E$3,装备表!$E362,"xxx")&amp;":2,1,1,"&amp;装备表!$O362&amp;";","xxx"),"xxx"))</f>
        <v>xxx</v>
      </c>
      <c r="F310" s="18" t="str">
        <f>IF(装备表!$O362=0,"xxx",IFERROR(IF(INT(IF($D310=F$3,装备表!$E362,"xxx")/10000)=1,IF($D310=F$3,装备表!$E362,"xxx")&amp;":2,1,1,"&amp;装备表!$O362&amp;";","xxx"),"xxx"))</f>
        <v>xxx</v>
      </c>
      <c r="G310" s="18" t="str">
        <f>IF(装备表!$O362=0,"xxx",IFERROR(IF(INT(IF($D310=G$3,装备表!$E362,"xxx")/10000)=1,IF($D310=G$3,装备表!$E362,"xxx")&amp;":2,1,1,"&amp;装备表!$O362&amp;";","xxx"),"xxx"))</f>
        <v>xxx</v>
      </c>
      <c r="H310" s="18" t="str">
        <f>IF(装备表!$O362=0,"xxx",IFERROR(IF(INT(IF($D310=H$3,装备表!$E362,"xxx")/10000)=1,IF($D310=H$3,装备表!$E362,"xxx")&amp;":2,1,1,"&amp;装备表!$O362&amp;";","xxx"),"xxx"))</f>
        <v>xxx</v>
      </c>
      <c r="I310" s="18" t="str">
        <f>IF(装备表!$O362=0,"xxx",IFERROR(IF(INT(IF($D310=I$3,装备表!$E362,"xxx")/10000)=1,IF($D310=I$3,装备表!$E362,"xxx")&amp;":2,1,1,"&amp;装备表!$O362&amp;";","xxx"),"xxx"))</f>
        <v>xxx</v>
      </c>
      <c r="J310" s="18" t="str">
        <f>IF(装备表!$O362=0,"xxx",IFERROR(IF(INT(IF($D310=J$3,装备表!$E362,"xxx")/10000)=3,IF($D310=J$3,装备表!$E362,"xxx")&amp;":2,1,1,"&amp;装备表!$O362&amp;";","xxx"),"xxx"))</f>
        <v>30041:2,1,1,5;</v>
      </c>
    </row>
    <row r="311" spans="3:10" x14ac:dyDescent="0.2">
      <c r="C311">
        <v>30042</v>
      </c>
      <c r="D311" s="18">
        <f>装备表!L363</f>
        <v>6</v>
      </c>
      <c r="E311" s="18" t="str">
        <f>IF(装备表!$O363=0,"xxx",IFERROR(IF(INT(IF($D311=E$3,装备表!$E363,"xxx")/10000)=1,IF($D311=E$3,装备表!$E363,"xxx")&amp;":2,1,1,"&amp;装备表!$O363&amp;";","xxx"),"xxx"))</f>
        <v>xxx</v>
      </c>
      <c r="F311" s="18" t="str">
        <f>IF(装备表!$O363=0,"xxx",IFERROR(IF(INT(IF($D311=F$3,装备表!$E363,"xxx")/10000)=1,IF($D311=F$3,装备表!$E363,"xxx")&amp;":2,1,1,"&amp;装备表!$O363&amp;";","xxx"),"xxx"))</f>
        <v>xxx</v>
      </c>
      <c r="G311" s="18" t="str">
        <f>IF(装备表!$O363=0,"xxx",IFERROR(IF(INT(IF($D311=G$3,装备表!$E363,"xxx")/10000)=1,IF($D311=G$3,装备表!$E363,"xxx")&amp;":2,1,1,"&amp;装备表!$O363&amp;";","xxx"),"xxx"))</f>
        <v>xxx</v>
      </c>
      <c r="H311" s="18" t="str">
        <f>IF(装备表!$O363=0,"xxx",IFERROR(IF(INT(IF($D311=H$3,装备表!$E363,"xxx")/10000)=1,IF($D311=H$3,装备表!$E363,"xxx")&amp;":2,1,1,"&amp;装备表!$O363&amp;";","xxx"),"xxx"))</f>
        <v>xxx</v>
      </c>
      <c r="I311" s="18" t="str">
        <f>IF(装备表!$O363=0,"xxx",IFERROR(IF(INT(IF($D311=I$3,装备表!$E363,"xxx")/10000)=1,IF($D311=I$3,装备表!$E363,"xxx")&amp;":2,1,1,"&amp;装备表!$O363&amp;";","xxx"),"xxx"))</f>
        <v>xxx</v>
      </c>
      <c r="J311" s="18" t="str">
        <f>IF(装备表!$O363=0,"xxx",IFERROR(IF(INT(IF($D311=J$3,装备表!$E363,"xxx")/10000)=3,IF($D311=J$3,装备表!$E363,"xxx")&amp;":2,1,1,"&amp;装备表!$O363&amp;";","xxx"),"xxx"))</f>
        <v>30042:2,1,1,5;</v>
      </c>
    </row>
    <row r="312" spans="3:10" x14ac:dyDescent="0.2">
      <c r="C312">
        <v>30043</v>
      </c>
      <c r="D312" s="18">
        <f>装备表!L364</f>
        <v>6</v>
      </c>
      <c r="E312" s="18" t="str">
        <f>IF(装备表!$O364=0,"xxx",IFERROR(IF(INT(IF($D312=E$3,装备表!$E364,"xxx")/10000)=1,IF($D312=E$3,装备表!$E364,"xxx")&amp;":2,1,1,"&amp;装备表!$O364&amp;";","xxx"),"xxx"))</f>
        <v>xxx</v>
      </c>
      <c r="F312" s="18" t="str">
        <f>IF(装备表!$O364=0,"xxx",IFERROR(IF(INT(IF($D312=F$3,装备表!$E364,"xxx")/10000)=1,IF($D312=F$3,装备表!$E364,"xxx")&amp;":2,1,1,"&amp;装备表!$O364&amp;";","xxx"),"xxx"))</f>
        <v>xxx</v>
      </c>
      <c r="G312" s="18" t="str">
        <f>IF(装备表!$O364=0,"xxx",IFERROR(IF(INT(IF($D312=G$3,装备表!$E364,"xxx")/10000)=1,IF($D312=G$3,装备表!$E364,"xxx")&amp;":2,1,1,"&amp;装备表!$O364&amp;";","xxx"),"xxx"))</f>
        <v>xxx</v>
      </c>
      <c r="H312" s="18" t="str">
        <f>IF(装备表!$O364=0,"xxx",IFERROR(IF(INT(IF($D312=H$3,装备表!$E364,"xxx")/10000)=1,IF($D312=H$3,装备表!$E364,"xxx")&amp;":2,1,1,"&amp;装备表!$O364&amp;";","xxx"),"xxx"))</f>
        <v>xxx</v>
      </c>
      <c r="I312" s="18" t="str">
        <f>IF(装备表!$O364=0,"xxx",IFERROR(IF(INT(IF($D312=I$3,装备表!$E364,"xxx")/10000)=1,IF($D312=I$3,装备表!$E364,"xxx")&amp;":2,1,1,"&amp;装备表!$O364&amp;";","xxx"),"xxx"))</f>
        <v>xxx</v>
      </c>
      <c r="J312" s="18" t="str">
        <f>IF(装备表!$O364=0,"xxx",IFERROR(IF(INT(IF($D312=J$3,装备表!$E364,"xxx")/10000)=3,IF($D312=J$3,装备表!$E364,"xxx")&amp;":2,1,1,"&amp;装备表!$O364&amp;";","xxx"),"xxx"))</f>
        <v>30043:2,1,1,5;</v>
      </c>
    </row>
    <row r="313" spans="3:10" x14ac:dyDescent="0.2">
      <c r="C313">
        <v>30044</v>
      </c>
      <c r="D313" s="18">
        <f>装备表!L365</f>
        <v>6</v>
      </c>
      <c r="E313" s="18" t="str">
        <f>IF(装备表!$O365=0,"xxx",IFERROR(IF(INT(IF($D313=E$3,装备表!$E365,"xxx")/10000)=1,IF($D313=E$3,装备表!$E365,"xxx")&amp;":2,1,1,"&amp;装备表!$O365&amp;";","xxx"),"xxx"))</f>
        <v>xxx</v>
      </c>
      <c r="F313" s="18" t="str">
        <f>IF(装备表!$O365=0,"xxx",IFERROR(IF(INT(IF($D313=F$3,装备表!$E365,"xxx")/10000)=1,IF($D313=F$3,装备表!$E365,"xxx")&amp;":2,1,1,"&amp;装备表!$O365&amp;";","xxx"),"xxx"))</f>
        <v>xxx</v>
      </c>
      <c r="G313" s="18" t="str">
        <f>IF(装备表!$O365=0,"xxx",IFERROR(IF(INT(IF($D313=G$3,装备表!$E365,"xxx")/10000)=1,IF($D313=G$3,装备表!$E365,"xxx")&amp;":2,1,1,"&amp;装备表!$O365&amp;";","xxx"),"xxx"))</f>
        <v>xxx</v>
      </c>
      <c r="H313" s="18" t="str">
        <f>IF(装备表!$O365=0,"xxx",IFERROR(IF(INT(IF($D313=H$3,装备表!$E365,"xxx")/10000)=1,IF($D313=H$3,装备表!$E365,"xxx")&amp;":2,1,1,"&amp;装备表!$O365&amp;";","xxx"),"xxx"))</f>
        <v>xxx</v>
      </c>
      <c r="I313" s="18" t="str">
        <f>IF(装备表!$O365=0,"xxx",IFERROR(IF(INT(IF($D313=I$3,装备表!$E365,"xxx")/10000)=1,IF($D313=I$3,装备表!$E365,"xxx")&amp;":2,1,1,"&amp;装备表!$O365&amp;";","xxx"),"xxx"))</f>
        <v>xxx</v>
      </c>
      <c r="J313" s="18" t="str">
        <f>IF(装备表!$O365=0,"xxx",IFERROR(IF(INT(IF($D313=J$3,装备表!$E365,"xxx")/10000)=3,IF($D313=J$3,装备表!$E365,"xxx")&amp;":2,1,1,"&amp;装备表!$O365&amp;";","xxx"),"xxx"))</f>
        <v>30044:2,1,1,5;</v>
      </c>
    </row>
    <row r="314" spans="3:10" x14ac:dyDescent="0.2">
      <c r="C314">
        <v>30045</v>
      </c>
      <c r="D314" s="18">
        <f>装备表!L366</f>
        <v>6</v>
      </c>
      <c r="E314" s="18" t="str">
        <f>IF(装备表!$O366=0,"xxx",IFERROR(IF(INT(IF($D314=E$3,装备表!$E366,"xxx")/10000)=1,IF($D314=E$3,装备表!$E366,"xxx")&amp;":2,1,1,"&amp;装备表!$O366&amp;";","xxx"),"xxx"))</f>
        <v>xxx</v>
      </c>
      <c r="F314" s="18" t="str">
        <f>IF(装备表!$O366=0,"xxx",IFERROR(IF(INT(IF($D314=F$3,装备表!$E366,"xxx")/10000)=1,IF($D314=F$3,装备表!$E366,"xxx")&amp;":2,1,1,"&amp;装备表!$O366&amp;";","xxx"),"xxx"))</f>
        <v>xxx</v>
      </c>
      <c r="G314" s="18" t="str">
        <f>IF(装备表!$O366=0,"xxx",IFERROR(IF(INT(IF($D314=G$3,装备表!$E366,"xxx")/10000)=1,IF($D314=G$3,装备表!$E366,"xxx")&amp;":2,1,1,"&amp;装备表!$O366&amp;";","xxx"),"xxx"))</f>
        <v>xxx</v>
      </c>
      <c r="H314" s="18" t="str">
        <f>IF(装备表!$O366=0,"xxx",IFERROR(IF(INT(IF($D314=H$3,装备表!$E366,"xxx")/10000)=1,IF($D314=H$3,装备表!$E366,"xxx")&amp;":2,1,1,"&amp;装备表!$O366&amp;";","xxx"),"xxx"))</f>
        <v>xxx</v>
      </c>
      <c r="I314" s="18" t="str">
        <f>IF(装备表!$O366=0,"xxx",IFERROR(IF(INT(IF($D314=I$3,装备表!$E366,"xxx")/10000)=1,IF($D314=I$3,装备表!$E366,"xxx")&amp;":2,1,1,"&amp;装备表!$O366&amp;";","xxx"),"xxx"))</f>
        <v>xxx</v>
      </c>
      <c r="J314" s="18" t="str">
        <f>IF(装备表!$O366=0,"xxx",IFERROR(IF(INT(IF($D314=J$3,装备表!$E366,"xxx")/10000)=3,IF($D314=J$3,装备表!$E366,"xxx")&amp;":2,1,1,"&amp;装备表!$O366&amp;";","xxx"),"xxx"))</f>
        <v>30045:2,1,1,5;</v>
      </c>
    </row>
    <row r="315" spans="3:10" x14ac:dyDescent="0.2">
      <c r="C315">
        <v>30046</v>
      </c>
      <c r="D315" s="18">
        <f>装备表!L367</f>
        <v>6</v>
      </c>
      <c r="E315" s="18" t="str">
        <f>IF(装备表!$O367=0,"xxx",IFERROR(IF(INT(IF($D315=E$3,装备表!$E367,"xxx")/10000)=1,IF($D315=E$3,装备表!$E367,"xxx")&amp;":2,1,1,"&amp;装备表!$O367&amp;";","xxx"),"xxx"))</f>
        <v>xxx</v>
      </c>
      <c r="F315" s="18" t="str">
        <f>IF(装备表!$O367=0,"xxx",IFERROR(IF(INT(IF($D315=F$3,装备表!$E367,"xxx")/10000)=1,IF($D315=F$3,装备表!$E367,"xxx")&amp;":2,1,1,"&amp;装备表!$O367&amp;";","xxx"),"xxx"))</f>
        <v>xxx</v>
      </c>
      <c r="G315" s="18" t="str">
        <f>IF(装备表!$O367=0,"xxx",IFERROR(IF(INT(IF($D315=G$3,装备表!$E367,"xxx")/10000)=1,IF($D315=G$3,装备表!$E367,"xxx")&amp;":2,1,1,"&amp;装备表!$O367&amp;";","xxx"),"xxx"))</f>
        <v>xxx</v>
      </c>
      <c r="H315" s="18" t="str">
        <f>IF(装备表!$O367=0,"xxx",IFERROR(IF(INT(IF($D315=H$3,装备表!$E367,"xxx")/10000)=1,IF($D315=H$3,装备表!$E367,"xxx")&amp;":2,1,1,"&amp;装备表!$O367&amp;";","xxx"),"xxx"))</f>
        <v>xxx</v>
      </c>
      <c r="I315" s="18" t="str">
        <f>IF(装备表!$O367=0,"xxx",IFERROR(IF(INT(IF($D315=I$3,装备表!$E367,"xxx")/10000)=1,IF($D315=I$3,装备表!$E367,"xxx")&amp;":2,1,1,"&amp;装备表!$O367&amp;";","xxx"),"xxx"))</f>
        <v>xxx</v>
      </c>
      <c r="J315" s="18" t="str">
        <f>IF(装备表!$O367=0,"xxx",IFERROR(IF(INT(IF($D315=J$3,装备表!$E367,"xxx")/10000)=3,IF($D315=J$3,装备表!$E367,"xxx")&amp;":2,1,1,"&amp;装备表!$O367&amp;";","xxx"),"xxx"))</f>
        <v>30046:2,1,1,5;</v>
      </c>
    </row>
    <row r="316" spans="3:10" x14ac:dyDescent="0.2">
      <c r="C316">
        <v>30047</v>
      </c>
      <c r="D316" s="18">
        <f>装备表!L368</f>
        <v>6</v>
      </c>
      <c r="E316" s="18" t="str">
        <f>IF(装备表!$O368=0,"xxx",IFERROR(IF(INT(IF($D316=E$3,装备表!$E368,"xxx")/10000)=1,IF($D316=E$3,装备表!$E368,"xxx")&amp;":2,1,1,"&amp;装备表!$O368&amp;";","xxx"),"xxx"))</f>
        <v>xxx</v>
      </c>
      <c r="F316" s="18" t="str">
        <f>IF(装备表!$O368=0,"xxx",IFERROR(IF(INT(IF($D316=F$3,装备表!$E368,"xxx")/10000)=1,IF($D316=F$3,装备表!$E368,"xxx")&amp;":2,1,1,"&amp;装备表!$O368&amp;";","xxx"),"xxx"))</f>
        <v>xxx</v>
      </c>
      <c r="G316" s="18" t="str">
        <f>IF(装备表!$O368=0,"xxx",IFERROR(IF(INT(IF($D316=G$3,装备表!$E368,"xxx")/10000)=1,IF($D316=G$3,装备表!$E368,"xxx")&amp;":2,1,1,"&amp;装备表!$O368&amp;";","xxx"),"xxx"))</f>
        <v>xxx</v>
      </c>
      <c r="H316" s="18" t="str">
        <f>IF(装备表!$O368=0,"xxx",IFERROR(IF(INT(IF($D316=H$3,装备表!$E368,"xxx")/10000)=1,IF($D316=H$3,装备表!$E368,"xxx")&amp;":2,1,1,"&amp;装备表!$O368&amp;";","xxx"),"xxx"))</f>
        <v>xxx</v>
      </c>
      <c r="I316" s="18" t="str">
        <f>IF(装备表!$O368=0,"xxx",IFERROR(IF(INT(IF($D316=I$3,装备表!$E368,"xxx")/10000)=1,IF($D316=I$3,装备表!$E368,"xxx")&amp;":2,1,1,"&amp;装备表!$O368&amp;";","xxx"),"xxx"))</f>
        <v>xxx</v>
      </c>
      <c r="J316" s="18" t="str">
        <f>IF(装备表!$O368=0,"xxx",IFERROR(IF(INT(IF($D316=J$3,装备表!$E368,"xxx")/10000)=3,IF($D316=J$3,装备表!$E368,"xxx")&amp;":2,1,1,"&amp;装备表!$O368&amp;";","xxx"),"xxx"))</f>
        <v>30047:2,1,1,5;</v>
      </c>
    </row>
    <row r="317" spans="3:10" x14ac:dyDescent="0.2">
      <c r="C317">
        <v>30048</v>
      </c>
      <c r="D317" s="18">
        <f>装备表!L369</f>
        <v>6</v>
      </c>
      <c r="E317" s="18" t="str">
        <f>IF(装备表!$O369=0,"xxx",IFERROR(IF(INT(IF($D317=E$3,装备表!$E369,"xxx")/10000)=1,IF($D317=E$3,装备表!$E369,"xxx")&amp;":2,1,1,"&amp;装备表!$O369&amp;";","xxx"),"xxx"))</f>
        <v>xxx</v>
      </c>
      <c r="F317" s="18" t="str">
        <f>IF(装备表!$O369=0,"xxx",IFERROR(IF(INT(IF($D317=F$3,装备表!$E369,"xxx")/10000)=1,IF($D317=F$3,装备表!$E369,"xxx")&amp;":2,1,1,"&amp;装备表!$O369&amp;";","xxx"),"xxx"))</f>
        <v>xxx</v>
      </c>
      <c r="G317" s="18" t="str">
        <f>IF(装备表!$O369=0,"xxx",IFERROR(IF(INT(IF($D317=G$3,装备表!$E369,"xxx")/10000)=1,IF($D317=G$3,装备表!$E369,"xxx")&amp;":2,1,1,"&amp;装备表!$O369&amp;";","xxx"),"xxx"))</f>
        <v>xxx</v>
      </c>
      <c r="H317" s="18" t="str">
        <f>IF(装备表!$O369=0,"xxx",IFERROR(IF(INT(IF($D317=H$3,装备表!$E369,"xxx")/10000)=1,IF($D317=H$3,装备表!$E369,"xxx")&amp;":2,1,1,"&amp;装备表!$O369&amp;";","xxx"),"xxx"))</f>
        <v>xxx</v>
      </c>
      <c r="I317" s="18" t="str">
        <f>IF(装备表!$O369=0,"xxx",IFERROR(IF(INT(IF($D317=I$3,装备表!$E369,"xxx")/10000)=1,IF($D317=I$3,装备表!$E369,"xxx")&amp;":2,1,1,"&amp;装备表!$O369&amp;";","xxx"),"xxx"))</f>
        <v>xxx</v>
      </c>
      <c r="J317" s="18" t="str">
        <f>IF(装备表!$O369=0,"xxx",IFERROR(IF(INT(IF($D317=J$3,装备表!$E369,"xxx")/10000)=3,IF($D317=J$3,装备表!$E369,"xxx")&amp;":2,1,1,"&amp;装备表!$O369&amp;";","xxx"),"xxx"))</f>
        <v>30048:2,1,1,5;</v>
      </c>
    </row>
    <row r="318" spans="3:10" x14ac:dyDescent="0.2">
      <c r="C318">
        <v>30049</v>
      </c>
      <c r="D318" s="18">
        <f>装备表!L370</f>
        <v>6</v>
      </c>
      <c r="E318" s="18" t="str">
        <f>IF(装备表!$O370=0,"xxx",IFERROR(IF(INT(IF($D318=E$3,装备表!$E370,"xxx")/10000)=1,IF($D318=E$3,装备表!$E370,"xxx")&amp;":2,1,1,"&amp;装备表!$O370&amp;";","xxx"),"xxx"))</f>
        <v>xxx</v>
      </c>
      <c r="F318" s="18" t="str">
        <f>IF(装备表!$O370=0,"xxx",IFERROR(IF(INT(IF($D318=F$3,装备表!$E370,"xxx")/10000)=1,IF($D318=F$3,装备表!$E370,"xxx")&amp;":2,1,1,"&amp;装备表!$O370&amp;";","xxx"),"xxx"))</f>
        <v>xxx</v>
      </c>
      <c r="G318" s="18" t="str">
        <f>IF(装备表!$O370=0,"xxx",IFERROR(IF(INT(IF($D318=G$3,装备表!$E370,"xxx")/10000)=1,IF($D318=G$3,装备表!$E370,"xxx")&amp;":2,1,1,"&amp;装备表!$O370&amp;";","xxx"),"xxx"))</f>
        <v>xxx</v>
      </c>
      <c r="H318" s="18" t="str">
        <f>IF(装备表!$O370=0,"xxx",IFERROR(IF(INT(IF($D318=H$3,装备表!$E370,"xxx")/10000)=1,IF($D318=H$3,装备表!$E370,"xxx")&amp;":2,1,1,"&amp;装备表!$O370&amp;";","xxx"),"xxx"))</f>
        <v>xxx</v>
      </c>
      <c r="I318" s="18" t="str">
        <f>IF(装备表!$O370=0,"xxx",IFERROR(IF(INT(IF($D318=I$3,装备表!$E370,"xxx")/10000)=1,IF($D318=I$3,装备表!$E370,"xxx")&amp;":2,1,1,"&amp;装备表!$O370&amp;";","xxx"),"xxx"))</f>
        <v>xxx</v>
      </c>
      <c r="J318" s="18" t="str">
        <f>IF(装备表!$O370=0,"xxx",IFERROR(IF(INT(IF($D318=J$3,装备表!$E370,"xxx")/10000)=3,IF($D318=J$3,装备表!$E370,"xxx")&amp;":2,1,1,"&amp;装备表!$O370&amp;";","xxx"),"xxx"))</f>
        <v>30049:2,1,1,5;</v>
      </c>
    </row>
    <row r="319" spans="3:10" x14ac:dyDescent="0.2">
      <c r="C319">
        <v>30050</v>
      </c>
      <c r="D319" s="18">
        <f>装备表!L371</f>
        <v>6</v>
      </c>
      <c r="E319" s="18" t="str">
        <f>IF(装备表!$O371=0,"xxx",IFERROR(IF(INT(IF($D319=E$3,装备表!$E371,"xxx")/10000)=1,IF($D319=E$3,装备表!$E371,"xxx")&amp;":2,1,1,"&amp;装备表!$O371&amp;";","xxx"),"xxx"))</f>
        <v>xxx</v>
      </c>
      <c r="F319" s="18" t="str">
        <f>IF(装备表!$O371=0,"xxx",IFERROR(IF(INT(IF($D319=F$3,装备表!$E371,"xxx")/10000)=1,IF($D319=F$3,装备表!$E371,"xxx")&amp;":2,1,1,"&amp;装备表!$O371&amp;";","xxx"),"xxx"))</f>
        <v>xxx</v>
      </c>
      <c r="G319" s="18" t="str">
        <f>IF(装备表!$O371=0,"xxx",IFERROR(IF(INT(IF($D319=G$3,装备表!$E371,"xxx")/10000)=1,IF($D319=G$3,装备表!$E371,"xxx")&amp;":2,1,1,"&amp;装备表!$O371&amp;";","xxx"),"xxx"))</f>
        <v>xxx</v>
      </c>
      <c r="H319" s="18" t="str">
        <f>IF(装备表!$O371=0,"xxx",IFERROR(IF(INT(IF($D319=H$3,装备表!$E371,"xxx")/10000)=1,IF($D319=H$3,装备表!$E371,"xxx")&amp;":2,1,1,"&amp;装备表!$O371&amp;";","xxx"),"xxx"))</f>
        <v>xxx</v>
      </c>
      <c r="I319" s="18" t="str">
        <f>IF(装备表!$O371=0,"xxx",IFERROR(IF(INT(IF($D319=I$3,装备表!$E371,"xxx")/10000)=1,IF($D319=I$3,装备表!$E371,"xxx")&amp;":2,1,1,"&amp;装备表!$O371&amp;";","xxx"),"xxx"))</f>
        <v>xxx</v>
      </c>
      <c r="J319" s="18" t="str">
        <f>IF(装备表!$O371=0,"xxx",IFERROR(IF(INT(IF($D319=J$3,装备表!$E371,"xxx")/10000)=3,IF($D319=J$3,装备表!$E371,"xxx")&amp;":2,1,1,"&amp;装备表!$O371&amp;";","xxx"),"xxx"))</f>
        <v>30050:2,1,1,5;</v>
      </c>
    </row>
    <row r="320" spans="3:10" x14ac:dyDescent="0.2">
      <c r="C320">
        <v>30051</v>
      </c>
      <c r="D320" s="18">
        <f>装备表!L372</f>
        <v>6</v>
      </c>
      <c r="E320" s="18" t="str">
        <f>IF(装备表!$O372=0,"xxx",IFERROR(IF(INT(IF($D320=E$3,装备表!$E372,"xxx")/10000)=1,IF($D320=E$3,装备表!$E372,"xxx")&amp;":2,1,1,"&amp;装备表!$O372&amp;";","xxx"),"xxx"))</f>
        <v>xxx</v>
      </c>
      <c r="F320" s="18" t="str">
        <f>IF(装备表!$O372=0,"xxx",IFERROR(IF(INT(IF($D320=F$3,装备表!$E372,"xxx")/10000)=1,IF($D320=F$3,装备表!$E372,"xxx")&amp;":2,1,1,"&amp;装备表!$O372&amp;";","xxx"),"xxx"))</f>
        <v>xxx</v>
      </c>
      <c r="G320" s="18" t="str">
        <f>IF(装备表!$O372=0,"xxx",IFERROR(IF(INT(IF($D320=G$3,装备表!$E372,"xxx")/10000)=1,IF($D320=G$3,装备表!$E372,"xxx")&amp;":2,1,1,"&amp;装备表!$O372&amp;";","xxx"),"xxx"))</f>
        <v>xxx</v>
      </c>
      <c r="H320" s="18" t="str">
        <f>IF(装备表!$O372=0,"xxx",IFERROR(IF(INT(IF($D320=H$3,装备表!$E372,"xxx")/10000)=1,IF($D320=H$3,装备表!$E372,"xxx")&amp;":2,1,1,"&amp;装备表!$O372&amp;";","xxx"),"xxx"))</f>
        <v>xxx</v>
      </c>
      <c r="I320" s="18" t="str">
        <f>IF(装备表!$O372=0,"xxx",IFERROR(IF(INT(IF($D320=I$3,装备表!$E372,"xxx")/10000)=1,IF($D320=I$3,装备表!$E372,"xxx")&amp;":2,1,1,"&amp;装备表!$O372&amp;";","xxx"),"xxx"))</f>
        <v>xxx</v>
      </c>
      <c r="J320" s="18" t="str">
        <f>IF(装备表!$O372=0,"xxx",IFERROR(IF(INT(IF($D320=J$3,装备表!$E372,"xxx")/10000)=3,IF($D320=J$3,装备表!$E372,"xxx")&amp;":2,1,1,"&amp;装备表!$O372&amp;";","xxx"),"xxx"))</f>
        <v>30051:2,1,1,5;</v>
      </c>
    </row>
    <row r="321" spans="3:10" x14ac:dyDescent="0.2">
      <c r="C321">
        <v>30052</v>
      </c>
      <c r="D321" s="18">
        <f>装备表!L373</f>
        <v>6</v>
      </c>
      <c r="E321" s="18" t="str">
        <f>IF(装备表!$O373=0,"xxx",IFERROR(IF(INT(IF($D321=E$3,装备表!$E373,"xxx")/10000)=1,IF($D321=E$3,装备表!$E373,"xxx")&amp;":2,1,1,"&amp;装备表!$O373&amp;";","xxx"),"xxx"))</f>
        <v>xxx</v>
      </c>
      <c r="F321" s="18" t="str">
        <f>IF(装备表!$O373=0,"xxx",IFERROR(IF(INT(IF($D321=F$3,装备表!$E373,"xxx")/10000)=1,IF($D321=F$3,装备表!$E373,"xxx")&amp;":2,1,1,"&amp;装备表!$O373&amp;";","xxx"),"xxx"))</f>
        <v>xxx</v>
      </c>
      <c r="G321" s="18" t="str">
        <f>IF(装备表!$O373=0,"xxx",IFERROR(IF(INT(IF($D321=G$3,装备表!$E373,"xxx")/10000)=1,IF($D321=G$3,装备表!$E373,"xxx")&amp;":2,1,1,"&amp;装备表!$O373&amp;";","xxx"),"xxx"))</f>
        <v>xxx</v>
      </c>
      <c r="H321" s="18" t="str">
        <f>IF(装备表!$O373=0,"xxx",IFERROR(IF(INT(IF($D321=H$3,装备表!$E373,"xxx")/10000)=1,IF($D321=H$3,装备表!$E373,"xxx")&amp;":2,1,1,"&amp;装备表!$O373&amp;";","xxx"),"xxx"))</f>
        <v>xxx</v>
      </c>
      <c r="I321" s="18" t="str">
        <f>IF(装备表!$O373=0,"xxx",IFERROR(IF(INT(IF($D321=I$3,装备表!$E373,"xxx")/10000)=1,IF($D321=I$3,装备表!$E373,"xxx")&amp;":2,1,1,"&amp;装备表!$O373&amp;";","xxx"),"xxx"))</f>
        <v>xxx</v>
      </c>
      <c r="J321" s="18" t="str">
        <f>IF(装备表!$O373=0,"xxx",IFERROR(IF(INT(IF($D321=J$3,装备表!$E373,"xxx")/10000)=3,IF($D321=J$3,装备表!$E373,"xxx")&amp;":2,1,1,"&amp;装备表!$O373&amp;";","xxx"),"xxx"))</f>
        <v>30052:2,1,1,5;</v>
      </c>
    </row>
    <row r="322" spans="3:10" x14ac:dyDescent="0.2">
      <c r="C322">
        <v>30053</v>
      </c>
      <c r="D322" s="18">
        <f>装备表!L374</f>
        <v>6</v>
      </c>
      <c r="E322" s="18" t="str">
        <f>IF(装备表!$O374=0,"xxx",IFERROR(IF(INT(IF($D322=E$3,装备表!$E374,"xxx")/10000)=1,IF($D322=E$3,装备表!$E374,"xxx")&amp;":2,1,1,"&amp;装备表!$O374&amp;";","xxx"),"xxx"))</f>
        <v>xxx</v>
      </c>
      <c r="F322" s="18" t="str">
        <f>IF(装备表!$O374=0,"xxx",IFERROR(IF(INT(IF($D322=F$3,装备表!$E374,"xxx")/10000)=1,IF($D322=F$3,装备表!$E374,"xxx")&amp;":2,1,1,"&amp;装备表!$O374&amp;";","xxx"),"xxx"))</f>
        <v>xxx</v>
      </c>
      <c r="G322" s="18" t="str">
        <f>IF(装备表!$O374=0,"xxx",IFERROR(IF(INT(IF($D322=G$3,装备表!$E374,"xxx")/10000)=1,IF($D322=G$3,装备表!$E374,"xxx")&amp;":2,1,1,"&amp;装备表!$O374&amp;";","xxx"),"xxx"))</f>
        <v>xxx</v>
      </c>
      <c r="H322" s="18" t="str">
        <f>IF(装备表!$O374=0,"xxx",IFERROR(IF(INT(IF($D322=H$3,装备表!$E374,"xxx")/10000)=1,IF($D322=H$3,装备表!$E374,"xxx")&amp;":2,1,1,"&amp;装备表!$O374&amp;";","xxx"),"xxx"))</f>
        <v>xxx</v>
      </c>
      <c r="I322" s="18" t="str">
        <f>IF(装备表!$O374=0,"xxx",IFERROR(IF(INT(IF($D322=I$3,装备表!$E374,"xxx")/10000)=1,IF($D322=I$3,装备表!$E374,"xxx")&amp;":2,1,1,"&amp;装备表!$O374&amp;";","xxx"),"xxx"))</f>
        <v>xxx</v>
      </c>
      <c r="J322" s="18" t="str">
        <f>IF(装备表!$O374=0,"xxx",IFERROR(IF(INT(IF($D322=J$3,装备表!$E374,"xxx")/10000)=3,IF($D322=J$3,装备表!$E374,"xxx")&amp;":2,1,1,"&amp;装备表!$O374&amp;";","xxx"),"xxx"))</f>
        <v>30053:2,1,1,5;</v>
      </c>
    </row>
    <row r="323" spans="3:10" x14ac:dyDescent="0.2">
      <c r="C323">
        <v>30054</v>
      </c>
      <c r="D323" s="18">
        <f>装备表!L375</f>
        <v>6</v>
      </c>
      <c r="E323" s="18" t="str">
        <f>IF(装备表!$O375=0,"xxx",IFERROR(IF(INT(IF($D323=E$3,装备表!$E375,"xxx")/10000)=1,IF($D323=E$3,装备表!$E375,"xxx")&amp;":2,1,1,"&amp;装备表!$O375&amp;";","xxx"),"xxx"))</f>
        <v>xxx</v>
      </c>
      <c r="F323" s="18" t="str">
        <f>IF(装备表!$O375=0,"xxx",IFERROR(IF(INT(IF($D323=F$3,装备表!$E375,"xxx")/10000)=1,IF($D323=F$3,装备表!$E375,"xxx")&amp;":2,1,1,"&amp;装备表!$O375&amp;";","xxx"),"xxx"))</f>
        <v>xxx</v>
      </c>
      <c r="G323" s="18" t="str">
        <f>IF(装备表!$O375=0,"xxx",IFERROR(IF(INT(IF($D323=G$3,装备表!$E375,"xxx")/10000)=1,IF($D323=G$3,装备表!$E375,"xxx")&amp;":2,1,1,"&amp;装备表!$O375&amp;";","xxx"),"xxx"))</f>
        <v>xxx</v>
      </c>
      <c r="H323" s="18" t="str">
        <f>IF(装备表!$O375=0,"xxx",IFERROR(IF(INT(IF($D323=H$3,装备表!$E375,"xxx")/10000)=1,IF($D323=H$3,装备表!$E375,"xxx")&amp;":2,1,1,"&amp;装备表!$O375&amp;";","xxx"),"xxx"))</f>
        <v>xxx</v>
      </c>
      <c r="I323" s="18" t="str">
        <f>IF(装备表!$O375=0,"xxx",IFERROR(IF(INT(IF($D323=I$3,装备表!$E375,"xxx")/10000)=1,IF($D323=I$3,装备表!$E375,"xxx")&amp;":2,1,1,"&amp;装备表!$O375&amp;";","xxx"),"xxx"))</f>
        <v>xxx</v>
      </c>
      <c r="J323" s="18" t="str">
        <f>IF(装备表!$O375=0,"xxx",IFERROR(IF(INT(IF($D323=J$3,装备表!$E375,"xxx")/10000)=3,IF($D323=J$3,装备表!$E375,"xxx")&amp;":2,1,1,"&amp;装备表!$O375&amp;";","xxx"),"xxx"))</f>
        <v>30054:2,1,1,5;</v>
      </c>
    </row>
    <row r="324" spans="3:10" x14ac:dyDescent="0.2">
      <c r="C324">
        <v>30055</v>
      </c>
      <c r="D324" s="18">
        <f>装备表!L376</f>
        <v>6</v>
      </c>
      <c r="E324" s="18" t="str">
        <f>IF(装备表!$O376=0,"xxx",IFERROR(IF(INT(IF($D324=E$3,装备表!$E376,"xxx")/10000)=1,IF($D324=E$3,装备表!$E376,"xxx")&amp;":2,1,1,"&amp;装备表!$O376&amp;";","xxx"),"xxx"))</f>
        <v>xxx</v>
      </c>
      <c r="F324" s="18" t="str">
        <f>IF(装备表!$O376=0,"xxx",IFERROR(IF(INT(IF($D324=F$3,装备表!$E376,"xxx")/10000)=1,IF($D324=F$3,装备表!$E376,"xxx")&amp;":2,1,1,"&amp;装备表!$O376&amp;";","xxx"),"xxx"))</f>
        <v>xxx</v>
      </c>
      <c r="G324" s="18" t="str">
        <f>IF(装备表!$O376=0,"xxx",IFERROR(IF(INT(IF($D324=G$3,装备表!$E376,"xxx")/10000)=1,IF($D324=G$3,装备表!$E376,"xxx")&amp;":2,1,1,"&amp;装备表!$O376&amp;";","xxx"),"xxx"))</f>
        <v>xxx</v>
      </c>
      <c r="H324" s="18" t="str">
        <f>IF(装备表!$O376=0,"xxx",IFERROR(IF(INT(IF($D324=H$3,装备表!$E376,"xxx")/10000)=1,IF($D324=H$3,装备表!$E376,"xxx")&amp;":2,1,1,"&amp;装备表!$O376&amp;";","xxx"),"xxx"))</f>
        <v>xxx</v>
      </c>
      <c r="I324" s="18" t="str">
        <f>IF(装备表!$O376=0,"xxx",IFERROR(IF(INT(IF($D324=I$3,装备表!$E376,"xxx")/10000)=1,IF($D324=I$3,装备表!$E376,"xxx")&amp;":2,1,1,"&amp;装备表!$O376&amp;";","xxx"),"xxx"))</f>
        <v>xxx</v>
      </c>
      <c r="J324" s="18" t="str">
        <f>IF(装备表!$O376=0,"xxx",IFERROR(IF(INT(IF($D324=J$3,装备表!$E376,"xxx")/10000)=3,IF($D324=J$3,装备表!$E376,"xxx")&amp;":2,1,1,"&amp;装备表!$O376&amp;";","xxx"),"xxx"))</f>
        <v>30055:2,1,1,5;</v>
      </c>
    </row>
    <row r="325" spans="3:10" x14ac:dyDescent="0.2">
      <c r="C325">
        <v>30056</v>
      </c>
      <c r="D325" s="18">
        <f>装备表!L377</f>
        <v>6</v>
      </c>
      <c r="E325" s="18" t="str">
        <f>IF(装备表!$O377=0,"xxx",IFERROR(IF(INT(IF($D325=E$3,装备表!$E377,"xxx")/10000)=1,IF($D325=E$3,装备表!$E377,"xxx")&amp;":2,1,1,"&amp;装备表!$O377&amp;";","xxx"),"xxx"))</f>
        <v>xxx</v>
      </c>
      <c r="F325" s="18" t="str">
        <f>IF(装备表!$O377=0,"xxx",IFERROR(IF(INT(IF($D325=F$3,装备表!$E377,"xxx")/10000)=1,IF($D325=F$3,装备表!$E377,"xxx")&amp;":2,1,1,"&amp;装备表!$O377&amp;";","xxx"),"xxx"))</f>
        <v>xxx</v>
      </c>
      <c r="G325" s="18" t="str">
        <f>IF(装备表!$O377=0,"xxx",IFERROR(IF(INT(IF($D325=G$3,装备表!$E377,"xxx")/10000)=1,IF($D325=G$3,装备表!$E377,"xxx")&amp;":2,1,1,"&amp;装备表!$O377&amp;";","xxx"),"xxx"))</f>
        <v>xxx</v>
      </c>
      <c r="H325" s="18" t="str">
        <f>IF(装备表!$O377=0,"xxx",IFERROR(IF(INT(IF($D325=H$3,装备表!$E377,"xxx")/10000)=1,IF($D325=H$3,装备表!$E377,"xxx")&amp;":2,1,1,"&amp;装备表!$O377&amp;";","xxx"),"xxx"))</f>
        <v>xxx</v>
      </c>
      <c r="I325" s="18" t="str">
        <f>IF(装备表!$O377=0,"xxx",IFERROR(IF(INT(IF($D325=I$3,装备表!$E377,"xxx")/10000)=1,IF($D325=I$3,装备表!$E377,"xxx")&amp;":2,1,1,"&amp;装备表!$O377&amp;";","xxx"),"xxx"))</f>
        <v>xxx</v>
      </c>
      <c r="J325" s="18" t="str">
        <f>IF(装备表!$O377=0,"xxx",IFERROR(IF(INT(IF($D325=J$3,装备表!$E377,"xxx")/10000)=3,IF($D325=J$3,装备表!$E377,"xxx")&amp;":2,1,1,"&amp;装备表!$O377&amp;";","xxx"),"xxx"))</f>
        <v>30056:2,1,1,5;</v>
      </c>
    </row>
    <row r="326" spans="3:10" x14ac:dyDescent="0.2">
      <c r="C326">
        <v>30057</v>
      </c>
      <c r="D326" s="18">
        <f>装备表!L378</f>
        <v>6</v>
      </c>
      <c r="E326" s="18" t="str">
        <f>IF(装备表!$O378=0,"xxx",IFERROR(IF(INT(IF($D326=E$3,装备表!$E378,"xxx")/10000)=1,IF($D326=E$3,装备表!$E378,"xxx")&amp;":2,1,1,"&amp;装备表!$O378&amp;";","xxx"),"xxx"))</f>
        <v>xxx</v>
      </c>
      <c r="F326" s="18" t="str">
        <f>IF(装备表!$O378=0,"xxx",IFERROR(IF(INT(IF($D326=F$3,装备表!$E378,"xxx")/10000)=1,IF($D326=F$3,装备表!$E378,"xxx")&amp;":2,1,1,"&amp;装备表!$O378&amp;";","xxx"),"xxx"))</f>
        <v>xxx</v>
      </c>
      <c r="G326" s="18" t="str">
        <f>IF(装备表!$O378=0,"xxx",IFERROR(IF(INT(IF($D326=G$3,装备表!$E378,"xxx")/10000)=1,IF($D326=G$3,装备表!$E378,"xxx")&amp;":2,1,1,"&amp;装备表!$O378&amp;";","xxx"),"xxx"))</f>
        <v>xxx</v>
      </c>
      <c r="H326" s="18" t="str">
        <f>IF(装备表!$O378=0,"xxx",IFERROR(IF(INT(IF($D326=H$3,装备表!$E378,"xxx")/10000)=1,IF($D326=H$3,装备表!$E378,"xxx")&amp;":2,1,1,"&amp;装备表!$O378&amp;";","xxx"),"xxx"))</f>
        <v>xxx</v>
      </c>
      <c r="I326" s="18" t="str">
        <f>IF(装备表!$O378=0,"xxx",IFERROR(IF(INT(IF($D326=I$3,装备表!$E378,"xxx")/10000)=1,IF($D326=I$3,装备表!$E378,"xxx")&amp;":2,1,1,"&amp;装备表!$O378&amp;";","xxx"),"xxx"))</f>
        <v>xxx</v>
      </c>
      <c r="J326" s="18" t="str">
        <f>IF(装备表!$O378=0,"xxx",IFERROR(IF(INT(IF($D326=J$3,装备表!$E378,"xxx")/10000)=3,IF($D326=J$3,装备表!$E378,"xxx")&amp;":2,1,1,"&amp;装备表!$O378&amp;";","xxx"),"xxx"))</f>
        <v>30057:2,1,1,5;</v>
      </c>
    </row>
    <row r="327" spans="3:10" x14ac:dyDescent="0.2">
      <c r="C327">
        <v>30058</v>
      </c>
      <c r="D327" s="18">
        <f>装备表!L379</f>
        <v>6</v>
      </c>
      <c r="E327" s="18" t="str">
        <f>IF(装备表!$O379=0,"xxx",IFERROR(IF(INT(IF($D327=E$3,装备表!$E379,"xxx")/10000)=1,IF($D327=E$3,装备表!$E379,"xxx")&amp;":2,1,1,"&amp;装备表!$O379&amp;";","xxx"),"xxx"))</f>
        <v>xxx</v>
      </c>
      <c r="F327" s="18" t="str">
        <f>IF(装备表!$O379=0,"xxx",IFERROR(IF(INT(IF($D327=F$3,装备表!$E379,"xxx")/10000)=1,IF($D327=F$3,装备表!$E379,"xxx")&amp;":2,1,1,"&amp;装备表!$O379&amp;";","xxx"),"xxx"))</f>
        <v>xxx</v>
      </c>
      <c r="G327" s="18" t="str">
        <f>IF(装备表!$O379=0,"xxx",IFERROR(IF(INT(IF($D327=G$3,装备表!$E379,"xxx")/10000)=1,IF($D327=G$3,装备表!$E379,"xxx")&amp;":2,1,1,"&amp;装备表!$O379&amp;";","xxx"),"xxx"))</f>
        <v>xxx</v>
      </c>
      <c r="H327" s="18" t="str">
        <f>IF(装备表!$O379=0,"xxx",IFERROR(IF(INT(IF($D327=H$3,装备表!$E379,"xxx")/10000)=1,IF($D327=H$3,装备表!$E379,"xxx")&amp;":2,1,1,"&amp;装备表!$O379&amp;";","xxx"),"xxx"))</f>
        <v>xxx</v>
      </c>
      <c r="I327" s="18" t="str">
        <f>IF(装备表!$O379=0,"xxx",IFERROR(IF(INT(IF($D327=I$3,装备表!$E379,"xxx")/10000)=1,IF($D327=I$3,装备表!$E379,"xxx")&amp;":2,1,1,"&amp;装备表!$O379&amp;";","xxx"),"xxx"))</f>
        <v>xxx</v>
      </c>
      <c r="J327" s="18" t="str">
        <f>IF(装备表!$O379=0,"xxx",IFERROR(IF(INT(IF($D327=J$3,装备表!$E379,"xxx")/10000)=3,IF($D327=J$3,装备表!$E379,"xxx")&amp;":2,1,1,"&amp;装备表!$O379&amp;";","xxx"),"xxx"))</f>
        <v>30058:2,1,1,5;</v>
      </c>
    </row>
    <row r="328" spans="3:10" x14ac:dyDescent="0.2">
      <c r="C328">
        <v>30059</v>
      </c>
      <c r="D328" s="18">
        <f>装备表!L380</f>
        <v>6</v>
      </c>
      <c r="E328" s="18" t="str">
        <f>IF(装备表!$O380=0,"xxx",IFERROR(IF(INT(IF($D328=E$3,装备表!$E380,"xxx")/10000)=1,IF($D328=E$3,装备表!$E380,"xxx")&amp;":2,1,1,"&amp;装备表!$O380&amp;";","xxx"),"xxx"))</f>
        <v>xxx</v>
      </c>
      <c r="F328" s="18" t="str">
        <f>IF(装备表!$O380=0,"xxx",IFERROR(IF(INT(IF($D328=F$3,装备表!$E380,"xxx")/10000)=1,IF($D328=F$3,装备表!$E380,"xxx")&amp;":2,1,1,"&amp;装备表!$O380&amp;";","xxx"),"xxx"))</f>
        <v>xxx</v>
      </c>
      <c r="G328" s="18" t="str">
        <f>IF(装备表!$O380=0,"xxx",IFERROR(IF(INT(IF($D328=G$3,装备表!$E380,"xxx")/10000)=1,IF($D328=G$3,装备表!$E380,"xxx")&amp;":2,1,1,"&amp;装备表!$O380&amp;";","xxx"),"xxx"))</f>
        <v>xxx</v>
      </c>
      <c r="H328" s="18" t="str">
        <f>IF(装备表!$O380=0,"xxx",IFERROR(IF(INT(IF($D328=H$3,装备表!$E380,"xxx")/10000)=1,IF($D328=H$3,装备表!$E380,"xxx")&amp;":2,1,1,"&amp;装备表!$O380&amp;";","xxx"),"xxx"))</f>
        <v>xxx</v>
      </c>
      <c r="I328" s="18" t="str">
        <f>IF(装备表!$O380=0,"xxx",IFERROR(IF(INT(IF($D328=I$3,装备表!$E380,"xxx")/10000)=1,IF($D328=I$3,装备表!$E380,"xxx")&amp;":2,1,1,"&amp;装备表!$O380&amp;";","xxx"),"xxx"))</f>
        <v>xxx</v>
      </c>
      <c r="J328" s="18" t="str">
        <f>IF(装备表!$O380=0,"xxx",IFERROR(IF(INT(IF($D328=J$3,装备表!$E380,"xxx")/10000)=3,IF($D328=J$3,装备表!$E380,"xxx")&amp;":2,1,1,"&amp;装备表!$O380&amp;";","xxx"),"xxx"))</f>
        <v>30059:2,1,1,5;</v>
      </c>
    </row>
    <row r="329" spans="3:10" x14ac:dyDescent="0.2">
      <c r="D329" s="18">
        <f>装备表!L441</f>
        <v>5</v>
      </c>
      <c r="E329" s="18" t="str">
        <f>IF(装备表!$O441=0,"xxx",IFERROR(IF(INT(IF($D329=E$3,装备表!$E441,"xxx")/10000)=1,IF($D329=E$3,装备表!$E441,"xxx")&amp;":2,1,1,"&amp;装备表!$O441&amp;";","xxx"),"xxx"))</f>
        <v>xxx</v>
      </c>
      <c r="F329" s="18" t="str">
        <f>IF(装备表!$O441=0,"xxx",IFERROR(IF(INT(IF($D329=F$3,装备表!$E441,"xxx")/10000)=1,IF($D329=F$3,装备表!$E441,"xxx")&amp;":2,1,1,"&amp;装备表!$O441&amp;";","xxx"),"xxx"))</f>
        <v>xxx</v>
      </c>
      <c r="G329" s="18" t="str">
        <f>IF(装备表!$O441=0,"xxx",IFERROR(IF(INT(IF($D329=G$3,装备表!$E441,"xxx")/10000)=1,IF($D329=G$3,装备表!$E441,"xxx")&amp;":2,1,1,"&amp;装备表!$O441&amp;";","xxx"),"xxx"))</f>
        <v>xxx</v>
      </c>
      <c r="H329" s="18" t="str">
        <f>IF(装备表!$O441=0,"xxx",IFERROR(IF(INT(IF($D329=H$3,装备表!$E441,"xxx")/10000)=1,IF($D329=H$3,装备表!$E441,"xxx")&amp;":2,1,1,"&amp;装备表!$O441&amp;";","xxx"),"xxx"))</f>
        <v>xxx</v>
      </c>
      <c r="I329" s="18" t="str">
        <f>IF(装备表!$O441=0,"xxx",IFERROR(IF(INT(IF($D329=I$3,装备表!$E441,"xxx")/10000)=1,IF($D329=I$3,装备表!$E441,"xxx")&amp;":2,1,1,"&amp;装备表!$O441&amp;";","xxx"),"xxx"))</f>
        <v>xxx</v>
      </c>
      <c r="J329" s="18" t="str">
        <f>IF(装备表!$O441=0,"xxx",IFERROR(IF(INT(IF($D329=J$3,装备表!$E441,"xxx")/10000)=1,IF($D329=J$3,装备表!$E441,"xxx")&amp;":2,1,1,"&amp;装备表!$O441&amp;";","xxx"),"xxx"))</f>
        <v>xxx</v>
      </c>
    </row>
    <row r="330" spans="3:10" x14ac:dyDescent="0.2">
      <c r="D330" s="18">
        <f>装备表!L475</f>
        <v>0</v>
      </c>
      <c r="E330" s="18" t="str">
        <f>IF(装备表!$O475=0,"xxx",IFERROR(IF(INT(IF($D330=E$3,装备表!$E475,"xxx")/10000)=1,IF($D330=E$3,装备表!$E475,"xxx")&amp;":2,1,1,"&amp;装备表!$O475&amp;";","xxx"),"xxx"))</f>
        <v>xxx</v>
      </c>
      <c r="F330" s="18" t="str">
        <f>IF(装备表!$O475=0,"xxx",IFERROR(IF(INT(IF($D330=F$3,装备表!$E475,"xxx")/10000)=1,IF($D330=F$3,装备表!$E475,"xxx")&amp;":2,1,1,"&amp;装备表!$O475&amp;";","xxx"),"xxx"))</f>
        <v>xxx</v>
      </c>
      <c r="G330" s="18" t="str">
        <f>IF(装备表!$O475=0,"xxx",IFERROR(IF(INT(IF($D330=G$3,装备表!$E475,"xxx")/10000)=1,IF($D330=G$3,装备表!$E475,"xxx")&amp;":2,1,1,"&amp;装备表!$O475&amp;";","xxx"),"xxx"))</f>
        <v>xxx</v>
      </c>
      <c r="H330" s="18" t="str">
        <f>IF(装备表!$O475=0,"xxx",IFERROR(IF(INT(IF($D330=H$3,装备表!$E475,"xxx")/10000)=1,IF($D330=H$3,装备表!$E475,"xxx")&amp;":2,1,1,"&amp;装备表!$O475&amp;";","xxx"),"xxx"))</f>
        <v>xxx</v>
      </c>
      <c r="I330" s="18" t="str">
        <f>IF(装备表!$O475=0,"xxx",IFERROR(IF(INT(IF($D330=I$3,装备表!$E475,"xxx")/10000)=1,IF($D330=I$3,装备表!$E475,"xxx")&amp;":2,1,1,"&amp;装备表!$O475&amp;";","xxx"),"xxx"))</f>
        <v>xxx</v>
      </c>
      <c r="J330" s="18" t="str">
        <f>IF(装备表!$O475=0,"xxx",IFERROR(IF(INT(IF($D330=J$3,装备表!$E475,"xxx")/10000)=1,IF($D330=J$3,装备表!$E475,"xxx")&amp;":2,1,1,"&amp;装备表!$O475&amp;";","xxx"),"xxx"))</f>
        <v>xxx</v>
      </c>
    </row>
    <row r="331" spans="3:10" x14ac:dyDescent="0.2">
      <c r="D331" s="18">
        <f>装备表!L476</f>
        <v>0</v>
      </c>
      <c r="E331" s="18" t="str">
        <f>IF(装备表!$O476=0,"xxx",IFERROR(IF(INT(IF($D331=E$3,装备表!$E476,"xxx")/10000)=1,IF($D331=E$3,装备表!$E476,"xxx")&amp;":2,1,1,"&amp;装备表!$O476&amp;";","xxx"),"xxx"))</f>
        <v>xxx</v>
      </c>
      <c r="F331" s="18" t="str">
        <f>IF(装备表!$O476=0,"xxx",IFERROR(IF(INT(IF($D331=F$3,装备表!$E476,"xxx")/10000)=1,IF($D331=F$3,装备表!$E476,"xxx")&amp;":2,1,1,"&amp;装备表!$O476&amp;";","xxx"),"xxx"))</f>
        <v>xxx</v>
      </c>
      <c r="G331" s="18" t="str">
        <f>IF(装备表!$O476=0,"xxx",IFERROR(IF(INT(IF($D331=G$3,装备表!$E476,"xxx")/10000)=1,IF($D331=G$3,装备表!$E476,"xxx")&amp;":2,1,1,"&amp;装备表!$O476&amp;";","xxx"),"xxx"))</f>
        <v>xxx</v>
      </c>
      <c r="H331" s="18" t="str">
        <f>IF(装备表!$O476=0,"xxx",IFERROR(IF(INT(IF($D331=H$3,装备表!$E476,"xxx")/10000)=1,IF($D331=H$3,装备表!$E476,"xxx")&amp;":2,1,1,"&amp;装备表!$O476&amp;";","xxx"),"xxx"))</f>
        <v>xxx</v>
      </c>
      <c r="I331" s="18" t="str">
        <f>IF(装备表!$O476=0,"xxx",IFERROR(IF(INT(IF($D331=I$3,装备表!$E476,"xxx")/10000)=1,IF($D331=I$3,装备表!$E476,"xxx")&amp;":2,1,1,"&amp;装备表!$O476&amp;";","xxx"),"xxx"))</f>
        <v>xxx</v>
      </c>
      <c r="J331" s="18" t="str">
        <f>IF(装备表!$O476=0,"xxx",IFERROR(IF(INT(IF($D331=J$3,装备表!$E476,"xxx")/10000)=1,IF($D331=J$3,装备表!$E476,"xxx")&amp;":2,1,1,"&amp;装备表!$O476&amp;";","xxx"),"xxx"))</f>
        <v>xxx</v>
      </c>
    </row>
    <row r="332" spans="3:10" x14ac:dyDescent="0.2">
      <c r="D332" s="18">
        <f>装备表!L477</f>
        <v>0</v>
      </c>
      <c r="E332" s="18" t="str">
        <f>IF(装备表!$O477=0,"xxx",IFERROR(IF(INT(IF($D332=E$3,装备表!$E477,"xxx")/10000)=1,IF($D332=E$3,装备表!$E477,"xxx")&amp;":2,1,1,"&amp;装备表!$O477&amp;";","xxx"),"xxx"))</f>
        <v>xxx</v>
      </c>
      <c r="F332" s="18" t="str">
        <f>IF(装备表!$O477=0,"xxx",IFERROR(IF(INT(IF($D332=F$3,装备表!$E477,"xxx")/10000)=1,IF($D332=F$3,装备表!$E477,"xxx")&amp;":2,1,1,"&amp;装备表!$O477&amp;";","xxx"),"xxx"))</f>
        <v>xxx</v>
      </c>
      <c r="G332" s="18" t="str">
        <f>IF(装备表!$O477=0,"xxx",IFERROR(IF(INT(IF($D332=G$3,装备表!$E477,"xxx")/10000)=1,IF($D332=G$3,装备表!$E477,"xxx")&amp;":2,1,1,"&amp;装备表!$O477&amp;";","xxx"),"xxx"))</f>
        <v>xxx</v>
      </c>
      <c r="H332" s="18" t="str">
        <f>IF(装备表!$O477=0,"xxx",IFERROR(IF(INT(IF($D332=H$3,装备表!$E477,"xxx")/10000)=1,IF($D332=H$3,装备表!$E477,"xxx")&amp;":2,1,1,"&amp;装备表!$O477&amp;";","xxx"),"xxx"))</f>
        <v>xxx</v>
      </c>
      <c r="I332" s="18" t="str">
        <f>IF(装备表!$O477=0,"xxx",IFERROR(IF(INT(IF($D332=I$3,装备表!$E477,"xxx")/10000)=1,IF($D332=I$3,装备表!$E477,"xxx")&amp;":2,1,1,"&amp;装备表!$O477&amp;";","xxx"),"xxx"))</f>
        <v>xxx</v>
      </c>
      <c r="J332" s="18" t="str">
        <f>IF(装备表!$O477=0,"xxx",IFERROR(IF(INT(IF($D332=J$3,装备表!$E477,"xxx")/10000)=1,IF($D332=J$3,装备表!$E477,"xxx")&amp;":2,1,1,"&amp;装备表!$O477&amp;";","xxx"),"xxx"))</f>
        <v>xxx</v>
      </c>
    </row>
    <row r="333" spans="3:10" x14ac:dyDescent="0.2">
      <c r="D333" s="18">
        <f>装备表!L478</f>
        <v>0</v>
      </c>
      <c r="E333" s="18" t="str">
        <f>IF(装备表!$O478=0,"xxx",IFERROR(IF(INT(IF($D333=E$3,装备表!$E478,"xxx")/10000)=1,IF($D333=E$3,装备表!$E478,"xxx")&amp;":2,1,1,"&amp;装备表!$O478&amp;";","xxx"),"xxx"))</f>
        <v>xxx</v>
      </c>
      <c r="F333" s="18" t="str">
        <f>IF(装备表!$O478=0,"xxx",IFERROR(IF(INT(IF($D333=F$3,装备表!$E478,"xxx")/10000)=1,IF($D333=F$3,装备表!$E478,"xxx")&amp;":2,1,1,"&amp;装备表!$O478&amp;";","xxx"),"xxx"))</f>
        <v>xxx</v>
      </c>
      <c r="G333" s="18" t="str">
        <f>IF(装备表!$O478=0,"xxx",IFERROR(IF(INT(IF($D333=G$3,装备表!$E478,"xxx")/10000)=1,IF($D333=G$3,装备表!$E478,"xxx")&amp;":2,1,1,"&amp;装备表!$O478&amp;";","xxx"),"xxx"))</f>
        <v>xxx</v>
      </c>
      <c r="H333" s="18" t="str">
        <f>IF(装备表!$O478=0,"xxx",IFERROR(IF(INT(IF($D333=H$3,装备表!$E478,"xxx")/10000)=1,IF($D333=H$3,装备表!$E478,"xxx")&amp;":2,1,1,"&amp;装备表!$O478&amp;";","xxx"),"xxx"))</f>
        <v>xxx</v>
      </c>
      <c r="I333" s="18" t="str">
        <f>IF(装备表!$O478=0,"xxx",IFERROR(IF(INT(IF($D333=I$3,装备表!$E478,"xxx")/10000)=1,IF($D333=I$3,装备表!$E478,"xxx")&amp;":2,1,1,"&amp;装备表!$O478&amp;";","xxx"),"xxx"))</f>
        <v>xxx</v>
      </c>
      <c r="J333" s="18" t="str">
        <f>IF(装备表!$O478=0,"xxx",IFERROR(IF(INT(IF($D333=J$3,装备表!$E478,"xxx")/10000)=1,IF($D333=J$3,装备表!$E478,"xxx")&amp;":2,1,1,"&amp;装备表!$O478&amp;";","xxx"),"xxx"))</f>
        <v>xxx</v>
      </c>
    </row>
    <row r="334" spans="3:10" x14ac:dyDescent="0.2">
      <c r="D334" s="18">
        <f>装备表!L479</f>
        <v>0</v>
      </c>
      <c r="E334" s="18" t="str">
        <f>IF(装备表!$O479=0,"xxx",IFERROR(IF(INT(IF($D334=E$3,装备表!$E479,"xxx")/10000)=1,IF($D334=E$3,装备表!$E479,"xxx")&amp;":2,1,1,"&amp;装备表!$O479&amp;";","xxx"),"xxx"))</f>
        <v>xxx</v>
      </c>
      <c r="F334" s="18" t="str">
        <f>IF(装备表!$O479=0,"xxx",IFERROR(IF(INT(IF($D334=F$3,装备表!$E479,"xxx")/10000)=1,IF($D334=F$3,装备表!$E479,"xxx")&amp;":2,1,1,"&amp;装备表!$O479&amp;";","xxx"),"xxx"))</f>
        <v>xxx</v>
      </c>
      <c r="G334" s="18" t="str">
        <f>IF(装备表!$O479=0,"xxx",IFERROR(IF(INT(IF($D334=G$3,装备表!$E479,"xxx")/10000)=1,IF($D334=G$3,装备表!$E479,"xxx")&amp;":2,1,1,"&amp;装备表!$O479&amp;";","xxx"),"xxx"))</f>
        <v>xxx</v>
      </c>
      <c r="H334" s="18" t="str">
        <f>IF(装备表!$O479=0,"xxx",IFERROR(IF(INT(IF($D334=H$3,装备表!$E479,"xxx")/10000)=1,IF($D334=H$3,装备表!$E479,"xxx")&amp;":2,1,1,"&amp;装备表!$O479&amp;";","xxx"),"xxx"))</f>
        <v>xxx</v>
      </c>
      <c r="I334" s="18" t="str">
        <f>IF(装备表!$O479=0,"xxx",IFERROR(IF(INT(IF($D334=I$3,装备表!$E479,"xxx")/10000)=1,IF($D334=I$3,装备表!$E479,"xxx")&amp;":2,1,1,"&amp;装备表!$O479&amp;";","xxx"),"xxx"))</f>
        <v>xxx</v>
      </c>
      <c r="J334" s="18" t="str">
        <f>IF(装备表!$O479=0,"xxx",IFERROR(IF(INT(IF($D334=J$3,装备表!$E479,"xxx")/10000)=1,IF($D334=J$3,装备表!$E479,"xxx")&amp;":2,1,1,"&amp;装备表!$O479&amp;";","xxx"),"xxx"))</f>
        <v>xxx</v>
      </c>
    </row>
    <row r="335" spans="3:10" x14ac:dyDescent="0.2">
      <c r="D335" s="18">
        <f>装备表!L480</f>
        <v>0</v>
      </c>
      <c r="E335" s="18" t="str">
        <f>IF(装备表!$O480=0,"xxx",IFERROR(IF(INT(IF($D335=E$3,装备表!$E480,"xxx")/10000)=1,IF($D335=E$3,装备表!$E480,"xxx")&amp;":2,1,1,"&amp;装备表!$O480&amp;";","xxx"),"xxx"))</f>
        <v>xxx</v>
      </c>
      <c r="F335" s="18" t="str">
        <f>IF(装备表!$O480=0,"xxx",IFERROR(IF(INT(IF($D335=F$3,装备表!$E480,"xxx")/10000)=1,IF($D335=F$3,装备表!$E480,"xxx")&amp;":2,1,1,"&amp;装备表!$O480&amp;";","xxx"),"xxx"))</f>
        <v>xxx</v>
      </c>
      <c r="G335" s="18" t="str">
        <f>IF(装备表!$O480=0,"xxx",IFERROR(IF(INT(IF($D335=G$3,装备表!$E480,"xxx")/10000)=1,IF($D335=G$3,装备表!$E480,"xxx")&amp;":2,1,1,"&amp;装备表!$O480&amp;";","xxx"),"xxx"))</f>
        <v>xxx</v>
      </c>
      <c r="H335" s="18" t="str">
        <f>IF(装备表!$O480=0,"xxx",IFERROR(IF(INT(IF($D335=H$3,装备表!$E480,"xxx")/10000)=1,IF($D335=H$3,装备表!$E480,"xxx")&amp;":2,1,1,"&amp;装备表!$O480&amp;";","xxx"),"xxx"))</f>
        <v>xxx</v>
      </c>
      <c r="I335" s="18" t="str">
        <f>IF(装备表!$O480=0,"xxx",IFERROR(IF(INT(IF($D335=I$3,装备表!$E480,"xxx")/10000)=1,IF($D335=I$3,装备表!$E480,"xxx")&amp;":2,1,1,"&amp;装备表!$O480&amp;";","xxx"),"xxx"))</f>
        <v>xxx</v>
      </c>
      <c r="J335" s="18" t="str">
        <f>IF(装备表!$O480=0,"xxx",IFERROR(IF(INT(IF($D335=J$3,装备表!$E480,"xxx")/10000)=1,IF($D335=J$3,装备表!$E480,"xxx")&amp;":2,1,1,"&amp;装备表!$O480&amp;";","xxx"),"xxx"))</f>
        <v>xxx</v>
      </c>
    </row>
    <row r="336" spans="3:10" x14ac:dyDescent="0.2">
      <c r="D336" s="18">
        <f>装备表!L481</f>
        <v>0</v>
      </c>
      <c r="E336" s="18" t="str">
        <f>IF(装备表!$O481=0,"xxx",IFERROR(IF(INT(IF($D336=E$3,装备表!$E481,"xxx")/10000)=1,IF($D336=E$3,装备表!$E481,"xxx")&amp;":2,1,1,"&amp;装备表!$O481&amp;";","xxx"),"xxx"))</f>
        <v>xxx</v>
      </c>
      <c r="F336" s="18" t="str">
        <f>IF(装备表!$O481=0,"xxx",IFERROR(IF(INT(IF($D336=F$3,装备表!$E481,"xxx")/10000)=1,IF($D336=F$3,装备表!$E481,"xxx")&amp;":2,1,1,"&amp;装备表!$O481&amp;";","xxx"),"xxx"))</f>
        <v>xxx</v>
      </c>
      <c r="G336" s="18" t="str">
        <f>IF(装备表!$O481=0,"xxx",IFERROR(IF(INT(IF($D336=G$3,装备表!$E481,"xxx")/10000)=1,IF($D336=G$3,装备表!$E481,"xxx")&amp;":2,1,1,"&amp;装备表!$O481&amp;";","xxx"),"xxx"))</f>
        <v>xxx</v>
      </c>
      <c r="H336" s="18" t="str">
        <f>IF(装备表!$O481=0,"xxx",IFERROR(IF(INT(IF($D336=H$3,装备表!$E481,"xxx")/10000)=1,IF($D336=H$3,装备表!$E481,"xxx")&amp;":2,1,1,"&amp;装备表!$O481&amp;";","xxx"),"xxx"))</f>
        <v>xxx</v>
      </c>
      <c r="I336" s="18" t="str">
        <f>IF(装备表!$O481=0,"xxx",IFERROR(IF(INT(IF($D336=I$3,装备表!$E481,"xxx")/10000)=1,IF($D336=I$3,装备表!$E481,"xxx")&amp;":2,1,1,"&amp;装备表!$O481&amp;";","xxx"),"xxx"))</f>
        <v>xxx</v>
      </c>
      <c r="J336" s="18" t="str">
        <f>IF(装备表!$O481=0,"xxx",IFERROR(IF(INT(IF($D336=J$3,装备表!$E481,"xxx")/10000)=1,IF($D336=J$3,装备表!$E481,"xxx")&amp;":2,1,1,"&amp;装备表!$O481&amp;";","xxx"),"xxx"))</f>
        <v>xxx</v>
      </c>
    </row>
    <row r="337" spans="4:10" x14ac:dyDescent="0.2">
      <c r="D337" s="18">
        <f>装备表!L482</f>
        <v>0</v>
      </c>
      <c r="E337" s="18" t="str">
        <f>IF(装备表!$O482=0,"xxx",IFERROR(IF(INT(IF($D337=E$3,装备表!$E482,"xxx")/10000)=1,IF($D337=E$3,装备表!$E482,"xxx")&amp;":2,1,1,"&amp;装备表!$O482&amp;";","xxx"),"xxx"))</f>
        <v>xxx</v>
      </c>
      <c r="F337" s="18" t="str">
        <f>IF(装备表!$O482=0,"xxx",IFERROR(IF(INT(IF($D337=F$3,装备表!$E482,"xxx")/10000)=1,IF($D337=F$3,装备表!$E482,"xxx")&amp;":2,1,1,"&amp;装备表!$O482&amp;";","xxx"),"xxx"))</f>
        <v>xxx</v>
      </c>
      <c r="G337" s="18" t="str">
        <f>IF(装备表!$O482=0,"xxx",IFERROR(IF(INT(IF($D337=G$3,装备表!$E482,"xxx")/10000)=1,IF($D337=G$3,装备表!$E482,"xxx")&amp;":2,1,1,"&amp;装备表!$O482&amp;";","xxx"),"xxx"))</f>
        <v>xxx</v>
      </c>
      <c r="H337" s="18" t="str">
        <f>IF(装备表!$O482=0,"xxx",IFERROR(IF(INT(IF($D337=H$3,装备表!$E482,"xxx")/10000)=1,IF($D337=H$3,装备表!$E482,"xxx")&amp;":2,1,1,"&amp;装备表!$O482&amp;";","xxx"),"xxx"))</f>
        <v>xxx</v>
      </c>
      <c r="I337" s="18" t="str">
        <f>IF(装备表!$O482=0,"xxx",IFERROR(IF(INT(IF($D337=I$3,装备表!$E482,"xxx")/10000)=1,IF($D337=I$3,装备表!$E482,"xxx")&amp;":2,1,1,"&amp;装备表!$O482&amp;";","xxx"),"xxx"))</f>
        <v>xxx</v>
      </c>
      <c r="J337" s="18" t="str">
        <f>IF(装备表!$O482=0,"xxx",IFERROR(IF(INT(IF($D337=J$3,装备表!$E482,"xxx")/10000)=1,IF($D337=J$3,装备表!$E482,"xxx")&amp;":2,1,1,"&amp;装备表!$O482&amp;";","xxx"),"xxx"))</f>
        <v>xxx</v>
      </c>
    </row>
    <row r="338" spans="4:10" x14ac:dyDescent="0.2">
      <c r="D338" s="18">
        <f>装备表!L483</f>
        <v>0</v>
      </c>
      <c r="E338" s="18" t="str">
        <f>IF(装备表!$O483=0,"xxx",IFERROR(IF(INT(IF($D338=E$3,装备表!$E483,"xxx")/10000)=1,IF($D338=E$3,装备表!$E483,"xxx")&amp;":2,1,1,"&amp;装备表!$O483&amp;";","xxx"),"xxx"))</f>
        <v>xxx</v>
      </c>
      <c r="F338" s="18" t="str">
        <f>IF(装备表!$O483=0,"xxx",IFERROR(IF(INT(IF($D338=F$3,装备表!$E483,"xxx")/10000)=1,IF($D338=F$3,装备表!$E483,"xxx")&amp;":2,1,1,"&amp;装备表!$O483&amp;";","xxx"),"xxx"))</f>
        <v>xxx</v>
      </c>
      <c r="G338" s="18" t="str">
        <f>IF(装备表!$O483=0,"xxx",IFERROR(IF(INT(IF($D338=G$3,装备表!$E483,"xxx")/10000)=1,IF($D338=G$3,装备表!$E483,"xxx")&amp;":2,1,1,"&amp;装备表!$O483&amp;";","xxx"),"xxx"))</f>
        <v>xxx</v>
      </c>
      <c r="H338" s="18" t="str">
        <f>IF(装备表!$O483=0,"xxx",IFERROR(IF(INT(IF($D338=H$3,装备表!$E483,"xxx")/10000)=1,IF($D338=H$3,装备表!$E483,"xxx")&amp;":2,1,1,"&amp;装备表!$O483&amp;";","xxx"),"xxx"))</f>
        <v>xxx</v>
      </c>
      <c r="I338" s="18" t="str">
        <f>IF(装备表!$O483=0,"xxx",IFERROR(IF(INT(IF($D338=I$3,装备表!$E483,"xxx")/10000)=1,IF($D338=I$3,装备表!$E483,"xxx")&amp;":2,1,1,"&amp;装备表!$O483&amp;";","xxx"),"xxx"))</f>
        <v>xxx</v>
      </c>
      <c r="J338" s="18" t="str">
        <f>IF(装备表!$O483=0,"xxx",IFERROR(IF(INT(IF($D338=J$3,装备表!$E483,"xxx")/10000)=1,IF($D338=J$3,装备表!$E483,"xxx")&amp;":2,1,1,"&amp;装备表!$O483&amp;";","xxx"),"xxx"))</f>
        <v>xxx</v>
      </c>
    </row>
    <row r="339" spans="4:10" x14ac:dyDescent="0.2">
      <c r="D339" s="18">
        <f>装备表!L484</f>
        <v>0</v>
      </c>
      <c r="E339" s="18" t="str">
        <f>IF(装备表!$O484=0,"xxx",IFERROR(IF(INT(IF($D339=E$3,装备表!$E484,"xxx")/10000)=1,IF($D339=E$3,装备表!$E484,"xxx")&amp;":2,1,1,"&amp;装备表!$O484&amp;";","xxx"),"xxx"))</f>
        <v>xxx</v>
      </c>
      <c r="F339" s="18" t="str">
        <f>IF(装备表!$O484=0,"xxx",IFERROR(IF(INT(IF($D339=F$3,装备表!$E484,"xxx")/10000)=1,IF($D339=F$3,装备表!$E484,"xxx")&amp;":2,1,1,"&amp;装备表!$O484&amp;";","xxx"),"xxx"))</f>
        <v>xxx</v>
      </c>
      <c r="G339" s="18" t="str">
        <f>IF(装备表!$O484=0,"xxx",IFERROR(IF(INT(IF($D339=G$3,装备表!$E484,"xxx")/10000)=1,IF($D339=G$3,装备表!$E484,"xxx")&amp;":2,1,1,"&amp;装备表!$O484&amp;";","xxx"),"xxx"))</f>
        <v>xxx</v>
      </c>
      <c r="H339" s="18" t="str">
        <f>IF(装备表!$O484=0,"xxx",IFERROR(IF(INT(IF($D339=H$3,装备表!$E484,"xxx")/10000)=1,IF($D339=H$3,装备表!$E484,"xxx")&amp;":2,1,1,"&amp;装备表!$O484&amp;";","xxx"),"xxx"))</f>
        <v>xxx</v>
      </c>
      <c r="I339" s="18" t="str">
        <f>IF(装备表!$O484=0,"xxx",IFERROR(IF(INT(IF($D339=I$3,装备表!$E484,"xxx")/10000)=1,IF($D339=I$3,装备表!$E484,"xxx")&amp;":2,1,1,"&amp;装备表!$O484&amp;";","xxx"),"xxx"))</f>
        <v>xxx</v>
      </c>
      <c r="J339" s="18" t="str">
        <f>IF(装备表!$O484=0,"xxx",IFERROR(IF(INT(IF($D339=J$3,装备表!$E484,"xxx")/10000)=1,IF($D339=J$3,装备表!$E484,"xxx")&amp;":2,1,1,"&amp;装备表!$O484&amp;";","xxx"),"xxx"))</f>
        <v>xxx</v>
      </c>
    </row>
    <row r="340" spans="4:10" x14ac:dyDescent="0.2">
      <c r="D340" s="18">
        <f>装备表!L485</f>
        <v>0</v>
      </c>
      <c r="E340" s="18" t="str">
        <f>IF(装备表!$O485=0,"xxx",IFERROR(IF(INT(IF($D340=E$3,装备表!$E485,"xxx")/10000)=1,IF($D340=E$3,装备表!$E485,"xxx")&amp;":2,1,1,"&amp;装备表!$O485&amp;";","xxx"),"xxx"))</f>
        <v>xxx</v>
      </c>
      <c r="F340" s="18" t="str">
        <f>IF(装备表!$O485=0,"xxx",IFERROR(IF(INT(IF($D340=F$3,装备表!$E485,"xxx")/10000)=1,IF($D340=F$3,装备表!$E485,"xxx")&amp;":2,1,1,"&amp;装备表!$O485&amp;";","xxx"),"xxx"))</f>
        <v>xxx</v>
      </c>
      <c r="G340" s="18" t="str">
        <f>IF(装备表!$O485=0,"xxx",IFERROR(IF(INT(IF($D340=G$3,装备表!$E485,"xxx")/10000)=1,IF($D340=G$3,装备表!$E485,"xxx")&amp;":2,1,1,"&amp;装备表!$O485&amp;";","xxx"),"xxx"))</f>
        <v>xxx</v>
      </c>
      <c r="H340" s="18" t="str">
        <f>IF(装备表!$O485=0,"xxx",IFERROR(IF(INT(IF($D340=H$3,装备表!$E485,"xxx")/10000)=1,IF($D340=H$3,装备表!$E485,"xxx")&amp;":2,1,1,"&amp;装备表!$O485&amp;";","xxx"),"xxx"))</f>
        <v>xxx</v>
      </c>
      <c r="I340" s="18" t="str">
        <f>IF(装备表!$O485=0,"xxx",IFERROR(IF(INT(IF($D340=I$3,装备表!$E485,"xxx")/10000)=1,IF($D340=I$3,装备表!$E485,"xxx")&amp;":2,1,1,"&amp;装备表!$O485&amp;";","xxx"),"xxx"))</f>
        <v>xxx</v>
      </c>
      <c r="J340" s="18" t="str">
        <f>IF(装备表!$O485=0,"xxx",IFERROR(IF(INT(IF($D340=J$3,装备表!$E485,"xxx")/10000)=1,IF($D340=J$3,装备表!$E485,"xxx")&amp;":2,1,1,"&amp;装备表!$O485&amp;";","xxx"),"xxx"))</f>
        <v>xxx</v>
      </c>
    </row>
    <row r="341" spans="4:10" x14ac:dyDescent="0.2">
      <c r="D341" s="18">
        <f>装备表!L486</f>
        <v>0</v>
      </c>
      <c r="E341" s="18" t="str">
        <f>IF(装备表!$O486=0,"xxx",IFERROR(IF(INT(IF($D341=E$3,装备表!$E486,"xxx")/10000)=1,IF($D341=E$3,装备表!$E486,"xxx")&amp;":2,1,1,"&amp;装备表!$O486&amp;";","xxx"),"xxx"))</f>
        <v>xxx</v>
      </c>
      <c r="F341" s="18" t="str">
        <f>IF(装备表!$O486=0,"xxx",IFERROR(IF(INT(IF($D341=F$3,装备表!$E486,"xxx")/10000)=1,IF($D341=F$3,装备表!$E486,"xxx")&amp;":2,1,1,"&amp;装备表!$O486&amp;";","xxx"),"xxx"))</f>
        <v>xxx</v>
      </c>
      <c r="G341" s="18" t="str">
        <f>IF(装备表!$O486=0,"xxx",IFERROR(IF(INT(IF($D341=G$3,装备表!$E486,"xxx")/10000)=1,IF($D341=G$3,装备表!$E486,"xxx")&amp;":2,1,1,"&amp;装备表!$O486&amp;";","xxx"),"xxx"))</f>
        <v>xxx</v>
      </c>
      <c r="H341" s="18" t="str">
        <f>IF(装备表!$O486=0,"xxx",IFERROR(IF(INT(IF($D341=H$3,装备表!$E486,"xxx")/10000)=1,IF($D341=H$3,装备表!$E486,"xxx")&amp;":2,1,1,"&amp;装备表!$O486&amp;";","xxx"),"xxx"))</f>
        <v>xxx</v>
      </c>
      <c r="I341" s="18" t="str">
        <f>IF(装备表!$O486=0,"xxx",IFERROR(IF(INT(IF($D341=I$3,装备表!$E486,"xxx")/10000)=1,IF($D341=I$3,装备表!$E486,"xxx")&amp;":2,1,1,"&amp;装备表!$O486&amp;";","xxx"),"xxx"))</f>
        <v>xxx</v>
      </c>
      <c r="J341" s="18" t="str">
        <f>IF(装备表!$O486=0,"xxx",IFERROR(IF(INT(IF($D341=J$3,装备表!$E486,"xxx")/10000)=1,IF($D341=J$3,装备表!$E486,"xxx")&amp;":2,1,1,"&amp;装备表!$O486&amp;";","xxx"),"xxx"))</f>
        <v>xxx</v>
      </c>
    </row>
    <row r="342" spans="4:10" x14ac:dyDescent="0.2">
      <c r="D342" s="18">
        <f>装备表!L487</f>
        <v>0</v>
      </c>
      <c r="E342" s="18" t="str">
        <f>IF(装备表!$O487=0,"xxx",IFERROR(IF(INT(IF($D342=E$3,装备表!$E487,"xxx")/10000)=1,IF($D342=E$3,装备表!$E487,"xxx")&amp;":2,1,1,"&amp;装备表!$O487&amp;";","xxx"),"xxx"))</f>
        <v>xxx</v>
      </c>
      <c r="F342" s="18" t="str">
        <f>IF(装备表!$O487=0,"xxx",IFERROR(IF(INT(IF($D342=F$3,装备表!$E487,"xxx")/10000)=1,IF($D342=F$3,装备表!$E487,"xxx")&amp;":2,1,1,"&amp;装备表!$O487&amp;";","xxx"),"xxx"))</f>
        <v>xxx</v>
      </c>
      <c r="G342" s="18" t="str">
        <f>IF(装备表!$O487=0,"xxx",IFERROR(IF(INT(IF($D342=G$3,装备表!$E487,"xxx")/10000)=1,IF($D342=G$3,装备表!$E487,"xxx")&amp;":2,1,1,"&amp;装备表!$O487&amp;";","xxx"),"xxx"))</f>
        <v>xxx</v>
      </c>
      <c r="H342" s="18" t="str">
        <f>IF(装备表!$O487=0,"xxx",IFERROR(IF(INT(IF($D342=H$3,装备表!$E487,"xxx")/10000)=1,IF($D342=H$3,装备表!$E487,"xxx")&amp;":2,1,1,"&amp;装备表!$O487&amp;";","xxx"),"xxx"))</f>
        <v>xxx</v>
      </c>
      <c r="I342" s="18" t="str">
        <f>IF(装备表!$O487=0,"xxx",IFERROR(IF(INT(IF($D342=I$3,装备表!$E487,"xxx")/10000)=1,IF($D342=I$3,装备表!$E487,"xxx")&amp;":2,1,1,"&amp;装备表!$O487&amp;";","xxx"),"xxx"))</f>
        <v>xxx</v>
      </c>
      <c r="J342" s="18" t="str">
        <f>IF(装备表!$O487=0,"xxx",IFERROR(IF(INT(IF($D342=J$3,装备表!$E487,"xxx")/10000)=1,IF($D342=J$3,装备表!$E487,"xxx")&amp;":2,1,1,"&amp;装备表!$O487&amp;";","xxx"),"xxx"))</f>
        <v>xxx</v>
      </c>
    </row>
    <row r="343" spans="4:10" x14ac:dyDescent="0.2">
      <c r="D343" s="18">
        <f>装备表!L488</f>
        <v>0</v>
      </c>
      <c r="E343" s="18" t="str">
        <f>IF(装备表!$O488=0,"xxx",IFERROR(IF(INT(IF($D343=E$3,装备表!$E488,"xxx")/10000)=1,IF($D343=E$3,装备表!$E488,"xxx")&amp;":2,1,1,"&amp;装备表!$O488&amp;";","xxx"),"xxx"))</f>
        <v>xxx</v>
      </c>
      <c r="F343" s="18" t="str">
        <f>IF(装备表!$O488=0,"xxx",IFERROR(IF(INT(IF($D343=F$3,装备表!$E488,"xxx")/10000)=1,IF($D343=F$3,装备表!$E488,"xxx")&amp;":2,1,1,"&amp;装备表!$O488&amp;";","xxx"),"xxx"))</f>
        <v>xxx</v>
      </c>
      <c r="G343" s="18" t="str">
        <f>IF(装备表!$O488=0,"xxx",IFERROR(IF(INT(IF($D343=G$3,装备表!$E488,"xxx")/10000)=1,IF($D343=G$3,装备表!$E488,"xxx")&amp;":2,1,1,"&amp;装备表!$O488&amp;";","xxx"),"xxx"))</f>
        <v>xxx</v>
      </c>
      <c r="H343" s="18" t="str">
        <f>IF(装备表!$O488=0,"xxx",IFERROR(IF(INT(IF($D343=H$3,装备表!$E488,"xxx")/10000)=1,IF($D343=H$3,装备表!$E488,"xxx")&amp;":2,1,1,"&amp;装备表!$O488&amp;";","xxx"),"xxx"))</f>
        <v>xxx</v>
      </c>
      <c r="I343" s="18" t="str">
        <f>IF(装备表!$O488=0,"xxx",IFERROR(IF(INT(IF($D343=I$3,装备表!$E488,"xxx")/10000)=1,IF($D343=I$3,装备表!$E488,"xxx")&amp;":2,1,1,"&amp;装备表!$O488&amp;";","xxx"),"xxx"))</f>
        <v>xxx</v>
      </c>
      <c r="J343" s="18" t="str">
        <f>IF(装备表!$O488=0,"xxx",IFERROR(IF(INT(IF($D343=J$3,装备表!$E488,"xxx")/10000)=1,IF($D343=J$3,装备表!$E488,"xxx")&amp;":2,1,1,"&amp;装备表!$O488&amp;";","xxx"),"xxx"))</f>
        <v>xxx</v>
      </c>
    </row>
    <row r="344" spans="4:10" x14ac:dyDescent="0.2">
      <c r="D344" s="18">
        <f>装备表!L489</f>
        <v>0</v>
      </c>
      <c r="E344" s="18" t="str">
        <f>IF(装备表!$O489=0,"xxx",IFERROR(IF(INT(IF($D344=E$3,装备表!$E489,"xxx")/10000)=1,IF($D344=E$3,装备表!$E489,"xxx")&amp;":2,1,1,"&amp;装备表!$O489&amp;";","xxx"),"xxx"))</f>
        <v>xxx</v>
      </c>
      <c r="F344" s="18" t="str">
        <f>IF(装备表!$O489=0,"xxx",IFERROR(IF(INT(IF($D344=F$3,装备表!$E489,"xxx")/10000)=1,IF($D344=F$3,装备表!$E489,"xxx")&amp;":2,1,1,"&amp;装备表!$O489&amp;";","xxx"),"xxx"))</f>
        <v>xxx</v>
      </c>
      <c r="G344" s="18" t="str">
        <f>IF(装备表!$O489=0,"xxx",IFERROR(IF(INT(IF($D344=G$3,装备表!$E489,"xxx")/10000)=1,IF($D344=G$3,装备表!$E489,"xxx")&amp;":2,1,1,"&amp;装备表!$O489&amp;";","xxx"),"xxx"))</f>
        <v>xxx</v>
      </c>
      <c r="H344" s="18" t="str">
        <f>IF(装备表!$O489=0,"xxx",IFERROR(IF(INT(IF($D344=H$3,装备表!$E489,"xxx")/10000)=1,IF($D344=H$3,装备表!$E489,"xxx")&amp;":2,1,1,"&amp;装备表!$O489&amp;";","xxx"),"xxx"))</f>
        <v>xxx</v>
      </c>
      <c r="I344" s="18" t="str">
        <f>IF(装备表!$O489=0,"xxx",IFERROR(IF(INT(IF($D344=I$3,装备表!$E489,"xxx")/10000)=1,IF($D344=I$3,装备表!$E489,"xxx")&amp;":2,1,1,"&amp;装备表!$O489&amp;";","xxx"),"xxx"))</f>
        <v>xxx</v>
      </c>
      <c r="J344" s="18" t="str">
        <f>IF(装备表!$O489=0,"xxx",IFERROR(IF(INT(IF($D344=J$3,装备表!$E489,"xxx")/10000)=1,IF($D344=J$3,装备表!$E489,"xxx")&amp;":2,1,1,"&amp;装备表!$O489&amp;";","xxx"),"xxx"))</f>
        <v>xxx</v>
      </c>
    </row>
    <row r="345" spans="4:10" x14ac:dyDescent="0.2">
      <c r="D345" s="18">
        <f>装备表!L490</f>
        <v>0</v>
      </c>
      <c r="E345" s="18" t="str">
        <f>IF(装备表!$O490=0,"xxx",IFERROR(IF(INT(IF($D345=E$3,装备表!$E490,"xxx")/10000)=1,IF($D345=E$3,装备表!$E490,"xxx")&amp;":2,1,1,"&amp;装备表!$O490&amp;";","xxx"),"xxx"))</f>
        <v>xxx</v>
      </c>
      <c r="F345" s="18" t="str">
        <f>IF(装备表!$O490=0,"xxx",IFERROR(IF(INT(IF($D345=F$3,装备表!$E490,"xxx")/10000)=1,IF($D345=F$3,装备表!$E490,"xxx")&amp;":2,1,1,"&amp;装备表!$O490&amp;";","xxx"),"xxx"))</f>
        <v>xxx</v>
      </c>
      <c r="G345" s="18" t="str">
        <f>IF(装备表!$O490=0,"xxx",IFERROR(IF(INT(IF($D345=G$3,装备表!$E490,"xxx")/10000)=1,IF($D345=G$3,装备表!$E490,"xxx")&amp;":2,1,1,"&amp;装备表!$O490&amp;";","xxx"),"xxx"))</f>
        <v>xxx</v>
      </c>
      <c r="H345" s="18" t="str">
        <f>IF(装备表!$O490=0,"xxx",IFERROR(IF(INT(IF($D345=H$3,装备表!$E490,"xxx")/10000)=1,IF($D345=H$3,装备表!$E490,"xxx")&amp;":2,1,1,"&amp;装备表!$O490&amp;";","xxx"),"xxx"))</f>
        <v>xxx</v>
      </c>
      <c r="I345" s="18" t="str">
        <f>IF(装备表!$O490=0,"xxx",IFERROR(IF(INT(IF($D345=I$3,装备表!$E490,"xxx")/10000)=1,IF($D345=I$3,装备表!$E490,"xxx")&amp;":2,1,1,"&amp;装备表!$O490&amp;";","xxx"),"xxx"))</f>
        <v>xxx</v>
      </c>
      <c r="J345" s="18" t="str">
        <f>IF(装备表!$O490=0,"xxx",IFERROR(IF(INT(IF($D345=J$3,装备表!$E490,"xxx")/10000)=1,IF($D345=J$3,装备表!$E490,"xxx")&amp;":2,1,1,"&amp;装备表!$O490&amp;";","xxx"),"xxx"))</f>
        <v>xxx</v>
      </c>
    </row>
    <row r="346" spans="4:10" x14ac:dyDescent="0.2">
      <c r="D346" s="18">
        <f>装备表!L491</f>
        <v>0</v>
      </c>
      <c r="E346" s="18" t="str">
        <f>IF(装备表!$O491=0,"xxx",IFERROR(IF(INT(IF($D346=E$3,装备表!$E491,"xxx")/10000)=1,IF($D346=E$3,装备表!$E491,"xxx")&amp;":2,1,1,"&amp;装备表!$O491&amp;";","xxx"),"xxx"))</f>
        <v>xxx</v>
      </c>
      <c r="F346" s="18" t="str">
        <f>IF(装备表!$O491=0,"xxx",IFERROR(IF(INT(IF($D346=F$3,装备表!$E491,"xxx")/10000)=1,IF($D346=F$3,装备表!$E491,"xxx")&amp;":2,1,1,"&amp;装备表!$O491&amp;";","xxx"),"xxx"))</f>
        <v>xxx</v>
      </c>
      <c r="G346" s="18" t="str">
        <f>IF(装备表!$O491=0,"xxx",IFERROR(IF(INT(IF($D346=G$3,装备表!$E491,"xxx")/10000)=1,IF($D346=G$3,装备表!$E491,"xxx")&amp;":2,1,1,"&amp;装备表!$O491&amp;";","xxx"),"xxx"))</f>
        <v>xxx</v>
      </c>
      <c r="H346" s="18" t="str">
        <f>IF(装备表!$O491=0,"xxx",IFERROR(IF(INT(IF($D346=H$3,装备表!$E491,"xxx")/10000)=1,IF($D346=H$3,装备表!$E491,"xxx")&amp;":2,1,1,"&amp;装备表!$O491&amp;";","xxx"),"xxx"))</f>
        <v>xxx</v>
      </c>
      <c r="I346" s="18" t="str">
        <f>IF(装备表!$O491=0,"xxx",IFERROR(IF(INT(IF($D346=I$3,装备表!$E491,"xxx")/10000)=1,IF($D346=I$3,装备表!$E491,"xxx")&amp;":2,1,1,"&amp;装备表!$O491&amp;";","xxx"),"xxx"))</f>
        <v>xxx</v>
      </c>
      <c r="J346" s="18" t="str">
        <f>IF(装备表!$O491=0,"xxx",IFERROR(IF(INT(IF($D346=J$3,装备表!$E491,"xxx")/10000)=1,IF($D346=J$3,装备表!$E491,"xxx")&amp;":2,1,1,"&amp;装备表!$O491&amp;";","xxx"),"xxx"))</f>
        <v>xxx</v>
      </c>
    </row>
    <row r="347" spans="4:10" x14ac:dyDescent="0.2">
      <c r="D347" s="18">
        <f>装备表!L492</f>
        <v>0</v>
      </c>
      <c r="E347" s="18" t="str">
        <f>IF(装备表!$O492=0,"xxx",IFERROR(IF(INT(IF($D347=E$3,装备表!$E492,"xxx")/10000)=1,IF($D347=E$3,装备表!$E492,"xxx")&amp;":2,1,1,"&amp;装备表!$O492&amp;";","xxx"),"xxx"))</f>
        <v>xxx</v>
      </c>
      <c r="F347" s="18" t="str">
        <f>IF(装备表!$O492=0,"xxx",IFERROR(IF(INT(IF($D347=F$3,装备表!$E492,"xxx")/10000)=1,IF($D347=F$3,装备表!$E492,"xxx")&amp;":2,1,1,"&amp;装备表!$O492&amp;";","xxx"),"xxx"))</f>
        <v>xxx</v>
      </c>
      <c r="G347" s="18" t="str">
        <f>IF(装备表!$O492=0,"xxx",IFERROR(IF(INT(IF($D347=G$3,装备表!$E492,"xxx")/10000)=1,IF($D347=G$3,装备表!$E492,"xxx")&amp;":2,1,1,"&amp;装备表!$O492&amp;";","xxx"),"xxx"))</f>
        <v>xxx</v>
      </c>
      <c r="H347" s="18" t="str">
        <f>IF(装备表!$O492=0,"xxx",IFERROR(IF(INT(IF($D347=H$3,装备表!$E492,"xxx")/10000)=1,IF($D347=H$3,装备表!$E492,"xxx")&amp;":2,1,1,"&amp;装备表!$O492&amp;";","xxx"),"xxx"))</f>
        <v>xxx</v>
      </c>
      <c r="I347" s="18" t="str">
        <f>IF(装备表!$O492=0,"xxx",IFERROR(IF(INT(IF($D347=I$3,装备表!$E492,"xxx")/10000)=1,IF($D347=I$3,装备表!$E492,"xxx")&amp;":2,1,1,"&amp;装备表!$O492&amp;";","xxx"),"xxx"))</f>
        <v>xxx</v>
      </c>
      <c r="J347" s="18" t="str">
        <f>IF(装备表!$O492=0,"xxx",IFERROR(IF(INT(IF($D347=J$3,装备表!$E492,"xxx")/10000)=1,IF($D347=J$3,装备表!$E492,"xxx")&amp;":2,1,1,"&amp;装备表!$O492&amp;";","xxx"),"xxx"))</f>
        <v>xxx</v>
      </c>
    </row>
    <row r="348" spans="4:10" x14ac:dyDescent="0.2">
      <c r="D348" s="18">
        <f>装备表!L493</f>
        <v>0</v>
      </c>
      <c r="E348" s="18" t="str">
        <f>IF(装备表!$O493=0,"xxx",IFERROR(IF(INT(IF($D348=E$3,装备表!$E493,"xxx")/10000)=1,IF($D348=E$3,装备表!$E493,"xxx")&amp;":2,1,1,"&amp;装备表!$O493&amp;";","xxx"),"xxx"))</f>
        <v>xxx</v>
      </c>
      <c r="F348" s="18" t="str">
        <f>IF(装备表!$O493=0,"xxx",IFERROR(IF(INT(IF($D348=F$3,装备表!$E493,"xxx")/10000)=1,IF($D348=F$3,装备表!$E493,"xxx")&amp;":2,1,1,"&amp;装备表!$O493&amp;";","xxx"),"xxx"))</f>
        <v>xxx</v>
      </c>
      <c r="G348" s="18" t="str">
        <f>IF(装备表!$O493=0,"xxx",IFERROR(IF(INT(IF($D348=G$3,装备表!$E493,"xxx")/10000)=1,IF($D348=G$3,装备表!$E493,"xxx")&amp;":2,1,1,"&amp;装备表!$O493&amp;";","xxx"),"xxx"))</f>
        <v>xxx</v>
      </c>
      <c r="H348" s="18" t="str">
        <f>IF(装备表!$O493=0,"xxx",IFERROR(IF(INT(IF($D348=H$3,装备表!$E493,"xxx")/10000)=1,IF($D348=H$3,装备表!$E493,"xxx")&amp;":2,1,1,"&amp;装备表!$O493&amp;";","xxx"),"xxx"))</f>
        <v>xxx</v>
      </c>
      <c r="I348" s="18" t="str">
        <f>IF(装备表!$O493=0,"xxx",IFERROR(IF(INT(IF($D348=I$3,装备表!$E493,"xxx")/10000)=1,IF($D348=I$3,装备表!$E493,"xxx")&amp;":2,1,1,"&amp;装备表!$O493&amp;";","xxx"),"xxx"))</f>
        <v>xxx</v>
      </c>
      <c r="J348" s="18" t="str">
        <f>IF(装备表!$O493=0,"xxx",IFERROR(IF(INT(IF($D348=J$3,装备表!$E493,"xxx")/10000)=1,IF($D348=J$3,装备表!$E493,"xxx")&amp;":2,1,1,"&amp;装备表!$O493&amp;";","xxx"),"xxx"))</f>
        <v>xxx</v>
      </c>
    </row>
    <row r="349" spans="4:10" x14ac:dyDescent="0.2">
      <c r="D349" s="18">
        <f>装备表!L494</f>
        <v>0</v>
      </c>
      <c r="E349" s="18" t="str">
        <f>IF(装备表!$O494=0,"xxx",IFERROR(IF(INT(IF($D349=E$3,装备表!$E494,"xxx")/10000)=1,IF($D349=E$3,装备表!$E494,"xxx")&amp;":2,1,1,"&amp;装备表!$O494&amp;";","xxx"),"xxx"))</f>
        <v>xxx</v>
      </c>
      <c r="F349" s="18" t="str">
        <f>IF(装备表!$O494=0,"xxx",IFERROR(IF(INT(IF($D349=F$3,装备表!$E494,"xxx")/10000)=1,IF($D349=F$3,装备表!$E494,"xxx")&amp;":2,1,1,"&amp;装备表!$O494&amp;";","xxx"),"xxx"))</f>
        <v>xxx</v>
      </c>
      <c r="G349" s="18" t="str">
        <f>IF(装备表!$O494=0,"xxx",IFERROR(IF(INT(IF($D349=G$3,装备表!$E494,"xxx")/10000)=1,IF($D349=G$3,装备表!$E494,"xxx")&amp;":2,1,1,"&amp;装备表!$O494&amp;";","xxx"),"xxx"))</f>
        <v>xxx</v>
      </c>
      <c r="H349" s="18" t="str">
        <f>IF(装备表!$O494=0,"xxx",IFERROR(IF(INT(IF($D349=H$3,装备表!$E494,"xxx")/10000)=1,IF($D349=H$3,装备表!$E494,"xxx")&amp;":2,1,1,"&amp;装备表!$O494&amp;";","xxx"),"xxx"))</f>
        <v>xxx</v>
      </c>
      <c r="I349" s="18" t="str">
        <f>IF(装备表!$O494=0,"xxx",IFERROR(IF(INT(IF($D349=I$3,装备表!$E494,"xxx")/10000)=1,IF($D349=I$3,装备表!$E494,"xxx")&amp;":2,1,1,"&amp;装备表!$O494&amp;";","xxx"),"xxx"))</f>
        <v>xxx</v>
      </c>
      <c r="J349" s="18" t="str">
        <f>IF(装备表!$O494=0,"xxx",IFERROR(IF(INT(IF($D349=J$3,装备表!$E494,"xxx")/10000)=1,IF($D349=J$3,装备表!$E494,"xxx")&amp;":2,1,1,"&amp;装备表!$O494&amp;";","xxx"),"xxx"))</f>
        <v>xxx</v>
      </c>
    </row>
    <row r="350" spans="4:10" x14ac:dyDescent="0.2">
      <c r="D350" s="18">
        <f>装备表!L495</f>
        <v>0</v>
      </c>
      <c r="E350" s="18" t="str">
        <f>IF(装备表!$O495=0,"xxx",IFERROR(IF(INT(IF($D350=E$3,装备表!$E495,"xxx")/10000)=1,IF($D350=E$3,装备表!$E495,"xxx")&amp;":2,1,1,"&amp;装备表!$O495&amp;";","xxx"),"xxx"))</f>
        <v>xxx</v>
      </c>
      <c r="F350" s="18" t="str">
        <f>IF(装备表!$O495=0,"xxx",IFERROR(IF(INT(IF($D350=F$3,装备表!$E495,"xxx")/10000)=1,IF($D350=F$3,装备表!$E495,"xxx")&amp;":2,1,1,"&amp;装备表!$O495&amp;";","xxx"),"xxx"))</f>
        <v>xxx</v>
      </c>
      <c r="G350" s="18" t="str">
        <f>IF(装备表!$O495=0,"xxx",IFERROR(IF(INT(IF($D350=G$3,装备表!$E495,"xxx")/10000)=1,IF($D350=G$3,装备表!$E495,"xxx")&amp;":2,1,1,"&amp;装备表!$O495&amp;";","xxx"),"xxx"))</f>
        <v>xxx</v>
      </c>
      <c r="H350" s="18" t="str">
        <f>IF(装备表!$O495=0,"xxx",IFERROR(IF(INT(IF($D350=H$3,装备表!$E495,"xxx")/10000)=1,IF($D350=H$3,装备表!$E495,"xxx")&amp;":2,1,1,"&amp;装备表!$O495&amp;";","xxx"),"xxx"))</f>
        <v>xxx</v>
      </c>
      <c r="I350" s="18" t="str">
        <f>IF(装备表!$O495=0,"xxx",IFERROR(IF(INT(IF($D350=I$3,装备表!$E495,"xxx")/10000)=1,IF($D350=I$3,装备表!$E495,"xxx")&amp;":2,1,1,"&amp;装备表!$O495&amp;";","xxx"),"xxx"))</f>
        <v>xxx</v>
      </c>
      <c r="J350" s="18" t="str">
        <f>IF(装备表!$O495=0,"xxx",IFERROR(IF(INT(IF($D350=J$3,装备表!$E495,"xxx")/10000)=1,IF($D350=J$3,装备表!$E495,"xxx")&amp;":2,1,1,"&amp;装备表!$O495&amp;";","xxx"),"xxx"))</f>
        <v>xxx</v>
      </c>
    </row>
    <row r="351" spans="4:10" x14ac:dyDescent="0.2">
      <c r="D351" s="18">
        <f>装备表!L496</f>
        <v>0</v>
      </c>
      <c r="E351" s="18" t="str">
        <f>IF(装备表!$O496=0,"xxx",IFERROR(IF(INT(IF($D351=E$3,装备表!$E496,"xxx")/10000)=1,IF($D351=E$3,装备表!$E496,"xxx")&amp;":2,1,1,"&amp;装备表!$O496&amp;";","xxx"),"xxx"))</f>
        <v>xxx</v>
      </c>
      <c r="F351" s="18" t="str">
        <f>IF(装备表!$O496=0,"xxx",IFERROR(IF(INT(IF($D351=F$3,装备表!$E496,"xxx")/10000)=1,IF($D351=F$3,装备表!$E496,"xxx")&amp;":2,1,1,"&amp;装备表!$O496&amp;";","xxx"),"xxx"))</f>
        <v>xxx</v>
      </c>
      <c r="G351" s="18" t="str">
        <f>IF(装备表!$O496=0,"xxx",IFERROR(IF(INT(IF($D351=G$3,装备表!$E496,"xxx")/10000)=1,IF($D351=G$3,装备表!$E496,"xxx")&amp;":2,1,1,"&amp;装备表!$O496&amp;";","xxx"),"xxx"))</f>
        <v>xxx</v>
      </c>
      <c r="H351" s="18" t="str">
        <f>IF(装备表!$O496=0,"xxx",IFERROR(IF(INT(IF($D351=H$3,装备表!$E496,"xxx")/10000)=1,IF($D351=H$3,装备表!$E496,"xxx")&amp;":2,1,1,"&amp;装备表!$O496&amp;";","xxx"),"xxx"))</f>
        <v>xxx</v>
      </c>
      <c r="I351" s="18" t="str">
        <f>IF(装备表!$O496=0,"xxx",IFERROR(IF(INT(IF($D351=I$3,装备表!$E496,"xxx")/10000)=1,IF($D351=I$3,装备表!$E496,"xxx")&amp;":2,1,1,"&amp;装备表!$O496&amp;";","xxx"),"xxx"))</f>
        <v>xxx</v>
      </c>
      <c r="J351" s="18" t="str">
        <f>IF(装备表!$O496=0,"xxx",IFERROR(IF(INT(IF($D351=J$3,装备表!$E496,"xxx")/10000)=1,IF($D351=J$3,装备表!$E496,"xxx")&amp;":2,1,1,"&amp;装备表!$O496&amp;";","xxx"),"xxx"))</f>
        <v>xxx</v>
      </c>
    </row>
    <row r="352" spans="4:10" x14ac:dyDescent="0.2">
      <c r="D352" s="18">
        <f>装备表!L497</f>
        <v>0</v>
      </c>
      <c r="E352" s="18" t="str">
        <f>IF(装备表!$O497=0,"xxx",IFERROR(IF(INT(IF($D352=E$3,装备表!$E497,"xxx")/10000)=1,IF($D352=E$3,装备表!$E497,"xxx")&amp;":2,1,1,"&amp;装备表!$O497&amp;";","xxx"),"xxx"))</f>
        <v>xxx</v>
      </c>
      <c r="F352" s="18" t="str">
        <f>IF(装备表!$O497=0,"xxx",IFERROR(IF(INT(IF($D352=F$3,装备表!$E497,"xxx")/10000)=1,IF($D352=F$3,装备表!$E497,"xxx")&amp;":2,1,1,"&amp;装备表!$O497&amp;";","xxx"),"xxx"))</f>
        <v>xxx</v>
      </c>
      <c r="G352" s="18" t="str">
        <f>IF(装备表!$O497=0,"xxx",IFERROR(IF(INT(IF($D352=G$3,装备表!$E497,"xxx")/10000)=1,IF($D352=G$3,装备表!$E497,"xxx")&amp;":2,1,1,"&amp;装备表!$O497&amp;";","xxx"),"xxx"))</f>
        <v>xxx</v>
      </c>
      <c r="H352" s="18" t="str">
        <f>IF(装备表!$O497=0,"xxx",IFERROR(IF(INT(IF($D352=H$3,装备表!$E497,"xxx")/10000)=1,IF($D352=H$3,装备表!$E497,"xxx")&amp;":2,1,1,"&amp;装备表!$O497&amp;";","xxx"),"xxx"))</f>
        <v>xxx</v>
      </c>
      <c r="I352" s="18" t="str">
        <f>IF(装备表!$O497=0,"xxx",IFERROR(IF(INT(IF($D352=I$3,装备表!$E497,"xxx")/10000)=1,IF($D352=I$3,装备表!$E497,"xxx")&amp;":2,1,1,"&amp;装备表!$O497&amp;";","xxx"),"xxx"))</f>
        <v>xxx</v>
      </c>
      <c r="J352" s="18" t="str">
        <f>IF(装备表!$O497=0,"xxx",IFERROR(IF(INT(IF($D352=J$3,装备表!$E497,"xxx")/10000)=1,IF($D352=J$3,装备表!$E497,"xxx")&amp;":2,1,1,"&amp;装备表!$O497&amp;";","xxx"),"xxx"))</f>
        <v>xxx</v>
      </c>
    </row>
    <row r="353" spans="4:10" x14ac:dyDescent="0.2">
      <c r="D353" s="18">
        <f>装备表!L498</f>
        <v>0</v>
      </c>
      <c r="E353" s="18" t="str">
        <f>IF(装备表!$O498=0,"xxx",IFERROR(IF(INT(IF($D353=E$3,装备表!$E498,"xxx")/10000)=1,IF($D353=E$3,装备表!$E498,"xxx")&amp;":2,1,1,"&amp;装备表!$O498&amp;";","xxx"),"xxx"))</f>
        <v>xxx</v>
      </c>
      <c r="F353" s="18" t="str">
        <f>IF(装备表!$O498=0,"xxx",IFERROR(IF(INT(IF($D353=F$3,装备表!$E498,"xxx")/10000)=1,IF($D353=F$3,装备表!$E498,"xxx")&amp;":2,1,1,"&amp;装备表!$O498&amp;";","xxx"),"xxx"))</f>
        <v>xxx</v>
      </c>
      <c r="G353" s="18" t="str">
        <f>IF(装备表!$O498=0,"xxx",IFERROR(IF(INT(IF($D353=G$3,装备表!$E498,"xxx")/10000)=1,IF($D353=G$3,装备表!$E498,"xxx")&amp;":2,1,1,"&amp;装备表!$O498&amp;";","xxx"),"xxx"))</f>
        <v>xxx</v>
      </c>
      <c r="H353" s="18" t="str">
        <f>IF(装备表!$O498=0,"xxx",IFERROR(IF(INT(IF($D353=H$3,装备表!$E498,"xxx")/10000)=1,IF($D353=H$3,装备表!$E498,"xxx")&amp;":2,1,1,"&amp;装备表!$O498&amp;";","xxx"),"xxx"))</f>
        <v>xxx</v>
      </c>
      <c r="I353" s="18" t="str">
        <f>IF(装备表!$O498=0,"xxx",IFERROR(IF(INT(IF($D353=I$3,装备表!$E498,"xxx")/10000)=1,IF($D353=I$3,装备表!$E498,"xxx")&amp;":2,1,1,"&amp;装备表!$O498&amp;";","xxx"),"xxx"))</f>
        <v>xxx</v>
      </c>
      <c r="J353" s="18" t="str">
        <f>IF(装备表!$O498=0,"xxx",IFERROR(IF(INT(IF($D353=J$3,装备表!$E498,"xxx")/10000)=1,IF($D353=J$3,装备表!$E498,"xxx")&amp;":2,1,1,"&amp;装备表!$O498&amp;";","xxx"),"xxx"))</f>
        <v>xxx</v>
      </c>
    </row>
    <row r="354" spans="4:10" x14ac:dyDescent="0.2">
      <c r="D354" s="18">
        <f>装备表!L499</f>
        <v>0</v>
      </c>
      <c r="E354" s="18" t="str">
        <f>IF(装备表!$O499=0,"xxx",IFERROR(IF(INT(IF($D354=E$3,装备表!$E499,"xxx")/10000)=1,IF($D354=E$3,装备表!$E499,"xxx")&amp;":2,1,1,"&amp;装备表!$O499&amp;";","xxx"),"xxx"))</f>
        <v>xxx</v>
      </c>
      <c r="F354" s="18" t="str">
        <f>IF(装备表!$O499=0,"xxx",IFERROR(IF(INT(IF($D354=F$3,装备表!$E499,"xxx")/10000)=1,IF($D354=F$3,装备表!$E499,"xxx")&amp;":2,1,1,"&amp;装备表!$O499&amp;";","xxx"),"xxx"))</f>
        <v>xxx</v>
      </c>
      <c r="G354" s="18" t="str">
        <f>IF(装备表!$O499=0,"xxx",IFERROR(IF(INT(IF($D354=G$3,装备表!$E499,"xxx")/10000)=1,IF($D354=G$3,装备表!$E499,"xxx")&amp;":2,1,1,"&amp;装备表!$O499&amp;";","xxx"),"xxx"))</f>
        <v>xxx</v>
      </c>
      <c r="H354" s="18" t="str">
        <f>IF(装备表!$O499=0,"xxx",IFERROR(IF(INT(IF($D354=H$3,装备表!$E499,"xxx")/10000)=1,IF($D354=H$3,装备表!$E499,"xxx")&amp;":2,1,1,"&amp;装备表!$O499&amp;";","xxx"),"xxx"))</f>
        <v>xxx</v>
      </c>
      <c r="I354" s="18" t="str">
        <f>IF(装备表!$O499=0,"xxx",IFERROR(IF(INT(IF($D354=I$3,装备表!$E499,"xxx")/10000)=1,IF($D354=I$3,装备表!$E499,"xxx")&amp;":2,1,1,"&amp;装备表!$O499&amp;";","xxx"),"xxx"))</f>
        <v>xxx</v>
      </c>
      <c r="J354" s="18" t="str">
        <f>IF(装备表!$O499=0,"xxx",IFERROR(IF(INT(IF($D354=J$3,装备表!$E499,"xxx")/10000)=1,IF($D354=J$3,装备表!$E499,"xxx")&amp;":2,1,1,"&amp;装备表!$O499&amp;";","xxx"),"xxx"))</f>
        <v>xxx</v>
      </c>
    </row>
    <row r="355" spans="4:10" x14ac:dyDescent="0.2">
      <c r="D355" s="18">
        <f>装备表!L500</f>
        <v>0</v>
      </c>
      <c r="E355" s="18" t="str">
        <f>IF(装备表!$O500=0,"xxx",IFERROR(IF(INT(IF($D355=E$3,装备表!$E500,"xxx")/10000)=1,IF($D355=E$3,装备表!$E500,"xxx")&amp;":2,1,1,"&amp;装备表!$O500&amp;";","xxx"),"xxx"))</f>
        <v>xxx</v>
      </c>
      <c r="F355" s="18" t="str">
        <f>IF(装备表!$O500=0,"xxx",IFERROR(IF(INT(IF($D355=F$3,装备表!$E500,"xxx")/10000)=1,IF($D355=F$3,装备表!$E500,"xxx")&amp;":2,1,1,"&amp;装备表!$O500&amp;";","xxx"),"xxx"))</f>
        <v>xxx</v>
      </c>
      <c r="G355" s="18" t="str">
        <f>IF(装备表!$O500=0,"xxx",IFERROR(IF(INT(IF($D355=G$3,装备表!$E500,"xxx")/10000)=1,IF($D355=G$3,装备表!$E500,"xxx")&amp;":2,1,1,"&amp;装备表!$O500&amp;";","xxx"),"xxx"))</f>
        <v>xxx</v>
      </c>
      <c r="H355" s="18" t="str">
        <f>IF(装备表!$O500=0,"xxx",IFERROR(IF(INT(IF($D355=H$3,装备表!$E500,"xxx")/10000)=1,IF($D355=H$3,装备表!$E500,"xxx")&amp;":2,1,1,"&amp;装备表!$O500&amp;";","xxx"),"xxx"))</f>
        <v>xxx</v>
      </c>
      <c r="I355" s="18" t="str">
        <f>IF(装备表!$O500=0,"xxx",IFERROR(IF(INT(IF($D355=I$3,装备表!$E500,"xxx")/10000)=1,IF($D355=I$3,装备表!$E500,"xxx")&amp;":2,1,1,"&amp;装备表!$O500&amp;";","xxx"),"xxx"))</f>
        <v>xxx</v>
      </c>
      <c r="J355" s="18" t="str">
        <f>IF(装备表!$O500=0,"xxx",IFERROR(IF(INT(IF($D355=J$3,装备表!$E500,"xxx")/10000)=1,IF($D355=J$3,装备表!$E500,"xxx")&amp;":2,1,1,"&amp;装备表!$O500&amp;";","xxx"),"xxx"))</f>
        <v>xxx</v>
      </c>
    </row>
    <row r="356" spans="4:10" x14ac:dyDescent="0.2">
      <c r="D356" s="18">
        <f>装备表!L501</f>
        <v>0</v>
      </c>
      <c r="E356" s="18" t="str">
        <f>IF(装备表!$O501=0,"xxx",IFERROR(IF(INT(IF($D356=E$3,装备表!$E501,"xxx")/10000)=1,IF($D356=E$3,装备表!$E501,"xxx")&amp;":2,1,1,"&amp;装备表!$O501&amp;";","xxx"),"xxx"))</f>
        <v>xxx</v>
      </c>
      <c r="F356" s="18" t="str">
        <f>IF(装备表!$O501=0,"xxx",IFERROR(IF(INT(IF($D356=F$3,装备表!$E501,"xxx")/10000)=1,IF($D356=F$3,装备表!$E501,"xxx")&amp;":2,1,1,"&amp;装备表!$O501&amp;";","xxx"),"xxx"))</f>
        <v>xxx</v>
      </c>
      <c r="G356" s="18" t="str">
        <f>IF(装备表!$O501=0,"xxx",IFERROR(IF(INT(IF($D356=G$3,装备表!$E501,"xxx")/10000)=1,IF($D356=G$3,装备表!$E501,"xxx")&amp;":2,1,1,"&amp;装备表!$O501&amp;";","xxx"),"xxx"))</f>
        <v>xxx</v>
      </c>
      <c r="H356" s="18" t="str">
        <f>IF(装备表!$O501=0,"xxx",IFERROR(IF(INT(IF($D356=H$3,装备表!$E501,"xxx")/10000)=1,IF($D356=H$3,装备表!$E501,"xxx")&amp;":2,1,1,"&amp;装备表!$O501&amp;";","xxx"),"xxx"))</f>
        <v>xxx</v>
      </c>
      <c r="I356" s="18" t="str">
        <f>IF(装备表!$O501=0,"xxx",IFERROR(IF(INT(IF($D356=I$3,装备表!$E501,"xxx")/10000)=1,IF($D356=I$3,装备表!$E501,"xxx")&amp;":2,1,1,"&amp;装备表!$O501&amp;";","xxx"),"xxx"))</f>
        <v>xxx</v>
      </c>
      <c r="J356" s="18" t="str">
        <f>IF(装备表!$O501=0,"xxx",IFERROR(IF(INT(IF($D356=J$3,装备表!$E501,"xxx")/10000)=1,IF($D356=J$3,装备表!$E501,"xxx")&amp;":2,1,1,"&amp;装备表!$O501&amp;";","xxx"),"xxx"))</f>
        <v>xxx</v>
      </c>
    </row>
    <row r="357" spans="4:10" x14ac:dyDescent="0.2">
      <c r="D357" s="18">
        <f>装备表!L502</f>
        <v>0</v>
      </c>
      <c r="E357" s="18" t="str">
        <f>IF(装备表!$O502=0,"xxx",IFERROR(IF(INT(IF($D357=E$3,装备表!$E502,"xxx")/10000)=1,IF($D357=E$3,装备表!$E502,"xxx")&amp;":2,1,1,"&amp;装备表!$O502&amp;";","xxx"),"xxx"))</f>
        <v>xxx</v>
      </c>
      <c r="F357" s="18" t="str">
        <f>IF(装备表!$O502=0,"xxx",IFERROR(IF(INT(IF($D357=F$3,装备表!$E502,"xxx")/10000)=1,IF($D357=F$3,装备表!$E502,"xxx")&amp;":2,1,1,"&amp;装备表!$O502&amp;";","xxx"),"xxx"))</f>
        <v>xxx</v>
      </c>
      <c r="G357" s="18" t="str">
        <f>IF(装备表!$O502=0,"xxx",IFERROR(IF(INT(IF($D357=G$3,装备表!$E502,"xxx")/10000)=1,IF($D357=G$3,装备表!$E502,"xxx")&amp;":2,1,1,"&amp;装备表!$O502&amp;";","xxx"),"xxx"))</f>
        <v>xxx</v>
      </c>
      <c r="H357" s="18" t="str">
        <f>IF(装备表!$O502=0,"xxx",IFERROR(IF(INT(IF($D357=H$3,装备表!$E502,"xxx")/10000)=1,IF($D357=H$3,装备表!$E502,"xxx")&amp;":2,1,1,"&amp;装备表!$O502&amp;";","xxx"),"xxx"))</f>
        <v>xxx</v>
      </c>
      <c r="I357" s="18" t="str">
        <f>IF(装备表!$O502=0,"xxx",IFERROR(IF(INT(IF($D357=I$3,装备表!$E502,"xxx")/10000)=1,IF($D357=I$3,装备表!$E502,"xxx")&amp;":2,1,1,"&amp;装备表!$O502&amp;";","xxx"),"xxx"))</f>
        <v>xxx</v>
      </c>
      <c r="J357" s="18" t="str">
        <f>IF(装备表!$O502=0,"xxx",IFERROR(IF(INT(IF($D357=J$3,装备表!$E502,"xxx")/10000)=1,IF($D357=J$3,装备表!$E502,"xxx")&amp;":2,1,1,"&amp;装备表!$O502&amp;";","xxx"),"xxx"))</f>
        <v>xxx</v>
      </c>
    </row>
    <row r="358" spans="4:10" x14ac:dyDescent="0.2">
      <c r="D358" s="18">
        <f>装备表!L503</f>
        <v>0</v>
      </c>
      <c r="E358" s="18" t="str">
        <f>IF(装备表!$O503=0,"xxx",IFERROR(IF(INT(IF($D358=E$3,装备表!$E503,"xxx")/10000)=1,IF($D358=E$3,装备表!$E503,"xxx")&amp;":2,1,1,"&amp;装备表!$O503&amp;";","xxx"),"xxx"))</f>
        <v>xxx</v>
      </c>
      <c r="F358" s="18" t="str">
        <f>IF(装备表!$O503=0,"xxx",IFERROR(IF(INT(IF($D358=F$3,装备表!$E503,"xxx")/10000)=1,IF($D358=F$3,装备表!$E503,"xxx")&amp;":2,1,1,"&amp;装备表!$O503&amp;";","xxx"),"xxx"))</f>
        <v>xxx</v>
      </c>
      <c r="G358" s="18" t="str">
        <f>IF(装备表!$O503=0,"xxx",IFERROR(IF(INT(IF($D358=G$3,装备表!$E503,"xxx")/10000)=1,IF($D358=G$3,装备表!$E503,"xxx")&amp;":2,1,1,"&amp;装备表!$O503&amp;";","xxx"),"xxx"))</f>
        <v>xxx</v>
      </c>
      <c r="H358" s="18" t="str">
        <f>IF(装备表!$O503=0,"xxx",IFERROR(IF(INT(IF($D358=H$3,装备表!$E503,"xxx")/10000)=1,IF($D358=H$3,装备表!$E503,"xxx")&amp;":2,1,1,"&amp;装备表!$O503&amp;";","xxx"),"xxx"))</f>
        <v>xxx</v>
      </c>
      <c r="I358" s="18" t="str">
        <f>IF(装备表!$O503=0,"xxx",IFERROR(IF(INT(IF($D358=I$3,装备表!$E503,"xxx")/10000)=1,IF($D358=I$3,装备表!$E503,"xxx")&amp;":2,1,1,"&amp;装备表!$O503&amp;";","xxx"),"xxx"))</f>
        <v>xxx</v>
      </c>
      <c r="J358" s="18" t="str">
        <f>IF(装备表!$O503=0,"xxx",IFERROR(IF(INT(IF($D358=J$3,装备表!$E503,"xxx")/10000)=1,IF($D358=J$3,装备表!$E503,"xxx")&amp;":2,1,1,"&amp;装备表!$O503&amp;";","xxx"),"xxx"))</f>
        <v>xxx</v>
      </c>
    </row>
    <row r="359" spans="4:10" x14ac:dyDescent="0.2">
      <c r="D359" s="18">
        <f>装备表!L504</f>
        <v>0</v>
      </c>
      <c r="E359" s="18" t="str">
        <f>IF(装备表!$O504=0,"xxx",IFERROR(IF(INT(IF($D359=E$3,装备表!$E504,"xxx")/10000)=1,IF($D359=E$3,装备表!$E504,"xxx")&amp;":2,1,1,"&amp;装备表!$O504&amp;";","xxx"),"xxx"))</f>
        <v>xxx</v>
      </c>
      <c r="F359" s="18" t="str">
        <f>IF(装备表!$O504=0,"xxx",IFERROR(IF(INT(IF($D359=F$3,装备表!$E504,"xxx")/10000)=1,IF($D359=F$3,装备表!$E504,"xxx")&amp;":2,1,1,"&amp;装备表!$O504&amp;";","xxx"),"xxx"))</f>
        <v>xxx</v>
      </c>
      <c r="G359" s="18" t="str">
        <f>IF(装备表!$O504=0,"xxx",IFERROR(IF(INT(IF($D359=G$3,装备表!$E504,"xxx")/10000)=1,IF($D359=G$3,装备表!$E504,"xxx")&amp;":2,1,1,"&amp;装备表!$O504&amp;";","xxx"),"xxx"))</f>
        <v>xxx</v>
      </c>
      <c r="H359" s="18" t="str">
        <f>IF(装备表!$O504=0,"xxx",IFERROR(IF(INT(IF($D359=H$3,装备表!$E504,"xxx")/10000)=1,IF($D359=H$3,装备表!$E504,"xxx")&amp;":2,1,1,"&amp;装备表!$O504&amp;";","xxx"),"xxx"))</f>
        <v>xxx</v>
      </c>
      <c r="I359" s="18" t="str">
        <f>IF(装备表!$O504=0,"xxx",IFERROR(IF(INT(IF($D359=I$3,装备表!$E504,"xxx")/10000)=1,IF($D359=I$3,装备表!$E504,"xxx")&amp;":2,1,1,"&amp;装备表!$O504&amp;";","xxx"),"xxx"))</f>
        <v>xxx</v>
      </c>
      <c r="J359" s="18" t="str">
        <f>IF(装备表!$O504=0,"xxx",IFERROR(IF(INT(IF($D359=J$3,装备表!$E504,"xxx")/10000)=1,IF($D359=J$3,装备表!$E504,"xxx")&amp;":2,1,1,"&amp;装备表!$O504&amp;";","xxx"),"xxx"))</f>
        <v>xxx</v>
      </c>
    </row>
    <row r="360" spans="4:10" x14ac:dyDescent="0.2">
      <c r="D360" s="18">
        <f>装备表!L505</f>
        <v>0</v>
      </c>
      <c r="E360" s="18" t="str">
        <f>IF(装备表!$O505=0,"xxx",IFERROR(IF(INT(IF($D360=E$3,装备表!$E505,"xxx")/10000)=1,IF($D360=E$3,装备表!$E505,"xxx")&amp;":2,1,1,"&amp;装备表!$O505&amp;";","xxx"),"xxx"))</f>
        <v>xxx</v>
      </c>
      <c r="F360" s="18" t="str">
        <f>IF(装备表!$O505=0,"xxx",IFERROR(IF(INT(IF($D360=F$3,装备表!$E505,"xxx")/10000)=1,IF($D360=F$3,装备表!$E505,"xxx")&amp;":2,1,1,"&amp;装备表!$O505&amp;";","xxx"),"xxx"))</f>
        <v>xxx</v>
      </c>
      <c r="G360" s="18" t="str">
        <f>IF(装备表!$O505=0,"xxx",IFERROR(IF(INT(IF($D360=G$3,装备表!$E505,"xxx")/10000)=1,IF($D360=G$3,装备表!$E505,"xxx")&amp;":2,1,1,"&amp;装备表!$O505&amp;";","xxx"),"xxx"))</f>
        <v>xxx</v>
      </c>
      <c r="H360" s="18" t="str">
        <f>IF(装备表!$O505=0,"xxx",IFERROR(IF(INT(IF($D360=H$3,装备表!$E505,"xxx")/10000)=1,IF($D360=H$3,装备表!$E505,"xxx")&amp;":2,1,1,"&amp;装备表!$O505&amp;";","xxx"),"xxx"))</f>
        <v>xxx</v>
      </c>
      <c r="I360" s="18" t="str">
        <f>IF(装备表!$O505=0,"xxx",IFERROR(IF(INT(IF($D360=I$3,装备表!$E505,"xxx")/10000)=1,IF($D360=I$3,装备表!$E505,"xxx")&amp;":2,1,1,"&amp;装备表!$O505&amp;";","xxx"),"xxx"))</f>
        <v>xxx</v>
      </c>
      <c r="J360" s="18" t="str">
        <f>IF(装备表!$O505=0,"xxx",IFERROR(IF(INT(IF($D360=J$3,装备表!$E505,"xxx")/10000)=1,IF($D360=J$3,装备表!$E505,"xxx")&amp;":2,1,1,"&amp;装备表!$O505&amp;";","xxx"),"xxx"))</f>
        <v>xxx</v>
      </c>
    </row>
    <row r="361" spans="4:10" x14ac:dyDescent="0.2">
      <c r="D361" s="18">
        <f>装备表!L506</f>
        <v>0</v>
      </c>
      <c r="E361" s="18" t="str">
        <f>IF(装备表!$O506=0,"xxx",IFERROR(IF(INT(IF($D361=E$3,装备表!$E506,"xxx")/10000)=1,IF($D361=E$3,装备表!$E506,"xxx")&amp;":2,1,1,"&amp;装备表!$O506&amp;";","xxx"),"xxx"))</f>
        <v>xxx</v>
      </c>
      <c r="F361" s="18" t="str">
        <f>IF(装备表!$O506=0,"xxx",IFERROR(IF(INT(IF($D361=F$3,装备表!$E506,"xxx")/10000)=1,IF($D361=F$3,装备表!$E506,"xxx")&amp;":2,1,1,"&amp;装备表!$O506&amp;";","xxx"),"xxx"))</f>
        <v>xxx</v>
      </c>
      <c r="G361" s="18" t="str">
        <f>IF(装备表!$O506=0,"xxx",IFERROR(IF(INT(IF($D361=G$3,装备表!$E506,"xxx")/10000)=1,IF($D361=G$3,装备表!$E506,"xxx")&amp;":2,1,1,"&amp;装备表!$O506&amp;";","xxx"),"xxx"))</f>
        <v>xxx</v>
      </c>
      <c r="H361" s="18" t="str">
        <f>IF(装备表!$O506=0,"xxx",IFERROR(IF(INT(IF($D361=H$3,装备表!$E506,"xxx")/10000)=1,IF($D361=H$3,装备表!$E506,"xxx")&amp;":2,1,1,"&amp;装备表!$O506&amp;";","xxx"),"xxx"))</f>
        <v>xxx</v>
      </c>
      <c r="I361" s="18" t="str">
        <f>IF(装备表!$O506=0,"xxx",IFERROR(IF(INT(IF($D361=I$3,装备表!$E506,"xxx")/10000)=1,IF($D361=I$3,装备表!$E506,"xxx")&amp;":2,1,1,"&amp;装备表!$O506&amp;";","xxx"),"xxx"))</f>
        <v>xxx</v>
      </c>
      <c r="J361" s="18" t="str">
        <f>IF(装备表!$O506=0,"xxx",IFERROR(IF(INT(IF($D361=J$3,装备表!$E506,"xxx")/10000)=1,IF($D361=J$3,装备表!$E506,"xxx")&amp;":2,1,1,"&amp;装备表!$O506&amp;";","xxx"),"xxx"))</f>
        <v>xxx</v>
      </c>
    </row>
    <row r="362" spans="4:10" x14ac:dyDescent="0.2">
      <c r="D362" s="18">
        <f>装备表!L507</f>
        <v>0</v>
      </c>
      <c r="E362" s="18" t="str">
        <f>IF(装备表!$O507=0,"xxx",IFERROR(IF(INT(IF($D362=E$3,装备表!$E507,"xxx")/10000)=1,IF($D362=E$3,装备表!$E507,"xxx")&amp;":2,1,1,"&amp;装备表!$O507&amp;";","xxx"),"xxx"))</f>
        <v>xxx</v>
      </c>
      <c r="F362" s="18" t="str">
        <f>IF(装备表!$O507=0,"xxx",IFERROR(IF(INT(IF($D362=F$3,装备表!$E507,"xxx")/10000)=1,IF($D362=F$3,装备表!$E507,"xxx")&amp;":2,1,1,"&amp;装备表!$O507&amp;";","xxx"),"xxx"))</f>
        <v>xxx</v>
      </c>
      <c r="G362" s="18" t="str">
        <f>IF(装备表!$O507=0,"xxx",IFERROR(IF(INT(IF($D362=G$3,装备表!$E507,"xxx")/10000)=1,IF($D362=G$3,装备表!$E507,"xxx")&amp;":2,1,1,"&amp;装备表!$O507&amp;";","xxx"),"xxx"))</f>
        <v>xxx</v>
      </c>
      <c r="H362" s="18" t="str">
        <f>IF(装备表!$O507=0,"xxx",IFERROR(IF(INT(IF($D362=H$3,装备表!$E507,"xxx")/10000)=1,IF($D362=H$3,装备表!$E507,"xxx")&amp;":2,1,1,"&amp;装备表!$O507&amp;";","xxx"),"xxx"))</f>
        <v>xxx</v>
      </c>
      <c r="I362" s="18" t="str">
        <f>IF(装备表!$O507=0,"xxx",IFERROR(IF(INT(IF($D362=I$3,装备表!$E507,"xxx")/10000)=1,IF($D362=I$3,装备表!$E507,"xxx")&amp;":2,1,1,"&amp;装备表!$O507&amp;";","xxx"),"xxx"))</f>
        <v>xxx</v>
      </c>
      <c r="J362" s="18" t="str">
        <f>IF(装备表!$O507=0,"xxx",IFERROR(IF(INT(IF($D362=J$3,装备表!$E507,"xxx")/10000)=1,IF($D362=J$3,装备表!$E507,"xxx")&amp;":2,1,1,"&amp;装备表!$O507&amp;";","xxx"),"xxx"))</f>
        <v>xxx</v>
      </c>
    </row>
    <row r="363" spans="4:10" x14ac:dyDescent="0.2">
      <c r="D363" s="18">
        <f>装备表!L508</f>
        <v>0</v>
      </c>
      <c r="E363" s="18" t="str">
        <f>IF(装备表!$O508=0,"xxx",IFERROR(IF(INT(IF($D363=E$3,装备表!$E508,"xxx")/10000)=1,IF($D363=E$3,装备表!$E508,"xxx")&amp;":2,1,1,"&amp;装备表!$O508&amp;";","xxx"),"xxx"))</f>
        <v>xxx</v>
      </c>
      <c r="F363" s="18" t="str">
        <f>IF(装备表!$O508=0,"xxx",IFERROR(IF(INT(IF($D363=F$3,装备表!$E508,"xxx")/10000)=1,IF($D363=F$3,装备表!$E508,"xxx")&amp;":2,1,1,"&amp;装备表!$O508&amp;";","xxx"),"xxx"))</f>
        <v>xxx</v>
      </c>
      <c r="G363" s="18" t="str">
        <f>IF(装备表!$O508=0,"xxx",IFERROR(IF(INT(IF($D363=G$3,装备表!$E508,"xxx")/10000)=1,IF($D363=G$3,装备表!$E508,"xxx")&amp;":2,1,1,"&amp;装备表!$O508&amp;";","xxx"),"xxx"))</f>
        <v>xxx</v>
      </c>
      <c r="H363" s="18" t="str">
        <f>IF(装备表!$O508=0,"xxx",IFERROR(IF(INT(IF($D363=H$3,装备表!$E508,"xxx")/10000)=1,IF($D363=H$3,装备表!$E508,"xxx")&amp;":2,1,1,"&amp;装备表!$O508&amp;";","xxx"),"xxx"))</f>
        <v>xxx</v>
      </c>
      <c r="I363" s="18" t="str">
        <f>IF(装备表!$O508=0,"xxx",IFERROR(IF(INT(IF($D363=I$3,装备表!$E508,"xxx")/10000)=1,IF($D363=I$3,装备表!$E508,"xxx")&amp;":2,1,1,"&amp;装备表!$O508&amp;";","xxx"),"xxx"))</f>
        <v>xxx</v>
      </c>
      <c r="J363" s="18" t="str">
        <f>IF(装备表!$O508=0,"xxx",IFERROR(IF(INT(IF($D363=J$3,装备表!$E508,"xxx")/10000)=1,IF($D363=J$3,装备表!$E508,"xxx")&amp;":2,1,1,"&amp;装备表!$O508&amp;";","xxx"),"xxx"))</f>
        <v>xxx</v>
      </c>
    </row>
    <row r="364" spans="4:10" x14ac:dyDescent="0.2">
      <c r="D364" s="18">
        <f>装备表!L509</f>
        <v>0</v>
      </c>
      <c r="E364" s="18" t="str">
        <f>IF(装备表!$O509=0,"xxx",IFERROR(IF(INT(IF($D364=E$3,装备表!$E509,"xxx")/10000)=1,IF($D364=E$3,装备表!$E509,"xxx")&amp;":2,1,1,"&amp;装备表!$O509&amp;";","xxx"),"xxx"))</f>
        <v>xxx</v>
      </c>
      <c r="F364" s="18" t="str">
        <f>IF(装备表!$O509=0,"xxx",IFERROR(IF(INT(IF($D364=F$3,装备表!$E509,"xxx")/10000)=1,IF($D364=F$3,装备表!$E509,"xxx")&amp;":2,1,1,"&amp;装备表!$O509&amp;";","xxx"),"xxx"))</f>
        <v>xxx</v>
      </c>
      <c r="G364" s="18" t="str">
        <f>IF(装备表!$O509=0,"xxx",IFERROR(IF(INT(IF($D364=G$3,装备表!$E509,"xxx")/10000)=1,IF($D364=G$3,装备表!$E509,"xxx")&amp;":2,1,1,"&amp;装备表!$O509&amp;";","xxx"),"xxx"))</f>
        <v>xxx</v>
      </c>
      <c r="H364" s="18" t="str">
        <f>IF(装备表!$O509=0,"xxx",IFERROR(IF(INT(IF($D364=H$3,装备表!$E509,"xxx")/10000)=1,IF($D364=H$3,装备表!$E509,"xxx")&amp;":2,1,1,"&amp;装备表!$O509&amp;";","xxx"),"xxx"))</f>
        <v>xxx</v>
      </c>
      <c r="I364" s="18" t="str">
        <f>IF(装备表!$O509=0,"xxx",IFERROR(IF(INT(IF($D364=I$3,装备表!$E509,"xxx")/10000)=1,IF($D364=I$3,装备表!$E509,"xxx")&amp;":2,1,1,"&amp;装备表!$O509&amp;";","xxx"),"xxx"))</f>
        <v>xxx</v>
      </c>
      <c r="J364" s="18" t="str">
        <f>IF(装备表!$O509=0,"xxx",IFERROR(IF(INT(IF($D364=J$3,装备表!$E509,"xxx")/10000)=1,IF($D364=J$3,装备表!$E509,"xxx")&amp;":2,1,1,"&amp;装备表!$O509&amp;";","xxx"),"xxx"))</f>
        <v>xxx</v>
      </c>
    </row>
    <row r="365" spans="4:10" x14ac:dyDescent="0.2">
      <c r="D365" s="18">
        <f>装备表!L510</f>
        <v>0</v>
      </c>
      <c r="E365" s="18" t="str">
        <f>IF(装备表!$O510=0,"xxx",IFERROR(IF(INT(IF($D365=E$3,装备表!$E510,"xxx")/10000)=1,IF($D365=E$3,装备表!$E510,"xxx")&amp;":2,1,1,"&amp;装备表!$O510&amp;";","xxx"),"xxx"))</f>
        <v>xxx</v>
      </c>
      <c r="F365" s="18" t="str">
        <f>IF(装备表!$O510=0,"xxx",IFERROR(IF(INT(IF($D365=F$3,装备表!$E510,"xxx")/10000)=1,IF($D365=F$3,装备表!$E510,"xxx")&amp;":2,1,1,"&amp;装备表!$O510&amp;";","xxx"),"xxx"))</f>
        <v>xxx</v>
      </c>
      <c r="G365" s="18" t="str">
        <f>IF(装备表!$O510=0,"xxx",IFERROR(IF(INT(IF($D365=G$3,装备表!$E510,"xxx")/10000)=1,IF($D365=G$3,装备表!$E510,"xxx")&amp;":2,1,1,"&amp;装备表!$O510&amp;";","xxx"),"xxx"))</f>
        <v>xxx</v>
      </c>
      <c r="H365" s="18" t="str">
        <f>IF(装备表!$O510=0,"xxx",IFERROR(IF(INT(IF($D365=H$3,装备表!$E510,"xxx")/10000)=1,IF($D365=H$3,装备表!$E510,"xxx")&amp;":2,1,1,"&amp;装备表!$O510&amp;";","xxx"),"xxx"))</f>
        <v>xxx</v>
      </c>
      <c r="I365" s="18" t="str">
        <f>IF(装备表!$O510=0,"xxx",IFERROR(IF(INT(IF($D365=I$3,装备表!$E510,"xxx")/10000)=1,IF($D365=I$3,装备表!$E510,"xxx")&amp;":2,1,1,"&amp;装备表!$O510&amp;";","xxx"),"xxx"))</f>
        <v>xxx</v>
      </c>
      <c r="J365" s="18" t="str">
        <f>IF(装备表!$O510=0,"xxx",IFERROR(IF(INT(IF($D365=J$3,装备表!$E510,"xxx")/10000)=1,IF($D365=J$3,装备表!$E510,"xxx")&amp;":2,1,1,"&amp;装备表!$O510&amp;";","xxx"),"xxx"))</f>
        <v>xxx</v>
      </c>
    </row>
    <row r="366" spans="4:10" x14ac:dyDescent="0.2">
      <c r="D366" s="18">
        <f>装备表!L511</f>
        <v>0</v>
      </c>
      <c r="E366" s="18" t="str">
        <f>IF(装备表!$O511=0,"xxx",IFERROR(IF(INT(IF($D366=E$3,装备表!$E511,"xxx")/10000)=1,IF($D366=E$3,装备表!$E511,"xxx")&amp;":2,1,1,"&amp;装备表!$O511&amp;";","xxx"),"xxx"))</f>
        <v>xxx</v>
      </c>
      <c r="F366" s="18" t="str">
        <f>IF(装备表!$O511=0,"xxx",IFERROR(IF(INT(IF($D366=F$3,装备表!$E511,"xxx")/10000)=1,IF($D366=F$3,装备表!$E511,"xxx")&amp;":2,1,1,"&amp;装备表!$O511&amp;";","xxx"),"xxx"))</f>
        <v>xxx</v>
      </c>
      <c r="G366" s="18" t="str">
        <f>IF(装备表!$O511=0,"xxx",IFERROR(IF(INT(IF($D366=G$3,装备表!$E511,"xxx")/10000)=1,IF($D366=G$3,装备表!$E511,"xxx")&amp;":2,1,1,"&amp;装备表!$O511&amp;";","xxx"),"xxx"))</f>
        <v>xxx</v>
      </c>
      <c r="H366" s="18" t="str">
        <f>IF(装备表!$O511=0,"xxx",IFERROR(IF(INT(IF($D366=H$3,装备表!$E511,"xxx")/10000)=1,IF($D366=H$3,装备表!$E511,"xxx")&amp;":2,1,1,"&amp;装备表!$O511&amp;";","xxx"),"xxx"))</f>
        <v>xxx</v>
      </c>
      <c r="I366" s="18" t="str">
        <f>IF(装备表!$O511=0,"xxx",IFERROR(IF(INT(IF($D366=I$3,装备表!$E511,"xxx")/10000)=1,IF($D366=I$3,装备表!$E511,"xxx")&amp;":2,1,1,"&amp;装备表!$O511&amp;";","xxx"),"xxx"))</f>
        <v>xxx</v>
      </c>
      <c r="J366" s="18" t="str">
        <f>IF(装备表!$O511=0,"xxx",IFERROR(IF(INT(IF($D366=J$3,装备表!$E511,"xxx")/10000)=1,IF($D366=J$3,装备表!$E511,"xxx")&amp;":2,1,1,"&amp;装备表!$O511&amp;";","xxx"),"xxx"))</f>
        <v>xxx</v>
      </c>
    </row>
    <row r="367" spans="4:10" x14ac:dyDescent="0.2">
      <c r="D367" s="18">
        <f>装备表!L512</f>
        <v>0</v>
      </c>
      <c r="E367" s="18" t="str">
        <f>IF(装备表!$O512=0,"xxx",IFERROR(IF(INT(IF($D367=E$3,装备表!$E512,"xxx")/10000)=1,IF($D367=E$3,装备表!$E512,"xxx")&amp;":2,1,1,"&amp;装备表!$O512&amp;";","xxx"),"xxx"))</f>
        <v>xxx</v>
      </c>
      <c r="F367" s="18" t="str">
        <f>IF(装备表!$O512=0,"xxx",IFERROR(IF(INT(IF($D367=F$3,装备表!$E512,"xxx")/10000)=1,IF($D367=F$3,装备表!$E512,"xxx")&amp;":2,1,1,"&amp;装备表!$O512&amp;";","xxx"),"xxx"))</f>
        <v>xxx</v>
      </c>
      <c r="G367" s="18" t="str">
        <f>IF(装备表!$O512=0,"xxx",IFERROR(IF(INT(IF($D367=G$3,装备表!$E512,"xxx")/10000)=1,IF($D367=G$3,装备表!$E512,"xxx")&amp;":2,1,1,"&amp;装备表!$O512&amp;";","xxx"),"xxx"))</f>
        <v>xxx</v>
      </c>
      <c r="H367" s="18" t="str">
        <f>IF(装备表!$O512=0,"xxx",IFERROR(IF(INT(IF($D367=H$3,装备表!$E512,"xxx")/10000)=1,IF($D367=H$3,装备表!$E512,"xxx")&amp;":2,1,1,"&amp;装备表!$O512&amp;";","xxx"),"xxx"))</f>
        <v>xxx</v>
      </c>
      <c r="I367" s="18" t="str">
        <f>IF(装备表!$O512=0,"xxx",IFERROR(IF(INT(IF($D367=I$3,装备表!$E512,"xxx")/10000)=1,IF($D367=I$3,装备表!$E512,"xxx")&amp;":2,1,1,"&amp;装备表!$O512&amp;";","xxx"),"xxx"))</f>
        <v>xxx</v>
      </c>
      <c r="J367" s="18" t="str">
        <f>IF(装备表!$O512=0,"xxx",IFERROR(IF(INT(IF($D367=J$3,装备表!$E512,"xxx")/10000)=1,IF($D367=J$3,装备表!$E512,"xxx")&amp;":2,1,1,"&amp;装备表!$O512&amp;";","xxx"),"xxx"))</f>
        <v>xxx</v>
      </c>
    </row>
    <row r="368" spans="4:10" x14ac:dyDescent="0.2">
      <c r="D368" s="18">
        <f>装备表!L513</f>
        <v>0</v>
      </c>
      <c r="E368" s="18" t="str">
        <f>IF(装备表!$O513=0,"xxx",IFERROR(IF(INT(IF($D368=E$3,装备表!$E513,"xxx")/10000)=1,IF($D368=E$3,装备表!$E513,"xxx")&amp;":2,1,1,"&amp;装备表!$O513&amp;";","xxx"),"xxx"))</f>
        <v>xxx</v>
      </c>
      <c r="F368" s="18" t="str">
        <f>IF(装备表!$O513=0,"xxx",IFERROR(IF(INT(IF($D368=F$3,装备表!$E513,"xxx")/10000)=1,IF($D368=F$3,装备表!$E513,"xxx")&amp;":2,1,1,"&amp;装备表!$O513&amp;";","xxx"),"xxx"))</f>
        <v>xxx</v>
      </c>
      <c r="G368" s="18" t="str">
        <f>IF(装备表!$O513=0,"xxx",IFERROR(IF(INT(IF($D368=G$3,装备表!$E513,"xxx")/10000)=1,IF($D368=G$3,装备表!$E513,"xxx")&amp;":2,1,1,"&amp;装备表!$O513&amp;";","xxx"),"xxx"))</f>
        <v>xxx</v>
      </c>
      <c r="H368" s="18" t="str">
        <f>IF(装备表!$O513=0,"xxx",IFERROR(IF(INT(IF($D368=H$3,装备表!$E513,"xxx")/10000)=1,IF($D368=H$3,装备表!$E513,"xxx")&amp;":2,1,1,"&amp;装备表!$O513&amp;";","xxx"),"xxx"))</f>
        <v>xxx</v>
      </c>
      <c r="I368" s="18" t="str">
        <f>IF(装备表!$O513=0,"xxx",IFERROR(IF(INT(IF($D368=I$3,装备表!$E513,"xxx")/10000)=1,IF($D368=I$3,装备表!$E513,"xxx")&amp;":2,1,1,"&amp;装备表!$O513&amp;";","xxx"),"xxx"))</f>
        <v>xxx</v>
      </c>
      <c r="J368" s="18" t="str">
        <f>IF(装备表!$O513=0,"xxx",IFERROR(IF(INT(IF($D368=J$3,装备表!$E513,"xxx")/10000)=1,IF($D368=J$3,装备表!$E513,"xxx")&amp;":2,1,1,"&amp;装备表!$O513&amp;";","xxx"),"xxx"))</f>
        <v>xxx</v>
      </c>
    </row>
    <row r="369" spans="4:10" x14ac:dyDescent="0.2">
      <c r="D369" s="18">
        <f>装备表!L514</f>
        <v>0</v>
      </c>
      <c r="E369" s="18" t="str">
        <f>IF(装备表!$O514=0,"xxx",IFERROR(IF(INT(IF($D369=E$3,装备表!$E514,"xxx")/10000)=1,IF($D369=E$3,装备表!$E514,"xxx")&amp;":2,1,1,"&amp;装备表!$O514&amp;";","xxx"),"xxx"))</f>
        <v>xxx</v>
      </c>
      <c r="F369" s="18" t="str">
        <f>IF(装备表!$O514=0,"xxx",IFERROR(IF(INT(IF($D369=F$3,装备表!$E514,"xxx")/10000)=1,IF($D369=F$3,装备表!$E514,"xxx")&amp;":2,1,1,"&amp;装备表!$O514&amp;";","xxx"),"xxx"))</f>
        <v>xxx</v>
      </c>
      <c r="G369" s="18" t="str">
        <f>IF(装备表!$O514=0,"xxx",IFERROR(IF(INT(IF($D369=G$3,装备表!$E514,"xxx")/10000)=1,IF($D369=G$3,装备表!$E514,"xxx")&amp;":2,1,1,"&amp;装备表!$O514&amp;";","xxx"),"xxx"))</f>
        <v>xxx</v>
      </c>
      <c r="H369" s="18" t="str">
        <f>IF(装备表!$O514=0,"xxx",IFERROR(IF(INT(IF($D369=H$3,装备表!$E514,"xxx")/10000)=1,IF($D369=H$3,装备表!$E514,"xxx")&amp;":2,1,1,"&amp;装备表!$O514&amp;";","xxx"),"xxx"))</f>
        <v>xxx</v>
      </c>
      <c r="I369" s="18" t="str">
        <f>IF(装备表!$O514=0,"xxx",IFERROR(IF(INT(IF($D369=I$3,装备表!$E514,"xxx")/10000)=1,IF($D369=I$3,装备表!$E514,"xxx")&amp;":2,1,1,"&amp;装备表!$O514&amp;";","xxx"),"xxx"))</f>
        <v>xxx</v>
      </c>
      <c r="J369" s="18" t="str">
        <f>IF(装备表!$O514=0,"xxx",IFERROR(IF(INT(IF($D369=J$3,装备表!$E514,"xxx")/10000)=1,IF($D369=J$3,装备表!$E514,"xxx")&amp;":2,1,1,"&amp;装备表!$O514&amp;";","xxx"),"xxx"))</f>
        <v>xxx</v>
      </c>
    </row>
    <row r="370" spans="4:10" x14ac:dyDescent="0.2">
      <c r="D370" s="18">
        <f>装备表!L515</f>
        <v>0</v>
      </c>
      <c r="E370" s="18" t="str">
        <f>IF(装备表!$O515=0,"xxx",IFERROR(IF(INT(IF($D370=E$3,装备表!$E515,"xxx")/10000)=1,IF($D370=E$3,装备表!$E515,"xxx")&amp;":2,1,1,"&amp;装备表!$O515&amp;";","xxx"),"xxx"))</f>
        <v>xxx</v>
      </c>
      <c r="F370" s="18" t="str">
        <f>IF(装备表!$O515=0,"xxx",IFERROR(IF(INT(IF($D370=F$3,装备表!$E515,"xxx")/10000)=1,IF($D370=F$3,装备表!$E515,"xxx")&amp;":2,1,1,"&amp;装备表!$O515&amp;";","xxx"),"xxx"))</f>
        <v>xxx</v>
      </c>
      <c r="G370" s="18" t="str">
        <f>IF(装备表!$O515=0,"xxx",IFERROR(IF(INT(IF($D370=G$3,装备表!$E515,"xxx")/10000)=1,IF($D370=G$3,装备表!$E515,"xxx")&amp;":2,1,1,"&amp;装备表!$O515&amp;";","xxx"),"xxx"))</f>
        <v>xxx</v>
      </c>
      <c r="H370" s="18" t="str">
        <f>IF(装备表!$O515=0,"xxx",IFERROR(IF(INT(IF($D370=H$3,装备表!$E515,"xxx")/10000)=1,IF($D370=H$3,装备表!$E515,"xxx")&amp;":2,1,1,"&amp;装备表!$O515&amp;";","xxx"),"xxx"))</f>
        <v>xxx</v>
      </c>
      <c r="I370" s="18" t="str">
        <f>IF(装备表!$O515=0,"xxx",IFERROR(IF(INT(IF($D370=I$3,装备表!$E515,"xxx")/10000)=1,IF($D370=I$3,装备表!$E515,"xxx")&amp;":2,1,1,"&amp;装备表!$O515&amp;";","xxx"),"xxx"))</f>
        <v>xxx</v>
      </c>
      <c r="J370" s="18" t="str">
        <f>IF(装备表!$O515=0,"xxx",IFERROR(IF(INT(IF($D370=J$3,装备表!$E515,"xxx")/10000)=1,IF($D370=J$3,装备表!$E515,"xxx")&amp;":2,1,1,"&amp;装备表!$O515&amp;";","xxx"),"xxx"))</f>
        <v>xxx</v>
      </c>
    </row>
    <row r="371" spans="4:10" x14ac:dyDescent="0.2">
      <c r="D371" s="18">
        <f>装备表!L516</f>
        <v>0</v>
      </c>
      <c r="E371" s="18" t="str">
        <f>IF(装备表!$O516=0,"xxx",IFERROR(IF(INT(IF($D371=E$3,装备表!$E516,"xxx")/10000)=1,IF($D371=E$3,装备表!$E516,"xxx")&amp;":2,1,1,"&amp;装备表!$O516&amp;";","xxx"),"xxx"))</f>
        <v>xxx</v>
      </c>
      <c r="F371" s="18" t="str">
        <f>IF(装备表!$O516=0,"xxx",IFERROR(IF(INT(IF($D371=F$3,装备表!$E516,"xxx")/10000)=1,IF($D371=F$3,装备表!$E516,"xxx")&amp;":2,1,1,"&amp;装备表!$O516&amp;";","xxx"),"xxx"))</f>
        <v>xxx</v>
      </c>
      <c r="G371" s="18" t="str">
        <f>IF(装备表!$O516=0,"xxx",IFERROR(IF(INT(IF($D371=G$3,装备表!$E516,"xxx")/10000)=1,IF($D371=G$3,装备表!$E516,"xxx")&amp;":2,1,1,"&amp;装备表!$O516&amp;";","xxx"),"xxx"))</f>
        <v>xxx</v>
      </c>
      <c r="H371" s="18" t="str">
        <f>IF(装备表!$O516=0,"xxx",IFERROR(IF(INT(IF($D371=H$3,装备表!$E516,"xxx")/10000)=1,IF($D371=H$3,装备表!$E516,"xxx")&amp;":2,1,1,"&amp;装备表!$O516&amp;";","xxx"),"xxx"))</f>
        <v>xxx</v>
      </c>
      <c r="I371" s="18" t="str">
        <f>IF(装备表!$O516=0,"xxx",IFERROR(IF(INT(IF($D371=I$3,装备表!$E516,"xxx")/10000)=1,IF($D371=I$3,装备表!$E516,"xxx")&amp;":2,1,1,"&amp;装备表!$O516&amp;";","xxx"),"xxx"))</f>
        <v>xxx</v>
      </c>
      <c r="J371" s="18" t="str">
        <f>IF(装备表!$O516=0,"xxx",IFERROR(IF(INT(IF($D371=J$3,装备表!$E516,"xxx")/10000)=1,IF($D371=J$3,装备表!$E516,"xxx")&amp;":2,1,1,"&amp;装备表!$O516&amp;";","xxx"),"xxx"))</f>
        <v>xxx</v>
      </c>
    </row>
    <row r="372" spans="4:10" x14ac:dyDescent="0.2">
      <c r="D372" s="18">
        <f>装备表!L517</f>
        <v>0</v>
      </c>
      <c r="E372" s="18" t="str">
        <f>IF(装备表!$O517=0,"xxx",IFERROR(IF(INT(IF($D372=E$3,装备表!$E517,"xxx")/10000)=1,IF($D372=E$3,装备表!$E517,"xxx")&amp;":2,1,1,"&amp;装备表!$O517&amp;";","xxx"),"xxx"))</f>
        <v>xxx</v>
      </c>
      <c r="F372" s="18" t="str">
        <f>IF(装备表!$O517=0,"xxx",IFERROR(IF(INT(IF($D372=F$3,装备表!$E517,"xxx")/10000)=1,IF($D372=F$3,装备表!$E517,"xxx")&amp;":2,1,1,"&amp;装备表!$O517&amp;";","xxx"),"xxx"))</f>
        <v>xxx</v>
      </c>
      <c r="G372" s="18" t="str">
        <f>IF(装备表!$O517=0,"xxx",IFERROR(IF(INT(IF($D372=G$3,装备表!$E517,"xxx")/10000)=1,IF($D372=G$3,装备表!$E517,"xxx")&amp;":2,1,1,"&amp;装备表!$O517&amp;";","xxx"),"xxx"))</f>
        <v>xxx</v>
      </c>
      <c r="H372" s="18" t="str">
        <f>IF(装备表!$O517=0,"xxx",IFERROR(IF(INT(IF($D372=H$3,装备表!$E517,"xxx")/10000)=1,IF($D372=H$3,装备表!$E517,"xxx")&amp;":2,1,1,"&amp;装备表!$O517&amp;";","xxx"),"xxx"))</f>
        <v>xxx</v>
      </c>
      <c r="I372" s="18" t="str">
        <f>IF(装备表!$O517=0,"xxx",IFERROR(IF(INT(IF($D372=I$3,装备表!$E517,"xxx")/10000)=1,IF($D372=I$3,装备表!$E517,"xxx")&amp;":2,1,1,"&amp;装备表!$O517&amp;";","xxx"),"xxx"))</f>
        <v>xxx</v>
      </c>
      <c r="J372" s="18" t="str">
        <f>IF(装备表!$O517=0,"xxx",IFERROR(IF(INT(IF($D372=J$3,装备表!$E517,"xxx")/10000)=1,IF($D372=J$3,装备表!$E517,"xxx")&amp;":2,1,1,"&amp;装备表!$O517&amp;";","xxx"),"xxx"))</f>
        <v>xxx</v>
      </c>
    </row>
    <row r="373" spans="4:10" x14ac:dyDescent="0.2">
      <c r="D373" s="18">
        <f>装备表!L518</f>
        <v>0</v>
      </c>
      <c r="E373" s="18" t="str">
        <f>IF(装备表!$O518=0,"xxx",IFERROR(IF(INT(IF($D373=E$3,装备表!$E518,"xxx")/10000)=1,IF($D373=E$3,装备表!$E518,"xxx")&amp;":2,1,1,"&amp;装备表!$O518&amp;";","xxx"),"xxx"))</f>
        <v>xxx</v>
      </c>
      <c r="F373" s="18" t="str">
        <f>IF(装备表!$O518=0,"xxx",IFERROR(IF(INT(IF($D373=F$3,装备表!$E518,"xxx")/10000)=1,IF($D373=F$3,装备表!$E518,"xxx")&amp;":2,1,1,"&amp;装备表!$O518&amp;";","xxx"),"xxx"))</f>
        <v>xxx</v>
      </c>
      <c r="G373" s="18" t="str">
        <f>IF(装备表!$O518=0,"xxx",IFERROR(IF(INT(IF($D373=G$3,装备表!$E518,"xxx")/10000)=1,IF($D373=G$3,装备表!$E518,"xxx")&amp;":2,1,1,"&amp;装备表!$O518&amp;";","xxx"),"xxx"))</f>
        <v>xxx</v>
      </c>
      <c r="H373" s="18" t="str">
        <f>IF(装备表!$O518=0,"xxx",IFERROR(IF(INT(IF($D373=H$3,装备表!$E518,"xxx")/10000)=1,IF($D373=H$3,装备表!$E518,"xxx")&amp;":2,1,1,"&amp;装备表!$O518&amp;";","xxx"),"xxx"))</f>
        <v>xxx</v>
      </c>
      <c r="I373" s="18" t="str">
        <f>IF(装备表!$O518=0,"xxx",IFERROR(IF(INT(IF($D373=I$3,装备表!$E518,"xxx")/10000)=1,IF($D373=I$3,装备表!$E518,"xxx")&amp;":2,1,1,"&amp;装备表!$O518&amp;";","xxx"),"xxx"))</f>
        <v>xxx</v>
      </c>
      <c r="J373" s="18" t="str">
        <f>IF(装备表!$O518=0,"xxx",IFERROR(IF(INT(IF($D373=J$3,装备表!$E518,"xxx")/10000)=1,IF($D373=J$3,装备表!$E518,"xxx")&amp;":2,1,1,"&amp;装备表!$O518&amp;";","xxx"),"xxx"))</f>
        <v>xxx</v>
      </c>
    </row>
    <row r="374" spans="4:10" x14ac:dyDescent="0.2">
      <c r="D374" s="18">
        <f>装备表!L519</f>
        <v>0</v>
      </c>
      <c r="E374" s="18" t="str">
        <f>IF(装备表!$O519=0,"xxx",IFERROR(IF(INT(IF($D374=E$3,装备表!$E519,"xxx")/10000)=1,IF($D374=E$3,装备表!$E519,"xxx")&amp;":2,1,1,"&amp;装备表!$O519&amp;";","xxx"),"xxx"))</f>
        <v>xxx</v>
      </c>
      <c r="F374" s="18" t="str">
        <f>IF(装备表!$O519=0,"xxx",IFERROR(IF(INT(IF($D374=F$3,装备表!$E519,"xxx")/10000)=1,IF($D374=F$3,装备表!$E519,"xxx")&amp;":2,1,1,"&amp;装备表!$O519&amp;";","xxx"),"xxx"))</f>
        <v>xxx</v>
      </c>
      <c r="G374" s="18" t="str">
        <f>IF(装备表!$O519=0,"xxx",IFERROR(IF(INT(IF($D374=G$3,装备表!$E519,"xxx")/10000)=1,IF($D374=G$3,装备表!$E519,"xxx")&amp;":2,1,1,"&amp;装备表!$O519&amp;";","xxx"),"xxx"))</f>
        <v>xxx</v>
      </c>
      <c r="H374" s="18" t="str">
        <f>IF(装备表!$O519=0,"xxx",IFERROR(IF(INT(IF($D374=H$3,装备表!$E519,"xxx")/10000)=1,IF($D374=H$3,装备表!$E519,"xxx")&amp;":2,1,1,"&amp;装备表!$O519&amp;";","xxx"),"xxx"))</f>
        <v>xxx</v>
      </c>
      <c r="I374" s="18" t="str">
        <f>IF(装备表!$O519=0,"xxx",IFERROR(IF(INT(IF($D374=I$3,装备表!$E519,"xxx")/10000)=1,IF($D374=I$3,装备表!$E519,"xxx")&amp;":2,1,1,"&amp;装备表!$O519&amp;";","xxx"),"xxx"))</f>
        <v>xxx</v>
      </c>
      <c r="J374" s="18" t="str">
        <f>IF(装备表!$O519=0,"xxx",IFERROR(IF(INT(IF($D374=J$3,装备表!$E519,"xxx")/10000)=1,IF($D374=J$3,装备表!$E519,"xxx")&amp;":2,1,1,"&amp;装备表!$O519&amp;";","xxx"),"xxx"))</f>
        <v>xxx</v>
      </c>
    </row>
    <row r="375" spans="4:10" x14ac:dyDescent="0.2">
      <c r="D375" s="18">
        <f>装备表!L520</f>
        <v>0</v>
      </c>
      <c r="E375" s="18" t="str">
        <f>IF(装备表!$O520=0,"xxx",IFERROR(IF(INT(IF($D375=E$3,装备表!$E520,"xxx")/10000)=1,IF($D375=E$3,装备表!$E520,"xxx")&amp;":2,1,1,"&amp;装备表!$O520&amp;";","xxx"),"xxx"))</f>
        <v>xxx</v>
      </c>
      <c r="F375" s="18" t="str">
        <f>IF(装备表!$O520=0,"xxx",IFERROR(IF(INT(IF($D375=F$3,装备表!$E520,"xxx")/10000)=1,IF($D375=F$3,装备表!$E520,"xxx")&amp;":2,1,1,"&amp;装备表!$O520&amp;";","xxx"),"xxx"))</f>
        <v>xxx</v>
      </c>
      <c r="G375" s="18" t="str">
        <f>IF(装备表!$O520=0,"xxx",IFERROR(IF(INT(IF($D375=G$3,装备表!$E520,"xxx")/10000)=1,IF($D375=G$3,装备表!$E520,"xxx")&amp;":2,1,1,"&amp;装备表!$O520&amp;";","xxx"),"xxx"))</f>
        <v>xxx</v>
      </c>
      <c r="H375" s="18" t="str">
        <f>IF(装备表!$O520=0,"xxx",IFERROR(IF(INT(IF($D375=H$3,装备表!$E520,"xxx")/10000)=1,IF($D375=H$3,装备表!$E520,"xxx")&amp;":2,1,1,"&amp;装备表!$O520&amp;";","xxx"),"xxx"))</f>
        <v>xxx</v>
      </c>
      <c r="I375" s="18" t="str">
        <f>IF(装备表!$O520=0,"xxx",IFERROR(IF(INT(IF($D375=I$3,装备表!$E520,"xxx")/10000)=1,IF($D375=I$3,装备表!$E520,"xxx")&amp;":2,1,1,"&amp;装备表!$O520&amp;";","xxx"),"xxx"))</f>
        <v>xxx</v>
      </c>
      <c r="J375" s="18" t="str">
        <f>IF(装备表!$O520=0,"xxx",IFERROR(IF(INT(IF($D375=J$3,装备表!$E520,"xxx")/10000)=1,IF($D375=J$3,装备表!$E520,"xxx")&amp;":2,1,1,"&amp;装备表!$O520&amp;";","xxx"),"xxx"))</f>
        <v>xxx</v>
      </c>
    </row>
    <row r="376" spans="4:10" x14ac:dyDescent="0.2">
      <c r="D376" s="18">
        <f>装备表!L521</f>
        <v>0</v>
      </c>
      <c r="E376" s="18" t="str">
        <f>IF(装备表!$O521=0,"xxx",IFERROR(IF(INT(IF($D376=E$3,装备表!$E521,"xxx")/10000)=1,IF($D376=E$3,装备表!$E521,"xxx")&amp;":2,1,1,"&amp;装备表!$O521&amp;";","xxx"),"xxx"))</f>
        <v>xxx</v>
      </c>
      <c r="F376" s="18" t="str">
        <f>IF(装备表!$O521=0,"xxx",IFERROR(IF(INT(IF($D376=F$3,装备表!$E521,"xxx")/10000)=1,IF($D376=F$3,装备表!$E521,"xxx")&amp;":2,1,1,"&amp;装备表!$O521&amp;";","xxx"),"xxx"))</f>
        <v>xxx</v>
      </c>
      <c r="G376" s="18" t="str">
        <f>IF(装备表!$O521=0,"xxx",IFERROR(IF(INT(IF($D376=G$3,装备表!$E521,"xxx")/10000)=1,IF($D376=G$3,装备表!$E521,"xxx")&amp;":2,1,1,"&amp;装备表!$O521&amp;";","xxx"),"xxx"))</f>
        <v>xxx</v>
      </c>
      <c r="H376" s="18" t="str">
        <f>IF(装备表!$O521=0,"xxx",IFERROR(IF(INT(IF($D376=H$3,装备表!$E521,"xxx")/10000)=1,IF($D376=H$3,装备表!$E521,"xxx")&amp;":2,1,1,"&amp;装备表!$O521&amp;";","xxx"),"xxx"))</f>
        <v>xxx</v>
      </c>
      <c r="I376" s="18" t="str">
        <f>IF(装备表!$O521=0,"xxx",IFERROR(IF(INT(IF($D376=I$3,装备表!$E521,"xxx")/10000)=1,IF($D376=I$3,装备表!$E521,"xxx")&amp;":2,1,1,"&amp;装备表!$O521&amp;";","xxx"),"xxx"))</f>
        <v>xxx</v>
      </c>
      <c r="J376" s="18" t="str">
        <f>IF(装备表!$O521=0,"xxx",IFERROR(IF(INT(IF($D376=J$3,装备表!$E521,"xxx")/10000)=1,IF($D376=J$3,装备表!$E521,"xxx")&amp;":2,1,1,"&amp;装备表!$O521&amp;";","xxx"),"xxx"))</f>
        <v>xxx</v>
      </c>
    </row>
    <row r="377" spans="4:10" x14ac:dyDescent="0.2">
      <c r="D377" s="18">
        <f>装备表!L522</f>
        <v>0</v>
      </c>
      <c r="E377" s="18" t="str">
        <f>IF(装备表!$O522=0,"xxx",IFERROR(IF(INT(IF($D377=E$3,装备表!$E522,"xxx")/10000)=1,IF($D377=E$3,装备表!$E522,"xxx")&amp;":2,1,1,"&amp;装备表!$O522&amp;";","xxx"),"xxx"))</f>
        <v>xxx</v>
      </c>
      <c r="F377" s="18" t="str">
        <f>IF(装备表!$O522=0,"xxx",IFERROR(IF(INT(IF($D377=F$3,装备表!$E522,"xxx")/10000)=1,IF($D377=F$3,装备表!$E522,"xxx")&amp;":2,1,1,"&amp;装备表!$O522&amp;";","xxx"),"xxx"))</f>
        <v>xxx</v>
      </c>
      <c r="G377" s="18" t="str">
        <f>IF(装备表!$O522=0,"xxx",IFERROR(IF(INT(IF($D377=G$3,装备表!$E522,"xxx")/10000)=1,IF($D377=G$3,装备表!$E522,"xxx")&amp;":2,1,1,"&amp;装备表!$O522&amp;";","xxx"),"xxx"))</f>
        <v>xxx</v>
      </c>
      <c r="H377" s="18" t="str">
        <f>IF(装备表!$O522=0,"xxx",IFERROR(IF(INT(IF($D377=H$3,装备表!$E522,"xxx")/10000)=1,IF($D377=H$3,装备表!$E522,"xxx")&amp;":2,1,1,"&amp;装备表!$O522&amp;";","xxx"),"xxx"))</f>
        <v>xxx</v>
      </c>
      <c r="I377" s="18" t="str">
        <f>IF(装备表!$O522=0,"xxx",IFERROR(IF(INT(IF($D377=I$3,装备表!$E522,"xxx")/10000)=1,IF($D377=I$3,装备表!$E522,"xxx")&amp;":2,1,1,"&amp;装备表!$O522&amp;";","xxx"),"xxx"))</f>
        <v>xxx</v>
      </c>
      <c r="J377" s="18" t="str">
        <f>IF(装备表!$O522=0,"xxx",IFERROR(IF(INT(IF($D377=J$3,装备表!$E522,"xxx")/10000)=1,IF($D377=J$3,装备表!$E522,"xxx")&amp;":2,1,1,"&amp;装备表!$O522&amp;";","xxx"),"xxx"))</f>
        <v>xxx</v>
      </c>
    </row>
    <row r="378" spans="4:10" x14ac:dyDescent="0.2">
      <c r="D378" s="18">
        <f>装备表!L523</f>
        <v>0</v>
      </c>
      <c r="E378" s="18" t="str">
        <f>IF(装备表!$O523=0,"xxx",IFERROR(IF(INT(IF($D378=E$3,装备表!$E523,"xxx")/10000)=1,IF($D378=E$3,装备表!$E523,"xxx")&amp;":2,1,1,"&amp;装备表!$O523&amp;";","xxx"),"xxx"))</f>
        <v>xxx</v>
      </c>
      <c r="F378" s="18" t="str">
        <f>IF(装备表!$O523=0,"xxx",IFERROR(IF(INT(IF($D378=F$3,装备表!$E523,"xxx")/10000)=1,IF($D378=F$3,装备表!$E523,"xxx")&amp;":2,1,1,"&amp;装备表!$O523&amp;";","xxx"),"xxx"))</f>
        <v>xxx</v>
      </c>
      <c r="G378" s="18" t="str">
        <f>IF(装备表!$O523=0,"xxx",IFERROR(IF(INT(IF($D378=G$3,装备表!$E523,"xxx")/10000)=1,IF($D378=G$3,装备表!$E523,"xxx")&amp;":2,1,1,"&amp;装备表!$O523&amp;";","xxx"),"xxx"))</f>
        <v>xxx</v>
      </c>
      <c r="H378" s="18" t="str">
        <f>IF(装备表!$O523=0,"xxx",IFERROR(IF(INT(IF($D378=H$3,装备表!$E523,"xxx")/10000)=1,IF($D378=H$3,装备表!$E523,"xxx")&amp;":2,1,1,"&amp;装备表!$O523&amp;";","xxx"),"xxx"))</f>
        <v>xxx</v>
      </c>
      <c r="I378" s="18" t="str">
        <f>IF(装备表!$O523=0,"xxx",IFERROR(IF(INT(IF($D378=I$3,装备表!$E523,"xxx")/10000)=1,IF($D378=I$3,装备表!$E523,"xxx")&amp;":2,1,1,"&amp;装备表!$O523&amp;";","xxx"),"xxx"))</f>
        <v>xxx</v>
      </c>
      <c r="J378" s="18" t="str">
        <f>IF(装备表!$O523=0,"xxx",IFERROR(IF(INT(IF($D378=J$3,装备表!$E523,"xxx")/10000)=1,IF($D378=J$3,装备表!$E523,"xxx")&amp;":2,1,1,"&amp;装备表!$O523&amp;";","xxx"),"xxx"))</f>
        <v>xxx</v>
      </c>
    </row>
    <row r="379" spans="4:10" x14ac:dyDescent="0.2">
      <c r="D379" s="18">
        <f>装备表!L524</f>
        <v>0</v>
      </c>
      <c r="E379" s="18" t="str">
        <f>IF(装备表!$O524=0,"xxx",IFERROR(IF(INT(IF($D379=E$3,装备表!$E524,"xxx")/10000)=1,IF($D379=E$3,装备表!$E524,"xxx")&amp;":2,1,1,"&amp;装备表!$O524&amp;";","xxx"),"xxx"))</f>
        <v>xxx</v>
      </c>
      <c r="F379" s="18" t="str">
        <f>IF(装备表!$O524=0,"xxx",IFERROR(IF(INT(IF($D379=F$3,装备表!$E524,"xxx")/10000)=1,IF($D379=F$3,装备表!$E524,"xxx")&amp;":2,1,1,"&amp;装备表!$O524&amp;";","xxx"),"xxx"))</f>
        <v>xxx</v>
      </c>
      <c r="G379" s="18" t="str">
        <f>IF(装备表!$O524=0,"xxx",IFERROR(IF(INT(IF($D379=G$3,装备表!$E524,"xxx")/10000)=1,IF($D379=G$3,装备表!$E524,"xxx")&amp;":2,1,1,"&amp;装备表!$O524&amp;";","xxx"),"xxx"))</f>
        <v>xxx</v>
      </c>
      <c r="H379" s="18" t="str">
        <f>IF(装备表!$O524=0,"xxx",IFERROR(IF(INT(IF($D379=H$3,装备表!$E524,"xxx")/10000)=1,IF($D379=H$3,装备表!$E524,"xxx")&amp;":2,1,1,"&amp;装备表!$O524&amp;";","xxx"),"xxx"))</f>
        <v>xxx</v>
      </c>
      <c r="I379" s="18" t="str">
        <f>IF(装备表!$O524=0,"xxx",IFERROR(IF(INT(IF($D379=I$3,装备表!$E524,"xxx")/10000)=1,IF($D379=I$3,装备表!$E524,"xxx")&amp;":2,1,1,"&amp;装备表!$O524&amp;";","xxx"),"xxx"))</f>
        <v>xxx</v>
      </c>
      <c r="J379" s="18" t="str">
        <f>IF(装备表!$O524=0,"xxx",IFERROR(IF(INT(IF($D379=J$3,装备表!$E524,"xxx")/10000)=1,IF($D379=J$3,装备表!$E524,"xxx")&amp;":2,1,1,"&amp;装备表!$O524&amp;";","xxx"),"xxx"))</f>
        <v>xxx</v>
      </c>
    </row>
    <row r="380" spans="4:10" x14ac:dyDescent="0.2">
      <c r="D380" s="18">
        <f>装备表!L525</f>
        <v>0</v>
      </c>
      <c r="E380" s="18" t="str">
        <f>IF(装备表!$O525=0,"xxx",IFERROR(IF(INT(IF($D380=E$3,装备表!$E525,"xxx")/10000)=1,IF($D380=E$3,装备表!$E525,"xxx")&amp;":2,1,1,"&amp;装备表!$O525&amp;";","xxx"),"xxx"))</f>
        <v>xxx</v>
      </c>
      <c r="F380" s="18" t="str">
        <f>IF(装备表!$O525=0,"xxx",IFERROR(IF(INT(IF($D380=F$3,装备表!$E525,"xxx")/10000)=1,IF($D380=F$3,装备表!$E525,"xxx")&amp;":2,1,1,"&amp;装备表!$O525&amp;";","xxx"),"xxx"))</f>
        <v>xxx</v>
      </c>
      <c r="G380" s="18" t="str">
        <f>IF(装备表!$O525=0,"xxx",IFERROR(IF(INT(IF($D380=G$3,装备表!$E525,"xxx")/10000)=1,IF($D380=G$3,装备表!$E525,"xxx")&amp;":2,1,1,"&amp;装备表!$O525&amp;";","xxx"),"xxx"))</f>
        <v>xxx</v>
      </c>
      <c r="H380" s="18" t="str">
        <f>IF(装备表!$O525=0,"xxx",IFERROR(IF(INT(IF($D380=H$3,装备表!$E525,"xxx")/10000)=1,IF($D380=H$3,装备表!$E525,"xxx")&amp;":2,1,1,"&amp;装备表!$O525&amp;";","xxx"),"xxx"))</f>
        <v>xxx</v>
      </c>
      <c r="I380" s="18" t="str">
        <f>IF(装备表!$O525=0,"xxx",IFERROR(IF(INT(IF($D380=I$3,装备表!$E525,"xxx")/10000)=1,IF($D380=I$3,装备表!$E525,"xxx")&amp;":2,1,1,"&amp;装备表!$O525&amp;";","xxx"),"xxx"))</f>
        <v>xxx</v>
      </c>
      <c r="J380" s="18" t="str">
        <f>IF(装备表!$O525=0,"xxx",IFERROR(IF(INT(IF($D380=J$3,装备表!$E525,"xxx")/10000)=1,IF($D380=J$3,装备表!$E525,"xxx")&amp;":2,1,1,"&amp;装备表!$O525&amp;";","xxx"),"xxx"))</f>
        <v>xxx</v>
      </c>
    </row>
    <row r="381" spans="4:10" x14ac:dyDescent="0.2">
      <c r="D381" s="18">
        <f>装备表!L526</f>
        <v>0</v>
      </c>
      <c r="E381" s="18" t="str">
        <f>IF(装备表!$O526=0,"xxx",IFERROR(IF(INT(IF($D381=E$3,装备表!$E526,"xxx")/10000)=1,IF($D381=E$3,装备表!$E526,"xxx")&amp;":2,1,1,"&amp;装备表!$O526&amp;";","xxx"),"xxx"))</f>
        <v>xxx</v>
      </c>
      <c r="F381" s="18" t="str">
        <f>IF(装备表!$O526=0,"xxx",IFERROR(IF(INT(IF($D381=F$3,装备表!$E526,"xxx")/10000)=1,IF($D381=F$3,装备表!$E526,"xxx")&amp;":2,1,1,"&amp;装备表!$O526&amp;";","xxx"),"xxx"))</f>
        <v>xxx</v>
      </c>
      <c r="G381" s="18" t="str">
        <f>IF(装备表!$O526=0,"xxx",IFERROR(IF(INT(IF($D381=G$3,装备表!$E526,"xxx")/10000)=1,IF($D381=G$3,装备表!$E526,"xxx")&amp;":2,1,1,"&amp;装备表!$O526&amp;";","xxx"),"xxx"))</f>
        <v>xxx</v>
      </c>
      <c r="H381" s="18" t="str">
        <f>IF(装备表!$O526=0,"xxx",IFERROR(IF(INT(IF($D381=H$3,装备表!$E526,"xxx")/10000)=1,IF($D381=H$3,装备表!$E526,"xxx")&amp;":2,1,1,"&amp;装备表!$O526&amp;";","xxx"),"xxx"))</f>
        <v>xxx</v>
      </c>
      <c r="I381" s="18" t="str">
        <f>IF(装备表!$O526=0,"xxx",IFERROR(IF(INT(IF($D381=I$3,装备表!$E526,"xxx")/10000)=1,IF($D381=I$3,装备表!$E526,"xxx")&amp;":2,1,1,"&amp;装备表!$O526&amp;";","xxx"),"xxx"))</f>
        <v>xxx</v>
      </c>
      <c r="J381" s="18" t="str">
        <f>IF(装备表!$O526=0,"xxx",IFERROR(IF(INT(IF($D381=J$3,装备表!$E526,"xxx")/10000)=1,IF($D381=J$3,装备表!$E526,"xxx")&amp;":2,1,1,"&amp;装备表!$O526&amp;";","xxx"),"xxx"))</f>
        <v>xxx</v>
      </c>
    </row>
    <row r="382" spans="4:10" x14ac:dyDescent="0.2">
      <c r="D382" s="18">
        <f>装备表!L527</f>
        <v>0</v>
      </c>
      <c r="E382" s="18" t="str">
        <f>IF(装备表!$O527=0,"xxx",IFERROR(IF(INT(IF($D382=E$3,装备表!$E527,"xxx")/10000)=1,IF($D382=E$3,装备表!$E527,"xxx")&amp;":2,1,1,"&amp;装备表!$O527&amp;";","xxx"),"xxx"))</f>
        <v>xxx</v>
      </c>
      <c r="F382" s="18" t="str">
        <f>IF(装备表!$O527=0,"xxx",IFERROR(IF(INT(IF($D382=F$3,装备表!$E527,"xxx")/10000)=1,IF($D382=F$3,装备表!$E527,"xxx")&amp;":2,1,1,"&amp;装备表!$O527&amp;";","xxx"),"xxx"))</f>
        <v>xxx</v>
      </c>
      <c r="G382" s="18" t="str">
        <f>IF(装备表!$O527=0,"xxx",IFERROR(IF(INT(IF($D382=G$3,装备表!$E527,"xxx")/10000)=1,IF($D382=G$3,装备表!$E527,"xxx")&amp;":2,1,1,"&amp;装备表!$O527&amp;";","xxx"),"xxx"))</f>
        <v>xxx</v>
      </c>
      <c r="H382" s="18" t="str">
        <f>IF(装备表!$O527=0,"xxx",IFERROR(IF(INT(IF($D382=H$3,装备表!$E527,"xxx")/10000)=1,IF($D382=H$3,装备表!$E527,"xxx")&amp;":2,1,1,"&amp;装备表!$O527&amp;";","xxx"),"xxx"))</f>
        <v>xxx</v>
      </c>
      <c r="I382" s="18" t="str">
        <f>IF(装备表!$O527=0,"xxx",IFERROR(IF(INT(IF($D382=I$3,装备表!$E527,"xxx")/10000)=1,IF($D382=I$3,装备表!$E527,"xxx")&amp;":2,1,1,"&amp;装备表!$O527&amp;";","xxx"),"xxx"))</f>
        <v>xxx</v>
      </c>
      <c r="J382" s="18" t="str">
        <f>IF(装备表!$O527=0,"xxx",IFERROR(IF(INT(IF($D382=J$3,装备表!$E527,"xxx")/10000)=1,IF($D382=J$3,装备表!$E527,"xxx")&amp;":2,1,1,"&amp;装备表!$O527&amp;";","xxx"),"xxx"))</f>
        <v>xxx</v>
      </c>
    </row>
    <row r="383" spans="4:10" x14ac:dyDescent="0.2">
      <c r="D383" s="18">
        <f>装备表!L528</f>
        <v>0</v>
      </c>
      <c r="E383" s="18" t="str">
        <f>IF(装备表!$O528=0,"xxx",IFERROR(IF(INT(IF($D383=E$3,装备表!$E528,"xxx")/10000)=1,IF($D383=E$3,装备表!$E528,"xxx")&amp;":2,1,1,"&amp;装备表!$O528&amp;";","xxx"),"xxx"))</f>
        <v>xxx</v>
      </c>
      <c r="F383" s="18" t="str">
        <f>IF(装备表!$O528=0,"xxx",IFERROR(IF(INT(IF($D383=F$3,装备表!$E528,"xxx")/10000)=1,IF($D383=F$3,装备表!$E528,"xxx")&amp;":2,1,1,"&amp;装备表!$O528&amp;";","xxx"),"xxx"))</f>
        <v>xxx</v>
      </c>
      <c r="G383" s="18" t="str">
        <f>IF(装备表!$O528=0,"xxx",IFERROR(IF(INT(IF($D383=G$3,装备表!$E528,"xxx")/10000)=1,IF($D383=G$3,装备表!$E528,"xxx")&amp;":2,1,1,"&amp;装备表!$O528&amp;";","xxx"),"xxx"))</f>
        <v>xxx</v>
      </c>
      <c r="H383" s="18" t="str">
        <f>IF(装备表!$O528=0,"xxx",IFERROR(IF(INT(IF($D383=H$3,装备表!$E528,"xxx")/10000)=1,IF($D383=H$3,装备表!$E528,"xxx")&amp;":2,1,1,"&amp;装备表!$O528&amp;";","xxx"),"xxx"))</f>
        <v>xxx</v>
      </c>
      <c r="I383" s="18" t="str">
        <f>IF(装备表!$O528=0,"xxx",IFERROR(IF(INT(IF($D383=I$3,装备表!$E528,"xxx")/10000)=1,IF($D383=I$3,装备表!$E528,"xxx")&amp;":2,1,1,"&amp;装备表!$O528&amp;";","xxx"),"xxx"))</f>
        <v>xxx</v>
      </c>
      <c r="J383" s="18" t="str">
        <f>IF(装备表!$O528=0,"xxx",IFERROR(IF(INT(IF($D383=J$3,装备表!$E528,"xxx")/10000)=1,IF($D383=J$3,装备表!$E528,"xxx")&amp;":2,1,1,"&amp;装备表!$O528&amp;";","xxx"),"xxx"))</f>
        <v>xxx</v>
      </c>
    </row>
    <row r="384" spans="4:10" x14ac:dyDescent="0.2">
      <c r="D384" s="18">
        <f>装备表!L529</f>
        <v>0</v>
      </c>
      <c r="E384" s="18" t="str">
        <f>IF(装备表!$O529=0,"xxx",IFERROR(IF(INT(IF($D384=E$3,装备表!$E529,"xxx")/10000)=1,IF($D384=E$3,装备表!$E529,"xxx")&amp;":2,1,1,"&amp;装备表!$O529&amp;";","xxx"),"xxx"))</f>
        <v>xxx</v>
      </c>
      <c r="F384" s="18" t="str">
        <f>IF(装备表!$O529=0,"xxx",IFERROR(IF(INT(IF($D384=F$3,装备表!$E529,"xxx")/10000)=1,IF($D384=F$3,装备表!$E529,"xxx")&amp;":2,1,1,"&amp;装备表!$O529&amp;";","xxx"),"xxx"))</f>
        <v>xxx</v>
      </c>
      <c r="G384" s="18" t="str">
        <f>IF(装备表!$O529=0,"xxx",IFERROR(IF(INT(IF($D384=G$3,装备表!$E529,"xxx")/10000)=1,IF($D384=G$3,装备表!$E529,"xxx")&amp;":2,1,1,"&amp;装备表!$O529&amp;";","xxx"),"xxx"))</f>
        <v>xxx</v>
      </c>
      <c r="H384" s="18" t="str">
        <f>IF(装备表!$O529=0,"xxx",IFERROR(IF(INT(IF($D384=H$3,装备表!$E529,"xxx")/10000)=1,IF($D384=H$3,装备表!$E529,"xxx")&amp;":2,1,1,"&amp;装备表!$O529&amp;";","xxx"),"xxx"))</f>
        <v>xxx</v>
      </c>
      <c r="I384" s="18" t="str">
        <f>IF(装备表!$O529=0,"xxx",IFERROR(IF(INT(IF($D384=I$3,装备表!$E529,"xxx")/10000)=1,IF($D384=I$3,装备表!$E529,"xxx")&amp;":2,1,1,"&amp;装备表!$O529&amp;";","xxx"),"xxx"))</f>
        <v>xxx</v>
      </c>
      <c r="J384" s="18" t="str">
        <f>IF(装备表!$O529=0,"xxx",IFERROR(IF(INT(IF($D384=J$3,装备表!$E529,"xxx")/10000)=1,IF($D384=J$3,装备表!$E529,"xxx")&amp;":2,1,1,"&amp;装备表!$O529&amp;";","xxx"),"xxx"))</f>
        <v>xxx</v>
      </c>
    </row>
    <row r="385" spans="4:10" x14ac:dyDescent="0.2">
      <c r="D385" s="18">
        <f>装备表!L530</f>
        <v>0</v>
      </c>
      <c r="E385" s="18" t="str">
        <f>IF(装备表!$O530=0,"xxx",IFERROR(IF(INT(IF($D385=E$3,装备表!$E530,"xxx")/10000)=1,IF($D385=E$3,装备表!$E530,"xxx")&amp;":2,1,1,"&amp;装备表!$O530&amp;";","xxx"),"xxx"))</f>
        <v>xxx</v>
      </c>
      <c r="F385" s="18" t="str">
        <f>IF(装备表!$O530=0,"xxx",IFERROR(IF(INT(IF($D385=F$3,装备表!$E530,"xxx")/10000)=1,IF($D385=F$3,装备表!$E530,"xxx")&amp;":2,1,1,"&amp;装备表!$O530&amp;";","xxx"),"xxx"))</f>
        <v>xxx</v>
      </c>
      <c r="G385" s="18" t="str">
        <f>IF(装备表!$O530=0,"xxx",IFERROR(IF(INT(IF($D385=G$3,装备表!$E530,"xxx")/10000)=1,IF($D385=G$3,装备表!$E530,"xxx")&amp;":2,1,1,"&amp;装备表!$O530&amp;";","xxx"),"xxx"))</f>
        <v>xxx</v>
      </c>
      <c r="H385" s="18" t="str">
        <f>IF(装备表!$O530=0,"xxx",IFERROR(IF(INT(IF($D385=H$3,装备表!$E530,"xxx")/10000)=1,IF($D385=H$3,装备表!$E530,"xxx")&amp;":2,1,1,"&amp;装备表!$O530&amp;";","xxx"),"xxx"))</f>
        <v>xxx</v>
      </c>
      <c r="I385" s="18" t="str">
        <f>IF(装备表!$O530=0,"xxx",IFERROR(IF(INT(IF($D385=I$3,装备表!$E530,"xxx")/10000)=1,IF($D385=I$3,装备表!$E530,"xxx")&amp;":2,1,1,"&amp;装备表!$O530&amp;";","xxx"),"xxx"))</f>
        <v>xxx</v>
      </c>
      <c r="J385" s="18" t="str">
        <f>IF(装备表!$O530=0,"xxx",IFERROR(IF(INT(IF($D385=J$3,装备表!$E530,"xxx")/10000)=1,IF($D385=J$3,装备表!$E530,"xxx")&amp;":2,1,1,"&amp;装备表!$O530&amp;";","xxx"),"xxx"))</f>
        <v>xxx</v>
      </c>
    </row>
    <row r="386" spans="4:10" x14ac:dyDescent="0.2">
      <c r="D386" s="18">
        <f>装备表!L531</f>
        <v>0</v>
      </c>
      <c r="E386" s="18" t="str">
        <f>IF(装备表!$O531=0,"xxx",IFERROR(IF(INT(IF($D386=E$3,装备表!$E531,"xxx")/10000)=1,IF($D386=E$3,装备表!$E531,"xxx")&amp;":2,1,1,"&amp;装备表!$O531&amp;";","xxx"),"xxx"))</f>
        <v>xxx</v>
      </c>
      <c r="F386" s="18" t="str">
        <f>IF(装备表!$O531=0,"xxx",IFERROR(IF(INT(IF($D386=F$3,装备表!$E531,"xxx")/10000)=1,IF($D386=F$3,装备表!$E531,"xxx")&amp;":2,1,1,"&amp;装备表!$O531&amp;";","xxx"),"xxx"))</f>
        <v>xxx</v>
      </c>
      <c r="G386" s="18" t="str">
        <f>IF(装备表!$O531=0,"xxx",IFERROR(IF(INT(IF($D386=G$3,装备表!$E531,"xxx")/10000)=1,IF($D386=G$3,装备表!$E531,"xxx")&amp;":2,1,1,"&amp;装备表!$O531&amp;";","xxx"),"xxx"))</f>
        <v>xxx</v>
      </c>
      <c r="H386" s="18" t="str">
        <f>IF(装备表!$O531=0,"xxx",IFERROR(IF(INT(IF($D386=H$3,装备表!$E531,"xxx")/10000)=1,IF($D386=H$3,装备表!$E531,"xxx")&amp;":2,1,1,"&amp;装备表!$O531&amp;";","xxx"),"xxx"))</f>
        <v>xxx</v>
      </c>
      <c r="I386" s="18" t="str">
        <f>IF(装备表!$O531=0,"xxx",IFERROR(IF(INT(IF($D386=I$3,装备表!$E531,"xxx")/10000)=1,IF($D386=I$3,装备表!$E531,"xxx")&amp;":2,1,1,"&amp;装备表!$O531&amp;";","xxx"),"xxx"))</f>
        <v>xxx</v>
      </c>
      <c r="J386" s="18" t="str">
        <f>IF(装备表!$O531=0,"xxx",IFERROR(IF(INT(IF($D386=J$3,装备表!$E531,"xxx")/10000)=1,IF($D386=J$3,装备表!$E531,"xxx")&amp;":2,1,1,"&amp;装备表!$O531&amp;";","xxx"),"xxx"))</f>
        <v>xxx</v>
      </c>
    </row>
    <row r="387" spans="4:10" x14ac:dyDescent="0.2">
      <c r="D387" s="18">
        <f>装备表!L532</f>
        <v>0</v>
      </c>
      <c r="E387" s="18" t="str">
        <f>IF(装备表!$O532=0,"xxx",IFERROR(IF(INT(IF($D387=E$3,装备表!$E532,"xxx")/10000)=1,IF($D387=E$3,装备表!$E532,"xxx")&amp;":2,1,1,"&amp;装备表!$O532&amp;";","xxx"),"xxx"))</f>
        <v>xxx</v>
      </c>
      <c r="F387" s="18" t="str">
        <f>IF(装备表!$O532=0,"xxx",IFERROR(IF(INT(IF($D387=F$3,装备表!$E532,"xxx")/10000)=1,IF($D387=F$3,装备表!$E532,"xxx")&amp;":2,1,1,"&amp;装备表!$O532&amp;";","xxx"),"xxx"))</f>
        <v>xxx</v>
      </c>
      <c r="G387" s="18" t="str">
        <f>IF(装备表!$O532=0,"xxx",IFERROR(IF(INT(IF($D387=G$3,装备表!$E532,"xxx")/10000)=1,IF($D387=G$3,装备表!$E532,"xxx")&amp;":2,1,1,"&amp;装备表!$O532&amp;";","xxx"),"xxx"))</f>
        <v>xxx</v>
      </c>
      <c r="H387" s="18" t="str">
        <f>IF(装备表!$O532=0,"xxx",IFERROR(IF(INT(IF($D387=H$3,装备表!$E532,"xxx")/10000)=1,IF($D387=H$3,装备表!$E532,"xxx")&amp;":2,1,1,"&amp;装备表!$O532&amp;";","xxx"),"xxx"))</f>
        <v>xxx</v>
      </c>
      <c r="I387" s="18" t="str">
        <f>IF(装备表!$O532=0,"xxx",IFERROR(IF(INT(IF($D387=I$3,装备表!$E532,"xxx")/10000)=1,IF($D387=I$3,装备表!$E532,"xxx")&amp;":2,1,1,"&amp;装备表!$O532&amp;";","xxx"),"xxx"))</f>
        <v>xxx</v>
      </c>
      <c r="J387" s="18" t="str">
        <f>IF(装备表!$O532=0,"xxx",IFERROR(IF(INT(IF($D387=J$3,装备表!$E532,"xxx")/10000)=1,IF($D387=J$3,装备表!$E532,"xxx")&amp;":2,1,1,"&amp;装备表!$O532&amp;";","xxx"),"xxx"))</f>
        <v>xxx</v>
      </c>
    </row>
    <row r="388" spans="4:10" x14ac:dyDescent="0.2">
      <c r="D388" s="18">
        <f>装备表!L533</f>
        <v>0</v>
      </c>
      <c r="E388" s="18" t="str">
        <f>IF(装备表!$O533=0,"xxx",IFERROR(IF(INT(IF($D388=E$3,装备表!$E533,"xxx")/10000)=1,IF($D388=E$3,装备表!$E533,"xxx")&amp;":2,1,1,"&amp;装备表!$O533&amp;";","xxx"),"xxx"))</f>
        <v>xxx</v>
      </c>
      <c r="F388" s="18" t="str">
        <f>IF(装备表!$O533=0,"xxx",IFERROR(IF(INT(IF($D388=F$3,装备表!$E533,"xxx")/10000)=1,IF($D388=F$3,装备表!$E533,"xxx")&amp;":2,1,1,"&amp;装备表!$O533&amp;";","xxx"),"xxx"))</f>
        <v>xxx</v>
      </c>
      <c r="G388" s="18" t="str">
        <f>IF(装备表!$O533=0,"xxx",IFERROR(IF(INT(IF($D388=G$3,装备表!$E533,"xxx")/10000)=1,IF($D388=G$3,装备表!$E533,"xxx")&amp;":2,1,1,"&amp;装备表!$O533&amp;";","xxx"),"xxx"))</f>
        <v>xxx</v>
      </c>
      <c r="H388" s="18" t="str">
        <f>IF(装备表!$O533=0,"xxx",IFERROR(IF(INT(IF($D388=H$3,装备表!$E533,"xxx")/10000)=1,IF($D388=H$3,装备表!$E533,"xxx")&amp;":2,1,1,"&amp;装备表!$O533&amp;";","xxx"),"xxx"))</f>
        <v>xxx</v>
      </c>
      <c r="I388" s="18" t="str">
        <f>IF(装备表!$O533=0,"xxx",IFERROR(IF(INT(IF($D388=I$3,装备表!$E533,"xxx")/10000)=1,IF($D388=I$3,装备表!$E533,"xxx")&amp;":2,1,1,"&amp;装备表!$O533&amp;";","xxx"),"xxx"))</f>
        <v>xxx</v>
      </c>
      <c r="J388" s="18" t="str">
        <f>IF(装备表!$O533=0,"xxx",IFERROR(IF(INT(IF($D388=J$3,装备表!$E533,"xxx")/10000)=1,IF($D388=J$3,装备表!$E533,"xxx")&amp;":2,1,1,"&amp;装备表!$O533&amp;";","xxx"),"xxx"))</f>
        <v>xxx</v>
      </c>
    </row>
    <row r="389" spans="4:10" x14ac:dyDescent="0.2">
      <c r="D389" s="18">
        <f>装备表!L534</f>
        <v>0</v>
      </c>
      <c r="E389" s="18" t="str">
        <f>IF(装备表!$O534=0,"xxx",IFERROR(IF(INT(IF($D389=E$3,装备表!$E534,"xxx")/10000)=1,IF($D389=E$3,装备表!$E534,"xxx")&amp;":2,1,1,"&amp;装备表!$O534&amp;";","xxx"),"xxx"))</f>
        <v>xxx</v>
      </c>
      <c r="F389" s="18" t="str">
        <f>IF(装备表!$O534=0,"xxx",IFERROR(IF(INT(IF($D389=F$3,装备表!$E534,"xxx")/10000)=1,IF($D389=F$3,装备表!$E534,"xxx")&amp;":2,1,1,"&amp;装备表!$O534&amp;";","xxx"),"xxx"))</f>
        <v>xxx</v>
      </c>
      <c r="G389" s="18" t="str">
        <f>IF(装备表!$O534=0,"xxx",IFERROR(IF(INT(IF($D389=G$3,装备表!$E534,"xxx")/10000)=1,IF($D389=G$3,装备表!$E534,"xxx")&amp;":2,1,1,"&amp;装备表!$O534&amp;";","xxx"),"xxx"))</f>
        <v>xxx</v>
      </c>
      <c r="H389" s="18" t="str">
        <f>IF(装备表!$O534=0,"xxx",IFERROR(IF(INT(IF($D389=H$3,装备表!$E534,"xxx")/10000)=1,IF($D389=H$3,装备表!$E534,"xxx")&amp;":2,1,1,"&amp;装备表!$O534&amp;";","xxx"),"xxx"))</f>
        <v>xxx</v>
      </c>
      <c r="I389" s="18" t="str">
        <f>IF(装备表!$O534=0,"xxx",IFERROR(IF(INT(IF($D389=I$3,装备表!$E534,"xxx")/10000)=1,IF($D389=I$3,装备表!$E534,"xxx")&amp;":2,1,1,"&amp;装备表!$O534&amp;";","xxx"),"xxx"))</f>
        <v>xxx</v>
      </c>
      <c r="J389" s="18" t="str">
        <f>IF(装备表!$O534=0,"xxx",IFERROR(IF(INT(IF($D389=J$3,装备表!$E534,"xxx")/10000)=1,IF($D389=J$3,装备表!$E534,"xxx")&amp;":2,1,1,"&amp;装备表!$O534&amp;";","xxx"),"xxx"))</f>
        <v>xxx</v>
      </c>
    </row>
    <row r="390" spans="4:10" x14ac:dyDescent="0.2">
      <c r="D390" s="18">
        <f>装备表!L535</f>
        <v>0</v>
      </c>
      <c r="E390" s="18" t="str">
        <f>IF(装备表!$O535=0,"xxx",IFERROR(IF(INT(IF($D390=E$3,装备表!$E535,"xxx")/10000)=1,IF($D390=E$3,装备表!$E535,"xxx")&amp;":2,1,1,"&amp;装备表!$O535&amp;";","xxx"),"xxx"))</f>
        <v>xxx</v>
      </c>
      <c r="F390" s="18" t="str">
        <f>IF(装备表!$O535=0,"xxx",IFERROR(IF(INT(IF($D390=F$3,装备表!$E535,"xxx")/10000)=1,IF($D390=F$3,装备表!$E535,"xxx")&amp;":2,1,1,"&amp;装备表!$O535&amp;";","xxx"),"xxx"))</f>
        <v>xxx</v>
      </c>
      <c r="G390" s="18" t="str">
        <f>IF(装备表!$O535=0,"xxx",IFERROR(IF(INT(IF($D390=G$3,装备表!$E535,"xxx")/10000)=1,IF($D390=G$3,装备表!$E535,"xxx")&amp;":2,1,1,"&amp;装备表!$O535&amp;";","xxx"),"xxx"))</f>
        <v>xxx</v>
      </c>
      <c r="H390" s="18" t="str">
        <f>IF(装备表!$O535=0,"xxx",IFERROR(IF(INT(IF($D390=H$3,装备表!$E535,"xxx")/10000)=1,IF($D390=H$3,装备表!$E535,"xxx")&amp;":2,1,1,"&amp;装备表!$O535&amp;";","xxx"),"xxx"))</f>
        <v>xxx</v>
      </c>
      <c r="I390" s="18" t="str">
        <f>IF(装备表!$O535=0,"xxx",IFERROR(IF(INT(IF($D390=I$3,装备表!$E535,"xxx")/10000)=1,IF($D390=I$3,装备表!$E535,"xxx")&amp;":2,1,1,"&amp;装备表!$O535&amp;";","xxx"),"xxx"))</f>
        <v>xxx</v>
      </c>
      <c r="J390" s="18" t="str">
        <f>IF(装备表!$O535=0,"xxx",IFERROR(IF(INT(IF($D390=J$3,装备表!$E535,"xxx")/10000)=1,IF($D390=J$3,装备表!$E535,"xxx")&amp;":2,1,1,"&amp;装备表!$O535&amp;";","xxx"),"xxx"))</f>
        <v>xxx</v>
      </c>
    </row>
    <row r="391" spans="4:10" x14ac:dyDescent="0.2">
      <c r="D391" s="18">
        <f>装备表!L536</f>
        <v>0</v>
      </c>
      <c r="E391" s="18" t="str">
        <f>IF(装备表!$O536=0,"xxx",IFERROR(IF(INT(IF($D391=E$3,装备表!$E536,"xxx")/10000)=1,IF($D391=E$3,装备表!$E536,"xxx")&amp;":2,1,1,"&amp;装备表!$O536&amp;";","xxx"),"xxx"))</f>
        <v>xxx</v>
      </c>
      <c r="F391" s="18" t="str">
        <f>IF(装备表!$O536=0,"xxx",IFERROR(IF(INT(IF($D391=F$3,装备表!$E536,"xxx")/10000)=1,IF($D391=F$3,装备表!$E536,"xxx")&amp;":2,1,1,"&amp;装备表!$O536&amp;";","xxx"),"xxx"))</f>
        <v>xxx</v>
      </c>
      <c r="G391" s="18" t="str">
        <f>IF(装备表!$O536=0,"xxx",IFERROR(IF(INT(IF($D391=G$3,装备表!$E536,"xxx")/10000)=1,IF($D391=G$3,装备表!$E536,"xxx")&amp;":2,1,1,"&amp;装备表!$O536&amp;";","xxx"),"xxx"))</f>
        <v>xxx</v>
      </c>
      <c r="H391" s="18" t="str">
        <f>IF(装备表!$O536=0,"xxx",IFERROR(IF(INT(IF($D391=H$3,装备表!$E536,"xxx")/10000)=1,IF($D391=H$3,装备表!$E536,"xxx")&amp;":2,1,1,"&amp;装备表!$O536&amp;";","xxx"),"xxx"))</f>
        <v>xxx</v>
      </c>
      <c r="I391" s="18" t="str">
        <f>IF(装备表!$O536=0,"xxx",IFERROR(IF(INT(IF($D391=I$3,装备表!$E536,"xxx")/10000)=1,IF($D391=I$3,装备表!$E536,"xxx")&amp;":2,1,1,"&amp;装备表!$O536&amp;";","xxx"),"xxx"))</f>
        <v>xxx</v>
      </c>
      <c r="J391" s="18" t="str">
        <f>IF(装备表!$O536=0,"xxx",IFERROR(IF(INT(IF($D391=J$3,装备表!$E536,"xxx")/10000)=1,IF($D391=J$3,装备表!$E536,"xxx")&amp;":2,1,1,"&amp;装备表!$O536&amp;";","xxx"),"xxx"))</f>
        <v>xxx</v>
      </c>
    </row>
    <row r="392" spans="4:10" x14ac:dyDescent="0.2">
      <c r="D392" s="18">
        <f>装备表!L537</f>
        <v>0</v>
      </c>
      <c r="E392" s="18" t="str">
        <f>IF(装备表!$O537=0,"xxx",IFERROR(IF(INT(IF($D392=E$3,装备表!$E537,"xxx")/10000)=1,IF($D392=E$3,装备表!$E537,"xxx")&amp;":2,1,1,"&amp;装备表!$O537&amp;";","xxx"),"xxx"))</f>
        <v>xxx</v>
      </c>
      <c r="F392" s="18" t="str">
        <f>IF(装备表!$O537=0,"xxx",IFERROR(IF(INT(IF($D392=F$3,装备表!$E537,"xxx")/10000)=1,IF($D392=F$3,装备表!$E537,"xxx")&amp;":2,1,1,"&amp;装备表!$O537&amp;";","xxx"),"xxx"))</f>
        <v>xxx</v>
      </c>
      <c r="G392" s="18" t="str">
        <f>IF(装备表!$O537=0,"xxx",IFERROR(IF(INT(IF($D392=G$3,装备表!$E537,"xxx")/10000)=1,IF($D392=G$3,装备表!$E537,"xxx")&amp;":2,1,1,"&amp;装备表!$O537&amp;";","xxx"),"xxx"))</f>
        <v>xxx</v>
      </c>
      <c r="H392" s="18" t="str">
        <f>IF(装备表!$O537=0,"xxx",IFERROR(IF(INT(IF($D392=H$3,装备表!$E537,"xxx")/10000)=1,IF($D392=H$3,装备表!$E537,"xxx")&amp;":2,1,1,"&amp;装备表!$O537&amp;";","xxx"),"xxx"))</f>
        <v>xxx</v>
      </c>
      <c r="I392" s="18" t="str">
        <f>IF(装备表!$O537=0,"xxx",IFERROR(IF(INT(IF($D392=I$3,装备表!$E537,"xxx")/10000)=1,IF($D392=I$3,装备表!$E537,"xxx")&amp;":2,1,1,"&amp;装备表!$O537&amp;";","xxx"),"xxx"))</f>
        <v>xxx</v>
      </c>
      <c r="J392" s="18" t="str">
        <f>IF(装备表!$O537=0,"xxx",IFERROR(IF(INT(IF($D392=J$3,装备表!$E537,"xxx")/10000)=1,IF($D392=J$3,装备表!$E537,"xxx")&amp;":2,1,1,"&amp;装备表!$O537&amp;";","xxx"),"xxx"))</f>
        <v>xxx</v>
      </c>
    </row>
    <row r="393" spans="4:10" x14ac:dyDescent="0.2">
      <c r="D393" s="18">
        <f>装备表!L538</f>
        <v>0</v>
      </c>
      <c r="E393" s="18" t="str">
        <f>IF(装备表!$O538=0,"xxx",IFERROR(IF(INT(IF($D393=E$3,装备表!$E538,"xxx")/10000)=1,IF($D393=E$3,装备表!$E538,"xxx")&amp;":2,1,1,"&amp;装备表!$O538&amp;";","xxx"),"xxx"))</f>
        <v>xxx</v>
      </c>
      <c r="F393" s="18" t="str">
        <f>IF(装备表!$O538=0,"xxx",IFERROR(IF(INT(IF($D393=F$3,装备表!$E538,"xxx")/10000)=1,IF($D393=F$3,装备表!$E538,"xxx")&amp;":2,1,1,"&amp;装备表!$O538&amp;";","xxx"),"xxx"))</f>
        <v>xxx</v>
      </c>
      <c r="G393" s="18" t="str">
        <f>IF(装备表!$O538=0,"xxx",IFERROR(IF(INT(IF($D393=G$3,装备表!$E538,"xxx")/10000)=1,IF($D393=G$3,装备表!$E538,"xxx")&amp;":2,1,1,"&amp;装备表!$O538&amp;";","xxx"),"xxx"))</f>
        <v>xxx</v>
      </c>
      <c r="H393" s="18" t="str">
        <f>IF(装备表!$O538=0,"xxx",IFERROR(IF(INT(IF($D393=H$3,装备表!$E538,"xxx")/10000)=1,IF($D393=H$3,装备表!$E538,"xxx")&amp;":2,1,1,"&amp;装备表!$O538&amp;";","xxx"),"xxx"))</f>
        <v>xxx</v>
      </c>
      <c r="I393" s="18" t="str">
        <f>IF(装备表!$O538=0,"xxx",IFERROR(IF(INT(IF($D393=I$3,装备表!$E538,"xxx")/10000)=1,IF($D393=I$3,装备表!$E538,"xxx")&amp;":2,1,1,"&amp;装备表!$O538&amp;";","xxx"),"xxx"))</f>
        <v>xxx</v>
      </c>
      <c r="J393" s="18" t="str">
        <f>IF(装备表!$O538=0,"xxx",IFERROR(IF(INT(IF($D393=J$3,装备表!$E538,"xxx")/10000)=1,IF($D393=J$3,装备表!$E538,"xxx")&amp;":2,1,1,"&amp;装备表!$O538&amp;";","xxx"),"xxx"))</f>
        <v>xxx</v>
      </c>
    </row>
    <row r="394" spans="4:10" x14ac:dyDescent="0.2">
      <c r="D394" s="18">
        <f>装备表!L539</f>
        <v>0</v>
      </c>
      <c r="E394" s="18" t="str">
        <f>IF(装备表!$O539=0,"xxx",IFERROR(IF(INT(IF($D394=E$3,装备表!$E539,"xxx")/10000)=1,IF($D394=E$3,装备表!$E539,"xxx")&amp;":2,1,1,"&amp;装备表!$O539&amp;";","xxx"),"xxx"))</f>
        <v>xxx</v>
      </c>
      <c r="F394" s="18" t="str">
        <f>IF(装备表!$O539=0,"xxx",IFERROR(IF(INT(IF($D394=F$3,装备表!$E539,"xxx")/10000)=1,IF($D394=F$3,装备表!$E539,"xxx")&amp;":2,1,1,"&amp;装备表!$O539&amp;";","xxx"),"xxx"))</f>
        <v>xxx</v>
      </c>
      <c r="G394" s="18" t="str">
        <f>IF(装备表!$O539=0,"xxx",IFERROR(IF(INT(IF($D394=G$3,装备表!$E539,"xxx")/10000)=1,IF($D394=G$3,装备表!$E539,"xxx")&amp;":2,1,1,"&amp;装备表!$O539&amp;";","xxx"),"xxx"))</f>
        <v>xxx</v>
      </c>
      <c r="H394" s="18" t="str">
        <f>IF(装备表!$O539=0,"xxx",IFERROR(IF(INT(IF($D394=H$3,装备表!$E539,"xxx")/10000)=1,IF($D394=H$3,装备表!$E539,"xxx")&amp;":2,1,1,"&amp;装备表!$O539&amp;";","xxx"),"xxx"))</f>
        <v>xxx</v>
      </c>
      <c r="I394" s="18" t="str">
        <f>IF(装备表!$O539=0,"xxx",IFERROR(IF(INT(IF($D394=I$3,装备表!$E539,"xxx")/10000)=1,IF($D394=I$3,装备表!$E539,"xxx")&amp;":2,1,1,"&amp;装备表!$O539&amp;";","xxx"),"xxx"))</f>
        <v>xxx</v>
      </c>
      <c r="J394" s="18" t="str">
        <f>IF(装备表!$O539=0,"xxx",IFERROR(IF(INT(IF($D394=J$3,装备表!$E539,"xxx")/10000)=1,IF($D394=J$3,装备表!$E539,"xxx")&amp;":2,1,1,"&amp;装备表!$O539&amp;";","xxx"),"xxx"))</f>
        <v>xxx</v>
      </c>
    </row>
    <row r="395" spans="4:10" x14ac:dyDescent="0.2">
      <c r="D395" s="18">
        <f>装备表!L540</f>
        <v>0</v>
      </c>
      <c r="E395" s="18" t="str">
        <f>IF(装备表!$O540=0,"xxx",IFERROR(IF(INT(IF($D395=E$3,装备表!$E540,"xxx")/10000)=1,IF($D395=E$3,装备表!$E540,"xxx")&amp;":2,1,1,"&amp;装备表!$O540&amp;";","xxx"),"xxx"))</f>
        <v>xxx</v>
      </c>
      <c r="F395" s="18" t="str">
        <f>IF(装备表!$O540=0,"xxx",IFERROR(IF(INT(IF($D395=F$3,装备表!$E540,"xxx")/10000)=1,IF($D395=F$3,装备表!$E540,"xxx")&amp;":2,1,1,"&amp;装备表!$O540&amp;";","xxx"),"xxx"))</f>
        <v>xxx</v>
      </c>
      <c r="G395" s="18" t="str">
        <f>IF(装备表!$O540=0,"xxx",IFERROR(IF(INT(IF($D395=G$3,装备表!$E540,"xxx")/10000)=1,IF($D395=G$3,装备表!$E540,"xxx")&amp;":2,1,1,"&amp;装备表!$O540&amp;";","xxx"),"xxx"))</f>
        <v>xxx</v>
      </c>
      <c r="H395" s="18" t="str">
        <f>IF(装备表!$O540=0,"xxx",IFERROR(IF(INT(IF($D395=H$3,装备表!$E540,"xxx")/10000)=1,IF($D395=H$3,装备表!$E540,"xxx")&amp;":2,1,1,"&amp;装备表!$O540&amp;";","xxx"),"xxx"))</f>
        <v>xxx</v>
      </c>
      <c r="I395" s="18" t="str">
        <f>IF(装备表!$O540=0,"xxx",IFERROR(IF(INT(IF($D395=I$3,装备表!$E540,"xxx")/10000)=1,IF($D395=I$3,装备表!$E540,"xxx")&amp;":2,1,1,"&amp;装备表!$O540&amp;";","xxx"),"xxx"))</f>
        <v>xxx</v>
      </c>
      <c r="J395" s="18" t="str">
        <f>IF(装备表!$O540=0,"xxx",IFERROR(IF(INT(IF($D395=J$3,装备表!$E540,"xxx")/10000)=1,IF($D395=J$3,装备表!$E540,"xxx")&amp;":2,1,1,"&amp;装备表!$O540&amp;";","xxx"),"xxx"))</f>
        <v>xxx</v>
      </c>
    </row>
    <row r="396" spans="4:10" x14ac:dyDescent="0.2">
      <c r="D396" s="18">
        <f>装备表!L541</f>
        <v>0</v>
      </c>
      <c r="E396" s="18" t="str">
        <f>IF(装备表!$O541=0,"xxx",IFERROR(IF(INT(IF($D396=E$3,装备表!$E541,"xxx")/10000)=1,IF($D396=E$3,装备表!$E541,"xxx")&amp;":2,1,1,"&amp;装备表!$O541&amp;";","xxx"),"xxx"))</f>
        <v>xxx</v>
      </c>
      <c r="F396" s="18" t="str">
        <f>IF(装备表!$O541=0,"xxx",IFERROR(IF(INT(IF($D396=F$3,装备表!$E541,"xxx")/10000)=1,IF($D396=F$3,装备表!$E541,"xxx")&amp;":2,1,1,"&amp;装备表!$O541&amp;";","xxx"),"xxx"))</f>
        <v>xxx</v>
      </c>
      <c r="G396" s="18" t="str">
        <f>IF(装备表!$O541=0,"xxx",IFERROR(IF(INT(IF($D396=G$3,装备表!$E541,"xxx")/10000)=1,IF($D396=G$3,装备表!$E541,"xxx")&amp;":2,1,1,"&amp;装备表!$O541&amp;";","xxx"),"xxx"))</f>
        <v>xxx</v>
      </c>
      <c r="H396" s="18" t="str">
        <f>IF(装备表!$O541=0,"xxx",IFERROR(IF(INT(IF($D396=H$3,装备表!$E541,"xxx")/10000)=1,IF($D396=H$3,装备表!$E541,"xxx")&amp;":2,1,1,"&amp;装备表!$O541&amp;";","xxx"),"xxx"))</f>
        <v>xxx</v>
      </c>
      <c r="I396" s="18" t="str">
        <f>IF(装备表!$O541=0,"xxx",IFERROR(IF(INT(IF($D396=I$3,装备表!$E541,"xxx")/10000)=1,IF($D396=I$3,装备表!$E541,"xxx")&amp;":2,1,1,"&amp;装备表!$O541&amp;";","xxx"),"xxx"))</f>
        <v>xxx</v>
      </c>
      <c r="J396" s="18" t="str">
        <f>IF(装备表!$O541=0,"xxx",IFERROR(IF(INT(IF($D396=J$3,装备表!$E541,"xxx")/10000)=1,IF($D396=J$3,装备表!$E541,"xxx")&amp;":2,1,1,"&amp;装备表!$O541&amp;";","xxx"),"xxx"))</f>
        <v>xxx</v>
      </c>
    </row>
    <row r="397" spans="4:10" x14ac:dyDescent="0.2">
      <c r="D397" s="18">
        <f>装备表!L542</f>
        <v>0</v>
      </c>
      <c r="E397" s="18" t="str">
        <f>IF(装备表!$O542=0,"xxx",IFERROR(IF(INT(IF($D397=E$3,装备表!$E542,"xxx")/10000)=1,IF($D397=E$3,装备表!$E542,"xxx")&amp;":2,1,1,"&amp;装备表!$O542&amp;";","xxx"),"xxx"))</f>
        <v>xxx</v>
      </c>
      <c r="F397" s="18" t="str">
        <f>IF(装备表!$O542=0,"xxx",IFERROR(IF(INT(IF($D397=F$3,装备表!$E542,"xxx")/10000)=1,IF($D397=F$3,装备表!$E542,"xxx")&amp;":2,1,1,"&amp;装备表!$O542&amp;";","xxx"),"xxx"))</f>
        <v>xxx</v>
      </c>
      <c r="G397" s="18" t="str">
        <f>IF(装备表!$O542=0,"xxx",IFERROR(IF(INT(IF($D397=G$3,装备表!$E542,"xxx")/10000)=1,IF($D397=G$3,装备表!$E542,"xxx")&amp;":2,1,1,"&amp;装备表!$O542&amp;";","xxx"),"xxx"))</f>
        <v>xxx</v>
      </c>
      <c r="H397" s="18" t="str">
        <f>IF(装备表!$O542=0,"xxx",IFERROR(IF(INT(IF($D397=H$3,装备表!$E542,"xxx")/10000)=1,IF($D397=H$3,装备表!$E542,"xxx")&amp;":2,1,1,"&amp;装备表!$O542&amp;";","xxx"),"xxx"))</f>
        <v>xxx</v>
      </c>
      <c r="I397" s="18" t="str">
        <f>IF(装备表!$O542=0,"xxx",IFERROR(IF(INT(IF($D397=I$3,装备表!$E542,"xxx")/10000)=1,IF($D397=I$3,装备表!$E542,"xxx")&amp;":2,1,1,"&amp;装备表!$O542&amp;";","xxx"),"xxx"))</f>
        <v>xxx</v>
      </c>
      <c r="J397" s="18" t="str">
        <f>IF(装备表!$O542=0,"xxx",IFERROR(IF(INT(IF($D397=J$3,装备表!$E542,"xxx")/10000)=1,IF($D397=J$3,装备表!$E542,"xxx")&amp;":2,1,1,"&amp;装备表!$O542&amp;";","xxx"),"xxx"))</f>
        <v>xxx</v>
      </c>
    </row>
    <row r="398" spans="4:10" x14ac:dyDescent="0.2">
      <c r="D398" s="18">
        <f>装备表!L543</f>
        <v>0</v>
      </c>
      <c r="E398" s="18" t="str">
        <f>IF(装备表!$O543=0,"xxx",IFERROR(IF(INT(IF($D398=E$3,装备表!$E543,"xxx")/10000)=1,IF($D398=E$3,装备表!$E543,"xxx")&amp;":2,1,1,"&amp;装备表!$O543&amp;";","xxx"),"xxx"))</f>
        <v>xxx</v>
      </c>
      <c r="F398" s="18" t="str">
        <f>IF(装备表!$O543=0,"xxx",IFERROR(IF(INT(IF($D398=F$3,装备表!$E543,"xxx")/10000)=1,IF($D398=F$3,装备表!$E543,"xxx")&amp;":2,1,1,"&amp;装备表!$O543&amp;";","xxx"),"xxx"))</f>
        <v>xxx</v>
      </c>
      <c r="G398" s="18" t="str">
        <f>IF(装备表!$O543=0,"xxx",IFERROR(IF(INT(IF($D398=G$3,装备表!$E543,"xxx")/10000)=1,IF($D398=G$3,装备表!$E543,"xxx")&amp;":2,1,1,"&amp;装备表!$O543&amp;";","xxx"),"xxx"))</f>
        <v>xxx</v>
      </c>
      <c r="H398" s="18" t="str">
        <f>IF(装备表!$O543=0,"xxx",IFERROR(IF(INT(IF($D398=H$3,装备表!$E543,"xxx")/10000)=1,IF($D398=H$3,装备表!$E543,"xxx")&amp;":2,1,1,"&amp;装备表!$O543&amp;";","xxx"),"xxx"))</f>
        <v>xxx</v>
      </c>
      <c r="I398" s="18" t="str">
        <f>IF(装备表!$O543=0,"xxx",IFERROR(IF(INT(IF($D398=I$3,装备表!$E543,"xxx")/10000)=1,IF($D398=I$3,装备表!$E543,"xxx")&amp;":2,1,1,"&amp;装备表!$O543&amp;";","xxx"),"xxx"))</f>
        <v>xxx</v>
      </c>
      <c r="J398" s="18" t="str">
        <f>IF(装备表!$O543=0,"xxx",IFERROR(IF(INT(IF($D398=J$3,装备表!$E543,"xxx")/10000)=1,IF($D398=J$3,装备表!$E543,"xxx")&amp;":2,1,1,"&amp;装备表!$O543&amp;";","xxx"),"xxx"))</f>
        <v>xxx</v>
      </c>
    </row>
    <row r="399" spans="4:10" x14ac:dyDescent="0.2">
      <c r="D399" s="18">
        <f>装备表!L544</f>
        <v>0</v>
      </c>
      <c r="E399" s="18" t="str">
        <f>IF(装备表!$O544=0,"xxx",IFERROR(IF(INT(IF($D399=E$3,装备表!$E544,"xxx")/10000)=1,IF($D399=E$3,装备表!$E544,"xxx")&amp;":2,1,1,"&amp;装备表!$O544&amp;";","xxx"),"xxx"))</f>
        <v>xxx</v>
      </c>
      <c r="F399" s="18" t="str">
        <f>IF(装备表!$O544=0,"xxx",IFERROR(IF(INT(IF($D399=F$3,装备表!$E544,"xxx")/10000)=1,IF($D399=F$3,装备表!$E544,"xxx")&amp;":2,1,1,"&amp;装备表!$O544&amp;";","xxx"),"xxx"))</f>
        <v>xxx</v>
      </c>
      <c r="G399" s="18" t="str">
        <f>IF(装备表!$O544=0,"xxx",IFERROR(IF(INT(IF($D399=G$3,装备表!$E544,"xxx")/10000)=1,IF($D399=G$3,装备表!$E544,"xxx")&amp;":2,1,1,"&amp;装备表!$O544&amp;";","xxx"),"xxx"))</f>
        <v>xxx</v>
      </c>
      <c r="H399" s="18" t="str">
        <f>IF(装备表!$O544=0,"xxx",IFERROR(IF(INT(IF($D399=H$3,装备表!$E544,"xxx")/10000)=1,IF($D399=H$3,装备表!$E544,"xxx")&amp;":2,1,1,"&amp;装备表!$O544&amp;";","xxx"),"xxx"))</f>
        <v>xxx</v>
      </c>
      <c r="I399" s="18" t="str">
        <f>IF(装备表!$O544=0,"xxx",IFERROR(IF(INT(IF($D399=I$3,装备表!$E544,"xxx")/10000)=1,IF($D399=I$3,装备表!$E544,"xxx")&amp;":2,1,1,"&amp;装备表!$O544&amp;";","xxx"),"xxx"))</f>
        <v>xxx</v>
      </c>
      <c r="J399" s="18" t="str">
        <f>IF(装备表!$O544=0,"xxx",IFERROR(IF(INT(IF($D399=J$3,装备表!$E544,"xxx")/10000)=1,IF($D399=J$3,装备表!$E544,"xxx")&amp;":2,1,1,"&amp;装备表!$O544&amp;";","xxx"),"xxx"))</f>
        <v>xxx</v>
      </c>
    </row>
    <row r="400" spans="4:10" x14ac:dyDescent="0.2">
      <c r="D400" s="18">
        <f>装备表!L545</f>
        <v>0</v>
      </c>
      <c r="E400" s="18" t="str">
        <f>IF(装备表!$O545=0,"xxx",IFERROR(IF(INT(IF($D400=E$3,装备表!$E545,"xxx")/10000)=1,IF($D400=E$3,装备表!$E545,"xxx")&amp;":2,1,1,"&amp;装备表!$O545&amp;";","xxx"),"xxx"))</f>
        <v>xxx</v>
      </c>
      <c r="F400" s="18" t="str">
        <f>IF(装备表!$O545=0,"xxx",IFERROR(IF(INT(IF($D400=F$3,装备表!$E545,"xxx")/10000)=1,IF($D400=F$3,装备表!$E545,"xxx")&amp;":2,1,1,"&amp;装备表!$O545&amp;";","xxx"),"xxx"))</f>
        <v>xxx</v>
      </c>
      <c r="G400" s="18" t="str">
        <f>IF(装备表!$O545=0,"xxx",IFERROR(IF(INT(IF($D400=G$3,装备表!$E545,"xxx")/10000)=1,IF($D400=G$3,装备表!$E545,"xxx")&amp;":2,1,1,"&amp;装备表!$O545&amp;";","xxx"),"xxx"))</f>
        <v>xxx</v>
      </c>
      <c r="H400" s="18" t="str">
        <f>IF(装备表!$O545=0,"xxx",IFERROR(IF(INT(IF($D400=H$3,装备表!$E545,"xxx")/10000)=1,IF($D400=H$3,装备表!$E545,"xxx")&amp;":2,1,1,"&amp;装备表!$O545&amp;";","xxx"),"xxx"))</f>
        <v>xxx</v>
      </c>
      <c r="I400" s="18" t="str">
        <f>IF(装备表!$O545=0,"xxx",IFERROR(IF(INT(IF($D400=I$3,装备表!$E545,"xxx")/10000)=1,IF($D400=I$3,装备表!$E545,"xxx")&amp;":2,1,1,"&amp;装备表!$O545&amp;";","xxx"),"xxx"))</f>
        <v>xxx</v>
      </c>
      <c r="J400" s="18" t="str">
        <f>IF(装备表!$O545=0,"xxx",IFERROR(IF(INT(IF($D400=J$3,装备表!$E545,"xxx")/10000)=1,IF($D400=J$3,装备表!$E545,"xxx")&amp;":2,1,1,"&amp;装备表!$O545&amp;";","xxx"),"xxx"))</f>
        <v>xxx</v>
      </c>
    </row>
    <row r="401" spans="4:10" x14ac:dyDescent="0.2">
      <c r="D401" s="18">
        <f>装备表!L546</f>
        <v>0</v>
      </c>
      <c r="E401" s="18" t="str">
        <f>IF(装备表!$O546=0,"xxx",IFERROR(IF(INT(IF($D401=E$3,装备表!$E546,"xxx")/10000)=1,IF($D401=E$3,装备表!$E546,"xxx")&amp;":2,1,1,"&amp;装备表!$O546&amp;";","xxx"),"xxx"))</f>
        <v>xxx</v>
      </c>
      <c r="F401" s="18" t="str">
        <f>IF(装备表!$O546=0,"xxx",IFERROR(IF(INT(IF($D401=F$3,装备表!$E546,"xxx")/10000)=1,IF($D401=F$3,装备表!$E546,"xxx")&amp;":2,1,1,"&amp;装备表!$O546&amp;";","xxx"),"xxx"))</f>
        <v>xxx</v>
      </c>
      <c r="G401" s="18" t="str">
        <f>IF(装备表!$O546=0,"xxx",IFERROR(IF(INT(IF($D401=G$3,装备表!$E546,"xxx")/10000)=1,IF($D401=G$3,装备表!$E546,"xxx")&amp;":2,1,1,"&amp;装备表!$O546&amp;";","xxx"),"xxx"))</f>
        <v>xxx</v>
      </c>
      <c r="H401" s="18" t="str">
        <f>IF(装备表!$O546=0,"xxx",IFERROR(IF(INT(IF($D401=H$3,装备表!$E546,"xxx")/10000)=1,IF($D401=H$3,装备表!$E546,"xxx")&amp;":2,1,1,"&amp;装备表!$O546&amp;";","xxx"),"xxx"))</f>
        <v>xxx</v>
      </c>
      <c r="I401" s="18" t="str">
        <f>IF(装备表!$O546=0,"xxx",IFERROR(IF(INT(IF($D401=I$3,装备表!$E546,"xxx")/10000)=1,IF($D401=I$3,装备表!$E546,"xxx")&amp;":2,1,1,"&amp;装备表!$O546&amp;";","xxx"),"xxx"))</f>
        <v>xxx</v>
      </c>
      <c r="J401" s="18" t="str">
        <f>IF(装备表!$O546=0,"xxx",IFERROR(IF(INT(IF($D401=J$3,装备表!$E546,"xxx")/10000)=1,IF($D401=J$3,装备表!$E546,"xxx")&amp;":2,1,1,"&amp;装备表!$O546&amp;";","xxx"),"xxx"))</f>
        <v>xxx</v>
      </c>
    </row>
    <row r="402" spans="4:10" x14ac:dyDescent="0.2">
      <c r="D402" s="18">
        <f>装备表!L547</f>
        <v>0</v>
      </c>
      <c r="E402" s="18" t="str">
        <f>IF(装备表!$O547=0,"xxx",IFERROR(IF(INT(IF($D402=E$3,装备表!$E547,"xxx")/10000)=1,IF($D402=E$3,装备表!$E547,"xxx")&amp;":2,1,1,"&amp;装备表!$O547&amp;";","xxx"),"xxx"))</f>
        <v>xxx</v>
      </c>
      <c r="F402" s="18" t="str">
        <f>IF(装备表!$O547=0,"xxx",IFERROR(IF(INT(IF($D402=F$3,装备表!$E547,"xxx")/10000)=1,IF($D402=F$3,装备表!$E547,"xxx")&amp;":2,1,1,"&amp;装备表!$O547&amp;";","xxx"),"xxx"))</f>
        <v>xxx</v>
      </c>
      <c r="G402" s="18" t="str">
        <f>IF(装备表!$O547=0,"xxx",IFERROR(IF(INT(IF($D402=G$3,装备表!$E547,"xxx")/10000)=1,IF($D402=G$3,装备表!$E547,"xxx")&amp;":2,1,1,"&amp;装备表!$O547&amp;";","xxx"),"xxx"))</f>
        <v>xxx</v>
      </c>
      <c r="H402" s="18" t="str">
        <f>IF(装备表!$O547=0,"xxx",IFERROR(IF(INT(IF($D402=H$3,装备表!$E547,"xxx")/10000)=1,IF($D402=H$3,装备表!$E547,"xxx")&amp;":2,1,1,"&amp;装备表!$O547&amp;";","xxx"),"xxx"))</f>
        <v>xxx</v>
      </c>
      <c r="I402" s="18" t="str">
        <f>IF(装备表!$O547=0,"xxx",IFERROR(IF(INT(IF($D402=I$3,装备表!$E547,"xxx")/10000)=1,IF($D402=I$3,装备表!$E547,"xxx")&amp;":2,1,1,"&amp;装备表!$O547&amp;";","xxx"),"xxx"))</f>
        <v>xxx</v>
      </c>
      <c r="J402" s="18" t="str">
        <f>IF(装备表!$O547=0,"xxx",IFERROR(IF(INT(IF($D402=J$3,装备表!$E547,"xxx")/10000)=1,IF($D402=J$3,装备表!$E547,"xxx")&amp;":2,1,1,"&amp;装备表!$O547&amp;";","xxx"),"xxx"))</f>
        <v>xxx</v>
      </c>
    </row>
    <row r="403" spans="4:10" x14ac:dyDescent="0.2">
      <c r="D403" s="18">
        <f>装备表!L548</f>
        <v>0</v>
      </c>
      <c r="E403" s="18" t="str">
        <f>IF(装备表!$O548=0,"xxx",IFERROR(IF(INT(IF($D403=E$3,装备表!$E548,"xxx")/10000)=1,IF($D403=E$3,装备表!$E548,"xxx")&amp;":2,1,1,"&amp;装备表!$O548&amp;";","xxx"),"xxx"))</f>
        <v>xxx</v>
      </c>
      <c r="F403" s="18" t="str">
        <f>IF(装备表!$O548=0,"xxx",IFERROR(IF(INT(IF($D403=F$3,装备表!$E548,"xxx")/10000)=1,IF($D403=F$3,装备表!$E548,"xxx")&amp;":2,1,1,"&amp;装备表!$O548&amp;";","xxx"),"xxx"))</f>
        <v>xxx</v>
      </c>
      <c r="G403" s="18" t="str">
        <f>IF(装备表!$O548=0,"xxx",IFERROR(IF(INT(IF($D403=G$3,装备表!$E548,"xxx")/10000)=1,IF($D403=G$3,装备表!$E548,"xxx")&amp;":2,1,1,"&amp;装备表!$O548&amp;";","xxx"),"xxx"))</f>
        <v>xxx</v>
      </c>
      <c r="H403" s="18" t="str">
        <f>IF(装备表!$O548=0,"xxx",IFERROR(IF(INT(IF($D403=H$3,装备表!$E548,"xxx")/10000)=1,IF($D403=H$3,装备表!$E548,"xxx")&amp;":2,1,1,"&amp;装备表!$O548&amp;";","xxx"),"xxx"))</f>
        <v>xxx</v>
      </c>
      <c r="I403" s="18" t="str">
        <f>IF(装备表!$O548=0,"xxx",IFERROR(IF(INT(IF($D403=I$3,装备表!$E548,"xxx")/10000)=1,IF($D403=I$3,装备表!$E548,"xxx")&amp;":2,1,1,"&amp;装备表!$O548&amp;";","xxx"),"xxx"))</f>
        <v>xxx</v>
      </c>
      <c r="J403" s="18" t="str">
        <f>IF(装备表!$O548=0,"xxx",IFERROR(IF(INT(IF($D403=J$3,装备表!$E548,"xxx")/10000)=1,IF($D403=J$3,装备表!$E548,"xxx")&amp;":2,1,1,"&amp;装备表!$O548&amp;";","xxx"),"xxx"))</f>
        <v>xxx</v>
      </c>
    </row>
    <row r="404" spans="4:10" x14ac:dyDescent="0.2">
      <c r="D404" s="18">
        <f>装备表!L549</f>
        <v>0</v>
      </c>
      <c r="E404" s="18" t="str">
        <f>IF(装备表!$O549=0,"xxx",IFERROR(IF(INT(IF($D404=E$3,装备表!$E549,"xxx")/10000)=1,IF($D404=E$3,装备表!$E549,"xxx")&amp;":2,1,1,"&amp;装备表!$O549&amp;";","xxx"),"xxx"))</f>
        <v>xxx</v>
      </c>
      <c r="F404" s="18" t="str">
        <f>IF(装备表!$O549=0,"xxx",IFERROR(IF(INT(IF($D404=F$3,装备表!$E549,"xxx")/10000)=1,IF($D404=F$3,装备表!$E549,"xxx")&amp;":2,1,1,"&amp;装备表!$O549&amp;";","xxx"),"xxx"))</f>
        <v>xxx</v>
      </c>
      <c r="G404" s="18" t="str">
        <f>IF(装备表!$O549=0,"xxx",IFERROR(IF(INT(IF($D404=G$3,装备表!$E549,"xxx")/10000)=1,IF($D404=G$3,装备表!$E549,"xxx")&amp;":2,1,1,"&amp;装备表!$O549&amp;";","xxx"),"xxx"))</f>
        <v>xxx</v>
      </c>
      <c r="H404" s="18" t="str">
        <f>IF(装备表!$O549=0,"xxx",IFERROR(IF(INT(IF($D404=H$3,装备表!$E549,"xxx")/10000)=1,IF($D404=H$3,装备表!$E549,"xxx")&amp;":2,1,1,"&amp;装备表!$O549&amp;";","xxx"),"xxx"))</f>
        <v>xxx</v>
      </c>
      <c r="I404" s="18" t="str">
        <f>IF(装备表!$O549=0,"xxx",IFERROR(IF(INT(IF($D404=I$3,装备表!$E549,"xxx")/10000)=1,IF($D404=I$3,装备表!$E549,"xxx")&amp;":2,1,1,"&amp;装备表!$O549&amp;";","xxx"),"xxx"))</f>
        <v>xxx</v>
      </c>
      <c r="J404" s="18" t="str">
        <f>IF(装备表!$O549=0,"xxx",IFERROR(IF(INT(IF($D404=J$3,装备表!$E549,"xxx")/10000)=1,IF($D404=J$3,装备表!$E549,"xxx")&amp;":2,1,1,"&amp;装备表!$O549&amp;";","xxx"),"xxx"))</f>
        <v>xxx</v>
      </c>
    </row>
    <row r="405" spans="4:10" x14ac:dyDescent="0.2">
      <c r="D405" s="18">
        <f>装备表!L550</f>
        <v>0</v>
      </c>
      <c r="E405" s="18" t="str">
        <f>IF(装备表!$O550=0,"xxx",IFERROR(IF(INT(IF($D405=E$3,装备表!$E550,"xxx")/10000)=1,IF($D405=E$3,装备表!$E550,"xxx")&amp;":2,1,1,"&amp;装备表!$O550&amp;";","xxx"),"xxx"))</f>
        <v>xxx</v>
      </c>
      <c r="F405" s="18" t="str">
        <f>IF(装备表!$O550=0,"xxx",IFERROR(IF(INT(IF($D405=F$3,装备表!$E550,"xxx")/10000)=1,IF($D405=F$3,装备表!$E550,"xxx")&amp;":2,1,1,"&amp;装备表!$O550&amp;";","xxx"),"xxx"))</f>
        <v>xxx</v>
      </c>
      <c r="G405" s="18" t="str">
        <f>IF(装备表!$O550=0,"xxx",IFERROR(IF(INT(IF($D405=G$3,装备表!$E550,"xxx")/10000)=1,IF($D405=G$3,装备表!$E550,"xxx")&amp;":2,1,1,"&amp;装备表!$O550&amp;";","xxx"),"xxx"))</f>
        <v>xxx</v>
      </c>
      <c r="H405" s="18" t="str">
        <f>IF(装备表!$O550=0,"xxx",IFERROR(IF(INT(IF($D405=H$3,装备表!$E550,"xxx")/10000)=1,IF($D405=H$3,装备表!$E550,"xxx")&amp;":2,1,1,"&amp;装备表!$O550&amp;";","xxx"),"xxx"))</f>
        <v>xxx</v>
      </c>
      <c r="I405" s="18" t="str">
        <f>IF(装备表!$O550=0,"xxx",IFERROR(IF(INT(IF($D405=I$3,装备表!$E550,"xxx")/10000)=1,IF($D405=I$3,装备表!$E550,"xxx")&amp;":2,1,1,"&amp;装备表!$O550&amp;";","xxx"),"xxx"))</f>
        <v>xxx</v>
      </c>
      <c r="J405" s="18" t="str">
        <f>IF(装备表!$O550=0,"xxx",IFERROR(IF(INT(IF($D405=J$3,装备表!$E550,"xxx")/10000)=1,IF($D405=J$3,装备表!$E550,"xxx")&amp;":2,1,1,"&amp;装备表!$O550&amp;";","xxx"),"xxx"))</f>
        <v>xxx</v>
      </c>
    </row>
    <row r="406" spans="4:10" x14ac:dyDescent="0.2">
      <c r="D406" s="18">
        <f>装备表!L551</f>
        <v>0</v>
      </c>
      <c r="E406" s="18" t="str">
        <f>IF(装备表!$O551=0,"xxx",IFERROR(IF(INT(IF($D406=E$3,装备表!$E551,"xxx")/10000)=1,IF($D406=E$3,装备表!$E551,"xxx")&amp;":2,1,1,"&amp;装备表!$O551&amp;";","xxx"),"xxx"))</f>
        <v>xxx</v>
      </c>
      <c r="F406" s="18" t="str">
        <f>IF(装备表!$O551=0,"xxx",IFERROR(IF(INT(IF($D406=F$3,装备表!$E551,"xxx")/10000)=1,IF($D406=F$3,装备表!$E551,"xxx")&amp;":2,1,1,"&amp;装备表!$O551&amp;";","xxx"),"xxx"))</f>
        <v>xxx</v>
      </c>
      <c r="G406" s="18" t="str">
        <f>IF(装备表!$O551=0,"xxx",IFERROR(IF(INT(IF($D406=G$3,装备表!$E551,"xxx")/10000)=1,IF($D406=G$3,装备表!$E551,"xxx")&amp;":2,1,1,"&amp;装备表!$O551&amp;";","xxx"),"xxx"))</f>
        <v>xxx</v>
      </c>
      <c r="H406" s="18" t="str">
        <f>IF(装备表!$O551=0,"xxx",IFERROR(IF(INT(IF($D406=H$3,装备表!$E551,"xxx")/10000)=1,IF($D406=H$3,装备表!$E551,"xxx")&amp;":2,1,1,"&amp;装备表!$O551&amp;";","xxx"),"xxx"))</f>
        <v>xxx</v>
      </c>
      <c r="I406" s="18" t="str">
        <f>IF(装备表!$O551=0,"xxx",IFERROR(IF(INT(IF($D406=I$3,装备表!$E551,"xxx")/10000)=1,IF($D406=I$3,装备表!$E551,"xxx")&amp;":2,1,1,"&amp;装备表!$O551&amp;";","xxx"),"xxx"))</f>
        <v>xxx</v>
      </c>
      <c r="J406" s="18" t="str">
        <f>IF(装备表!$O551=0,"xxx",IFERROR(IF(INT(IF($D406=J$3,装备表!$E551,"xxx")/10000)=1,IF($D406=J$3,装备表!$E551,"xxx")&amp;":2,1,1,"&amp;装备表!$O551&amp;";","xxx"),"xxx"))</f>
        <v>xxx</v>
      </c>
    </row>
    <row r="407" spans="4:10" x14ac:dyDescent="0.2">
      <c r="D407" s="18">
        <f>装备表!L552</f>
        <v>0</v>
      </c>
      <c r="E407" s="18" t="str">
        <f>IF(装备表!$O552=0,"xxx",IFERROR(IF(INT(IF($D407=E$3,装备表!$E552,"xxx")/10000)=1,IF($D407=E$3,装备表!$E552,"xxx")&amp;":2,1,1,"&amp;装备表!$O552&amp;";","xxx"),"xxx"))</f>
        <v>xxx</v>
      </c>
      <c r="F407" s="18" t="str">
        <f>IF(装备表!$O552=0,"xxx",IFERROR(IF(INT(IF($D407=F$3,装备表!$E552,"xxx")/10000)=1,IF($D407=F$3,装备表!$E552,"xxx")&amp;":2,1,1,"&amp;装备表!$O552&amp;";","xxx"),"xxx"))</f>
        <v>xxx</v>
      </c>
      <c r="G407" s="18" t="str">
        <f>IF(装备表!$O552=0,"xxx",IFERROR(IF(INT(IF($D407=G$3,装备表!$E552,"xxx")/10000)=1,IF($D407=G$3,装备表!$E552,"xxx")&amp;":2,1,1,"&amp;装备表!$O552&amp;";","xxx"),"xxx"))</f>
        <v>xxx</v>
      </c>
      <c r="H407" s="18" t="str">
        <f>IF(装备表!$O552=0,"xxx",IFERROR(IF(INT(IF($D407=H$3,装备表!$E552,"xxx")/10000)=1,IF($D407=H$3,装备表!$E552,"xxx")&amp;":2,1,1,"&amp;装备表!$O552&amp;";","xxx"),"xxx"))</f>
        <v>xxx</v>
      </c>
      <c r="I407" s="18" t="str">
        <f>IF(装备表!$O552=0,"xxx",IFERROR(IF(INT(IF($D407=I$3,装备表!$E552,"xxx")/10000)=1,IF($D407=I$3,装备表!$E552,"xxx")&amp;":2,1,1,"&amp;装备表!$O552&amp;";","xxx"),"xxx"))</f>
        <v>xxx</v>
      </c>
      <c r="J407" s="18" t="str">
        <f>IF(装备表!$O552=0,"xxx",IFERROR(IF(INT(IF($D407=J$3,装备表!$E552,"xxx")/10000)=1,IF($D407=J$3,装备表!$E552,"xxx")&amp;":2,1,1,"&amp;装备表!$O552&amp;";","xxx"),"xxx"))</f>
        <v>xxx</v>
      </c>
    </row>
    <row r="408" spans="4:10" x14ac:dyDescent="0.2">
      <c r="D408" s="18">
        <f>装备表!L553</f>
        <v>0</v>
      </c>
      <c r="E408" s="18" t="str">
        <f>IF(装备表!$O553=0,"xxx",IFERROR(IF(INT(IF($D408=E$3,装备表!$E553,"xxx")/10000)=1,IF($D408=E$3,装备表!$E553,"xxx")&amp;":2,1,1,"&amp;装备表!$O553&amp;";","xxx"),"xxx"))</f>
        <v>xxx</v>
      </c>
      <c r="F408" s="18" t="str">
        <f>IF(装备表!$O553=0,"xxx",IFERROR(IF(INT(IF($D408=F$3,装备表!$E553,"xxx")/10000)=1,IF($D408=F$3,装备表!$E553,"xxx")&amp;":2,1,1,"&amp;装备表!$O553&amp;";","xxx"),"xxx"))</f>
        <v>xxx</v>
      </c>
      <c r="G408" s="18" t="str">
        <f>IF(装备表!$O553=0,"xxx",IFERROR(IF(INT(IF($D408=G$3,装备表!$E553,"xxx")/10000)=1,IF($D408=G$3,装备表!$E553,"xxx")&amp;":2,1,1,"&amp;装备表!$O553&amp;";","xxx"),"xxx"))</f>
        <v>xxx</v>
      </c>
      <c r="H408" s="18" t="str">
        <f>IF(装备表!$O553=0,"xxx",IFERROR(IF(INT(IF($D408=H$3,装备表!$E553,"xxx")/10000)=1,IF($D408=H$3,装备表!$E553,"xxx")&amp;":2,1,1,"&amp;装备表!$O553&amp;";","xxx"),"xxx"))</f>
        <v>xxx</v>
      </c>
      <c r="I408" s="18" t="str">
        <f>IF(装备表!$O553=0,"xxx",IFERROR(IF(INT(IF($D408=I$3,装备表!$E553,"xxx")/10000)=1,IF($D408=I$3,装备表!$E553,"xxx")&amp;":2,1,1,"&amp;装备表!$O553&amp;";","xxx"),"xxx"))</f>
        <v>xxx</v>
      </c>
      <c r="J408" s="18" t="str">
        <f>IF(装备表!$O553=0,"xxx",IFERROR(IF(INT(IF($D408=J$3,装备表!$E553,"xxx")/10000)=1,IF($D408=J$3,装备表!$E553,"xxx")&amp;":2,1,1,"&amp;装备表!$O553&amp;";","xxx"),"xxx"))</f>
        <v>xxx</v>
      </c>
    </row>
    <row r="409" spans="4:10" x14ac:dyDescent="0.2">
      <c r="D409" s="18">
        <f>装备表!L554</f>
        <v>0</v>
      </c>
      <c r="E409" s="18" t="str">
        <f>IF(装备表!$O554=0,"xxx",IFERROR(IF(INT(IF($D409=E$3,装备表!$E554,"xxx")/10000)=1,IF($D409=E$3,装备表!$E554,"xxx")&amp;":2,1,1,"&amp;装备表!$O554&amp;";","xxx"),"xxx"))</f>
        <v>xxx</v>
      </c>
      <c r="F409" s="18" t="str">
        <f>IF(装备表!$O554=0,"xxx",IFERROR(IF(INT(IF($D409=F$3,装备表!$E554,"xxx")/10000)=1,IF($D409=F$3,装备表!$E554,"xxx")&amp;":2,1,1,"&amp;装备表!$O554&amp;";","xxx"),"xxx"))</f>
        <v>xxx</v>
      </c>
      <c r="G409" s="18" t="str">
        <f>IF(装备表!$O554=0,"xxx",IFERROR(IF(INT(IF($D409=G$3,装备表!$E554,"xxx")/10000)=1,IF($D409=G$3,装备表!$E554,"xxx")&amp;":2,1,1,"&amp;装备表!$O554&amp;";","xxx"),"xxx"))</f>
        <v>xxx</v>
      </c>
      <c r="H409" s="18" t="str">
        <f>IF(装备表!$O554=0,"xxx",IFERROR(IF(INT(IF($D409=H$3,装备表!$E554,"xxx")/10000)=1,IF($D409=H$3,装备表!$E554,"xxx")&amp;":2,1,1,"&amp;装备表!$O554&amp;";","xxx"),"xxx"))</f>
        <v>xxx</v>
      </c>
      <c r="I409" s="18" t="str">
        <f>IF(装备表!$O554=0,"xxx",IFERROR(IF(INT(IF($D409=I$3,装备表!$E554,"xxx")/10000)=1,IF($D409=I$3,装备表!$E554,"xxx")&amp;":2,1,1,"&amp;装备表!$O554&amp;";","xxx"),"xxx"))</f>
        <v>xxx</v>
      </c>
      <c r="J409" s="18" t="str">
        <f>IF(装备表!$O554=0,"xxx",IFERROR(IF(INT(IF($D409=J$3,装备表!$E554,"xxx")/10000)=1,IF($D409=J$3,装备表!$E554,"xxx")&amp;":2,1,1,"&amp;装备表!$O554&amp;";","xxx"),"xxx"))</f>
        <v>xxx</v>
      </c>
    </row>
    <row r="410" spans="4:10" x14ac:dyDescent="0.2">
      <c r="D410" s="18">
        <f>装备表!L555</f>
        <v>0</v>
      </c>
      <c r="E410" s="18" t="str">
        <f>IF(装备表!$O555=0,"xxx",IFERROR(IF(INT(IF($D410=E$3,装备表!$E555,"xxx")/10000)=1,IF($D410=E$3,装备表!$E555,"xxx")&amp;":2,1,1,"&amp;装备表!$O555&amp;";","xxx"),"xxx"))</f>
        <v>xxx</v>
      </c>
      <c r="F410" s="18" t="str">
        <f>IF(装备表!$O555=0,"xxx",IFERROR(IF(INT(IF($D410=F$3,装备表!$E555,"xxx")/10000)=1,IF($D410=F$3,装备表!$E555,"xxx")&amp;":2,1,1,"&amp;装备表!$O555&amp;";","xxx"),"xxx"))</f>
        <v>xxx</v>
      </c>
      <c r="G410" s="18" t="str">
        <f>IF(装备表!$O555=0,"xxx",IFERROR(IF(INT(IF($D410=G$3,装备表!$E555,"xxx")/10000)=1,IF($D410=G$3,装备表!$E555,"xxx")&amp;":2,1,1,"&amp;装备表!$O555&amp;";","xxx"),"xxx"))</f>
        <v>xxx</v>
      </c>
      <c r="H410" s="18" t="str">
        <f>IF(装备表!$O555=0,"xxx",IFERROR(IF(INT(IF($D410=H$3,装备表!$E555,"xxx")/10000)=1,IF($D410=H$3,装备表!$E555,"xxx")&amp;":2,1,1,"&amp;装备表!$O555&amp;";","xxx"),"xxx"))</f>
        <v>xxx</v>
      </c>
      <c r="I410" s="18" t="str">
        <f>IF(装备表!$O555=0,"xxx",IFERROR(IF(INT(IF($D410=I$3,装备表!$E555,"xxx")/10000)=1,IF($D410=I$3,装备表!$E555,"xxx")&amp;":2,1,1,"&amp;装备表!$O555&amp;";","xxx"),"xxx"))</f>
        <v>xxx</v>
      </c>
      <c r="J410" s="18" t="str">
        <f>IF(装备表!$O555=0,"xxx",IFERROR(IF(INT(IF($D410=J$3,装备表!$E555,"xxx")/10000)=1,IF($D410=J$3,装备表!$E555,"xxx")&amp;":2,1,1,"&amp;装备表!$O555&amp;";","xxx"),"xxx"))</f>
        <v>xxx</v>
      </c>
    </row>
    <row r="411" spans="4:10" x14ac:dyDescent="0.2">
      <c r="D411" s="18">
        <f>装备表!L556</f>
        <v>0</v>
      </c>
      <c r="E411" s="18" t="str">
        <f>IF(装备表!$O556=0,"xxx",IFERROR(IF(INT(IF($D411=E$3,装备表!$E556,"xxx")/10000)=1,IF($D411=E$3,装备表!$E556,"xxx")&amp;":2,1,1,"&amp;装备表!$O556&amp;";","xxx"),"xxx"))</f>
        <v>xxx</v>
      </c>
      <c r="F411" s="18" t="str">
        <f>IF(装备表!$O556=0,"xxx",IFERROR(IF(INT(IF($D411=F$3,装备表!$E556,"xxx")/10000)=1,IF($D411=F$3,装备表!$E556,"xxx")&amp;":2,1,1,"&amp;装备表!$O556&amp;";","xxx"),"xxx"))</f>
        <v>xxx</v>
      </c>
      <c r="G411" s="18" t="str">
        <f>IF(装备表!$O556=0,"xxx",IFERROR(IF(INT(IF($D411=G$3,装备表!$E556,"xxx")/10000)=1,IF($D411=G$3,装备表!$E556,"xxx")&amp;":2,1,1,"&amp;装备表!$O556&amp;";","xxx"),"xxx"))</f>
        <v>xxx</v>
      </c>
      <c r="H411" s="18" t="str">
        <f>IF(装备表!$O556=0,"xxx",IFERROR(IF(INT(IF($D411=H$3,装备表!$E556,"xxx")/10000)=1,IF($D411=H$3,装备表!$E556,"xxx")&amp;":2,1,1,"&amp;装备表!$O556&amp;";","xxx"),"xxx"))</f>
        <v>xxx</v>
      </c>
      <c r="I411" s="18" t="str">
        <f>IF(装备表!$O556=0,"xxx",IFERROR(IF(INT(IF($D411=I$3,装备表!$E556,"xxx")/10000)=1,IF($D411=I$3,装备表!$E556,"xxx")&amp;":2,1,1,"&amp;装备表!$O556&amp;";","xxx"),"xxx"))</f>
        <v>xxx</v>
      </c>
      <c r="J411" s="18" t="str">
        <f>IF(装备表!$O556=0,"xxx",IFERROR(IF(INT(IF($D411=J$3,装备表!$E556,"xxx")/10000)=1,IF($D411=J$3,装备表!$E556,"xxx")&amp;":2,1,1,"&amp;装备表!$O556&amp;";","xxx"),"xxx"))</f>
        <v>xxx</v>
      </c>
    </row>
    <row r="412" spans="4:10" x14ac:dyDescent="0.2">
      <c r="D412" s="18">
        <f>装备表!L557</f>
        <v>0</v>
      </c>
      <c r="E412" s="18" t="str">
        <f>IF(装备表!$O557=0,"xxx",IFERROR(IF(INT(IF($D412=E$3,装备表!$E557,"xxx")/10000)=1,IF($D412=E$3,装备表!$E557,"xxx")&amp;":2,1,1,"&amp;装备表!$O557&amp;";","xxx"),"xxx"))</f>
        <v>xxx</v>
      </c>
      <c r="F412" s="18" t="str">
        <f>IF(装备表!$O557=0,"xxx",IFERROR(IF(INT(IF($D412=F$3,装备表!$E557,"xxx")/10000)=1,IF($D412=F$3,装备表!$E557,"xxx")&amp;":2,1,1,"&amp;装备表!$O557&amp;";","xxx"),"xxx"))</f>
        <v>xxx</v>
      </c>
      <c r="G412" s="18" t="str">
        <f>IF(装备表!$O557=0,"xxx",IFERROR(IF(INT(IF($D412=G$3,装备表!$E557,"xxx")/10000)=1,IF($D412=G$3,装备表!$E557,"xxx")&amp;":2,1,1,"&amp;装备表!$O557&amp;";","xxx"),"xxx"))</f>
        <v>xxx</v>
      </c>
      <c r="H412" s="18" t="str">
        <f>IF(装备表!$O557=0,"xxx",IFERROR(IF(INT(IF($D412=H$3,装备表!$E557,"xxx")/10000)=1,IF($D412=H$3,装备表!$E557,"xxx")&amp;":2,1,1,"&amp;装备表!$O557&amp;";","xxx"),"xxx"))</f>
        <v>xxx</v>
      </c>
      <c r="I412" s="18" t="str">
        <f>IF(装备表!$O557=0,"xxx",IFERROR(IF(INT(IF($D412=I$3,装备表!$E557,"xxx")/10000)=1,IF($D412=I$3,装备表!$E557,"xxx")&amp;":2,1,1,"&amp;装备表!$O557&amp;";","xxx"),"xxx"))</f>
        <v>xxx</v>
      </c>
      <c r="J412" s="18" t="str">
        <f>IF(装备表!$O557=0,"xxx",IFERROR(IF(INT(IF($D412=J$3,装备表!$E557,"xxx")/10000)=1,IF($D412=J$3,装备表!$E557,"xxx")&amp;":2,1,1,"&amp;装备表!$O557&amp;";","xxx"),"xxx"))</f>
        <v>xxx</v>
      </c>
    </row>
    <row r="413" spans="4:10" x14ac:dyDescent="0.2">
      <c r="D413" s="18">
        <f>装备表!L558</f>
        <v>0</v>
      </c>
      <c r="E413" s="18" t="str">
        <f>IF(装备表!$O558=0,"xxx",IFERROR(IF(INT(IF($D413=E$3,装备表!$E558,"xxx")/10000)=1,IF($D413=E$3,装备表!$E558,"xxx")&amp;":2,1,1,"&amp;装备表!$O558&amp;";","xxx"),"xxx"))</f>
        <v>xxx</v>
      </c>
      <c r="F413" s="18" t="str">
        <f>IF(装备表!$O558=0,"xxx",IFERROR(IF(INT(IF($D413=F$3,装备表!$E558,"xxx")/10000)=1,IF($D413=F$3,装备表!$E558,"xxx")&amp;":2,1,1,"&amp;装备表!$O558&amp;";","xxx"),"xxx"))</f>
        <v>xxx</v>
      </c>
      <c r="G413" s="18" t="str">
        <f>IF(装备表!$O558=0,"xxx",IFERROR(IF(INT(IF($D413=G$3,装备表!$E558,"xxx")/10000)=1,IF($D413=G$3,装备表!$E558,"xxx")&amp;":2,1,1,"&amp;装备表!$O558&amp;";","xxx"),"xxx"))</f>
        <v>xxx</v>
      </c>
      <c r="H413" s="18" t="str">
        <f>IF(装备表!$O558=0,"xxx",IFERROR(IF(INT(IF($D413=H$3,装备表!$E558,"xxx")/10000)=1,IF($D413=H$3,装备表!$E558,"xxx")&amp;":2,1,1,"&amp;装备表!$O558&amp;";","xxx"),"xxx"))</f>
        <v>xxx</v>
      </c>
      <c r="I413" s="18" t="str">
        <f>IF(装备表!$O558=0,"xxx",IFERROR(IF(INT(IF($D413=I$3,装备表!$E558,"xxx")/10000)=1,IF($D413=I$3,装备表!$E558,"xxx")&amp;":2,1,1,"&amp;装备表!$O558&amp;";","xxx"),"xxx"))</f>
        <v>xxx</v>
      </c>
      <c r="J413" s="18" t="str">
        <f>IF(装备表!$O558=0,"xxx",IFERROR(IF(INT(IF($D413=J$3,装备表!$E558,"xxx")/10000)=1,IF($D413=J$3,装备表!$E558,"xxx")&amp;":2,1,1,"&amp;装备表!$O558&amp;";","xxx"),"xxx"))</f>
        <v>xxx</v>
      </c>
    </row>
    <row r="414" spans="4:10" x14ac:dyDescent="0.2">
      <c r="D414" s="18">
        <f>装备表!L559</f>
        <v>0</v>
      </c>
      <c r="E414" s="18" t="str">
        <f>IF(装备表!$O559=0,"xxx",IFERROR(IF(INT(IF($D414=E$3,装备表!$E559,"xxx")/10000)=1,IF($D414=E$3,装备表!$E559,"xxx")&amp;":2,1,1,"&amp;装备表!$O559&amp;";","xxx"),"xxx"))</f>
        <v>xxx</v>
      </c>
      <c r="F414" s="18" t="str">
        <f>IF(装备表!$O559=0,"xxx",IFERROR(IF(INT(IF($D414=F$3,装备表!$E559,"xxx")/10000)=1,IF($D414=F$3,装备表!$E559,"xxx")&amp;":2,1,1,"&amp;装备表!$O559&amp;";","xxx"),"xxx"))</f>
        <v>xxx</v>
      </c>
      <c r="G414" s="18" t="str">
        <f>IF(装备表!$O559=0,"xxx",IFERROR(IF(INT(IF($D414=G$3,装备表!$E559,"xxx")/10000)=1,IF($D414=G$3,装备表!$E559,"xxx")&amp;":2,1,1,"&amp;装备表!$O559&amp;";","xxx"),"xxx"))</f>
        <v>xxx</v>
      </c>
      <c r="H414" s="18" t="str">
        <f>IF(装备表!$O559=0,"xxx",IFERROR(IF(INT(IF($D414=H$3,装备表!$E559,"xxx")/10000)=1,IF($D414=H$3,装备表!$E559,"xxx")&amp;":2,1,1,"&amp;装备表!$O559&amp;";","xxx"),"xxx"))</f>
        <v>xxx</v>
      </c>
      <c r="I414" s="18" t="str">
        <f>IF(装备表!$O559=0,"xxx",IFERROR(IF(INT(IF($D414=I$3,装备表!$E559,"xxx")/10000)=1,IF($D414=I$3,装备表!$E559,"xxx")&amp;":2,1,1,"&amp;装备表!$O559&amp;";","xxx"),"xxx"))</f>
        <v>xxx</v>
      </c>
      <c r="J414" s="18" t="str">
        <f>IF(装备表!$O559=0,"xxx",IFERROR(IF(INT(IF($D414=J$3,装备表!$E559,"xxx")/10000)=1,IF($D414=J$3,装备表!$E559,"xxx")&amp;":2,1,1,"&amp;装备表!$O559&amp;";","xxx"),"xxx"))</f>
        <v>xxx</v>
      </c>
    </row>
    <row r="415" spans="4:10" x14ac:dyDescent="0.2">
      <c r="D415" s="18">
        <f>装备表!L560</f>
        <v>0</v>
      </c>
      <c r="E415" s="18" t="str">
        <f>IF(装备表!$O560=0,"xxx",IFERROR(IF(INT(IF($D415=E$3,装备表!$E560,"xxx")/10000)=1,IF($D415=E$3,装备表!$E560,"xxx")&amp;":2,1,1,"&amp;装备表!$O560&amp;";","xxx"),"xxx"))</f>
        <v>xxx</v>
      </c>
      <c r="F415" s="18" t="str">
        <f>IF(装备表!$O560=0,"xxx",IFERROR(IF(INT(IF($D415=F$3,装备表!$E560,"xxx")/10000)=1,IF($D415=F$3,装备表!$E560,"xxx")&amp;":2,1,1,"&amp;装备表!$O560&amp;";","xxx"),"xxx"))</f>
        <v>xxx</v>
      </c>
      <c r="G415" s="18" t="str">
        <f>IF(装备表!$O560=0,"xxx",IFERROR(IF(INT(IF($D415=G$3,装备表!$E560,"xxx")/10000)=1,IF($D415=G$3,装备表!$E560,"xxx")&amp;":2,1,1,"&amp;装备表!$O560&amp;";","xxx"),"xxx"))</f>
        <v>xxx</v>
      </c>
      <c r="H415" s="18" t="str">
        <f>IF(装备表!$O560=0,"xxx",IFERROR(IF(INT(IF($D415=H$3,装备表!$E560,"xxx")/10000)=1,IF($D415=H$3,装备表!$E560,"xxx")&amp;":2,1,1,"&amp;装备表!$O560&amp;";","xxx"),"xxx"))</f>
        <v>xxx</v>
      </c>
      <c r="I415" s="18" t="str">
        <f>IF(装备表!$O560=0,"xxx",IFERROR(IF(INT(IF($D415=I$3,装备表!$E560,"xxx")/10000)=1,IF($D415=I$3,装备表!$E560,"xxx")&amp;":2,1,1,"&amp;装备表!$O560&amp;";","xxx"),"xxx"))</f>
        <v>xxx</v>
      </c>
      <c r="J415" s="18" t="str">
        <f>IF(装备表!$O560=0,"xxx",IFERROR(IF(INT(IF($D415=J$3,装备表!$E560,"xxx")/10000)=1,IF($D415=J$3,装备表!$E560,"xxx")&amp;":2,1,1,"&amp;装备表!$O560&amp;";","xxx"),"xxx"))</f>
        <v>xxx</v>
      </c>
    </row>
    <row r="416" spans="4:10" x14ac:dyDescent="0.2">
      <c r="D416" s="18">
        <f>装备表!L561</f>
        <v>0</v>
      </c>
      <c r="E416" s="18" t="str">
        <f>IF(装备表!$O561=0,"xxx",IFERROR(IF(INT(IF($D416=E$3,装备表!$E561,"xxx")/10000)=1,IF($D416=E$3,装备表!$E561,"xxx")&amp;":2,1,1,"&amp;装备表!$O561&amp;";","xxx"),"xxx"))</f>
        <v>xxx</v>
      </c>
      <c r="F416" s="18" t="str">
        <f>IF(装备表!$O561=0,"xxx",IFERROR(IF(INT(IF($D416=F$3,装备表!$E561,"xxx")/10000)=1,IF($D416=F$3,装备表!$E561,"xxx")&amp;":2,1,1,"&amp;装备表!$O561&amp;";","xxx"),"xxx"))</f>
        <v>xxx</v>
      </c>
      <c r="G416" s="18" t="str">
        <f>IF(装备表!$O561=0,"xxx",IFERROR(IF(INT(IF($D416=G$3,装备表!$E561,"xxx")/10000)=1,IF($D416=G$3,装备表!$E561,"xxx")&amp;":2,1,1,"&amp;装备表!$O561&amp;";","xxx"),"xxx"))</f>
        <v>xxx</v>
      </c>
      <c r="H416" s="18" t="str">
        <f>IF(装备表!$O561=0,"xxx",IFERROR(IF(INT(IF($D416=H$3,装备表!$E561,"xxx")/10000)=1,IF($D416=H$3,装备表!$E561,"xxx")&amp;":2,1,1,"&amp;装备表!$O561&amp;";","xxx"),"xxx"))</f>
        <v>xxx</v>
      </c>
      <c r="I416" s="18" t="str">
        <f>IF(装备表!$O561=0,"xxx",IFERROR(IF(INT(IF($D416=I$3,装备表!$E561,"xxx")/10000)=1,IF($D416=I$3,装备表!$E561,"xxx")&amp;":2,1,1,"&amp;装备表!$O561&amp;";","xxx"),"xxx"))</f>
        <v>xxx</v>
      </c>
      <c r="J416" s="18" t="str">
        <f>IF(装备表!$O561=0,"xxx",IFERROR(IF(INT(IF($D416=J$3,装备表!$E561,"xxx")/10000)=1,IF($D416=J$3,装备表!$E561,"xxx")&amp;":2,1,1,"&amp;装备表!$O561&amp;";","xxx"),"xxx"))</f>
        <v>xxx</v>
      </c>
    </row>
    <row r="417" spans="4:10" x14ac:dyDescent="0.2">
      <c r="D417" s="18">
        <f>装备表!L562</f>
        <v>0</v>
      </c>
      <c r="E417" s="18" t="str">
        <f>IF(装备表!$O562=0,"xxx",IFERROR(IF(INT(IF($D417=E$3,装备表!$E562,"xxx")/10000)=1,IF($D417=E$3,装备表!$E562,"xxx")&amp;":2,1,1,"&amp;装备表!$O562&amp;";","xxx"),"xxx"))</f>
        <v>xxx</v>
      </c>
      <c r="F417" s="18" t="str">
        <f>IF(装备表!$O562=0,"xxx",IFERROR(IF(INT(IF($D417=F$3,装备表!$E562,"xxx")/10000)=1,IF($D417=F$3,装备表!$E562,"xxx")&amp;":2,1,1,"&amp;装备表!$O562&amp;";","xxx"),"xxx"))</f>
        <v>xxx</v>
      </c>
      <c r="G417" s="18" t="str">
        <f>IF(装备表!$O562=0,"xxx",IFERROR(IF(INT(IF($D417=G$3,装备表!$E562,"xxx")/10000)=1,IF($D417=G$3,装备表!$E562,"xxx")&amp;":2,1,1,"&amp;装备表!$O562&amp;";","xxx"),"xxx"))</f>
        <v>xxx</v>
      </c>
      <c r="H417" s="18" t="str">
        <f>IF(装备表!$O562=0,"xxx",IFERROR(IF(INT(IF($D417=H$3,装备表!$E562,"xxx")/10000)=1,IF($D417=H$3,装备表!$E562,"xxx")&amp;":2,1,1,"&amp;装备表!$O562&amp;";","xxx"),"xxx"))</f>
        <v>xxx</v>
      </c>
      <c r="I417" s="18" t="str">
        <f>IF(装备表!$O562=0,"xxx",IFERROR(IF(INT(IF($D417=I$3,装备表!$E562,"xxx")/10000)=1,IF($D417=I$3,装备表!$E562,"xxx")&amp;":2,1,1,"&amp;装备表!$O562&amp;";","xxx"),"xxx"))</f>
        <v>xxx</v>
      </c>
      <c r="J417" s="18" t="str">
        <f>IF(装备表!$O562=0,"xxx",IFERROR(IF(INT(IF($D417=J$3,装备表!$E562,"xxx")/10000)=1,IF($D417=J$3,装备表!$E562,"xxx")&amp;":2,1,1,"&amp;装备表!$O562&amp;";","xxx"),"xxx"))</f>
        <v>xxx</v>
      </c>
    </row>
    <row r="418" spans="4:10" x14ac:dyDescent="0.2">
      <c r="D418" s="18">
        <f>装备表!L563</f>
        <v>0</v>
      </c>
      <c r="E418" s="18" t="str">
        <f>IF(装备表!$O563=0,"xxx",IFERROR(IF(INT(IF($D418=E$3,装备表!$E563,"xxx")/10000)=1,IF($D418=E$3,装备表!$E563,"xxx")&amp;":2,1,1,"&amp;装备表!$O563&amp;";","xxx"),"xxx"))</f>
        <v>xxx</v>
      </c>
      <c r="F418" s="18" t="str">
        <f>IF(装备表!$O563=0,"xxx",IFERROR(IF(INT(IF($D418=F$3,装备表!$E563,"xxx")/10000)=1,IF($D418=F$3,装备表!$E563,"xxx")&amp;":2,1,1,"&amp;装备表!$O563&amp;";","xxx"),"xxx"))</f>
        <v>xxx</v>
      </c>
      <c r="G418" s="18" t="str">
        <f>IF(装备表!$O563=0,"xxx",IFERROR(IF(INT(IF($D418=G$3,装备表!$E563,"xxx")/10000)=1,IF($D418=G$3,装备表!$E563,"xxx")&amp;":2,1,1,"&amp;装备表!$O563&amp;";","xxx"),"xxx"))</f>
        <v>xxx</v>
      </c>
      <c r="H418" s="18" t="str">
        <f>IF(装备表!$O563=0,"xxx",IFERROR(IF(INT(IF($D418=H$3,装备表!$E563,"xxx")/10000)=1,IF($D418=H$3,装备表!$E563,"xxx")&amp;":2,1,1,"&amp;装备表!$O563&amp;";","xxx"),"xxx"))</f>
        <v>xxx</v>
      </c>
      <c r="I418" s="18" t="str">
        <f>IF(装备表!$O563=0,"xxx",IFERROR(IF(INT(IF($D418=I$3,装备表!$E563,"xxx")/10000)=1,IF($D418=I$3,装备表!$E563,"xxx")&amp;":2,1,1,"&amp;装备表!$O563&amp;";","xxx"),"xxx"))</f>
        <v>xxx</v>
      </c>
      <c r="J418" s="18" t="str">
        <f>IF(装备表!$O563=0,"xxx",IFERROR(IF(INT(IF($D418=J$3,装备表!$E563,"xxx")/10000)=1,IF($D418=J$3,装备表!$E563,"xxx")&amp;":2,1,1,"&amp;装备表!$O563&amp;";","xxx"),"xxx"))</f>
        <v>xxx</v>
      </c>
    </row>
    <row r="419" spans="4:10" x14ac:dyDescent="0.2">
      <c r="D419" s="18">
        <f>装备表!L564</f>
        <v>0</v>
      </c>
      <c r="E419" s="18" t="str">
        <f>IF(装备表!$O564=0,"xxx",IFERROR(IF(INT(IF($D419=E$3,装备表!$E564,"xxx")/10000)=1,IF($D419=E$3,装备表!$E564,"xxx")&amp;":2,1,1,"&amp;装备表!$O564&amp;";","xxx"),"xxx"))</f>
        <v>xxx</v>
      </c>
      <c r="F419" s="18" t="str">
        <f>IF(装备表!$O564=0,"xxx",IFERROR(IF(INT(IF($D419=F$3,装备表!$E564,"xxx")/10000)=1,IF($D419=F$3,装备表!$E564,"xxx")&amp;":2,1,1,"&amp;装备表!$O564&amp;";","xxx"),"xxx"))</f>
        <v>xxx</v>
      </c>
      <c r="G419" s="18" t="str">
        <f>IF(装备表!$O564=0,"xxx",IFERROR(IF(INT(IF($D419=G$3,装备表!$E564,"xxx")/10000)=1,IF($D419=G$3,装备表!$E564,"xxx")&amp;":2,1,1,"&amp;装备表!$O564&amp;";","xxx"),"xxx"))</f>
        <v>xxx</v>
      </c>
      <c r="H419" s="18" t="str">
        <f>IF(装备表!$O564=0,"xxx",IFERROR(IF(INT(IF($D419=H$3,装备表!$E564,"xxx")/10000)=1,IF($D419=H$3,装备表!$E564,"xxx")&amp;":2,1,1,"&amp;装备表!$O564&amp;";","xxx"),"xxx"))</f>
        <v>xxx</v>
      </c>
      <c r="I419" s="18" t="str">
        <f>IF(装备表!$O564=0,"xxx",IFERROR(IF(INT(IF($D419=I$3,装备表!$E564,"xxx")/10000)=1,IF($D419=I$3,装备表!$E564,"xxx")&amp;":2,1,1,"&amp;装备表!$O564&amp;";","xxx"),"xxx"))</f>
        <v>xxx</v>
      </c>
      <c r="J419" s="18" t="str">
        <f>IF(装备表!$O564=0,"xxx",IFERROR(IF(INT(IF($D419=J$3,装备表!$E564,"xxx")/10000)=1,IF($D419=J$3,装备表!$E564,"xxx")&amp;":2,1,1,"&amp;装备表!$O564&amp;";","xxx"),"xxx"))</f>
        <v>xxx</v>
      </c>
    </row>
    <row r="420" spans="4:10" x14ac:dyDescent="0.2">
      <c r="D420" s="18">
        <f>装备表!L565</f>
        <v>0</v>
      </c>
      <c r="E420" s="18" t="str">
        <f>IF(装备表!$O565=0,"xxx",IFERROR(IF(INT(IF($D420=E$3,装备表!$E565,"xxx")/10000)=1,IF($D420=E$3,装备表!$E565,"xxx")&amp;":2,1,1,"&amp;装备表!$O565&amp;";","xxx"),"xxx"))</f>
        <v>xxx</v>
      </c>
      <c r="F420" s="18" t="str">
        <f>IF(装备表!$O565=0,"xxx",IFERROR(IF(INT(IF($D420=F$3,装备表!$E565,"xxx")/10000)=1,IF($D420=F$3,装备表!$E565,"xxx")&amp;":2,1,1,"&amp;装备表!$O565&amp;";","xxx"),"xxx"))</f>
        <v>xxx</v>
      </c>
      <c r="G420" s="18" t="str">
        <f>IF(装备表!$O565=0,"xxx",IFERROR(IF(INT(IF($D420=G$3,装备表!$E565,"xxx")/10000)=1,IF($D420=G$3,装备表!$E565,"xxx")&amp;":2,1,1,"&amp;装备表!$O565&amp;";","xxx"),"xxx"))</f>
        <v>xxx</v>
      </c>
      <c r="H420" s="18" t="str">
        <f>IF(装备表!$O565=0,"xxx",IFERROR(IF(INT(IF($D420=H$3,装备表!$E565,"xxx")/10000)=1,IF($D420=H$3,装备表!$E565,"xxx")&amp;":2,1,1,"&amp;装备表!$O565&amp;";","xxx"),"xxx"))</f>
        <v>xxx</v>
      </c>
      <c r="I420" s="18" t="str">
        <f>IF(装备表!$O565=0,"xxx",IFERROR(IF(INT(IF($D420=I$3,装备表!$E565,"xxx")/10000)=1,IF($D420=I$3,装备表!$E565,"xxx")&amp;":2,1,1,"&amp;装备表!$O565&amp;";","xxx"),"xxx"))</f>
        <v>xxx</v>
      </c>
      <c r="J420" s="18" t="str">
        <f>IF(装备表!$O565=0,"xxx",IFERROR(IF(INT(IF($D420=J$3,装备表!$E565,"xxx")/10000)=1,IF($D420=J$3,装备表!$E565,"xxx")&amp;":2,1,1,"&amp;装备表!$O565&amp;";","xxx"),"xxx"))</f>
        <v>xxx</v>
      </c>
    </row>
    <row r="421" spans="4:10" x14ac:dyDescent="0.2">
      <c r="D421" s="18">
        <f>装备表!L566</f>
        <v>0</v>
      </c>
      <c r="E421" s="18" t="str">
        <f>IF(装备表!$O566=0,"xxx",IFERROR(IF(INT(IF($D421=E$3,装备表!$E566,"xxx")/10000)=1,IF($D421=E$3,装备表!$E566,"xxx")&amp;":2,1,1,"&amp;装备表!$O566&amp;";","xxx"),"xxx"))</f>
        <v>xxx</v>
      </c>
      <c r="F421" s="18" t="str">
        <f>IF(装备表!$O566=0,"xxx",IFERROR(IF(INT(IF($D421=F$3,装备表!$E566,"xxx")/10000)=1,IF($D421=F$3,装备表!$E566,"xxx")&amp;":2,1,1,"&amp;装备表!$O566&amp;";","xxx"),"xxx"))</f>
        <v>xxx</v>
      </c>
      <c r="G421" s="18" t="str">
        <f>IF(装备表!$O566=0,"xxx",IFERROR(IF(INT(IF($D421=G$3,装备表!$E566,"xxx")/10000)=1,IF($D421=G$3,装备表!$E566,"xxx")&amp;":2,1,1,"&amp;装备表!$O566&amp;";","xxx"),"xxx"))</f>
        <v>xxx</v>
      </c>
      <c r="H421" s="18" t="str">
        <f>IF(装备表!$O566=0,"xxx",IFERROR(IF(INT(IF($D421=H$3,装备表!$E566,"xxx")/10000)=1,IF($D421=H$3,装备表!$E566,"xxx")&amp;":2,1,1,"&amp;装备表!$O566&amp;";","xxx"),"xxx"))</f>
        <v>xxx</v>
      </c>
      <c r="I421" s="18" t="str">
        <f>IF(装备表!$O566=0,"xxx",IFERROR(IF(INT(IF($D421=I$3,装备表!$E566,"xxx")/10000)=1,IF($D421=I$3,装备表!$E566,"xxx")&amp;":2,1,1,"&amp;装备表!$O566&amp;";","xxx"),"xxx"))</f>
        <v>xxx</v>
      </c>
      <c r="J421" s="18" t="str">
        <f>IF(装备表!$O566=0,"xxx",IFERROR(IF(INT(IF($D421=J$3,装备表!$E566,"xxx")/10000)=1,IF($D421=J$3,装备表!$E566,"xxx")&amp;":2,1,1,"&amp;装备表!$O566&amp;";","xxx"),"xxx"))</f>
        <v>xxx</v>
      </c>
    </row>
    <row r="422" spans="4:10" x14ac:dyDescent="0.2">
      <c r="D422" s="18">
        <f>装备表!L567</f>
        <v>0</v>
      </c>
      <c r="E422" s="18" t="str">
        <f>IF(装备表!$O567=0,"xxx",IFERROR(IF(INT(IF($D422=E$3,装备表!$E567,"xxx")/10000)=1,IF($D422=E$3,装备表!$E567,"xxx")&amp;":2,1,1,"&amp;装备表!$O567&amp;";","xxx"),"xxx"))</f>
        <v>xxx</v>
      </c>
      <c r="F422" s="18" t="str">
        <f>IF(装备表!$O567=0,"xxx",IFERROR(IF(INT(IF($D422=F$3,装备表!$E567,"xxx")/10000)=1,IF($D422=F$3,装备表!$E567,"xxx")&amp;":2,1,1,"&amp;装备表!$O567&amp;";","xxx"),"xxx"))</f>
        <v>xxx</v>
      </c>
      <c r="G422" s="18" t="str">
        <f>IF(装备表!$O567=0,"xxx",IFERROR(IF(INT(IF($D422=G$3,装备表!$E567,"xxx")/10000)=1,IF($D422=G$3,装备表!$E567,"xxx")&amp;":2,1,1,"&amp;装备表!$O567&amp;";","xxx"),"xxx"))</f>
        <v>xxx</v>
      </c>
      <c r="H422" s="18" t="str">
        <f>IF(装备表!$O567=0,"xxx",IFERROR(IF(INT(IF($D422=H$3,装备表!$E567,"xxx")/10000)=1,IF($D422=H$3,装备表!$E567,"xxx")&amp;":2,1,1,"&amp;装备表!$O567&amp;";","xxx"),"xxx"))</f>
        <v>xxx</v>
      </c>
      <c r="I422" s="18" t="str">
        <f>IF(装备表!$O567=0,"xxx",IFERROR(IF(INT(IF($D422=I$3,装备表!$E567,"xxx")/10000)=1,IF($D422=I$3,装备表!$E567,"xxx")&amp;":2,1,1,"&amp;装备表!$O567&amp;";","xxx"),"xxx"))</f>
        <v>xxx</v>
      </c>
      <c r="J422" s="18" t="str">
        <f>IF(装备表!$O567=0,"xxx",IFERROR(IF(INT(IF($D422=J$3,装备表!$E567,"xxx")/10000)=1,IF($D422=J$3,装备表!$E567,"xxx")&amp;":2,1,1,"&amp;装备表!$O567&amp;";","xxx"),"xxx"))</f>
        <v>xxx</v>
      </c>
    </row>
    <row r="423" spans="4:10" x14ac:dyDescent="0.2">
      <c r="D423" s="18">
        <f>装备表!L568</f>
        <v>0</v>
      </c>
      <c r="E423" s="18" t="str">
        <f>IF(装备表!$O568=0,"xxx",IFERROR(IF(INT(IF($D423=E$3,装备表!$E568,"xxx")/10000)=1,IF($D423=E$3,装备表!$E568,"xxx")&amp;":2,1,1,"&amp;装备表!$O568&amp;";","xxx"),"xxx"))</f>
        <v>xxx</v>
      </c>
      <c r="F423" s="18" t="str">
        <f>IF(装备表!$O568=0,"xxx",IFERROR(IF(INT(IF($D423=F$3,装备表!$E568,"xxx")/10000)=1,IF($D423=F$3,装备表!$E568,"xxx")&amp;":2,1,1,"&amp;装备表!$O568&amp;";","xxx"),"xxx"))</f>
        <v>xxx</v>
      </c>
      <c r="G423" s="18" t="str">
        <f>IF(装备表!$O568=0,"xxx",IFERROR(IF(INT(IF($D423=G$3,装备表!$E568,"xxx")/10000)=1,IF($D423=G$3,装备表!$E568,"xxx")&amp;":2,1,1,"&amp;装备表!$O568&amp;";","xxx"),"xxx"))</f>
        <v>xxx</v>
      </c>
      <c r="H423" s="18" t="str">
        <f>IF(装备表!$O568=0,"xxx",IFERROR(IF(INT(IF($D423=H$3,装备表!$E568,"xxx")/10000)=1,IF($D423=H$3,装备表!$E568,"xxx")&amp;":2,1,1,"&amp;装备表!$O568&amp;";","xxx"),"xxx"))</f>
        <v>xxx</v>
      </c>
      <c r="I423" s="18" t="str">
        <f>IF(装备表!$O568=0,"xxx",IFERROR(IF(INT(IF($D423=I$3,装备表!$E568,"xxx")/10000)=1,IF($D423=I$3,装备表!$E568,"xxx")&amp;":2,1,1,"&amp;装备表!$O568&amp;";","xxx"),"xxx"))</f>
        <v>xxx</v>
      </c>
      <c r="J423" s="18" t="str">
        <f>IF(装备表!$O568=0,"xxx",IFERROR(IF(INT(IF($D423=J$3,装备表!$E568,"xxx")/10000)=1,IF($D423=J$3,装备表!$E568,"xxx")&amp;":2,1,1,"&amp;装备表!$O568&amp;";","xxx"),"xxx"))</f>
        <v>xxx</v>
      </c>
    </row>
    <row r="424" spans="4:10" x14ac:dyDescent="0.2">
      <c r="D424" s="18">
        <f>装备表!L569</f>
        <v>0</v>
      </c>
      <c r="E424" s="18" t="str">
        <f>IF(装备表!$O569=0,"xxx",IFERROR(IF(INT(IF($D424=E$3,装备表!$E569,"xxx")/10000)=1,IF($D424=E$3,装备表!$E569,"xxx")&amp;":2,1,1,"&amp;装备表!$O569&amp;";","xxx"),"xxx"))</f>
        <v>xxx</v>
      </c>
      <c r="F424" s="18" t="str">
        <f>IF(装备表!$O569=0,"xxx",IFERROR(IF(INT(IF($D424=F$3,装备表!$E569,"xxx")/10000)=1,IF($D424=F$3,装备表!$E569,"xxx")&amp;":2,1,1,"&amp;装备表!$O569&amp;";","xxx"),"xxx"))</f>
        <v>xxx</v>
      </c>
      <c r="G424" s="18" t="str">
        <f>IF(装备表!$O569=0,"xxx",IFERROR(IF(INT(IF($D424=G$3,装备表!$E569,"xxx")/10000)=1,IF($D424=G$3,装备表!$E569,"xxx")&amp;":2,1,1,"&amp;装备表!$O569&amp;";","xxx"),"xxx"))</f>
        <v>xxx</v>
      </c>
      <c r="H424" s="18" t="str">
        <f>IF(装备表!$O569=0,"xxx",IFERROR(IF(INT(IF($D424=H$3,装备表!$E569,"xxx")/10000)=1,IF($D424=H$3,装备表!$E569,"xxx")&amp;":2,1,1,"&amp;装备表!$O569&amp;";","xxx"),"xxx"))</f>
        <v>xxx</v>
      </c>
      <c r="I424" s="18" t="str">
        <f>IF(装备表!$O569=0,"xxx",IFERROR(IF(INT(IF($D424=I$3,装备表!$E569,"xxx")/10000)=1,IF($D424=I$3,装备表!$E569,"xxx")&amp;":2,1,1,"&amp;装备表!$O569&amp;";","xxx"),"xxx"))</f>
        <v>xxx</v>
      </c>
      <c r="J424" s="18" t="str">
        <f>IF(装备表!$O569=0,"xxx",IFERROR(IF(INT(IF($D424=J$3,装备表!$E569,"xxx")/10000)=1,IF($D424=J$3,装备表!$E569,"xxx")&amp;":2,1,1,"&amp;装备表!$O569&amp;";","xxx"),"xxx"))</f>
        <v>xxx</v>
      </c>
    </row>
    <row r="425" spans="4:10" x14ac:dyDescent="0.2">
      <c r="D425" s="18">
        <f>装备表!L570</f>
        <v>0</v>
      </c>
      <c r="E425" s="18" t="str">
        <f>IF(装备表!$O570=0,"xxx",IFERROR(IF(INT(IF($D425=E$3,装备表!$E570,"xxx")/10000)=1,IF($D425=E$3,装备表!$E570,"xxx")&amp;":2,1,1,"&amp;装备表!$O570&amp;";","xxx"),"xxx"))</f>
        <v>xxx</v>
      </c>
      <c r="F425" s="18" t="str">
        <f>IF(装备表!$O570=0,"xxx",IFERROR(IF(INT(IF($D425=F$3,装备表!$E570,"xxx")/10000)=1,IF($D425=F$3,装备表!$E570,"xxx")&amp;":2,1,1,"&amp;装备表!$O570&amp;";","xxx"),"xxx"))</f>
        <v>xxx</v>
      </c>
      <c r="G425" s="18" t="str">
        <f>IF(装备表!$O570=0,"xxx",IFERROR(IF(INT(IF($D425=G$3,装备表!$E570,"xxx")/10000)=1,IF($D425=G$3,装备表!$E570,"xxx")&amp;":2,1,1,"&amp;装备表!$O570&amp;";","xxx"),"xxx"))</f>
        <v>xxx</v>
      </c>
      <c r="H425" s="18" t="str">
        <f>IF(装备表!$O570=0,"xxx",IFERROR(IF(INT(IF($D425=H$3,装备表!$E570,"xxx")/10000)=1,IF($D425=H$3,装备表!$E570,"xxx")&amp;":2,1,1,"&amp;装备表!$O570&amp;";","xxx"),"xxx"))</f>
        <v>xxx</v>
      </c>
      <c r="I425" s="18" t="str">
        <f>IF(装备表!$O570=0,"xxx",IFERROR(IF(INT(IF($D425=I$3,装备表!$E570,"xxx")/10000)=1,IF($D425=I$3,装备表!$E570,"xxx")&amp;":2,1,1,"&amp;装备表!$O570&amp;";","xxx"),"xxx"))</f>
        <v>xxx</v>
      </c>
      <c r="J425" s="18" t="str">
        <f>IF(装备表!$O570=0,"xxx",IFERROR(IF(INT(IF($D425=J$3,装备表!$E570,"xxx")/10000)=1,IF($D425=J$3,装备表!$E570,"xxx")&amp;":2,1,1,"&amp;装备表!$O570&amp;";","xxx"),"xxx"))</f>
        <v>xxx</v>
      </c>
    </row>
    <row r="426" spans="4:10" x14ac:dyDescent="0.2">
      <c r="D426" s="18">
        <f>装备表!L571</f>
        <v>0</v>
      </c>
      <c r="E426" s="18" t="str">
        <f>IF(装备表!$O571=0,"xxx",IFERROR(IF(INT(IF($D426=E$3,装备表!$E571,"xxx")/10000)=1,IF($D426=E$3,装备表!$E571,"xxx")&amp;":2,1,1,"&amp;装备表!$O571&amp;";","xxx"),"xxx"))</f>
        <v>xxx</v>
      </c>
      <c r="F426" s="18" t="str">
        <f>IF(装备表!$O571=0,"xxx",IFERROR(IF(INT(IF($D426=F$3,装备表!$E571,"xxx")/10000)=1,IF($D426=F$3,装备表!$E571,"xxx")&amp;":2,1,1,"&amp;装备表!$O571&amp;";","xxx"),"xxx"))</f>
        <v>xxx</v>
      </c>
      <c r="G426" s="18" t="str">
        <f>IF(装备表!$O571=0,"xxx",IFERROR(IF(INT(IF($D426=G$3,装备表!$E571,"xxx")/10000)=1,IF($D426=G$3,装备表!$E571,"xxx")&amp;":2,1,1,"&amp;装备表!$O571&amp;";","xxx"),"xxx"))</f>
        <v>xxx</v>
      </c>
      <c r="H426" s="18" t="str">
        <f>IF(装备表!$O571=0,"xxx",IFERROR(IF(INT(IF($D426=H$3,装备表!$E571,"xxx")/10000)=1,IF($D426=H$3,装备表!$E571,"xxx")&amp;":2,1,1,"&amp;装备表!$O571&amp;";","xxx"),"xxx"))</f>
        <v>xxx</v>
      </c>
      <c r="I426" s="18" t="str">
        <f>IF(装备表!$O571=0,"xxx",IFERROR(IF(INT(IF($D426=I$3,装备表!$E571,"xxx")/10000)=1,IF($D426=I$3,装备表!$E571,"xxx")&amp;":2,1,1,"&amp;装备表!$O571&amp;";","xxx"),"xxx"))</f>
        <v>xxx</v>
      </c>
      <c r="J426" s="18" t="str">
        <f>IF(装备表!$O571=0,"xxx",IFERROR(IF(INT(IF($D426=J$3,装备表!$E571,"xxx")/10000)=1,IF($D426=J$3,装备表!$E571,"xxx")&amp;":2,1,1,"&amp;装备表!$O571&amp;";","xxx"),"xxx"))</f>
        <v>xxx</v>
      </c>
    </row>
    <row r="427" spans="4:10" x14ac:dyDescent="0.2">
      <c r="D427" s="18">
        <f>装备表!L572</f>
        <v>0</v>
      </c>
      <c r="E427" s="18" t="str">
        <f>IF(装备表!$O572=0,"xxx",IFERROR(IF(INT(IF($D427=E$3,装备表!$E572,"xxx")/10000)=1,IF($D427=E$3,装备表!$E572,"xxx")&amp;":2,1,1,"&amp;装备表!$O572&amp;";","xxx"),"xxx"))</f>
        <v>xxx</v>
      </c>
      <c r="F427" s="18" t="str">
        <f>IF(装备表!$O572=0,"xxx",IFERROR(IF(INT(IF($D427=F$3,装备表!$E572,"xxx")/10000)=1,IF($D427=F$3,装备表!$E572,"xxx")&amp;":2,1,1,"&amp;装备表!$O572&amp;";","xxx"),"xxx"))</f>
        <v>xxx</v>
      </c>
      <c r="G427" s="18" t="str">
        <f>IF(装备表!$O572=0,"xxx",IFERROR(IF(INT(IF($D427=G$3,装备表!$E572,"xxx")/10000)=1,IF($D427=G$3,装备表!$E572,"xxx")&amp;":2,1,1,"&amp;装备表!$O572&amp;";","xxx"),"xxx"))</f>
        <v>xxx</v>
      </c>
      <c r="H427" s="18" t="str">
        <f>IF(装备表!$O572=0,"xxx",IFERROR(IF(INT(IF($D427=H$3,装备表!$E572,"xxx")/10000)=1,IF($D427=H$3,装备表!$E572,"xxx")&amp;":2,1,1,"&amp;装备表!$O572&amp;";","xxx"),"xxx"))</f>
        <v>xxx</v>
      </c>
      <c r="I427" s="18" t="str">
        <f>IF(装备表!$O572=0,"xxx",IFERROR(IF(INT(IF($D427=I$3,装备表!$E572,"xxx")/10000)=1,IF($D427=I$3,装备表!$E572,"xxx")&amp;":2,1,1,"&amp;装备表!$O572&amp;";","xxx"),"xxx"))</f>
        <v>xxx</v>
      </c>
      <c r="J427" s="18" t="str">
        <f>IF(装备表!$O572=0,"xxx",IFERROR(IF(INT(IF($D427=J$3,装备表!$E572,"xxx")/10000)=1,IF($D427=J$3,装备表!$E572,"xxx")&amp;":2,1,1,"&amp;装备表!$O572&amp;";","xxx"),"xxx"))</f>
        <v>xxx</v>
      </c>
    </row>
    <row r="428" spans="4:10" x14ac:dyDescent="0.2">
      <c r="D428" s="18">
        <f>装备表!L573</f>
        <v>0</v>
      </c>
      <c r="E428" s="18" t="str">
        <f>IF(装备表!$O573=0,"xxx",IFERROR(IF(INT(IF($D428=E$3,装备表!$E573,"xxx")/10000)=1,IF($D428=E$3,装备表!$E573,"xxx")&amp;":2,1,1,"&amp;装备表!$O573&amp;";","xxx"),"xxx"))</f>
        <v>xxx</v>
      </c>
      <c r="F428" s="18" t="str">
        <f>IF(装备表!$O573=0,"xxx",IFERROR(IF(INT(IF($D428=F$3,装备表!$E573,"xxx")/10000)=1,IF($D428=F$3,装备表!$E573,"xxx")&amp;":2,1,1,"&amp;装备表!$O573&amp;";","xxx"),"xxx"))</f>
        <v>xxx</v>
      </c>
      <c r="G428" s="18" t="str">
        <f>IF(装备表!$O573=0,"xxx",IFERROR(IF(INT(IF($D428=G$3,装备表!$E573,"xxx")/10000)=1,IF($D428=G$3,装备表!$E573,"xxx")&amp;":2,1,1,"&amp;装备表!$O573&amp;";","xxx"),"xxx"))</f>
        <v>xxx</v>
      </c>
      <c r="H428" s="18" t="str">
        <f>IF(装备表!$O573=0,"xxx",IFERROR(IF(INT(IF($D428=H$3,装备表!$E573,"xxx")/10000)=1,IF($D428=H$3,装备表!$E573,"xxx")&amp;":2,1,1,"&amp;装备表!$O573&amp;";","xxx"),"xxx"))</f>
        <v>xxx</v>
      </c>
      <c r="I428" s="18" t="str">
        <f>IF(装备表!$O573=0,"xxx",IFERROR(IF(INT(IF($D428=I$3,装备表!$E573,"xxx")/10000)=1,IF($D428=I$3,装备表!$E573,"xxx")&amp;":2,1,1,"&amp;装备表!$O573&amp;";","xxx"),"xxx"))</f>
        <v>xxx</v>
      </c>
      <c r="J428" s="18" t="str">
        <f>IF(装备表!$O573=0,"xxx",IFERROR(IF(INT(IF($D428=J$3,装备表!$E573,"xxx")/10000)=1,IF($D428=J$3,装备表!$E573,"xxx")&amp;":2,1,1,"&amp;装备表!$O573&amp;";","xxx"),"xxx"))</f>
        <v>xxx</v>
      </c>
    </row>
    <row r="429" spans="4:10" x14ac:dyDescent="0.2">
      <c r="D429" s="18">
        <f>装备表!L574</f>
        <v>0</v>
      </c>
      <c r="E429" s="18" t="str">
        <f>IF(装备表!$O574=0,"xxx",IFERROR(IF(INT(IF($D429=E$3,装备表!$E574,"xxx")/10000)=1,IF($D429=E$3,装备表!$E574,"xxx")&amp;":2,1,1,"&amp;装备表!$O574&amp;";","xxx"),"xxx"))</f>
        <v>xxx</v>
      </c>
      <c r="F429" s="18" t="str">
        <f>IF(装备表!$O574=0,"xxx",IFERROR(IF(INT(IF($D429=F$3,装备表!$E574,"xxx")/10000)=1,IF($D429=F$3,装备表!$E574,"xxx")&amp;":2,1,1,"&amp;装备表!$O574&amp;";","xxx"),"xxx"))</f>
        <v>xxx</v>
      </c>
      <c r="G429" s="18" t="str">
        <f>IF(装备表!$O574=0,"xxx",IFERROR(IF(INT(IF($D429=G$3,装备表!$E574,"xxx")/10000)=1,IF($D429=G$3,装备表!$E574,"xxx")&amp;":2,1,1,"&amp;装备表!$O574&amp;";","xxx"),"xxx"))</f>
        <v>xxx</v>
      </c>
      <c r="H429" s="18" t="str">
        <f>IF(装备表!$O574=0,"xxx",IFERROR(IF(INT(IF($D429=H$3,装备表!$E574,"xxx")/10000)=1,IF($D429=H$3,装备表!$E574,"xxx")&amp;":2,1,1,"&amp;装备表!$O574&amp;";","xxx"),"xxx"))</f>
        <v>xxx</v>
      </c>
      <c r="I429" s="18" t="str">
        <f>IF(装备表!$O574=0,"xxx",IFERROR(IF(INT(IF($D429=I$3,装备表!$E574,"xxx")/10000)=1,IF($D429=I$3,装备表!$E574,"xxx")&amp;":2,1,1,"&amp;装备表!$O574&amp;";","xxx"),"xxx"))</f>
        <v>xxx</v>
      </c>
      <c r="J429" s="18" t="str">
        <f>IF(装备表!$O574=0,"xxx",IFERROR(IF(INT(IF($D429=J$3,装备表!$E574,"xxx")/10000)=1,IF($D429=J$3,装备表!$E574,"xxx")&amp;":2,1,1,"&amp;装备表!$O574&amp;";","xxx"),"xxx"))</f>
        <v>xxx</v>
      </c>
    </row>
    <row r="430" spans="4:10" x14ac:dyDescent="0.2">
      <c r="D430" s="18">
        <f>装备表!L575</f>
        <v>0</v>
      </c>
      <c r="E430" s="18" t="str">
        <f>IF(装备表!$O575=0,"xxx",IFERROR(IF(INT(IF($D430=E$3,装备表!$E575,"xxx")/10000)=1,IF($D430=E$3,装备表!$E575,"xxx")&amp;":2,1,1,"&amp;装备表!$O575&amp;";","xxx"),"xxx"))</f>
        <v>xxx</v>
      </c>
      <c r="F430" s="18" t="str">
        <f>IF(装备表!$O575=0,"xxx",IFERROR(IF(INT(IF($D430=F$3,装备表!$E575,"xxx")/10000)=1,IF($D430=F$3,装备表!$E575,"xxx")&amp;":2,1,1,"&amp;装备表!$O575&amp;";","xxx"),"xxx"))</f>
        <v>xxx</v>
      </c>
      <c r="G430" s="18" t="str">
        <f>IF(装备表!$O575=0,"xxx",IFERROR(IF(INT(IF($D430=G$3,装备表!$E575,"xxx")/10000)=1,IF($D430=G$3,装备表!$E575,"xxx")&amp;":2,1,1,"&amp;装备表!$O575&amp;";","xxx"),"xxx"))</f>
        <v>xxx</v>
      </c>
      <c r="H430" s="18" t="str">
        <f>IF(装备表!$O575=0,"xxx",IFERROR(IF(INT(IF($D430=H$3,装备表!$E575,"xxx")/10000)=1,IF($D430=H$3,装备表!$E575,"xxx")&amp;":2,1,1,"&amp;装备表!$O575&amp;";","xxx"),"xxx"))</f>
        <v>xxx</v>
      </c>
      <c r="I430" s="18" t="str">
        <f>IF(装备表!$O575=0,"xxx",IFERROR(IF(INT(IF($D430=I$3,装备表!$E575,"xxx")/10000)=1,IF($D430=I$3,装备表!$E575,"xxx")&amp;":2,1,1,"&amp;装备表!$O575&amp;";","xxx"),"xxx"))</f>
        <v>xxx</v>
      </c>
      <c r="J430" s="18" t="str">
        <f>IF(装备表!$O575=0,"xxx",IFERROR(IF(INT(IF($D430=J$3,装备表!$E575,"xxx")/10000)=1,IF($D430=J$3,装备表!$E575,"xxx")&amp;":2,1,1,"&amp;装备表!$O575&amp;";","xxx"),"xxx"))</f>
        <v>xxx</v>
      </c>
    </row>
    <row r="431" spans="4:10" x14ac:dyDescent="0.2">
      <c r="D431" s="18">
        <f>装备表!L576</f>
        <v>0</v>
      </c>
      <c r="E431" s="18" t="str">
        <f>IF(装备表!$O576=0,"xxx",IFERROR(IF(INT(IF($D431=E$3,装备表!$E576,"xxx")/10000)=1,IF($D431=E$3,装备表!$E576,"xxx")&amp;":2,1,1,"&amp;装备表!$O576&amp;";","xxx"),"xxx"))</f>
        <v>xxx</v>
      </c>
      <c r="F431" s="18" t="str">
        <f>IF(装备表!$O576=0,"xxx",IFERROR(IF(INT(IF($D431=F$3,装备表!$E576,"xxx")/10000)=1,IF($D431=F$3,装备表!$E576,"xxx")&amp;":2,1,1,"&amp;装备表!$O576&amp;";","xxx"),"xxx"))</f>
        <v>xxx</v>
      </c>
      <c r="G431" s="18" t="str">
        <f>IF(装备表!$O576=0,"xxx",IFERROR(IF(INT(IF($D431=G$3,装备表!$E576,"xxx")/10000)=1,IF($D431=G$3,装备表!$E576,"xxx")&amp;":2,1,1,"&amp;装备表!$O576&amp;";","xxx"),"xxx"))</f>
        <v>xxx</v>
      </c>
      <c r="H431" s="18" t="str">
        <f>IF(装备表!$O576=0,"xxx",IFERROR(IF(INT(IF($D431=H$3,装备表!$E576,"xxx")/10000)=1,IF($D431=H$3,装备表!$E576,"xxx")&amp;":2,1,1,"&amp;装备表!$O576&amp;";","xxx"),"xxx"))</f>
        <v>xxx</v>
      </c>
      <c r="I431" s="18" t="str">
        <f>IF(装备表!$O576=0,"xxx",IFERROR(IF(INT(IF($D431=I$3,装备表!$E576,"xxx")/10000)=1,IF($D431=I$3,装备表!$E576,"xxx")&amp;":2,1,1,"&amp;装备表!$O576&amp;";","xxx"),"xxx"))</f>
        <v>xxx</v>
      </c>
      <c r="J431" s="18" t="str">
        <f>IF(装备表!$O576=0,"xxx",IFERROR(IF(INT(IF($D431=J$3,装备表!$E576,"xxx")/10000)=1,IF($D431=J$3,装备表!$E576,"xxx")&amp;":2,1,1,"&amp;装备表!$O576&amp;";","xxx"),"xxx"))</f>
        <v>xxx</v>
      </c>
    </row>
    <row r="432" spans="4:10" x14ac:dyDescent="0.2">
      <c r="D432" s="18">
        <f>装备表!L577</f>
        <v>0</v>
      </c>
      <c r="E432" s="18" t="str">
        <f>IF(装备表!$O577=0,"xxx",IFERROR(IF(INT(IF($D432=E$3,装备表!$E577,"xxx")/10000)=1,IF($D432=E$3,装备表!$E577,"xxx")&amp;":2,1,1,"&amp;装备表!$O577&amp;";","xxx"),"xxx"))</f>
        <v>xxx</v>
      </c>
      <c r="F432" s="18" t="str">
        <f>IF(装备表!$O577=0,"xxx",IFERROR(IF(INT(IF($D432=F$3,装备表!$E577,"xxx")/10000)=1,IF($D432=F$3,装备表!$E577,"xxx")&amp;":2,1,1,"&amp;装备表!$O577&amp;";","xxx"),"xxx"))</f>
        <v>xxx</v>
      </c>
      <c r="G432" s="18" t="str">
        <f>IF(装备表!$O577=0,"xxx",IFERROR(IF(INT(IF($D432=G$3,装备表!$E577,"xxx")/10000)=1,IF($D432=G$3,装备表!$E577,"xxx")&amp;":2,1,1,"&amp;装备表!$O577&amp;";","xxx"),"xxx"))</f>
        <v>xxx</v>
      </c>
      <c r="H432" s="18" t="str">
        <f>IF(装备表!$O577=0,"xxx",IFERROR(IF(INT(IF($D432=H$3,装备表!$E577,"xxx")/10000)=1,IF($D432=H$3,装备表!$E577,"xxx")&amp;":2,1,1,"&amp;装备表!$O577&amp;";","xxx"),"xxx"))</f>
        <v>xxx</v>
      </c>
      <c r="I432" s="18" t="str">
        <f>IF(装备表!$O577=0,"xxx",IFERROR(IF(INT(IF($D432=I$3,装备表!$E577,"xxx")/10000)=1,IF($D432=I$3,装备表!$E577,"xxx")&amp;":2,1,1,"&amp;装备表!$O577&amp;";","xxx"),"xxx"))</f>
        <v>xxx</v>
      </c>
      <c r="J432" s="18" t="str">
        <f>IF(装备表!$O577=0,"xxx",IFERROR(IF(INT(IF($D432=J$3,装备表!$E577,"xxx")/10000)=1,IF($D432=J$3,装备表!$E577,"xxx")&amp;":2,1,1,"&amp;装备表!$O577&amp;";","xxx"),"xxx"))</f>
        <v>xxx</v>
      </c>
    </row>
    <row r="433" spans="4:10" x14ac:dyDescent="0.2">
      <c r="D433" s="18">
        <f>装备表!L578</f>
        <v>0</v>
      </c>
      <c r="E433" s="18" t="str">
        <f>IF(装备表!$O578=0,"xxx",IFERROR(IF(INT(IF($D433=E$3,装备表!$E578,"xxx")/10000)=1,IF($D433=E$3,装备表!$E578,"xxx")&amp;":2,1,1,"&amp;装备表!$O578&amp;";","xxx"),"xxx"))</f>
        <v>xxx</v>
      </c>
      <c r="F433" s="18" t="str">
        <f>IF(装备表!$O578=0,"xxx",IFERROR(IF(INT(IF($D433=F$3,装备表!$E578,"xxx")/10000)=1,IF($D433=F$3,装备表!$E578,"xxx")&amp;":2,1,1,"&amp;装备表!$O578&amp;";","xxx"),"xxx"))</f>
        <v>xxx</v>
      </c>
      <c r="G433" s="18" t="str">
        <f>IF(装备表!$O578=0,"xxx",IFERROR(IF(INT(IF($D433=G$3,装备表!$E578,"xxx")/10000)=1,IF($D433=G$3,装备表!$E578,"xxx")&amp;":2,1,1,"&amp;装备表!$O578&amp;";","xxx"),"xxx"))</f>
        <v>xxx</v>
      </c>
      <c r="H433" s="18" t="str">
        <f>IF(装备表!$O578=0,"xxx",IFERROR(IF(INT(IF($D433=H$3,装备表!$E578,"xxx")/10000)=1,IF($D433=H$3,装备表!$E578,"xxx")&amp;":2,1,1,"&amp;装备表!$O578&amp;";","xxx"),"xxx"))</f>
        <v>xxx</v>
      </c>
      <c r="I433" s="18" t="str">
        <f>IF(装备表!$O578=0,"xxx",IFERROR(IF(INT(IF($D433=I$3,装备表!$E578,"xxx")/10000)=1,IF($D433=I$3,装备表!$E578,"xxx")&amp;":2,1,1,"&amp;装备表!$O578&amp;";","xxx"),"xxx"))</f>
        <v>xxx</v>
      </c>
      <c r="J433" s="18" t="str">
        <f>IF(装备表!$O578=0,"xxx",IFERROR(IF(INT(IF($D433=J$3,装备表!$E578,"xxx")/10000)=1,IF($D433=J$3,装备表!$E578,"xxx")&amp;":2,1,1,"&amp;装备表!$O578&amp;";","xxx"),"xxx"))</f>
        <v>xxx</v>
      </c>
    </row>
    <row r="434" spans="4:10" x14ac:dyDescent="0.2">
      <c r="D434" s="18">
        <f>装备表!L579</f>
        <v>0</v>
      </c>
      <c r="E434" s="18" t="str">
        <f>IF(装备表!$O579=0,"xxx",IFERROR(IF(INT(IF($D434=E$3,装备表!$E579,"xxx")/10000)=1,IF($D434=E$3,装备表!$E579,"xxx")&amp;":2,1,1,"&amp;装备表!$O579&amp;";","xxx"),"xxx"))</f>
        <v>xxx</v>
      </c>
      <c r="F434" s="18" t="str">
        <f>IF(装备表!$O579=0,"xxx",IFERROR(IF(INT(IF($D434=F$3,装备表!$E579,"xxx")/10000)=1,IF($D434=F$3,装备表!$E579,"xxx")&amp;":2,1,1,"&amp;装备表!$O579&amp;";","xxx"),"xxx"))</f>
        <v>xxx</v>
      </c>
      <c r="G434" s="18" t="str">
        <f>IF(装备表!$O579=0,"xxx",IFERROR(IF(INT(IF($D434=G$3,装备表!$E579,"xxx")/10000)=1,IF($D434=G$3,装备表!$E579,"xxx")&amp;":2,1,1,"&amp;装备表!$O579&amp;";","xxx"),"xxx"))</f>
        <v>xxx</v>
      </c>
      <c r="H434" s="18" t="str">
        <f>IF(装备表!$O579=0,"xxx",IFERROR(IF(INT(IF($D434=H$3,装备表!$E579,"xxx")/10000)=1,IF($D434=H$3,装备表!$E579,"xxx")&amp;":2,1,1,"&amp;装备表!$O579&amp;";","xxx"),"xxx"))</f>
        <v>xxx</v>
      </c>
      <c r="I434" s="18" t="str">
        <f>IF(装备表!$O579=0,"xxx",IFERROR(IF(INT(IF($D434=I$3,装备表!$E579,"xxx")/10000)=1,IF($D434=I$3,装备表!$E579,"xxx")&amp;":2,1,1,"&amp;装备表!$O579&amp;";","xxx"),"xxx"))</f>
        <v>xxx</v>
      </c>
      <c r="J434" s="18" t="str">
        <f>IF(装备表!$O579=0,"xxx",IFERROR(IF(INT(IF($D434=J$3,装备表!$E579,"xxx")/10000)=1,IF($D434=J$3,装备表!$E579,"xxx")&amp;":2,1,1,"&amp;装备表!$O579&amp;";","xxx"),"xxx"))</f>
        <v>xxx</v>
      </c>
    </row>
    <row r="435" spans="4:10" x14ac:dyDescent="0.2">
      <c r="D435" s="18">
        <f>装备表!L580</f>
        <v>0</v>
      </c>
      <c r="E435" s="18" t="str">
        <f>IF(装备表!$O580=0,"xxx",IFERROR(IF(INT(IF($D435=E$3,装备表!$E580,"xxx")/10000)=1,IF($D435=E$3,装备表!$E580,"xxx")&amp;":2,1,1,"&amp;装备表!$O580&amp;";","xxx"),"xxx"))</f>
        <v>xxx</v>
      </c>
      <c r="F435" s="18" t="str">
        <f>IF(装备表!$O580=0,"xxx",IFERROR(IF(INT(IF($D435=F$3,装备表!$E580,"xxx")/10000)=1,IF($D435=F$3,装备表!$E580,"xxx")&amp;":2,1,1,"&amp;装备表!$O580&amp;";","xxx"),"xxx"))</f>
        <v>xxx</v>
      </c>
      <c r="G435" s="18" t="str">
        <f>IF(装备表!$O580=0,"xxx",IFERROR(IF(INT(IF($D435=G$3,装备表!$E580,"xxx")/10000)=1,IF($D435=G$3,装备表!$E580,"xxx")&amp;":2,1,1,"&amp;装备表!$O580&amp;";","xxx"),"xxx"))</f>
        <v>xxx</v>
      </c>
      <c r="H435" s="18" t="str">
        <f>IF(装备表!$O580=0,"xxx",IFERROR(IF(INT(IF($D435=H$3,装备表!$E580,"xxx")/10000)=1,IF($D435=H$3,装备表!$E580,"xxx")&amp;":2,1,1,"&amp;装备表!$O580&amp;";","xxx"),"xxx"))</f>
        <v>xxx</v>
      </c>
      <c r="I435" s="18" t="str">
        <f>IF(装备表!$O580=0,"xxx",IFERROR(IF(INT(IF($D435=I$3,装备表!$E580,"xxx")/10000)=1,IF($D435=I$3,装备表!$E580,"xxx")&amp;":2,1,1,"&amp;装备表!$O580&amp;";","xxx"),"xxx"))</f>
        <v>xxx</v>
      </c>
      <c r="J435" s="18" t="str">
        <f>IF(装备表!$O580=0,"xxx",IFERROR(IF(INT(IF($D435=J$3,装备表!$E580,"xxx")/10000)=1,IF($D435=J$3,装备表!$E580,"xxx")&amp;":2,1,1,"&amp;装备表!$O580&amp;";","xxx"),"xxx"))</f>
        <v>xxx</v>
      </c>
    </row>
    <row r="436" spans="4:10" x14ac:dyDescent="0.2">
      <c r="D436" s="18">
        <f>装备表!L581</f>
        <v>0</v>
      </c>
      <c r="E436" s="18" t="str">
        <f>IF(装备表!$O581=0,"xxx",IFERROR(IF(INT(IF($D436=E$3,装备表!$E581,"xxx")/10000)=1,IF($D436=E$3,装备表!$E581,"xxx")&amp;":2,1,1,"&amp;装备表!$O581&amp;";","xxx"),"xxx"))</f>
        <v>xxx</v>
      </c>
      <c r="F436" s="18" t="str">
        <f>IF(装备表!$O581=0,"xxx",IFERROR(IF(INT(IF($D436=F$3,装备表!$E581,"xxx")/10000)=1,IF($D436=F$3,装备表!$E581,"xxx")&amp;":2,1,1,"&amp;装备表!$O581&amp;";","xxx"),"xxx"))</f>
        <v>xxx</v>
      </c>
      <c r="G436" s="18" t="str">
        <f>IF(装备表!$O581=0,"xxx",IFERROR(IF(INT(IF($D436=G$3,装备表!$E581,"xxx")/10000)=1,IF($D436=G$3,装备表!$E581,"xxx")&amp;":2,1,1,"&amp;装备表!$O581&amp;";","xxx"),"xxx"))</f>
        <v>xxx</v>
      </c>
      <c r="H436" s="18" t="str">
        <f>IF(装备表!$O581=0,"xxx",IFERROR(IF(INT(IF($D436=H$3,装备表!$E581,"xxx")/10000)=1,IF($D436=H$3,装备表!$E581,"xxx")&amp;":2,1,1,"&amp;装备表!$O581&amp;";","xxx"),"xxx"))</f>
        <v>xxx</v>
      </c>
      <c r="I436" s="18" t="str">
        <f>IF(装备表!$O581=0,"xxx",IFERROR(IF(INT(IF($D436=I$3,装备表!$E581,"xxx")/10000)=1,IF($D436=I$3,装备表!$E581,"xxx")&amp;":2,1,1,"&amp;装备表!$O581&amp;";","xxx"),"xxx"))</f>
        <v>xxx</v>
      </c>
      <c r="J436" s="18" t="str">
        <f>IF(装备表!$O581=0,"xxx",IFERROR(IF(INT(IF($D436=J$3,装备表!$E581,"xxx")/10000)=1,IF($D436=J$3,装备表!$E581,"xxx")&amp;":2,1,1,"&amp;装备表!$O581&amp;";","xxx"),"xxx"))</f>
        <v>xxx</v>
      </c>
    </row>
    <row r="437" spans="4:10" x14ac:dyDescent="0.2">
      <c r="D437" s="18">
        <f>装备表!L582</f>
        <v>0</v>
      </c>
      <c r="E437" s="18" t="str">
        <f>IF(装备表!$O582=0,"xxx",IFERROR(IF(INT(IF($D437=E$3,装备表!$E582,"xxx")/10000)=1,IF($D437=E$3,装备表!$E582,"xxx")&amp;":2,1,1,"&amp;装备表!$O582&amp;";","xxx"),"xxx"))</f>
        <v>xxx</v>
      </c>
      <c r="F437" s="18" t="str">
        <f>IF(装备表!$O582=0,"xxx",IFERROR(IF(INT(IF($D437=F$3,装备表!$E582,"xxx")/10000)=1,IF($D437=F$3,装备表!$E582,"xxx")&amp;":2,1,1,"&amp;装备表!$O582&amp;";","xxx"),"xxx"))</f>
        <v>xxx</v>
      </c>
      <c r="G437" s="18" t="str">
        <f>IF(装备表!$O582=0,"xxx",IFERROR(IF(INT(IF($D437=G$3,装备表!$E582,"xxx")/10000)=1,IF($D437=G$3,装备表!$E582,"xxx")&amp;":2,1,1,"&amp;装备表!$O582&amp;";","xxx"),"xxx"))</f>
        <v>xxx</v>
      </c>
      <c r="H437" s="18" t="str">
        <f>IF(装备表!$O582=0,"xxx",IFERROR(IF(INT(IF($D437=H$3,装备表!$E582,"xxx")/10000)=1,IF($D437=H$3,装备表!$E582,"xxx")&amp;":2,1,1,"&amp;装备表!$O582&amp;";","xxx"),"xxx"))</f>
        <v>xxx</v>
      </c>
      <c r="I437" s="18" t="str">
        <f>IF(装备表!$O582=0,"xxx",IFERROR(IF(INT(IF($D437=I$3,装备表!$E582,"xxx")/10000)=1,IF($D437=I$3,装备表!$E582,"xxx")&amp;":2,1,1,"&amp;装备表!$O582&amp;";","xxx"),"xxx"))</f>
        <v>xxx</v>
      </c>
      <c r="J437" s="18" t="str">
        <f>IF(装备表!$O582=0,"xxx",IFERROR(IF(INT(IF($D437=J$3,装备表!$E582,"xxx")/10000)=1,IF($D437=J$3,装备表!$E582,"xxx")&amp;":2,1,1,"&amp;装备表!$O582&amp;";","xxx"),"xxx"))</f>
        <v>xxx</v>
      </c>
    </row>
    <row r="438" spans="4:10" x14ac:dyDescent="0.2">
      <c r="D438" s="18">
        <f>装备表!L583</f>
        <v>0</v>
      </c>
      <c r="E438" s="18" t="str">
        <f>IF(装备表!$O583=0,"xxx",IFERROR(IF(INT(IF($D438=E$3,装备表!$E583,"xxx")/10000)=1,IF($D438=E$3,装备表!$E583,"xxx")&amp;":2,1,1,"&amp;装备表!$O583&amp;";","xxx"),"xxx"))</f>
        <v>xxx</v>
      </c>
      <c r="F438" s="18" t="str">
        <f>IF(装备表!$O583=0,"xxx",IFERROR(IF(INT(IF($D438=F$3,装备表!$E583,"xxx")/10000)=1,IF($D438=F$3,装备表!$E583,"xxx")&amp;":2,1,1,"&amp;装备表!$O583&amp;";","xxx"),"xxx"))</f>
        <v>xxx</v>
      </c>
      <c r="G438" s="18" t="str">
        <f>IF(装备表!$O583=0,"xxx",IFERROR(IF(INT(IF($D438=G$3,装备表!$E583,"xxx")/10000)=1,IF($D438=G$3,装备表!$E583,"xxx")&amp;":2,1,1,"&amp;装备表!$O583&amp;";","xxx"),"xxx"))</f>
        <v>xxx</v>
      </c>
      <c r="H438" s="18" t="str">
        <f>IF(装备表!$O583=0,"xxx",IFERROR(IF(INT(IF($D438=H$3,装备表!$E583,"xxx")/10000)=1,IF($D438=H$3,装备表!$E583,"xxx")&amp;":2,1,1,"&amp;装备表!$O583&amp;";","xxx"),"xxx"))</f>
        <v>xxx</v>
      </c>
      <c r="I438" s="18" t="str">
        <f>IF(装备表!$O583=0,"xxx",IFERROR(IF(INT(IF($D438=I$3,装备表!$E583,"xxx")/10000)=1,IF($D438=I$3,装备表!$E583,"xxx")&amp;":2,1,1,"&amp;装备表!$O583&amp;";","xxx"),"xxx"))</f>
        <v>xxx</v>
      </c>
      <c r="J438" s="18" t="str">
        <f>IF(装备表!$O583=0,"xxx",IFERROR(IF(INT(IF($D438=J$3,装备表!$E583,"xxx")/10000)=1,IF($D438=J$3,装备表!$E583,"xxx")&amp;":2,1,1,"&amp;装备表!$O583&amp;";","xxx"),"xxx"))</f>
        <v>xxx</v>
      </c>
    </row>
    <row r="439" spans="4:10" x14ac:dyDescent="0.2">
      <c r="D439" s="18">
        <f>装备表!L584</f>
        <v>0</v>
      </c>
      <c r="E439" s="18" t="str">
        <f>IF(装备表!$O584=0,"xxx",IFERROR(IF(INT(IF($D439=E$3,装备表!$E584,"xxx")/10000)=1,IF($D439=E$3,装备表!$E584,"xxx")&amp;":2,1,1,"&amp;装备表!$O584&amp;";","xxx"),"xxx"))</f>
        <v>xxx</v>
      </c>
      <c r="F439" s="18" t="str">
        <f>IF(装备表!$O584=0,"xxx",IFERROR(IF(INT(IF($D439=F$3,装备表!$E584,"xxx")/10000)=1,IF($D439=F$3,装备表!$E584,"xxx")&amp;":2,1,1,"&amp;装备表!$O584&amp;";","xxx"),"xxx"))</f>
        <v>xxx</v>
      </c>
      <c r="G439" s="18" t="str">
        <f>IF(装备表!$O584=0,"xxx",IFERROR(IF(INT(IF($D439=G$3,装备表!$E584,"xxx")/10000)=1,IF($D439=G$3,装备表!$E584,"xxx")&amp;":2,1,1,"&amp;装备表!$O584&amp;";","xxx"),"xxx"))</f>
        <v>xxx</v>
      </c>
      <c r="H439" s="18" t="str">
        <f>IF(装备表!$O584=0,"xxx",IFERROR(IF(INT(IF($D439=H$3,装备表!$E584,"xxx")/10000)=1,IF($D439=H$3,装备表!$E584,"xxx")&amp;":2,1,1,"&amp;装备表!$O584&amp;";","xxx"),"xxx"))</f>
        <v>xxx</v>
      </c>
      <c r="I439" s="18" t="str">
        <f>IF(装备表!$O584=0,"xxx",IFERROR(IF(INT(IF($D439=I$3,装备表!$E584,"xxx")/10000)=1,IF($D439=I$3,装备表!$E584,"xxx")&amp;":2,1,1,"&amp;装备表!$O584&amp;";","xxx"),"xxx"))</f>
        <v>xxx</v>
      </c>
      <c r="J439" s="18" t="str">
        <f>IF(装备表!$O584=0,"xxx",IFERROR(IF(INT(IF($D439=J$3,装备表!$E584,"xxx")/10000)=1,IF($D439=J$3,装备表!$E584,"xxx")&amp;":2,1,1,"&amp;装备表!$O584&amp;";","xxx"),"xxx"))</f>
        <v>xxx</v>
      </c>
    </row>
    <row r="440" spans="4:10" x14ac:dyDescent="0.2">
      <c r="D440" s="18">
        <f>装备表!L585</f>
        <v>0</v>
      </c>
      <c r="E440" s="18" t="str">
        <f>IF(装备表!$O585=0,"xxx",IFERROR(IF(INT(IF($D440=E$3,装备表!$E585,"xxx")/10000)=1,IF($D440=E$3,装备表!$E585,"xxx")&amp;":2,1,1,"&amp;装备表!$O585&amp;";","xxx"),"xxx"))</f>
        <v>xxx</v>
      </c>
      <c r="F440" s="18" t="str">
        <f>IF(装备表!$O585=0,"xxx",IFERROR(IF(INT(IF($D440=F$3,装备表!$E585,"xxx")/10000)=1,IF($D440=F$3,装备表!$E585,"xxx")&amp;":2,1,1,"&amp;装备表!$O585&amp;";","xxx"),"xxx"))</f>
        <v>xxx</v>
      </c>
      <c r="G440" s="18" t="str">
        <f>IF(装备表!$O585=0,"xxx",IFERROR(IF(INT(IF($D440=G$3,装备表!$E585,"xxx")/10000)=1,IF($D440=G$3,装备表!$E585,"xxx")&amp;":2,1,1,"&amp;装备表!$O585&amp;";","xxx"),"xxx"))</f>
        <v>xxx</v>
      </c>
      <c r="H440" s="18" t="str">
        <f>IF(装备表!$O585=0,"xxx",IFERROR(IF(INT(IF($D440=H$3,装备表!$E585,"xxx")/10000)=1,IF($D440=H$3,装备表!$E585,"xxx")&amp;":2,1,1,"&amp;装备表!$O585&amp;";","xxx"),"xxx"))</f>
        <v>xxx</v>
      </c>
      <c r="I440" s="18" t="str">
        <f>IF(装备表!$O585=0,"xxx",IFERROR(IF(INT(IF($D440=I$3,装备表!$E585,"xxx")/10000)=1,IF($D440=I$3,装备表!$E585,"xxx")&amp;":2,1,1,"&amp;装备表!$O585&amp;";","xxx"),"xxx"))</f>
        <v>xxx</v>
      </c>
      <c r="J440" s="18" t="str">
        <f>IF(装备表!$O585=0,"xxx",IFERROR(IF(INT(IF($D440=J$3,装备表!$E585,"xxx")/10000)=1,IF($D440=J$3,装备表!$E585,"xxx")&amp;":2,1,1,"&amp;装备表!$O585&amp;";","xxx"),"xxx"))</f>
        <v>xxx</v>
      </c>
    </row>
    <row r="441" spans="4:10" x14ac:dyDescent="0.2">
      <c r="D441" s="18">
        <f>装备表!L586</f>
        <v>0</v>
      </c>
      <c r="E441" s="18" t="str">
        <f>IF(装备表!$O586=0,"xxx",IFERROR(IF(INT(IF($D441=E$3,装备表!$E586,"xxx")/10000)=1,IF($D441=E$3,装备表!$E586,"xxx")&amp;":2,1,1,"&amp;装备表!$O586&amp;";","xxx"),"xxx"))</f>
        <v>xxx</v>
      </c>
      <c r="F441" s="18" t="str">
        <f>IF(装备表!$O586=0,"xxx",IFERROR(IF(INT(IF($D441=F$3,装备表!$E586,"xxx")/10000)=1,IF($D441=F$3,装备表!$E586,"xxx")&amp;":2,1,1,"&amp;装备表!$O586&amp;";","xxx"),"xxx"))</f>
        <v>xxx</v>
      </c>
      <c r="G441" s="18" t="str">
        <f>IF(装备表!$O586=0,"xxx",IFERROR(IF(INT(IF($D441=G$3,装备表!$E586,"xxx")/10000)=1,IF($D441=G$3,装备表!$E586,"xxx")&amp;":2,1,1,"&amp;装备表!$O586&amp;";","xxx"),"xxx"))</f>
        <v>xxx</v>
      </c>
      <c r="H441" s="18" t="str">
        <f>IF(装备表!$O586=0,"xxx",IFERROR(IF(INT(IF($D441=H$3,装备表!$E586,"xxx")/10000)=1,IF($D441=H$3,装备表!$E586,"xxx")&amp;":2,1,1,"&amp;装备表!$O586&amp;";","xxx"),"xxx"))</f>
        <v>xxx</v>
      </c>
      <c r="I441" s="18" t="str">
        <f>IF(装备表!$O586=0,"xxx",IFERROR(IF(INT(IF($D441=I$3,装备表!$E586,"xxx")/10000)=1,IF($D441=I$3,装备表!$E586,"xxx")&amp;":2,1,1,"&amp;装备表!$O586&amp;";","xxx"),"xxx"))</f>
        <v>xxx</v>
      </c>
      <c r="J441" s="18" t="str">
        <f>IF(装备表!$O586=0,"xxx",IFERROR(IF(INT(IF($D441=J$3,装备表!$E586,"xxx")/10000)=1,IF($D441=J$3,装备表!$E586,"xxx")&amp;":2,1,1,"&amp;装备表!$O586&amp;";","xxx"),"xxx"))</f>
        <v>xxx</v>
      </c>
    </row>
    <row r="442" spans="4:10" x14ac:dyDescent="0.2">
      <c r="D442" s="18">
        <f>装备表!L587</f>
        <v>0</v>
      </c>
      <c r="E442" s="18" t="str">
        <f>IF(装备表!$O587=0,"xxx",IFERROR(IF(INT(IF($D442=E$3,装备表!$E587,"xxx")/10000)=1,IF($D442=E$3,装备表!$E587,"xxx")&amp;":2,1,1,"&amp;装备表!$O587&amp;";","xxx"),"xxx"))</f>
        <v>xxx</v>
      </c>
      <c r="F442" s="18" t="str">
        <f>IF(装备表!$O587=0,"xxx",IFERROR(IF(INT(IF($D442=F$3,装备表!$E587,"xxx")/10000)=1,IF($D442=F$3,装备表!$E587,"xxx")&amp;":2,1,1,"&amp;装备表!$O587&amp;";","xxx"),"xxx"))</f>
        <v>xxx</v>
      </c>
      <c r="G442" s="18" t="str">
        <f>IF(装备表!$O587=0,"xxx",IFERROR(IF(INT(IF($D442=G$3,装备表!$E587,"xxx")/10000)=1,IF($D442=G$3,装备表!$E587,"xxx")&amp;":2,1,1,"&amp;装备表!$O587&amp;";","xxx"),"xxx"))</f>
        <v>xxx</v>
      </c>
      <c r="H442" s="18" t="str">
        <f>IF(装备表!$O587=0,"xxx",IFERROR(IF(INT(IF($D442=H$3,装备表!$E587,"xxx")/10000)=1,IF($D442=H$3,装备表!$E587,"xxx")&amp;":2,1,1,"&amp;装备表!$O587&amp;";","xxx"),"xxx"))</f>
        <v>xxx</v>
      </c>
      <c r="I442" s="18" t="str">
        <f>IF(装备表!$O587=0,"xxx",IFERROR(IF(INT(IF($D442=I$3,装备表!$E587,"xxx")/10000)=1,IF($D442=I$3,装备表!$E587,"xxx")&amp;":2,1,1,"&amp;装备表!$O587&amp;";","xxx"),"xxx"))</f>
        <v>xxx</v>
      </c>
      <c r="J442" s="18" t="str">
        <f>IF(装备表!$O587=0,"xxx",IFERROR(IF(INT(IF($D442=J$3,装备表!$E587,"xxx")/10000)=1,IF($D442=J$3,装备表!$E587,"xxx")&amp;":2,1,1,"&amp;装备表!$O587&amp;";","xxx"),"xxx"))</f>
        <v>xxx</v>
      </c>
    </row>
    <row r="443" spans="4:10" x14ac:dyDescent="0.2">
      <c r="D443" s="18">
        <f>装备表!L588</f>
        <v>0</v>
      </c>
      <c r="E443" s="18" t="str">
        <f>IF(装备表!$O588=0,"xxx",IFERROR(IF(INT(IF($D443=E$3,装备表!$E588,"xxx")/10000)=1,IF($D443=E$3,装备表!$E588,"xxx")&amp;":2,1,1,"&amp;装备表!$O588&amp;";","xxx"),"xxx"))</f>
        <v>xxx</v>
      </c>
      <c r="F443" s="18" t="str">
        <f>IF(装备表!$O588=0,"xxx",IFERROR(IF(INT(IF($D443=F$3,装备表!$E588,"xxx")/10000)=1,IF($D443=F$3,装备表!$E588,"xxx")&amp;":2,1,1,"&amp;装备表!$O588&amp;";","xxx"),"xxx"))</f>
        <v>xxx</v>
      </c>
      <c r="G443" s="18" t="str">
        <f>IF(装备表!$O588=0,"xxx",IFERROR(IF(INT(IF($D443=G$3,装备表!$E588,"xxx")/10000)=1,IF($D443=G$3,装备表!$E588,"xxx")&amp;":2,1,1,"&amp;装备表!$O588&amp;";","xxx"),"xxx"))</f>
        <v>xxx</v>
      </c>
      <c r="H443" s="18" t="str">
        <f>IF(装备表!$O588=0,"xxx",IFERROR(IF(INT(IF($D443=H$3,装备表!$E588,"xxx")/10000)=1,IF($D443=H$3,装备表!$E588,"xxx")&amp;":2,1,1,"&amp;装备表!$O588&amp;";","xxx"),"xxx"))</f>
        <v>xxx</v>
      </c>
      <c r="I443" s="18" t="str">
        <f>IF(装备表!$O588=0,"xxx",IFERROR(IF(INT(IF($D443=I$3,装备表!$E588,"xxx")/10000)=1,IF($D443=I$3,装备表!$E588,"xxx")&amp;":2,1,1,"&amp;装备表!$O588&amp;";","xxx"),"xxx"))</f>
        <v>xxx</v>
      </c>
      <c r="J443" s="18" t="str">
        <f>IF(装备表!$O588=0,"xxx",IFERROR(IF(INT(IF($D443=J$3,装备表!$E588,"xxx")/10000)=1,IF($D443=J$3,装备表!$E588,"xxx")&amp;":2,1,1,"&amp;装备表!$O588&amp;";","xxx"),"xxx"))</f>
        <v>xxx</v>
      </c>
    </row>
    <row r="444" spans="4:10" x14ac:dyDescent="0.2">
      <c r="D444" s="18">
        <f>装备表!L589</f>
        <v>0</v>
      </c>
      <c r="E444" s="18" t="str">
        <f>IF(装备表!$O589=0,"xxx",IFERROR(IF(INT(IF($D444=E$3,装备表!$E589,"xxx")/10000)=1,IF($D444=E$3,装备表!$E589,"xxx")&amp;":2,1,1,"&amp;装备表!$O589&amp;";","xxx"),"xxx"))</f>
        <v>xxx</v>
      </c>
      <c r="F444" s="18" t="str">
        <f>IF(装备表!$O589=0,"xxx",IFERROR(IF(INT(IF($D444=F$3,装备表!$E589,"xxx")/10000)=1,IF($D444=F$3,装备表!$E589,"xxx")&amp;":2,1,1,"&amp;装备表!$O589&amp;";","xxx"),"xxx"))</f>
        <v>xxx</v>
      </c>
      <c r="G444" s="18" t="str">
        <f>IF(装备表!$O589=0,"xxx",IFERROR(IF(INT(IF($D444=G$3,装备表!$E589,"xxx")/10000)=1,IF($D444=G$3,装备表!$E589,"xxx")&amp;":2,1,1,"&amp;装备表!$O589&amp;";","xxx"),"xxx"))</f>
        <v>xxx</v>
      </c>
      <c r="H444" s="18" t="str">
        <f>IF(装备表!$O589=0,"xxx",IFERROR(IF(INT(IF($D444=H$3,装备表!$E589,"xxx")/10000)=1,IF($D444=H$3,装备表!$E589,"xxx")&amp;":2,1,1,"&amp;装备表!$O589&amp;";","xxx"),"xxx"))</f>
        <v>xxx</v>
      </c>
      <c r="I444" s="18" t="str">
        <f>IF(装备表!$O589=0,"xxx",IFERROR(IF(INT(IF($D444=I$3,装备表!$E589,"xxx")/10000)=1,IF($D444=I$3,装备表!$E589,"xxx")&amp;":2,1,1,"&amp;装备表!$O589&amp;";","xxx"),"xxx"))</f>
        <v>xxx</v>
      </c>
      <c r="J444" s="18" t="str">
        <f>IF(装备表!$O589=0,"xxx",IFERROR(IF(INT(IF($D444=J$3,装备表!$E589,"xxx")/10000)=1,IF($D444=J$3,装备表!$E589,"xxx")&amp;":2,1,1,"&amp;装备表!$O589&amp;";","xxx"),"xxx"))</f>
        <v>xxx</v>
      </c>
    </row>
    <row r="445" spans="4:10" x14ac:dyDescent="0.2">
      <c r="D445" s="18">
        <f>装备表!L590</f>
        <v>0</v>
      </c>
      <c r="E445" s="18" t="str">
        <f>IF(装备表!$O590=0,"xxx",IFERROR(IF(INT(IF($D445=E$3,装备表!$E590,"xxx")/10000)=1,IF($D445=E$3,装备表!$E590,"xxx")&amp;":2,1,1,"&amp;装备表!$O590&amp;";","xxx"),"xxx"))</f>
        <v>xxx</v>
      </c>
      <c r="F445" s="18" t="str">
        <f>IF(装备表!$O590=0,"xxx",IFERROR(IF(INT(IF($D445=F$3,装备表!$E590,"xxx")/10000)=1,IF($D445=F$3,装备表!$E590,"xxx")&amp;":2,1,1,"&amp;装备表!$O590&amp;";","xxx"),"xxx"))</f>
        <v>xxx</v>
      </c>
      <c r="G445" s="18" t="str">
        <f>IF(装备表!$O590=0,"xxx",IFERROR(IF(INT(IF($D445=G$3,装备表!$E590,"xxx")/10000)=1,IF($D445=G$3,装备表!$E590,"xxx")&amp;":2,1,1,"&amp;装备表!$O590&amp;";","xxx"),"xxx"))</f>
        <v>xxx</v>
      </c>
      <c r="H445" s="18" t="str">
        <f>IF(装备表!$O590=0,"xxx",IFERROR(IF(INT(IF($D445=H$3,装备表!$E590,"xxx")/10000)=1,IF($D445=H$3,装备表!$E590,"xxx")&amp;":2,1,1,"&amp;装备表!$O590&amp;";","xxx"),"xxx"))</f>
        <v>xxx</v>
      </c>
      <c r="I445" s="18" t="str">
        <f>IF(装备表!$O590=0,"xxx",IFERROR(IF(INT(IF($D445=I$3,装备表!$E590,"xxx")/10000)=1,IF($D445=I$3,装备表!$E590,"xxx")&amp;":2,1,1,"&amp;装备表!$O590&amp;";","xxx"),"xxx"))</f>
        <v>xxx</v>
      </c>
      <c r="J445" s="18" t="str">
        <f>IF(装备表!$O590=0,"xxx",IFERROR(IF(INT(IF($D445=J$3,装备表!$E590,"xxx")/10000)=1,IF($D445=J$3,装备表!$E590,"xxx")&amp;":2,1,1,"&amp;装备表!$O590&amp;";","xxx"),"xxx"))</f>
        <v>xxx</v>
      </c>
    </row>
    <row r="446" spans="4:10" x14ac:dyDescent="0.2">
      <c r="D446" s="18">
        <f>装备表!L591</f>
        <v>0</v>
      </c>
      <c r="E446" s="18" t="str">
        <f>IF(装备表!$O591=0,"xxx",IFERROR(IF(INT(IF($D446=E$3,装备表!$E591,"xxx")/10000)=1,IF($D446=E$3,装备表!$E591,"xxx")&amp;":2,1,1,"&amp;装备表!$O591&amp;";","xxx"),"xxx"))</f>
        <v>xxx</v>
      </c>
      <c r="F446" s="18" t="str">
        <f>IF(装备表!$O591=0,"xxx",IFERROR(IF(INT(IF($D446=F$3,装备表!$E591,"xxx")/10000)=1,IF($D446=F$3,装备表!$E591,"xxx")&amp;":2,1,1,"&amp;装备表!$O591&amp;";","xxx"),"xxx"))</f>
        <v>xxx</v>
      </c>
      <c r="G446" s="18" t="str">
        <f>IF(装备表!$O591=0,"xxx",IFERROR(IF(INT(IF($D446=G$3,装备表!$E591,"xxx")/10000)=1,IF($D446=G$3,装备表!$E591,"xxx")&amp;":2,1,1,"&amp;装备表!$O591&amp;";","xxx"),"xxx"))</f>
        <v>xxx</v>
      </c>
      <c r="H446" s="18" t="str">
        <f>IF(装备表!$O591=0,"xxx",IFERROR(IF(INT(IF($D446=H$3,装备表!$E591,"xxx")/10000)=1,IF($D446=H$3,装备表!$E591,"xxx")&amp;":2,1,1,"&amp;装备表!$O591&amp;";","xxx"),"xxx"))</f>
        <v>xxx</v>
      </c>
      <c r="I446" s="18" t="str">
        <f>IF(装备表!$O591=0,"xxx",IFERROR(IF(INT(IF($D446=I$3,装备表!$E591,"xxx")/10000)=1,IF($D446=I$3,装备表!$E591,"xxx")&amp;":2,1,1,"&amp;装备表!$O591&amp;";","xxx"),"xxx"))</f>
        <v>xxx</v>
      </c>
      <c r="J446" s="18" t="str">
        <f>IF(装备表!$O591=0,"xxx",IFERROR(IF(INT(IF($D446=J$3,装备表!$E591,"xxx")/10000)=1,IF($D446=J$3,装备表!$E591,"xxx")&amp;":2,1,1,"&amp;装备表!$O591&amp;";","xxx"),"xxx"))</f>
        <v>xxx</v>
      </c>
    </row>
    <row r="447" spans="4:10" x14ac:dyDescent="0.2">
      <c r="D447" s="18">
        <f>装备表!L592</f>
        <v>0</v>
      </c>
      <c r="E447" s="18" t="str">
        <f>IF(装备表!$O592=0,"xxx",IFERROR(IF(INT(IF($D447=E$3,装备表!$E592,"xxx")/10000)=1,IF($D447=E$3,装备表!$E592,"xxx")&amp;":2,1,1,"&amp;装备表!$O592&amp;";","xxx"),"xxx"))</f>
        <v>xxx</v>
      </c>
      <c r="F447" s="18" t="str">
        <f>IF(装备表!$O592=0,"xxx",IFERROR(IF(INT(IF($D447=F$3,装备表!$E592,"xxx")/10000)=1,IF($D447=F$3,装备表!$E592,"xxx")&amp;":2,1,1,"&amp;装备表!$O592&amp;";","xxx"),"xxx"))</f>
        <v>xxx</v>
      </c>
      <c r="G447" s="18" t="str">
        <f>IF(装备表!$O592=0,"xxx",IFERROR(IF(INT(IF($D447=G$3,装备表!$E592,"xxx")/10000)=1,IF($D447=G$3,装备表!$E592,"xxx")&amp;":2,1,1,"&amp;装备表!$O592&amp;";","xxx"),"xxx"))</f>
        <v>xxx</v>
      </c>
      <c r="H447" s="18" t="str">
        <f>IF(装备表!$O592=0,"xxx",IFERROR(IF(INT(IF($D447=H$3,装备表!$E592,"xxx")/10000)=1,IF($D447=H$3,装备表!$E592,"xxx")&amp;":2,1,1,"&amp;装备表!$O592&amp;";","xxx"),"xxx"))</f>
        <v>xxx</v>
      </c>
      <c r="I447" s="18" t="str">
        <f>IF(装备表!$O592=0,"xxx",IFERROR(IF(INT(IF($D447=I$3,装备表!$E592,"xxx")/10000)=1,IF($D447=I$3,装备表!$E592,"xxx")&amp;":2,1,1,"&amp;装备表!$O592&amp;";","xxx"),"xxx"))</f>
        <v>xxx</v>
      </c>
      <c r="J447" s="18" t="str">
        <f>IF(装备表!$O592=0,"xxx",IFERROR(IF(INT(IF($D447=J$3,装备表!$E592,"xxx")/10000)=1,IF($D447=J$3,装备表!$E592,"xxx")&amp;":2,1,1,"&amp;装备表!$O592&amp;";","xxx"),"xxx"))</f>
        <v>xxx</v>
      </c>
    </row>
    <row r="448" spans="4:10" x14ac:dyDescent="0.2">
      <c r="D448" s="18">
        <f>装备表!L593</f>
        <v>0</v>
      </c>
      <c r="E448" s="18" t="str">
        <f>IF(装备表!$O593=0,"xxx",IFERROR(IF(INT(IF($D448=E$3,装备表!$E593,"xxx")/10000)=1,IF($D448=E$3,装备表!$E593,"xxx")&amp;":2,1,1,"&amp;装备表!$O593&amp;";","xxx"),"xxx"))</f>
        <v>xxx</v>
      </c>
      <c r="F448" s="18" t="str">
        <f>IF(装备表!$O593=0,"xxx",IFERROR(IF(INT(IF($D448=F$3,装备表!$E593,"xxx")/10000)=1,IF($D448=F$3,装备表!$E593,"xxx")&amp;":2,1,1,"&amp;装备表!$O593&amp;";","xxx"),"xxx"))</f>
        <v>xxx</v>
      </c>
      <c r="G448" s="18" t="str">
        <f>IF(装备表!$O593=0,"xxx",IFERROR(IF(INT(IF($D448=G$3,装备表!$E593,"xxx")/10000)=1,IF($D448=G$3,装备表!$E593,"xxx")&amp;":2,1,1,"&amp;装备表!$O593&amp;";","xxx"),"xxx"))</f>
        <v>xxx</v>
      </c>
      <c r="H448" s="18" t="str">
        <f>IF(装备表!$O593=0,"xxx",IFERROR(IF(INT(IF($D448=H$3,装备表!$E593,"xxx")/10000)=1,IF($D448=H$3,装备表!$E593,"xxx")&amp;":2,1,1,"&amp;装备表!$O593&amp;";","xxx"),"xxx"))</f>
        <v>xxx</v>
      </c>
      <c r="I448" s="18" t="str">
        <f>IF(装备表!$O593=0,"xxx",IFERROR(IF(INT(IF($D448=I$3,装备表!$E593,"xxx")/10000)=1,IF($D448=I$3,装备表!$E593,"xxx")&amp;":2,1,1,"&amp;装备表!$O593&amp;";","xxx"),"xxx"))</f>
        <v>xxx</v>
      </c>
      <c r="J448" s="18" t="str">
        <f>IF(装备表!$O593=0,"xxx",IFERROR(IF(INT(IF($D448=J$3,装备表!$E593,"xxx")/10000)=1,IF($D448=J$3,装备表!$E593,"xxx")&amp;":2,1,1,"&amp;装备表!$O593&amp;";","xxx"),"xxx"))</f>
        <v>xxx</v>
      </c>
    </row>
    <row r="449" spans="4:10" x14ac:dyDescent="0.2">
      <c r="D449" s="18">
        <f>装备表!L594</f>
        <v>0</v>
      </c>
      <c r="E449" s="18" t="str">
        <f>IF(装备表!$O594=0,"xxx",IFERROR(IF(INT(IF($D449=E$3,装备表!$E594,"xxx")/10000)=1,IF($D449=E$3,装备表!$E594,"xxx")&amp;":2,1,1,"&amp;装备表!$O594&amp;";","xxx"),"xxx"))</f>
        <v>xxx</v>
      </c>
      <c r="F449" s="18" t="str">
        <f>IF(装备表!$O594=0,"xxx",IFERROR(IF(INT(IF($D449=F$3,装备表!$E594,"xxx")/10000)=1,IF($D449=F$3,装备表!$E594,"xxx")&amp;":2,1,1,"&amp;装备表!$O594&amp;";","xxx"),"xxx"))</f>
        <v>xxx</v>
      </c>
      <c r="G449" s="18" t="str">
        <f>IF(装备表!$O594=0,"xxx",IFERROR(IF(INT(IF($D449=G$3,装备表!$E594,"xxx")/10000)=1,IF($D449=G$3,装备表!$E594,"xxx")&amp;":2,1,1,"&amp;装备表!$O594&amp;";","xxx"),"xxx"))</f>
        <v>xxx</v>
      </c>
      <c r="H449" s="18" t="str">
        <f>IF(装备表!$O594=0,"xxx",IFERROR(IF(INT(IF($D449=H$3,装备表!$E594,"xxx")/10000)=1,IF($D449=H$3,装备表!$E594,"xxx")&amp;":2,1,1,"&amp;装备表!$O594&amp;";","xxx"),"xxx"))</f>
        <v>xxx</v>
      </c>
      <c r="I449" s="18" t="str">
        <f>IF(装备表!$O594=0,"xxx",IFERROR(IF(INT(IF($D449=I$3,装备表!$E594,"xxx")/10000)=1,IF($D449=I$3,装备表!$E594,"xxx")&amp;":2,1,1,"&amp;装备表!$O594&amp;";","xxx"),"xxx"))</f>
        <v>xxx</v>
      </c>
      <c r="J449" s="18" t="str">
        <f>IF(装备表!$O594=0,"xxx",IFERROR(IF(INT(IF($D449=J$3,装备表!$E594,"xxx")/10000)=1,IF($D449=J$3,装备表!$E594,"xxx")&amp;":2,1,1,"&amp;装备表!$O594&amp;";","xxx"),"xxx"))</f>
        <v>xxx</v>
      </c>
    </row>
    <row r="450" spans="4:10" x14ac:dyDescent="0.2">
      <c r="D450" s="18">
        <f>装备表!L595</f>
        <v>0</v>
      </c>
      <c r="E450" s="18" t="str">
        <f>IF(装备表!$O595=0,"xxx",IFERROR(IF(INT(IF($D450=E$3,装备表!$E595,"xxx")/10000)=1,IF($D450=E$3,装备表!$E595,"xxx")&amp;":2,1,1,"&amp;装备表!$O595&amp;";","xxx"),"xxx"))</f>
        <v>xxx</v>
      </c>
      <c r="F450" s="18" t="str">
        <f>IF(装备表!$O595=0,"xxx",IFERROR(IF(INT(IF($D450=F$3,装备表!$E595,"xxx")/10000)=1,IF($D450=F$3,装备表!$E595,"xxx")&amp;":2,1,1,"&amp;装备表!$O595&amp;";","xxx"),"xxx"))</f>
        <v>xxx</v>
      </c>
      <c r="G450" s="18" t="str">
        <f>IF(装备表!$O595=0,"xxx",IFERROR(IF(INT(IF($D450=G$3,装备表!$E595,"xxx")/10000)=1,IF($D450=G$3,装备表!$E595,"xxx")&amp;":2,1,1,"&amp;装备表!$O595&amp;";","xxx"),"xxx"))</f>
        <v>xxx</v>
      </c>
      <c r="H450" s="18" t="str">
        <f>IF(装备表!$O595=0,"xxx",IFERROR(IF(INT(IF($D450=H$3,装备表!$E595,"xxx")/10000)=1,IF($D450=H$3,装备表!$E595,"xxx")&amp;":2,1,1,"&amp;装备表!$O595&amp;";","xxx"),"xxx"))</f>
        <v>xxx</v>
      </c>
      <c r="I450" s="18" t="str">
        <f>IF(装备表!$O595=0,"xxx",IFERROR(IF(INT(IF($D450=I$3,装备表!$E595,"xxx")/10000)=1,IF($D450=I$3,装备表!$E595,"xxx")&amp;":2,1,1,"&amp;装备表!$O595&amp;";","xxx"),"xxx"))</f>
        <v>xxx</v>
      </c>
      <c r="J450" s="18" t="str">
        <f>IF(装备表!$O595=0,"xxx",IFERROR(IF(INT(IF($D450=J$3,装备表!$E595,"xxx")/10000)=1,IF($D450=J$3,装备表!$E595,"xxx")&amp;":2,1,1,"&amp;装备表!$O595&amp;";","xxx"),"xxx"))</f>
        <v>xxx</v>
      </c>
    </row>
    <row r="451" spans="4:10" x14ac:dyDescent="0.2">
      <c r="D451" s="18">
        <f>装备表!L596</f>
        <v>0</v>
      </c>
      <c r="E451" s="18" t="str">
        <f>IF(装备表!$O596=0,"xxx",IFERROR(IF(INT(IF($D451=E$3,装备表!$E596,"xxx")/10000)=1,IF($D451=E$3,装备表!$E596,"xxx")&amp;":2,1,1,"&amp;装备表!$O596&amp;";","xxx"),"xxx"))</f>
        <v>xxx</v>
      </c>
      <c r="F451" s="18" t="str">
        <f>IF(装备表!$O596=0,"xxx",IFERROR(IF(INT(IF($D451=F$3,装备表!$E596,"xxx")/10000)=1,IF($D451=F$3,装备表!$E596,"xxx")&amp;":2,1,1,"&amp;装备表!$O596&amp;";","xxx"),"xxx"))</f>
        <v>xxx</v>
      </c>
      <c r="G451" s="18" t="str">
        <f>IF(装备表!$O596=0,"xxx",IFERROR(IF(INT(IF($D451=G$3,装备表!$E596,"xxx")/10000)=1,IF($D451=G$3,装备表!$E596,"xxx")&amp;":2,1,1,"&amp;装备表!$O596&amp;";","xxx"),"xxx"))</f>
        <v>xxx</v>
      </c>
      <c r="H451" s="18" t="str">
        <f>IF(装备表!$O596=0,"xxx",IFERROR(IF(INT(IF($D451=H$3,装备表!$E596,"xxx")/10000)=1,IF($D451=H$3,装备表!$E596,"xxx")&amp;":2,1,1,"&amp;装备表!$O596&amp;";","xxx"),"xxx"))</f>
        <v>xxx</v>
      </c>
      <c r="I451" s="18" t="str">
        <f>IF(装备表!$O596=0,"xxx",IFERROR(IF(INT(IF($D451=I$3,装备表!$E596,"xxx")/10000)=1,IF($D451=I$3,装备表!$E596,"xxx")&amp;":2,1,1,"&amp;装备表!$O596&amp;";","xxx"),"xxx"))</f>
        <v>xxx</v>
      </c>
      <c r="J451" s="18" t="str">
        <f>IF(装备表!$O596=0,"xxx",IFERROR(IF(INT(IF($D451=J$3,装备表!$E596,"xxx")/10000)=1,IF($D451=J$3,装备表!$E596,"xxx")&amp;":2,1,1,"&amp;装备表!$O596&amp;";","xxx"),"xxx"))</f>
        <v>xxx</v>
      </c>
    </row>
    <row r="452" spans="4:10" x14ac:dyDescent="0.2">
      <c r="D452" s="18">
        <f>装备表!L597</f>
        <v>0</v>
      </c>
      <c r="E452" s="18" t="str">
        <f>IF(装备表!$O597=0,"xxx",IFERROR(IF(INT(IF($D452=E$3,装备表!$E597,"xxx")/10000)=1,IF($D452=E$3,装备表!$E597,"xxx")&amp;":2,1,1,"&amp;装备表!$O597&amp;";","xxx"),"xxx"))</f>
        <v>xxx</v>
      </c>
      <c r="F452" s="18" t="str">
        <f>IF(装备表!$O597=0,"xxx",IFERROR(IF(INT(IF($D452=F$3,装备表!$E597,"xxx")/10000)=1,IF($D452=F$3,装备表!$E597,"xxx")&amp;":2,1,1,"&amp;装备表!$O597&amp;";","xxx"),"xxx"))</f>
        <v>xxx</v>
      </c>
      <c r="G452" s="18" t="str">
        <f>IF(装备表!$O597=0,"xxx",IFERROR(IF(INT(IF($D452=G$3,装备表!$E597,"xxx")/10000)=1,IF($D452=G$3,装备表!$E597,"xxx")&amp;":2,1,1,"&amp;装备表!$O597&amp;";","xxx"),"xxx"))</f>
        <v>xxx</v>
      </c>
      <c r="H452" s="18" t="str">
        <f>IF(装备表!$O597=0,"xxx",IFERROR(IF(INT(IF($D452=H$3,装备表!$E597,"xxx")/10000)=1,IF($D452=H$3,装备表!$E597,"xxx")&amp;":2,1,1,"&amp;装备表!$O597&amp;";","xxx"),"xxx"))</f>
        <v>xxx</v>
      </c>
      <c r="I452" s="18" t="str">
        <f>IF(装备表!$O597=0,"xxx",IFERROR(IF(INT(IF($D452=I$3,装备表!$E597,"xxx")/10000)=1,IF($D452=I$3,装备表!$E597,"xxx")&amp;":2,1,1,"&amp;装备表!$O597&amp;";","xxx"),"xxx"))</f>
        <v>xxx</v>
      </c>
      <c r="J452" s="18" t="str">
        <f>IF(装备表!$O597=0,"xxx",IFERROR(IF(INT(IF($D452=J$3,装备表!$E597,"xxx")/10000)=1,IF($D452=J$3,装备表!$E597,"xxx")&amp;":2,1,1,"&amp;装备表!$O597&amp;";","xxx"),"xxx"))</f>
        <v>xxx</v>
      </c>
    </row>
    <row r="453" spans="4:10" x14ac:dyDescent="0.2">
      <c r="D453" s="18">
        <f>装备表!L598</f>
        <v>0</v>
      </c>
      <c r="E453" s="18" t="str">
        <f>IF(装备表!$O598=0,"xxx",IFERROR(IF(INT(IF($D453=E$3,装备表!$E598,"xxx")/10000)=1,IF($D453=E$3,装备表!$E598,"xxx")&amp;":2,1,1,"&amp;装备表!$O598&amp;";","xxx"),"xxx"))</f>
        <v>xxx</v>
      </c>
      <c r="F453" s="18" t="str">
        <f>IF(装备表!$O598=0,"xxx",IFERROR(IF(INT(IF($D453=F$3,装备表!$E598,"xxx")/10000)=1,IF($D453=F$3,装备表!$E598,"xxx")&amp;":2,1,1,"&amp;装备表!$O598&amp;";","xxx"),"xxx"))</f>
        <v>xxx</v>
      </c>
      <c r="G453" s="18" t="str">
        <f>IF(装备表!$O598=0,"xxx",IFERROR(IF(INT(IF($D453=G$3,装备表!$E598,"xxx")/10000)=1,IF($D453=G$3,装备表!$E598,"xxx")&amp;":2,1,1,"&amp;装备表!$O598&amp;";","xxx"),"xxx"))</f>
        <v>xxx</v>
      </c>
      <c r="H453" s="18" t="str">
        <f>IF(装备表!$O598=0,"xxx",IFERROR(IF(INT(IF($D453=H$3,装备表!$E598,"xxx")/10000)=1,IF($D453=H$3,装备表!$E598,"xxx")&amp;":2,1,1,"&amp;装备表!$O598&amp;";","xxx"),"xxx"))</f>
        <v>xxx</v>
      </c>
      <c r="I453" s="18" t="str">
        <f>IF(装备表!$O598=0,"xxx",IFERROR(IF(INT(IF($D453=I$3,装备表!$E598,"xxx")/10000)=1,IF($D453=I$3,装备表!$E598,"xxx")&amp;":2,1,1,"&amp;装备表!$O598&amp;";","xxx"),"xxx"))</f>
        <v>xxx</v>
      </c>
      <c r="J453" s="18" t="str">
        <f>IF(装备表!$O598=0,"xxx",IFERROR(IF(INT(IF($D453=J$3,装备表!$E598,"xxx")/10000)=1,IF($D453=J$3,装备表!$E598,"xxx")&amp;":2,1,1,"&amp;装备表!$O598&amp;";","xxx"),"xxx"))</f>
        <v>xxx</v>
      </c>
    </row>
    <row r="454" spans="4:10" x14ac:dyDescent="0.2">
      <c r="D454" s="18">
        <f>装备表!L599</f>
        <v>0</v>
      </c>
      <c r="E454" s="18" t="str">
        <f>IF(装备表!$O599=0,"xxx",IFERROR(IF(INT(IF($D454=E$3,装备表!$E599,"xxx")/10000)=1,IF($D454=E$3,装备表!$E599,"xxx")&amp;":2,1,1,"&amp;装备表!$O599&amp;";","xxx"),"xxx"))</f>
        <v>xxx</v>
      </c>
      <c r="F454" s="18" t="str">
        <f>IF(装备表!$O599=0,"xxx",IFERROR(IF(INT(IF($D454=F$3,装备表!$E599,"xxx")/10000)=1,IF($D454=F$3,装备表!$E599,"xxx")&amp;":2,1,1,"&amp;装备表!$O599&amp;";","xxx"),"xxx"))</f>
        <v>xxx</v>
      </c>
      <c r="G454" s="18" t="str">
        <f>IF(装备表!$O599=0,"xxx",IFERROR(IF(INT(IF($D454=G$3,装备表!$E599,"xxx")/10000)=1,IF($D454=G$3,装备表!$E599,"xxx")&amp;":2,1,1,"&amp;装备表!$O599&amp;";","xxx"),"xxx"))</f>
        <v>xxx</v>
      </c>
      <c r="H454" s="18" t="str">
        <f>IF(装备表!$O599=0,"xxx",IFERROR(IF(INT(IF($D454=H$3,装备表!$E599,"xxx")/10000)=1,IF($D454=H$3,装备表!$E599,"xxx")&amp;":2,1,1,"&amp;装备表!$O599&amp;";","xxx"),"xxx"))</f>
        <v>xxx</v>
      </c>
      <c r="I454" s="18" t="str">
        <f>IF(装备表!$O599=0,"xxx",IFERROR(IF(INT(IF($D454=I$3,装备表!$E599,"xxx")/10000)=1,IF($D454=I$3,装备表!$E599,"xxx")&amp;":2,1,1,"&amp;装备表!$O599&amp;";","xxx"),"xxx"))</f>
        <v>xxx</v>
      </c>
      <c r="J454" s="18" t="str">
        <f>IF(装备表!$O599=0,"xxx",IFERROR(IF(INT(IF($D454=J$3,装备表!$E599,"xxx")/10000)=1,IF($D454=J$3,装备表!$E599,"xxx")&amp;":2,1,1,"&amp;装备表!$O599&amp;";","xxx"),"xxx"))</f>
        <v>xxx</v>
      </c>
    </row>
    <row r="455" spans="4:10" x14ac:dyDescent="0.2">
      <c r="D455" s="18">
        <f>装备表!L600</f>
        <v>0</v>
      </c>
      <c r="E455" s="18" t="str">
        <f>IF(装备表!$O600=0,"xxx",IFERROR(IF(INT(IF($D455=E$3,装备表!$E600,"xxx")/10000)=1,IF($D455=E$3,装备表!$E600,"xxx")&amp;":2,1,1,"&amp;装备表!$O600&amp;";","xxx"),"xxx"))</f>
        <v>xxx</v>
      </c>
      <c r="F455" s="18" t="str">
        <f>IF(装备表!$O600=0,"xxx",IFERROR(IF(INT(IF($D455=F$3,装备表!$E600,"xxx")/10000)=1,IF($D455=F$3,装备表!$E600,"xxx")&amp;":2,1,1,"&amp;装备表!$O600&amp;";","xxx"),"xxx"))</f>
        <v>xxx</v>
      </c>
      <c r="G455" s="18" t="str">
        <f>IF(装备表!$O600=0,"xxx",IFERROR(IF(INT(IF($D455=G$3,装备表!$E600,"xxx")/10000)=1,IF($D455=G$3,装备表!$E600,"xxx")&amp;":2,1,1,"&amp;装备表!$O600&amp;";","xxx"),"xxx"))</f>
        <v>xxx</v>
      </c>
      <c r="H455" s="18" t="str">
        <f>IF(装备表!$O600=0,"xxx",IFERROR(IF(INT(IF($D455=H$3,装备表!$E600,"xxx")/10000)=1,IF($D455=H$3,装备表!$E600,"xxx")&amp;":2,1,1,"&amp;装备表!$O600&amp;";","xxx"),"xxx"))</f>
        <v>xxx</v>
      </c>
      <c r="I455" s="18" t="str">
        <f>IF(装备表!$O600=0,"xxx",IFERROR(IF(INT(IF($D455=I$3,装备表!$E600,"xxx")/10000)=1,IF($D455=I$3,装备表!$E600,"xxx")&amp;":2,1,1,"&amp;装备表!$O600&amp;";","xxx"),"xxx"))</f>
        <v>xxx</v>
      </c>
      <c r="J455" s="18" t="str">
        <f>IF(装备表!$O600=0,"xxx",IFERROR(IF(INT(IF($D455=J$3,装备表!$E600,"xxx")/10000)=1,IF($D455=J$3,装备表!$E600,"xxx")&amp;":2,1,1,"&amp;装备表!$O600&amp;";","xxx"),"xxx"))</f>
        <v>xxx</v>
      </c>
    </row>
    <row r="456" spans="4:10" x14ac:dyDescent="0.2">
      <c r="D456" s="18">
        <f>装备表!L601</f>
        <v>0</v>
      </c>
      <c r="E456" s="18" t="str">
        <f>IF(装备表!$O601=0,"xxx",IFERROR(IF(INT(IF($D456=E$3,装备表!$E601,"xxx")/10000)=1,IF($D456=E$3,装备表!$E601,"xxx")&amp;":2,1,1,"&amp;装备表!$O601&amp;";","xxx"),"xxx"))</f>
        <v>xxx</v>
      </c>
      <c r="F456" s="18" t="str">
        <f>IF(装备表!$O601=0,"xxx",IFERROR(IF(INT(IF($D456=F$3,装备表!$E601,"xxx")/10000)=1,IF($D456=F$3,装备表!$E601,"xxx")&amp;":2,1,1,"&amp;装备表!$O601&amp;";","xxx"),"xxx"))</f>
        <v>xxx</v>
      </c>
      <c r="G456" s="18" t="str">
        <f>IF(装备表!$O601=0,"xxx",IFERROR(IF(INT(IF($D456=G$3,装备表!$E601,"xxx")/10000)=1,IF($D456=G$3,装备表!$E601,"xxx")&amp;":2,1,1,"&amp;装备表!$O601&amp;";","xxx"),"xxx"))</f>
        <v>xxx</v>
      </c>
      <c r="H456" s="18" t="str">
        <f>IF(装备表!$O601=0,"xxx",IFERROR(IF(INT(IF($D456=H$3,装备表!$E601,"xxx")/10000)=1,IF($D456=H$3,装备表!$E601,"xxx")&amp;":2,1,1,"&amp;装备表!$O601&amp;";","xxx"),"xxx"))</f>
        <v>xxx</v>
      </c>
      <c r="I456" s="18" t="str">
        <f>IF(装备表!$O601=0,"xxx",IFERROR(IF(INT(IF($D456=I$3,装备表!$E601,"xxx")/10000)=1,IF($D456=I$3,装备表!$E601,"xxx")&amp;":2,1,1,"&amp;装备表!$O601&amp;";","xxx"),"xxx"))</f>
        <v>xxx</v>
      </c>
      <c r="J456" s="18" t="str">
        <f>IF(装备表!$O601=0,"xxx",IFERROR(IF(INT(IF($D456=J$3,装备表!$E601,"xxx")/10000)=1,IF($D456=J$3,装备表!$E601,"xxx")&amp;":2,1,1,"&amp;装备表!$O601&amp;";","xxx"),"xxx"))</f>
        <v>xxx</v>
      </c>
    </row>
    <row r="457" spans="4:10" x14ac:dyDescent="0.2">
      <c r="D457" s="18">
        <f>装备表!L602</f>
        <v>0</v>
      </c>
      <c r="E457" s="18" t="str">
        <f>IF(装备表!$O602=0,"xxx",IFERROR(IF(INT(IF($D457=E$3,装备表!$E602,"xxx")/10000)=1,IF($D457=E$3,装备表!$E602,"xxx")&amp;":2,1,1,"&amp;装备表!$O602&amp;";","xxx"),"xxx"))</f>
        <v>xxx</v>
      </c>
      <c r="F457" s="18" t="str">
        <f>IF(装备表!$O602=0,"xxx",IFERROR(IF(INT(IF($D457=F$3,装备表!$E602,"xxx")/10000)=1,IF($D457=F$3,装备表!$E602,"xxx")&amp;":2,1,1,"&amp;装备表!$O602&amp;";","xxx"),"xxx"))</f>
        <v>xxx</v>
      </c>
      <c r="G457" s="18" t="str">
        <f>IF(装备表!$O602=0,"xxx",IFERROR(IF(INT(IF($D457=G$3,装备表!$E602,"xxx")/10000)=1,IF($D457=G$3,装备表!$E602,"xxx")&amp;":2,1,1,"&amp;装备表!$O602&amp;";","xxx"),"xxx"))</f>
        <v>xxx</v>
      </c>
      <c r="H457" s="18" t="str">
        <f>IF(装备表!$O602=0,"xxx",IFERROR(IF(INT(IF($D457=H$3,装备表!$E602,"xxx")/10000)=1,IF($D457=H$3,装备表!$E602,"xxx")&amp;":2,1,1,"&amp;装备表!$O602&amp;";","xxx"),"xxx"))</f>
        <v>xxx</v>
      </c>
      <c r="I457" s="18" t="str">
        <f>IF(装备表!$O602=0,"xxx",IFERROR(IF(INT(IF($D457=I$3,装备表!$E602,"xxx")/10000)=1,IF($D457=I$3,装备表!$E602,"xxx")&amp;":2,1,1,"&amp;装备表!$O602&amp;";","xxx"),"xxx"))</f>
        <v>xxx</v>
      </c>
      <c r="J457" s="18" t="str">
        <f>IF(装备表!$O602=0,"xxx",IFERROR(IF(INT(IF($D457=J$3,装备表!$E602,"xxx")/10000)=1,IF($D457=J$3,装备表!$E602,"xxx")&amp;":2,1,1,"&amp;装备表!$O602&amp;";","xxx"),"xxx"))</f>
        <v>xxx</v>
      </c>
    </row>
    <row r="458" spans="4:10" x14ac:dyDescent="0.2">
      <c r="D458" s="18">
        <f>装备表!L603</f>
        <v>0</v>
      </c>
      <c r="E458" s="18" t="str">
        <f>IF(装备表!$O603=0,"xxx",IFERROR(IF(INT(IF($D458=E$3,装备表!$E603,"xxx")/10000)=1,IF($D458=E$3,装备表!$E603,"xxx")&amp;":2,1,1,"&amp;装备表!$O603&amp;";","xxx"),"xxx"))</f>
        <v>xxx</v>
      </c>
      <c r="F458" s="18" t="str">
        <f>IF(装备表!$O603=0,"xxx",IFERROR(IF(INT(IF($D458=F$3,装备表!$E603,"xxx")/10000)=1,IF($D458=F$3,装备表!$E603,"xxx")&amp;":2,1,1,"&amp;装备表!$O603&amp;";","xxx"),"xxx"))</f>
        <v>xxx</v>
      </c>
      <c r="G458" s="18" t="str">
        <f>IF(装备表!$O603=0,"xxx",IFERROR(IF(INT(IF($D458=G$3,装备表!$E603,"xxx")/10000)=1,IF($D458=G$3,装备表!$E603,"xxx")&amp;":2,1,1,"&amp;装备表!$O603&amp;";","xxx"),"xxx"))</f>
        <v>xxx</v>
      </c>
      <c r="H458" s="18" t="str">
        <f>IF(装备表!$O603=0,"xxx",IFERROR(IF(INT(IF($D458=H$3,装备表!$E603,"xxx")/10000)=1,IF($D458=H$3,装备表!$E603,"xxx")&amp;":2,1,1,"&amp;装备表!$O603&amp;";","xxx"),"xxx"))</f>
        <v>xxx</v>
      </c>
      <c r="I458" s="18" t="str">
        <f>IF(装备表!$O603=0,"xxx",IFERROR(IF(INT(IF($D458=I$3,装备表!$E603,"xxx")/10000)=1,IF($D458=I$3,装备表!$E603,"xxx")&amp;":2,1,1,"&amp;装备表!$O603&amp;";","xxx"),"xxx"))</f>
        <v>xxx</v>
      </c>
      <c r="J458" s="18" t="str">
        <f>IF(装备表!$O603=0,"xxx",IFERROR(IF(INT(IF($D458=J$3,装备表!$E603,"xxx")/10000)=1,IF($D458=J$3,装备表!$E603,"xxx")&amp;":2,1,1,"&amp;装备表!$O603&amp;";","xxx"),"xxx"))</f>
        <v>xxx</v>
      </c>
    </row>
    <row r="459" spans="4:10" x14ac:dyDescent="0.2">
      <c r="D459" s="18">
        <f>装备表!L604</f>
        <v>0</v>
      </c>
      <c r="E459" s="18" t="str">
        <f>IF(装备表!$O604=0,"xxx",IFERROR(IF(INT(IF($D459=E$3,装备表!$E604,"xxx")/10000)=1,IF($D459=E$3,装备表!$E604,"xxx")&amp;":2,1,1,"&amp;装备表!$O604&amp;";","xxx"),"xxx"))</f>
        <v>xxx</v>
      </c>
      <c r="F459" s="18" t="str">
        <f>IF(装备表!$O604=0,"xxx",IFERROR(IF(INT(IF($D459=F$3,装备表!$E604,"xxx")/10000)=1,IF($D459=F$3,装备表!$E604,"xxx")&amp;":2,1,1,"&amp;装备表!$O604&amp;";","xxx"),"xxx"))</f>
        <v>xxx</v>
      </c>
      <c r="G459" s="18" t="str">
        <f>IF(装备表!$O604=0,"xxx",IFERROR(IF(INT(IF($D459=G$3,装备表!$E604,"xxx")/10000)=1,IF($D459=G$3,装备表!$E604,"xxx")&amp;":2,1,1,"&amp;装备表!$O604&amp;";","xxx"),"xxx"))</f>
        <v>xxx</v>
      </c>
      <c r="H459" s="18" t="str">
        <f>IF(装备表!$O604=0,"xxx",IFERROR(IF(INT(IF($D459=H$3,装备表!$E604,"xxx")/10000)=1,IF($D459=H$3,装备表!$E604,"xxx")&amp;":2,1,1,"&amp;装备表!$O604&amp;";","xxx"),"xxx"))</f>
        <v>xxx</v>
      </c>
      <c r="I459" s="18" t="str">
        <f>IF(装备表!$O604=0,"xxx",IFERROR(IF(INT(IF($D459=I$3,装备表!$E604,"xxx")/10000)=1,IF($D459=I$3,装备表!$E604,"xxx")&amp;":2,1,1,"&amp;装备表!$O604&amp;";","xxx"),"xxx"))</f>
        <v>xxx</v>
      </c>
      <c r="J459" s="18" t="str">
        <f>IF(装备表!$O604=0,"xxx",IFERROR(IF(INT(IF($D459=J$3,装备表!$E604,"xxx")/10000)=1,IF($D459=J$3,装备表!$E604,"xxx")&amp;":2,1,1,"&amp;装备表!$O604&amp;";","xxx"),"xxx"))</f>
        <v>xxx</v>
      </c>
    </row>
    <row r="460" spans="4:10" x14ac:dyDescent="0.2">
      <c r="D460" s="18">
        <f>装备表!L605</f>
        <v>0</v>
      </c>
      <c r="E460" s="18" t="str">
        <f>IF(装备表!$O605=0,"xxx",IFERROR(IF(INT(IF($D460=E$3,装备表!$E605,"xxx")/10000)=1,IF($D460=E$3,装备表!$E605,"xxx")&amp;":2,1,1,"&amp;装备表!$O605&amp;";","xxx"),"xxx"))</f>
        <v>xxx</v>
      </c>
      <c r="F460" s="18" t="str">
        <f>IF(装备表!$O605=0,"xxx",IFERROR(IF(INT(IF($D460=F$3,装备表!$E605,"xxx")/10000)=1,IF($D460=F$3,装备表!$E605,"xxx")&amp;":2,1,1,"&amp;装备表!$O605&amp;";","xxx"),"xxx"))</f>
        <v>xxx</v>
      </c>
      <c r="G460" s="18" t="str">
        <f>IF(装备表!$O605=0,"xxx",IFERROR(IF(INT(IF($D460=G$3,装备表!$E605,"xxx")/10000)=1,IF($D460=G$3,装备表!$E605,"xxx")&amp;":2,1,1,"&amp;装备表!$O605&amp;";","xxx"),"xxx"))</f>
        <v>xxx</v>
      </c>
      <c r="H460" s="18" t="str">
        <f>IF(装备表!$O605=0,"xxx",IFERROR(IF(INT(IF($D460=H$3,装备表!$E605,"xxx")/10000)=1,IF($D460=H$3,装备表!$E605,"xxx")&amp;":2,1,1,"&amp;装备表!$O605&amp;";","xxx"),"xxx"))</f>
        <v>xxx</v>
      </c>
      <c r="I460" s="18" t="str">
        <f>IF(装备表!$O605=0,"xxx",IFERROR(IF(INT(IF($D460=I$3,装备表!$E605,"xxx")/10000)=1,IF($D460=I$3,装备表!$E605,"xxx")&amp;":2,1,1,"&amp;装备表!$O605&amp;";","xxx"),"xxx"))</f>
        <v>xxx</v>
      </c>
      <c r="J460" s="18" t="str">
        <f>IF(装备表!$O605=0,"xxx",IFERROR(IF(INT(IF($D460=J$3,装备表!$E605,"xxx")/10000)=1,IF($D460=J$3,装备表!$E605,"xxx")&amp;":2,1,1,"&amp;装备表!$O605&amp;";","xxx"),"xxx"))</f>
        <v>xxx</v>
      </c>
    </row>
    <row r="461" spans="4:10" x14ac:dyDescent="0.2">
      <c r="D461" s="18">
        <f>装备表!L606</f>
        <v>0</v>
      </c>
      <c r="E461" s="18" t="str">
        <f>IF(装备表!$O606=0,"xxx",IFERROR(IF(INT(IF($D461=E$3,装备表!$E606,"xxx")/10000)=1,IF($D461=E$3,装备表!$E606,"xxx")&amp;":2,1,1,"&amp;装备表!$O606&amp;";","xxx"),"xxx"))</f>
        <v>xxx</v>
      </c>
      <c r="F461" s="18" t="str">
        <f>IF(装备表!$O606=0,"xxx",IFERROR(IF(INT(IF($D461=F$3,装备表!$E606,"xxx")/10000)=1,IF($D461=F$3,装备表!$E606,"xxx")&amp;":2,1,1,"&amp;装备表!$O606&amp;";","xxx"),"xxx"))</f>
        <v>xxx</v>
      </c>
      <c r="G461" s="18" t="str">
        <f>IF(装备表!$O606=0,"xxx",IFERROR(IF(INT(IF($D461=G$3,装备表!$E606,"xxx")/10000)=1,IF($D461=G$3,装备表!$E606,"xxx")&amp;":2,1,1,"&amp;装备表!$O606&amp;";","xxx"),"xxx"))</f>
        <v>xxx</v>
      </c>
      <c r="H461" s="18" t="str">
        <f>IF(装备表!$O606=0,"xxx",IFERROR(IF(INT(IF($D461=H$3,装备表!$E606,"xxx")/10000)=1,IF($D461=H$3,装备表!$E606,"xxx")&amp;":2,1,1,"&amp;装备表!$O606&amp;";","xxx"),"xxx"))</f>
        <v>xxx</v>
      </c>
      <c r="I461" s="18" t="str">
        <f>IF(装备表!$O606=0,"xxx",IFERROR(IF(INT(IF($D461=I$3,装备表!$E606,"xxx")/10000)=1,IF($D461=I$3,装备表!$E606,"xxx")&amp;":2,1,1,"&amp;装备表!$O606&amp;";","xxx"),"xxx"))</f>
        <v>xxx</v>
      </c>
      <c r="J461" s="18" t="str">
        <f>IF(装备表!$O606=0,"xxx",IFERROR(IF(INT(IF($D461=J$3,装备表!$E606,"xxx")/10000)=1,IF($D461=J$3,装备表!$E606,"xxx")&amp;":2,1,1,"&amp;装备表!$O606&amp;";","xxx"),"xxx"))</f>
        <v>xxx</v>
      </c>
    </row>
    <row r="462" spans="4:10" x14ac:dyDescent="0.2">
      <c r="D462" s="18">
        <f>装备表!L607</f>
        <v>0</v>
      </c>
      <c r="E462" s="18" t="str">
        <f>IF(装备表!$O607=0,"xxx",IFERROR(IF(INT(IF($D462=E$3,装备表!$E607,"xxx")/10000)=1,IF($D462=E$3,装备表!$E607,"xxx")&amp;":2,1,1,"&amp;装备表!$O607&amp;";","xxx"),"xxx"))</f>
        <v>xxx</v>
      </c>
      <c r="F462" s="18" t="str">
        <f>IF(装备表!$O607=0,"xxx",IFERROR(IF(INT(IF($D462=F$3,装备表!$E607,"xxx")/10000)=1,IF($D462=F$3,装备表!$E607,"xxx")&amp;":2,1,1,"&amp;装备表!$O607&amp;";","xxx"),"xxx"))</f>
        <v>xxx</v>
      </c>
      <c r="G462" s="18" t="str">
        <f>IF(装备表!$O607=0,"xxx",IFERROR(IF(INT(IF($D462=G$3,装备表!$E607,"xxx")/10000)=1,IF($D462=G$3,装备表!$E607,"xxx")&amp;":2,1,1,"&amp;装备表!$O607&amp;";","xxx"),"xxx"))</f>
        <v>xxx</v>
      </c>
      <c r="H462" s="18" t="str">
        <f>IF(装备表!$O607=0,"xxx",IFERROR(IF(INT(IF($D462=H$3,装备表!$E607,"xxx")/10000)=1,IF($D462=H$3,装备表!$E607,"xxx")&amp;":2,1,1,"&amp;装备表!$O607&amp;";","xxx"),"xxx"))</f>
        <v>xxx</v>
      </c>
      <c r="I462" s="18" t="str">
        <f>IF(装备表!$O607=0,"xxx",IFERROR(IF(INT(IF($D462=I$3,装备表!$E607,"xxx")/10000)=1,IF($D462=I$3,装备表!$E607,"xxx")&amp;":2,1,1,"&amp;装备表!$O607&amp;";","xxx"),"xxx"))</f>
        <v>xxx</v>
      </c>
      <c r="J462" s="18" t="str">
        <f>IF(装备表!$O607=0,"xxx",IFERROR(IF(INT(IF($D462=J$3,装备表!$E607,"xxx")/10000)=1,IF($D462=J$3,装备表!$E607,"xxx")&amp;":2,1,1,"&amp;装备表!$O607&amp;";","xxx"),"xxx"))</f>
        <v>xxx</v>
      </c>
    </row>
    <row r="463" spans="4:10" x14ac:dyDescent="0.2">
      <c r="D463" s="18">
        <f>装备表!L608</f>
        <v>0</v>
      </c>
      <c r="E463" s="18" t="str">
        <f>IF(装备表!$O608=0,"xxx",IFERROR(IF(INT(IF($D463=E$3,装备表!$E608,"xxx")/10000)=1,IF($D463=E$3,装备表!$E608,"xxx")&amp;":2,1,1,"&amp;装备表!$O608&amp;";","xxx"),"xxx"))</f>
        <v>xxx</v>
      </c>
      <c r="F463" s="18" t="str">
        <f>IF(装备表!$O608=0,"xxx",IFERROR(IF(INT(IF($D463=F$3,装备表!$E608,"xxx")/10000)=1,IF($D463=F$3,装备表!$E608,"xxx")&amp;":2,1,1,"&amp;装备表!$O608&amp;";","xxx"),"xxx"))</f>
        <v>xxx</v>
      </c>
      <c r="G463" s="18" t="str">
        <f>IF(装备表!$O608=0,"xxx",IFERROR(IF(INT(IF($D463=G$3,装备表!$E608,"xxx")/10000)=1,IF($D463=G$3,装备表!$E608,"xxx")&amp;":2,1,1,"&amp;装备表!$O608&amp;";","xxx"),"xxx"))</f>
        <v>xxx</v>
      </c>
      <c r="H463" s="18" t="str">
        <f>IF(装备表!$O608=0,"xxx",IFERROR(IF(INT(IF($D463=H$3,装备表!$E608,"xxx")/10000)=1,IF($D463=H$3,装备表!$E608,"xxx")&amp;":2,1,1,"&amp;装备表!$O608&amp;";","xxx"),"xxx"))</f>
        <v>xxx</v>
      </c>
      <c r="I463" s="18" t="str">
        <f>IF(装备表!$O608=0,"xxx",IFERROR(IF(INT(IF($D463=I$3,装备表!$E608,"xxx")/10000)=1,IF($D463=I$3,装备表!$E608,"xxx")&amp;":2,1,1,"&amp;装备表!$O608&amp;";","xxx"),"xxx"))</f>
        <v>xxx</v>
      </c>
      <c r="J463" s="18" t="str">
        <f>IF(装备表!$O608=0,"xxx",IFERROR(IF(INT(IF($D463=J$3,装备表!$E608,"xxx")/10000)=1,IF($D463=J$3,装备表!$E608,"xxx")&amp;":2,1,1,"&amp;装备表!$O608&amp;";","xxx"),"xxx"))</f>
        <v>xxx</v>
      </c>
    </row>
    <row r="464" spans="4:10" x14ac:dyDescent="0.2">
      <c r="D464" s="18">
        <f>装备表!L609</f>
        <v>0</v>
      </c>
      <c r="E464" s="18" t="str">
        <f>IF(装备表!$O609=0,"xxx",IFERROR(IF(INT(IF($D464=E$3,装备表!$E609,"xxx")/10000)=1,IF($D464=E$3,装备表!$E609,"xxx")&amp;":2,1,1,"&amp;装备表!$O609&amp;";","xxx"),"xxx"))</f>
        <v>xxx</v>
      </c>
      <c r="F464" s="18" t="str">
        <f>IF(装备表!$O609=0,"xxx",IFERROR(IF(INT(IF($D464=F$3,装备表!$E609,"xxx")/10000)=1,IF($D464=F$3,装备表!$E609,"xxx")&amp;":2,1,1,"&amp;装备表!$O609&amp;";","xxx"),"xxx"))</f>
        <v>xxx</v>
      </c>
      <c r="G464" s="18" t="str">
        <f>IF(装备表!$O609=0,"xxx",IFERROR(IF(INT(IF($D464=G$3,装备表!$E609,"xxx")/10000)=1,IF($D464=G$3,装备表!$E609,"xxx")&amp;":2,1,1,"&amp;装备表!$O609&amp;";","xxx"),"xxx"))</f>
        <v>xxx</v>
      </c>
      <c r="H464" s="18" t="str">
        <f>IF(装备表!$O609=0,"xxx",IFERROR(IF(INT(IF($D464=H$3,装备表!$E609,"xxx")/10000)=1,IF($D464=H$3,装备表!$E609,"xxx")&amp;":2,1,1,"&amp;装备表!$O609&amp;";","xxx"),"xxx"))</f>
        <v>xxx</v>
      </c>
      <c r="I464" s="18" t="str">
        <f>IF(装备表!$O609=0,"xxx",IFERROR(IF(INT(IF($D464=I$3,装备表!$E609,"xxx")/10000)=1,IF($D464=I$3,装备表!$E609,"xxx")&amp;":2,1,1,"&amp;装备表!$O609&amp;";","xxx"),"xxx"))</f>
        <v>xxx</v>
      </c>
      <c r="J464" s="18" t="str">
        <f>IF(装备表!$O609=0,"xxx",IFERROR(IF(INT(IF($D464=J$3,装备表!$E609,"xxx")/10000)=1,IF($D464=J$3,装备表!$E609,"xxx")&amp;":2,1,1,"&amp;装备表!$O609&amp;";","xxx"),"xxx"))</f>
        <v>xxx</v>
      </c>
    </row>
    <row r="465" spans="4:10" x14ac:dyDescent="0.2">
      <c r="D465" s="18">
        <f>装备表!L610</f>
        <v>0</v>
      </c>
      <c r="E465" s="18" t="str">
        <f>IF(装备表!$O610=0,"xxx",IFERROR(IF(INT(IF($D465=E$3,装备表!$E610,"xxx")/10000)=1,IF($D465=E$3,装备表!$E610,"xxx")&amp;":2,1,1,"&amp;装备表!$O610&amp;";","xxx"),"xxx"))</f>
        <v>xxx</v>
      </c>
      <c r="F465" s="18" t="str">
        <f>IF(装备表!$O610=0,"xxx",IFERROR(IF(INT(IF($D465=F$3,装备表!$E610,"xxx")/10000)=1,IF($D465=F$3,装备表!$E610,"xxx")&amp;":2,1,1,"&amp;装备表!$O610&amp;";","xxx"),"xxx"))</f>
        <v>xxx</v>
      </c>
      <c r="G465" s="18" t="str">
        <f>IF(装备表!$O610=0,"xxx",IFERROR(IF(INT(IF($D465=G$3,装备表!$E610,"xxx")/10000)=1,IF($D465=G$3,装备表!$E610,"xxx")&amp;":2,1,1,"&amp;装备表!$O610&amp;";","xxx"),"xxx"))</f>
        <v>xxx</v>
      </c>
      <c r="H465" s="18" t="str">
        <f>IF(装备表!$O610=0,"xxx",IFERROR(IF(INT(IF($D465=H$3,装备表!$E610,"xxx")/10000)=1,IF($D465=H$3,装备表!$E610,"xxx")&amp;":2,1,1,"&amp;装备表!$O610&amp;";","xxx"),"xxx"))</f>
        <v>xxx</v>
      </c>
      <c r="I465" s="18" t="str">
        <f>IF(装备表!$O610=0,"xxx",IFERROR(IF(INT(IF($D465=I$3,装备表!$E610,"xxx")/10000)=1,IF($D465=I$3,装备表!$E610,"xxx")&amp;":2,1,1,"&amp;装备表!$O610&amp;";","xxx"),"xxx"))</f>
        <v>xxx</v>
      </c>
      <c r="J465" s="18" t="str">
        <f>IF(装备表!$O610=0,"xxx",IFERROR(IF(INT(IF($D465=J$3,装备表!$E610,"xxx")/10000)=1,IF($D465=J$3,装备表!$E610,"xxx")&amp;":2,1,1,"&amp;装备表!$O610&amp;";","xxx"),"xxx"))</f>
        <v>xxx</v>
      </c>
    </row>
    <row r="466" spans="4:10" x14ac:dyDescent="0.2">
      <c r="D466" s="18">
        <f>装备表!L611</f>
        <v>0</v>
      </c>
      <c r="E466" s="18" t="str">
        <f>IF(装备表!$O611=0,"xxx",IFERROR(IF(INT(IF($D466=E$3,装备表!$E611,"xxx")/10000)=1,IF($D466=E$3,装备表!$E611,"xxx")&amp;":2,1,1,"&amp;装备表!$O611&amp;";","xxx"),"xxx"))</f>
        <v>xxx</v>
      </c>
      <c r="F466" s="18" t="str">
        <f>IF(装备表!$O611=0,"xxx",IFERROR(IF(INT(IF($D466=F$3,装备表!$E611,"xxx")/10000)=1,IF($D466=F$3,装备表!$E611,"xxx")&amp;":2,1,1,"&amp;装备表!$O611&amp;";","xxx"),"xxx"))</f>
        <v>xxx</v>
      </c>
      <c r="G466" s="18" t="str">
        <f>IF(装备表!$O611=0,"xxx",IFERROR(IF(INT(IF($D466=G$3,装备表!$E611,"xxx")/10000)=1,IF($D466=G$3,装备表!$E611,"xxx")&amp;":2,1,1,"&amp;装备表!$O611&amp;";","xxx"),"xxx"))</f>
        <v>xxx</v>
      </c>
      <c r="H466" s="18" t="str">
        <f>IF(装备表!$O611=0,"xxx",IFERROR(IF(INT(IF($D466=H$3,装备表!$E611,"xxx")/10000)=1,IF($D466=H$3,装备表!$E611,"xxx")&amp;":2,1,1,"&amp;装备表!$O611&amp;";","xxx"),"xxx"))</f>
        <v>xxx</v>
      </c>
      <c r="I466" s="18" t="str">
        <f>IF(装备表!$O611=0,"xxx",IFERROR(IF(INT(IF($D466=I$3,装备表!$E611,"xxx")/10000)=1,IF($D466=I$3,装备表!$E611,"xxx")&amp;":2,1,1,"&amp;装备表!$O611&amp;";","xxx"),"xxx"))</f>
        <v>xxx</v>
      </c>
      <c r="J466" s="18" t="str">
        <f>IF(装备表!$O611=0,"xxx",IFERROR(IF(INT(IF($D466=J$3,装备表!$E611,"xxx")/10000)=1,IF($D466=J$3,装备表!$E611,"xxx")&amp;":2,1,1,"&amp;装备表!$O611&amp;";","xxx"),"xxx"))</f>
        <v>xxx</v>
      </c>
    </row>
    <row r="467" spans="4:10" x14ac:dyDescent="0.2">
      <c r="D467" s="18">
        <f>装备表!L612</f>
        <v>0</v>
      </c>
      <c r="E467" s="18" t="str">
        <f>IF(装备表!$O612=0,"xxx",IFERROR(IF(INT(IF($D467=E$3,装备表!$E612,"xxx")/10000)=1,IF($D467=E$3,装备表!$E612,"xxx")&amp;":2,1,1,"&amp;装备表!$O612&amp;";","xxx"),"xxx"))</f>
        <v>xxx</v>
      </c>
      <c r="F467" s="18" t="str">
        <f>IF(装备表!$O612=0,"xxx",IFERROR(IF(INT(IF($D467=F$3,装备表!$E612,"xxx")/10000)=1,IF($D467=F$3,装备表!$E612,"xxx")&amp;":2,1,1,"&amp;装备表!$O612&amp;";","xxx"),"xxx"))</f>
        <v>xxx</v>
      </c>
      <c r="G467" s="18" t="str">
        <f>IF(装备表!$O612=0,"xxx",IFERROR(IF(INT(IF($D467=G$3,装备表!$E612,"xxx")/10000)=1,IF($D467=G$3,装备表!$E612,"xxx")&amp;":2,1,1,"&amp;装备表!$O612&amp;";","xxx"),"xxx"))</f>
        <v>xxx</v>
      </c>
      <c r="H467" s="18" t="str">
        <f>IF(装备表!$O612=0,"xxx",IFERROR(IF(INT(IF($D467=H$3,装备表!$E612,"xxx")/10000)=1,IF($D467=H$3,装备表!$E612,"xxx")&amp;":2,1,1,"&amp;装备表!$O612&amp;";","xxx"),"xxx"))</f>
        <v>xxx</v>
      </c>
      <c r="I467" s="18" t="str">
        <f>IF(装备表!$O612=0,"xxx",IFERROR(IF(INT(IF($D467=I$3,装备表!$E612,"xxx")/10000)=1,IF($D467=I$3,装备表!$E612,"xxx")&amp;":2,1,1,"&amp;装备表!$O612&amp;";","xxx"),"xxx"))</f>
        <v>xxx</v>
      </c>
      <c r="J467" s="18" t="str">
        <f>IF(装备表!$O612=0,"xxx",IFERROR(IF(INT(IF($D467=J$3,装备表!$E612,"xxx")/10000)=1,IF($D467=J$3,装备表!$E612,"xxx")&amp;":2,1,1,"&amp;装备表!$O612&amp;";","xxx"),"xxx"))</f>
        <v>xxx</v>
      </c>
    </row>
    <row r="468" spans="4:10" x14ac:dyDescent="0.2">
      <c r="D468" s="18">
        <f>装备表!L613</f>
        <v>0</v>
      </c>
      <c r="E468" s="18" t="str">
        <f>IF(装备表!$O613=0,"xxx",IFERROR(IF(INT(IF($D468=E$3,装备表!$E613,"xxx")/10000)=1,IF($D468=E$3,装备表!$E613,"xxx")&amp;":2,1,1,"&amp;装备表!$O613&amp;";","xxx"),"xxx"))</f>
        <v>xxx</v>
      </c>
      <c r="F468" s="18" t="str">
        <f>IF(装备表!$O613=0,"xxx",IFERROR(IF(INT(IF($D468=F$3,装备表!$E613,"xxx")/10000)=1,IF($D468=F$3,装备表!$E613,"xxx")&amp;":2,1,1,"&amp;装备表!$O613&amp;";","xxx"),"xxx"))</f>
        <v>xxx</v>
      </c>
      <c r="G468" s="18" t="str">
        <f>IF(装备表!$O613=0,"xxx",IFERROR(IF(INT(IF($D468=G$3,装备表!$E613,"xxx")/10000)=1,IF($D468=G$3,装备表!$E613,"xxx")&amp;":2,1,1,"&amp;装备表!$O613&amp;";","xxx"),"xxx"))</f>
        <v>xxx</v>
      </c>
      <c r="H468" s="18" t="str">
        <f>IF(装备表!$O613=0,"xxx",IFERROR(IF(INT(IF($D468=H$3,装备表!$E613,"xxx")/10000)=1,IF($D468=H$3,装备表!$E613,"xxx")&amp;":2,1,1,"&amp;装备表!$O613&amp;";","xxx"),"xxx"))</f>
        <v>xxx</v>
      </c>
      <c r="I468" s="18" t="str">
        <f>IF(装备表!$O613=0,"xxx",IFERROR(IF(INT(IF($D468=I$3,装备表!$E613,"xxx")/10000)=1,IF($D468=I$3,装备表!$E613,"xxx")&amp;":2,1,1,"&amp;装备表!$O613&amp;";","xxx"),"xxx"))</f>
        <v>xxx</v>
      </c>
      <c r="J468" s="18" t="str">
        <f>IF(装备表!$O613=0,"xxx",IFERROR(IF(INT(IF($D468=J$3,装备表!$E613,"xxx")/10000)=1,IF($D468=J$3,装备表!$E613,"xxx")&amp;":2,1,1,"&amp;装备表!$O613&amp;";","xxx"),"xxx"))</f>
        <v>xxx</v>
      </c>
    </row>
    <row r="469" spans="4:10" x14ac:dyDescent="0.2">
      <c r="D469" s="18">
        <f>装备表!L614</f>
        <v>0</v>
      </c>
      <c r="E469" s="18" t="str">
        <f>IF(装备表!$O614=0,"xxx",IFERROR(IF(INT(IF($D469=E$3,装备表!$E614,"xxx")/10000)=1,IF($D469=E$3,装备表!$E614,"xxx")&amp;":2,1,1,"&amp;装备表!$O614&amp;";","xxx"),"xxx"))</f>
        <v>xxx</v>
      </c>
      <c r="F469" s="18" t="str">
        <f>IF(装备表!$O614=0,"xxx",IFERROR(IF(INT(IF($D469=F$3,装备表!$E614,"xxx")/10000)=1,IF($D469=F$3,装备表!$E614,"xxx")&amp;":2,1,1,"&amp;装备表!$O614&amp;";","xxx"),"xxx"))</f>
        <v>xxx</v>
      </c>
      <c r="G469" s="18" t="str">
        <f>IF(装备表!$O614=0,"xxx",IFERROR(IF(INT(IF($D469=G$3,装备表!$E614,"xxx")/10000)=1,IF($D469=G$3,装备表!$E614,"xxx")&amp;":2,1,1,"&amp;装备表!$O614&amp;";","xxx"),"xxx"))</f>
        <v>xxx</v>
      </c>
      <c r="H469" s="18" t="str">
        <f>IF(装备表!$O614=0,"xxx",IFERROR(IF(INT(IF($D469=H$3,装备表!$E614,"xxx")/10000)=1,IF($D469=H$3,装备表!$E614,"xxx")&amp;":2,1,1,"&amp;装备表!$O614&amp;";","xxx"),"xxx"))</f>
        <v>xxx</v>
      </c>
      <c r="I469" s="18" t="str">
        <f>IF(装备表!$O614=0,"xxx",IFERROR(IF(INT(IF($D469=I$3,装备表!$E614,"xxx")/10000)=1,IF($D469=I$3,装备表!$E614,"xxx")&amp;":2,1,1,"&amp;装备表!$O614&amp;";","xxx"),"xxx"))</f>
        <v>xxx</v>
      </c>
      <c r="J469" s="18" t="str">
        <f>IF(装备表!$O614=0,"xxx",IFERROR(IF(INT(IF($D469=J$3,装备表!$E614,"xxx")/10000)=1,IF($D469=J$3,装备表!$E614,"xxx")&amp;":2,1,1,"&amp;装备表!$O614&amp;";","xxx"),"xxx"))</f>
        <v>xxx</v>
      </c>
    </row>
    <row r="470" spans="4:10" x14ac:dyDescent="0.2">
      <c r="D470" s="18">
        <f>装备表!L615</f>
        <v>0</v>
      </c>
      <c r="E470" s="18" t="str">
        <f>IF(装备表!$O615=0,"xxx",IFERROR(IF(INT(IF($D470=E$3,装备表!$E615,"xxx")/10000)=1,IF($D470=E$3,装备表!$E615,"xxx")&amp;":2,1,1,"&amp;装备表!$O615&amp;";","xxx"),"xxx"))</f>
        <v>xxx</v>
      </c>
      <c r="F470" s="18" t="str">
        <f>IF(装备表!$O615=0,"xxx",IFERROR(IF(INT(IF($D470=F$3,装备表!$E615,"xxx")/10000)=1,IF($D470=F$3,装备表!$E615,"xxx")&amp;":2,1,1,"&amp;装备表!$O615&amp;";","xxx"),"xxx"))</f>
        <v>xxx</v>
      </c>
      <c r="G470" s="18" t="str">
        <f>IF(装备表!$O615=0,"xxx",IFERROR(IF(INT(IF($D470=G$3,装备表!$E615,"xxx")/10000)=1,IF($D470=G$3,装备表!$E615,"xxx")&amp;":2,1,1,"&amp;装备表!$O615&amp;";","xxx"),"xxx"))</f>
        <v>xxx</v>
      </c>
      <c r="H470" s="18" t="str">
        <f>IF(装备表!$O615=0,"xxx",IFERROR(IF(INT(IF($D470=H$3,装备表!$E615,"xxx")/10000)=1,IF($D470=H$3,装备表!$E615,"xxx")&amp;":2,1,1,"&amp;装备表!$O615&amp;";","xxx"),"xxx"))</f>
        <v>xxx</v>
      </c>
      <c r="I470" s="18" t="str">
        <f>IF(装备表!$O615=0,"xxx",IFERROR(IF(INT(IF($D470=I$3,装备表!$E615,"xxx")/10000)=1,IF($D470=I$3,装备表!$E615,"xxx")&amp;":2,1,1,"&amp;装备表!$O615&amp;";","xxx"),"xxx"))</f>
        <v>xxx</v>
      </c>
      <c r="J470" s="18" t="str">
        <f>IF(装备表!$O615=0,"xxx",IFERROR(IF(INT(IF($D470=J$3,装备表!$E615,"xxx")/10000)=1,IF($D470=J$3,装备表!$E615,"xxx")&amp;":2,1,1,"&amp;装备表!$O615&amp;";","xxx"),"xxx"))</f>
        <v>xxx</v>
      </c>
    </row>
    <row r="471" spans="4:10" x14ac:dyDescent="0.2">
      <c r="D471" s="18">
        <f>装备表!L616</f>
        <v>0</v>
      </c>
      <c r="E471" s="18" t="str">
        <f>IF(装备表!$O616=0,"xxx",IFERROR(IF(INT(IF($D471=E$3,装备表!$E616,"xxx")/10000)=1,IF($D471=E$3,装备表!$E616,"xxx")&amp;":2,1,1,"&amp;装备表!$O616&amp;";","xxx"),"xxx"))</f>
        <v>xxx</v>
      </c>
      <c r="F471" s="18" t="str">
        <f>IF(装备表!$O616=0,"xxx",IFERROR(IF(INT(IF($D471=F$3,装备表!$E616,"xxx")/10000)=1,IF($D471=F$3,装备表!$E616,"xxx")&amp;":2,1,1,"&amp;装备表!$O616&amp;";","xxx"),"xxx"))</f>
        <v>xxx</v>
      </c>
      <c r="G471" s="18" t="str">
        <f>IF(装备表!$O616=0,"xxx",IFERROR(IF(INT(IF($D471=G$3,装备表!$E616,"xxx")/10000)=1,IF($D471=G$3,装备表!$E616,"xxx")&amp;":2,1,1,"&amp;装备表!$O616&amp;";","xxx"),"xxx"))</f>
        <v>xxx</v>
      </c>
      <c r="H471" s="18" t="str">
        <f>IF(装备表!$O616=0,"xxx",IFERROR(IF(INT(IF($D471=H$3,装备表!$E616,"xxx")/10000)=1,IF($D471=H$3,装备表!$E616,"xxx")&amp;":2,1,1,"&amp;装备表!$O616&amp;";","xxx"),"xxx"))</f>
        <v>xxx</v>
      </c>
      <c r="I471" s="18" t="str">
        <f>IF(装备表!$O616=0,"xxx",IFERROR(IF(INT(IF($D471=I$3,装备表!$E616,"xxx")/10000)=1,IF($D471=I$3,装备表!$E616,"xxx")&amp;":2,1,1,"&amp;装备表!$O616&amp;";","xxx"),"xxx"))</f>
        <v>xxx</v>
      </c>
      <c r="J471" s="18" t="str">
        <f>IF(装备表!$O616=0,"xxx",IFERROR(IF(INT(IF($D471=J$3,装备表!$E616,"xxx")/10000)=1,IF($D471=J$3,装备表!$E616,"xxx")&amp;":2,1,1,"&amp;装备表!$O616&amp;";","xxx"),"xxx"))</f>
        <v>xxx</v>
      </c>
    </row>
    <row r="472" spans="4:10" x14ac:dyDescent="0.2">
      <c r="D472" s="18">
        <f>装备表!L617</f>
        <v>0</v>
      </c>
      <c r="E472" s="18" t="str">
        <f>IF(装备表!$O617=0,"xxx",IFERROR(IF(INT(IF($D472=E$3,装备表!$E617,"xxx")/10000)=1,IF($D472=E$3,装备表!$E617,"xxx")&amp;":2,1,1,"&amp;装备表!$O617&amp;";","xxx"),"xxx"))</f>
        <v>xxx</v>
      </c>
      <c r="F472" s="18" t="str">
        <f>IF(装备表!$O617=0,"xxx",IFERROR(IF(INT(IF($D472=F$3,装备表!$E617,"xxx")/10000)=1,IF($D472=F$3,装备表!$E617,"xxx")&amp;":2,1,1,"&amp;装备表!$O617&amp;";","xxx"),"xxx"))</f>
        <v>xxx</v>
      </c>
      <c r="G472" s="18" t="str">
        <f>IF(装备表!$O617=0,"xxx",IFERROR(IF(INT(IF($D472=G$3,装备表!$E617,"xxx")/10000)=1,IF($D472=G$3,装备表!$E617,"xxx")&amp;":2,1,1,"&amp;装备表!$O617&amp;";","xxx"),"xxx"))</f>
        <v>xxx</v>
      </c>
      <c r="H472" s="18" t="str">
        <f>IF(装备表!$O617=0,"xxx",IFERROR(IF(INT(IF($D472=H$3,装备表!$E617,"xxx")/10000)=1,IF($D472=H$3,装备表!$E617,"xxx")&amp;":2,1,1,"&amp;装备表!$O617&amp;";","xxx"),"xxx"))</f>
        <v>xxx</v>
      </c>
      <c r="I472" s="18" t="str">
        <f>IF(装备表!$O617=0,"xxx",IFERROR(IF(INT(IF($D472=I$3,装备表!$E617,"xxx")/10000)=1,IF($D472=I$3,装备表!$E617,"xxx")&amp;":2,1,1,"&amp;装备表!$O617&amp;";","xxx"),"xxx"))</f>
        <v>xxx</v>
      </c>
      <c r="J472" s="18" t="str">
        <f>IF(装备表!$O617=0,"xxx",IFERROR(IF(INT(IF($D472=J$3,装备表!$E617,"xxx")/10000)=1,IF($D472=J$3,装备表!$E617,"xxx")&amp;":2,1,1,"&amp;装备表!$O617&amp;";","xxx"),"xxx"))</f>
        <v>xxx</v>
      </c>
    </row>
    <row r="473" spans="4:10" x14ac:dyDescent="0.2">
      <c r="D473" s="18">
        <f>装备表!L618</f>
        <v>0</v>
      </c>
      <c r="E473" s="18" t="str">
        <f>IF(装备表!$O618=0,"xxx",IFERROR(IF(INT(IF($D473=E$3,装备表!$E618,"xxx")/10000)=1,IF($D473=E$3,装备表!$E618,"xxx")&amp;":2,1,1,"&amp;装备表!$O618&amp;";","xxx"),"xxx"))</f>
        <v>xxx</v>
      </c>
      <c r="F473" s="18" t="str">
        <f>IF(装备表!$O618=0,"xxx",IFERROR(IF(INT(IF($D473=F$3,装备表!$E618,"xxx")/10000)=1,IF($D473=F$3,装备表!$E618,"xxx")&amp;":2,1,1,"&amp;装备表!$O618&amp;";","xxx"),"xxx"))</f>
        <v>xxx</v>
      </c>
      <c r="G473" s="18" t="str">
        <f>IF(装备表!$O618=0,"xxx",IFERROR(IF(INT(IF($D473=G$3,装备表!$E618,"xxx")/10000)=1,IF($D473=G$3,装备表!$E618,"xxx")&amp;":2,1,1,"&amp;装备表!$O618&amp;";","xxx"),"xxx"))</f>
        <v>xxx</v>
      </c>
      <c r="H473" s="18" t="str">
        <f>IF(装备表!$O618=0,"xxx",IFERROR(IF(INT(IF($D473=H$3,装备表!$E618,"xxx")/10000)=1,IF($D473=H$3,装备表!$E618,"xxx")&amp;":2,1,1,"&amp;装备表!$O618&amp;";","xxx"),"xxx"))</f>
        <v>xxx</v>
      </c>
      <c r="I473" s="18" t="str">
        <f>IF(装备表!$O618=0,"xxx",IFERROR(IF(INT(IF($D473=I$3,装备表!$E618,"xxx")/10000)=1,IF($D473=I$3,装备表!$E618,"xxx")&amp;":2,1,1,"&amp;装备表!$O618&amp;";","xxx"),"xxx"))</f>
        <v>xxx</v>
      </c>
      <c r="J473" s="18" t="str">
        <f>IF(装备表!$O618=0,"xxx",IFERROR(IF(INT(IF($D473=J$3,装备表!$E618,"xxx")/10000)=1,IF($D473=J$3,装备表!$E618,"xxx")&amp;":2,1,1,"&amp;装备表!$O618&amp;";","xxx"),"xxx"))</f>
        <v>xxx</v>
      </c>
    </row>
    <row r="474" spans="4:10" x14ac:dyDescent="0.2">
      <c r="D474" s="18">
        <f>装备表!L619</f>
        <v>0</v>
      </c>
      <c r="E474" s="18" t="str">
        <f>IF(装备表!$O619=0,"xxx",IFERROR(IF(INT(IF($D474=E$3,装备表!$E619,"xxx")/10000)=1,IF($D474=E$3,装备表!$E619,"xxx")&amp;":2,1,1,"&amp;装备表!$O619&amp;";","xxx"),"xxx"))</f>
        <v>xxx</v>
      </c>
      <c r="F474" s="18" t="str">
        <f>IF(装备表!$O619=0,"xxx",IFERROR(IF(INT(IF($D474=F$3,装备表!$E619,"xxx")/10000)=1,IF($D474=F$3,装备表!$E619,"xxx")&amp;":2,1,1,"&amp;装备表!$O619&amp;";","xxx"),"xxx"))</f>
        <v>xxx</v>
      </c>
      <c r="G474" s="18" t="str">
        <f>IF(装备表!$O619=0,"xxx",IFERROR(IF(INT(IF($D474=G$3,装备表!$E619,"xxx")/10000)=1,IF($D474=G$3,装备表!$E619,"xxx")&amp;":2,1,1,"&amp;装备表!$O619&amp;";","xxx"),"xxx"))</f>
        <v>xxx</v>
      </c>
      <c r="H474" s="18" t="str">
        <f>IF(装备表!$O619=0,"xxx",IFERROR(IF(INT(IF($D474=H$3,装备表!$E619,"xxx")/10000)=1,IF($D474=H$3,装备表!$E619,"xxx")&amp;":2,1,1,"&amp;装备表!$O619&amp;";","xxx"),"xxx"))</f>
        <v>xxx</v>
      </c>
      <c r="I474" s="18" t="str">
        <f>IF(装备表!$O619=0,"xxx",IFERROR(IF(INT(IF($D474=I$3,装备表!$E619,"xxx")/10000)=1,IF($D474=I$3,装备表!$E619,"xxx")&amp;":2,1,1,"&amp;装备表!$O619&amp;";","xxx"),"xxx"))</f>
        <v>xxx</v>
      </c>
      <c r="J474" s="18" t="str">
        <f>IF(装备表!$O619=0,"xxx",IFERROR(IF(INT(IF($D474=J$3,装备表!$E619,"xxx")/10000)=1,IF($D474=J$3,装备表!$E619,"xxx")&amp;":2,1,1,"&amp;装备表!$O619&amp;";","xxx"),"xxx"))</f>
        <v>xxx</v>
      </c>
    </row>
    <row r="475" spans="4:10" x14ac:dyDescent="0.2">
      <c r="D475" s="18">
        <f>装备表!L620</f>
        <v>0</v>
      </c>
      <c r="E475" s="18" t="str">
        <f>IF(装备表!$O620=0,"xxx",IFERROR(IF(INT(IF($D475=E$3,装备表!$E620,"xxx")/10000)=1,IF($D475=E$3,装备表!$E620,"xxx")&amp;":2,1,1,"&amp;装备表!$O620&amp;";","xxx"),"xxx"))</f>
        <v>xxx</v>
      </c>
      <c r="F475" s="18" t="str">
        <f>IF(装备表!$O620=0,"xxx",IFERROR(IF(INT(IF($D475=F$3,装备表!$E620,"xxx")/10000)=1,IF($D475=F$3,装备表!$E620,"xxx")&amp;":2,1,1,"&amp;装备表!$O620&amp;";","xxx"),"xxx"))</f>
        <v>xxx</v>
      </c>
      <c r="G475" s="18" t="str">
        <f>IF(装备表!$O620=0,"xxx",IFERROR(IF(INT(IF($D475=G$3,装备表!$E620,"xxx")/10000)=1,IF($D475=G$3,装备表!$E620,"xxx")&amp;":2,1,1,"&amp;装备表!$O620&amp;";","xxx"),"xxx"))</f>
        <v>xxx</v>
      </c>
      <c r="H475" s="18" t="str">
        <f>IF(装备表!$O620=0,"xxx",IFERROR(IF(INT(IF($D475=H$3,装备表!$E620,"xxx")/10000)=1,IF($D475=H$3,装备表!$E620,"xxx")&amp;":2,1,1,"&amp;装备表!$O620&amp;";","xxx"),"xxx"))</f>
        <v>xxx</v>
      </c>
      <c r="I475" s="18" t="str">
        <f>IF(装备表!$O620=0,"xxx",IFERROR(IF(INT(IF($D475=I$3,装备表!$E620,"xxx")/10000)=1,IF($D475=I$3,装备表!$E620,"xxx")&amp;":2,1,1,"&amp;装备表!$O620&amp;";","xxx"),"xxx"))</f>
        <v>xxx</v>
      </c>
      <c r="J475" s="18" t="str">
        <f>IF(装备表!$O620=0,"xxx",IFERROR(IF(INT(IF($D475=J$3,装备表!$E620,"xxx")/10000)=1,IF($D475=J$3,装备表!$E620,"xxx")&amp;":2,1,1,"&amp;装备表!$O620&amp;";","xxx"),"xxx"))</f>
        <v>xxx</v>
      </c>
    </row>
    <row r="476" spans="4:10" x14ac:dyDescent="0.2">
      <c r="D476" s="18">
        <f>装备表!L621</f>
        <v>0</v>
      </c>
      <c r="E476" s="18" t="str">
        <f>IF(装备表!$O621=0,"xxx",IFERROR(IF(INT(IF($D476=E$3,装备表!$E621,"xxx")/10000)=1,IF($D476=E$3,装备表!$E621,"xxx")&amp;":2,1,1,"&amp;装备表!$O621&amp;";","xxx"),"xxx"))</f>
        <v>xxx</v>
      </c>
      <c r="F476" s="18" t="str">
        <f>IF(装备表!$O621=0,"xxx",IFERROR(IF(INT(IF($D476=F$3,装备表!$E621,"xxx")/10000)=1,IF($D476=F$3,装备表!$E621,"xxx")&amp;":2,1,1,"&amp;装备表!$O621&amp;";","xxx"),"xxx"))</f>
        <v>xxx</v>
      </c>
      <c r="G476" s="18" t="str">
        <f>IF(装备表!$O621=0,"xxx",IFERROR(IF(INT(IF($D476=G$3,装备表!$E621,"xxx")/10000)=1,IF($D476=G$3,装备表!$E621,"xxx")&amp;":2,1,1,"&amp;装备表!$O621&amp;";","xxx"),"xxx"))</f>
        <v>xxx</v>
      </c>
      <c r="H476" s="18" t="str">
        <f>IF(装备表!$O621=0,"xxx",IFERROR(IF(INT(IF($D476=H$3,装备表!$E621,"xxx")/10000)=1,IF($D476=H$3,装备表!$E621,"xxx")&amp;":2,1,1,"&amp;装备表!$O621&amp;";","xxx"),"xxx"))</f>
        <v>xxx</v>
      </c>
      <c r="I476" s="18" t="str">
        <f>IF(装备表!$O621=0,"xxx",IFERROR(IF(INT(IF($D476=I$3,装备表!$E621,"xxx")/10000)=1,IF($D476=I$3,装备表!$E621,"xxx")&amp;":2,1,1,"&amp;装备表!$O621&amp;";","xxx"),"xxx"))</f>
        <v>xxx</v>
      </c>
      <c r="J476" s="18" t="str">
        <f>IF(装备表!$O621=0,"xxx",IFERROR(IF(INT(IF($D476=J$3,装备表!$E621,"xxx")/10000)=1,IF($D476=J$3,装备表!$E621,"xxx")&amp;":2,1,1,"&amp;装备表!$O621&amp;";","xxx"),"xxx"))</f>
        <v>xxx</v>
      </c>
    </row>
    <row r="477" spans="4:10" x14ac:dyDescent="0.2">
      <c r="D477" s="18">
        <f>装备表!L622</f>
        <v>0</v>
      </c>
      <c r="E477" s="18" t="str">
        <f>IF(装备表!$O622=0,"xxx",IFERROR(IF(INT(IF($D477=E$3,装备表!$E622,"xxx")/10000)=1,IF($D477=E$3,装备表!$E622,"xxx")&amp;":2,1,1,"&amp;装备表!$O622&amp;";","xxx"),"xxx"))</f>
        <v>xxx</v>
      </c>
      <c r="F477" s="18" t="str">
        <f>IF(装备表!$O622=0,"xxx",IFERROR(IF(INT(IF($D477=F$3,装备表!$E622,"xxx")/10000)=1,IF($D477=F$3,装备表!$E622,"xxx")&amp;":2,1,1,"&amp;装备表!$O622&amp;";","xxx"),"xxx"))</f>
        <v>xxx</v>
      </c>
      <c r="G477" s="18" t="str">
        <f>IF(装备表!$O622=0,"xxx",IFERROR(IF(INT(IF($D477=G$3,装备表!$E622,"xxx")/10000)=1,IF($D477=G$3,装备表!$E622,"xxx")&amp;":2,1,1,"&amp;装备表!$O622&amp;";","xxx"),"xxx"))</f>
        <v>xxx</v>
      </c>
      <c r="H477" s="18" t="str">
        <f>IF(装备表!$O622=0,"xxx",IFERROR(IF(INT(IF($D477=H$3,装备表!$E622,"xxx")/10000)=1,IF($D477=H$3,装备表!$E622,"xxx")&amp;":2,1,1,"&amp;装备表!$O622&amp;";","xxx"),"xxx"))</f>
        <v>xxx</v>
      </c>
      <c r="I477" s="18" t="str">
        <f>IF(装备表!$O622=0,"xxx",IFERROR(IF(INT(IF($D477=I$3,装备表!$E622,"xxx")/10000)=1,IF($D477=I$3,装备表!$E622,"xxx")&amp;":2,1,1,"&amp;装备表!$O622&amp;";","xxx"),"xxx"))</f>
        <v>xxx</v>
      </c>
      <c r="J477" s="18" t="str">
        <f>IF(装备表!$O622=0,"xxx",IFERROR(IF(INT(IF($D477=J$3,装备表!$E622,"xxx")/10000)=1,IF($D477=J$3,装备表!$E622,"xxx")&amp;":2,1,1,"&amp;装备表!$O622&amp;";","xxx"),"xxx"))</f>
        <v>xxx</v>
      </c>
    </row>
    <row r="478" spans="4:10" x14ac:dyDescent="0.2">
      <c r="D478" s="18">
        <f>装备表!L623</f>
        <v>0</v>
      </c>
      <c r="E478" s="18" t="str">
        <f>IF(装备表!$O623=0,"xxx",IFERROR(IF(INT(IF($D478=E$3,装备表!$E623,"xxx")/10000)=1,IF($D478=E$3,装备表!$E623,"xxx")&amp;":2,1,1,"&amp;装备表!$O623&amp;";","xxx"),"xxx"))</f>
        <v>xxx</v>
      </c>
      <c r="F478" s="18" t="str">
        <f>IF(装备表!$O623=0,"xxx",IFERROR(IF(INT(IF($D478=F$3,装备表!$E623,"xxx")/10000)=1,IF($D478=F$3,装备表!$E623,"xxx")&amp;":2,1,1,"&amp;装备表!$O623&amp;";","xxx"),"xxx"))</f>
        <v>xxx</v>
      </c>
      <c r="G478" s="18" t="str">
        <f>IF(装备表!$O623=0,"xxx",IFERROR(IF(INT(IF($D478=G$3,装备表!$E623,"xxx")/10000)=1,IF($D478=G$3,装备表!$E623,"xxx")&amp;":2,1,1,"&amp;装备表!$O623&amp;";","xxx"),"xxx"))</f>
        <v>xxx</v>
      </c>
      <c r="H478" s="18" t="str">
        <f>IF(装备表!$O623=0,"xxx",IFERROR(IF(INT(IF($D478=H$3,装备表!$E623,"xxx")/10000)=1,IF($D478=H$3,装备表!$E623,"xxx")&amp;":2,1,1,"&amp;装备表!$O623&amp;";","xxx"),"xxx"))</f>
        <v>xxx</v>
      </c>
      <c r="I478" s="18" t="str">
        <f>IF(装备表!$O623=0,"xxx",IFERROR(IF(INT(IF($D478=I$3,装备表!$E623,"xxx")/10000)=1,IF($D478=I$3,装备表!$E623,"xxx")&amp;":2,1,1,"&amp;装备表!$O623&amp;";","xxx"),"xxx"))</f>
        <v>xxx</v>
      </c>
      <c r="J478" s="18" t="str">
        <f>IF(装备表!$O623=0,"xxx",IFERROR(IF(INT(IF($D478=J$3,装备表!$E623,"xxx")/10000)=1,IF($D478=J$3,装备表!$E623,"xxx")&amp;":2,1,1,"&amp;装备表!$O623&amp;";","xxx"),"xxx"))</f>
        <v>xxx</v>
      </c>
    </row>
    <row r="479" spans="4:10" x14ac:dyDescent="0.2">
      <c r="D479" s="18">
        <f>装备表!L624</f>
        <v>0</v>
      </c>
      <c r="E479" s="18" t="str">
        <f>IF(装备表!$O624=0,"xxx",IFERROR(IF(INT(IF($D479=E$3,装备表!$E624,"xxx")/10000)=1,IF($D479=E$3,装备表!$E624,"xxx")&amp;":2,1,1,"&amp;装备表!$O624&amp;";","xxx"),"xxx"))</f>
        <v>xxx</v>
      </c>
      <c r="F479" s="18" t="str">
        <f>IF(装备表!$O624=0,"xxx",IFERROR(IF(INT(IF($D479=F$3,装备表!$E624,"xxx")/10000)=1,IF($D479=F$3,装备表!$E624,"xxx")&amp;":2,1,1,"&amp;装备表!$O624&amp;";","xxx"),"xxx"))</f>
        <v>xxx</v>
      </c>
      <c r="G479" s="18" t="str">
        <f>IF(装备表!$O624=0,"xxx",IFERROR(IF(INT(IF($D479=G$3,装备表!$E624,"xxx")/10000)=1,IF($D479=G$3,装备表!$E624,"xxx")&amp;":2,1,1,"&amp;装备表!$O624&amp;";","xxx"),"xxx"))</f>
        <v>xxx</v>
      </c>
      <c r="H479" s="18" t="str">
        <f>IF(装备表!$O624=0,"xxx",IFERROR(IF(INT(IF($D479=H$3,装备表!$E624,"xxx")/10000)=1,IF($D479=H$3,装备表!$E624,"xxx")&amp;":2,1,1,"&amp;装备表!$O624&amp;";","xxx"),"xxx"))</f>
        <v>xxx</v>
      </c>
      <c r="I479" s="18" t="str">
        <f>IF(装备表!$O624=0,"xxx",IFERROR(IF(INT(IF($D479=I$3,装备表!$E624,"xxx")/10000)=1,IF($D479=I$3,装备表!$E624,"xxx")&amp;":2,1,1,"&amp;装备表!$O624&amp;";","xxx"),"xxx"))</f>
        <v>xxx</v>
      </c>
      <c r="J479" s="18" t="str">
        <f>IF(装备表!$O624=0,"xxx",IFERROR(IF(INT(IF($D479=J$3,装备表!$E624,"xxx")/10000)=1,IF($D479=J$3,装备表!$E624,"xxx")&amp;":2,1,1,"&amp;装备表!$O624&amp;";","xxx"),"xxx"))</f>
        <v>xxx</v>
      </c>
    </row>
    <row r="480" spans="4:10" x14ac:dyDescent="0.2">
      <c r="D480" s="18">
        <f>装备表!L625</f>
        <v>0</v>
      </c>
      <c r="E480" s="18" t="str">
        <f>IF(装备表!$O625=0,"xxx",IFERROR(IF(INT(IF($D480=E$3,装备表!$E625,"xxx")/10000)=1,IF($D480=E$3,装备表!$E625,"xxx")&amp;":2,1,1,"&amp;装备表!$O625&amp;";","xxx"),"xxx"))</f>
        <v>xxx</v>
      </c>
      <c r="F480" s="18" t="str">
        <f>IF(装备表!$O625=0,"xxx",IFERROR(IF(INT(IF($D480=F$3,装备表!$E625,"xxx")/10000)=1,IF($D480=F$3,装备表!$E625,"xxx")&amp;":2,1,1,"&amp;装备表!$O625&amp;";","xxx"),"xxx"))</f>
        <v>xxx</v>
      </c>
      <c r="G480" s="18" t="str">
        <f>IF(装备表!$O625=0,"xxx",IFERROR(IF(INT(IF($D480=G$3,装备表!$E625,"xxx")/10000)=1,IF($D480=G$3,装备表!$E625,"xxx")&amp;":2,1,1,"&amp;装备表!$O625&amp;";","xxx"),"xxx"))</f>
        <v>xxx</v>
      </c>
      <c r="H480" s="18" t="str">
        <f>IF(装备表!$O625=0,"xxx",IFERROR(IF(INT(IF($D480=H$3,装备表!$E625,"xxx")/10000)=1,IF($D480=H$3,装备表!$E625,"xxx")&amp;":2,1,1,"&amp;装备表!$O625&amp;";","xxx"),"xxx"))</f>
        <v>xxx</v>
      </c>
      <c r="I480" s="18" t="str">
        <f>IF(装备表!$O625=0,"xxx",IFERROR(IF(INT(IF($D480=I$3,装备表!$E625,"xxx")/10000)=1,IF($D480=I$3,装备表!$E625,"xxx")&amp;":2,1,1,"&amp;装备表!$O625&amp;";","xxx"),"xxx"))</f>
        <v>xxx</v>
      </c>
      <c r="J480" s="18" t="str">
        <f>IF(装备表!$O625=0,"xxx",IFERROR(IF(INT(IF($D480=J$3,装备表!$E625,"xxx")/10000)=1,IF($D480=J$3,装备表!$E625,"xxx")&amp;":2,1,1,"&amp;装备表!$O625&amp;";","xxx"),"xxx"))</f>
        <v>xxx</v>
      </c>
    </row>
    <row r="481" spans="4:10" x14ac:dyDescent="0.2">
      <c r="D481" s="18">
        <f>装备表!L626</f>
        <v>0</v>
      </c>
      <c r="E481" s="18" t="str">
        <f>IF(装备表!$O626=0,"xxx",IFERROR(IF(INT(IF($D481=E$3,装备表!$E626,"xxx")/10000)=1,IF($D481=E$3,装备表!$E626,"xxx")&amp;":2,1,1,"&amp;装备表!$O626&amp;";","xxx"),"xxx"))</f>
        <v>xxx</v>
      </c>
      <c r="F481" s="18" t="str">
        <f>IF(装备表!$O626=0,"xxx",IFERROR(IF(INT(IF($D481=F$3,装备表!$E626,"xxx")/10000)=1,IF($D481=F$3,装备表!$E626,"xxx")&amp;":2,1,1,"&amp;装备表!$O626&amp;";","xxx"),"xxx"))</f>
        <v>xxx</v>
      </c>
      <c r="G481" s="18" t="str">
        <f>IF(装备表!$O626=0,"xxx",IFERROR(IF(INT(IF($D481=G$3,装备表!$E626,"xxx")/10000)=1,IF($D481=G$3,装备表!$E626,"xxx")&amp;":2,1,1,"&amp;装备表!$O626&amp;";","xxx"),"xxx"))</f>
        <v>xxx</v>
      </c>
      <c r="H481" s="18" t="str">
        <f>IF(装备表!$O626=0,"xxx",IFERROR(IF(INT(IF($D481=H$3,装备表!$E626,"xxx")/10000)=1,IF($D481=H$3,装备表!$E626,"xxx")&amp;":2,1,1,"&amp;装备表!$O626&amp;";","xxx"),"xxx"))</f>
        <v>xxx</v>
      </c>
      <c r="I481" s="18" t="str">
        <f>IF(装备表!$O626=0,"xxx",IFERROR(IF(INT(IF($D481=I$3,装备表!$E626,"xxx")/10000)=1,IF($D481=I$3,装备表!$E626,"xxx")&amp;":2,1,1,"&amp;装备表!$O626&amp;";","xxx"),"xxx"))</f>
        <v>xxx</v>
      </c>
      <c r="J481" s="18" t="str">
        <f>IF(装备表!$O626=0,"xxx",IFERROR(IF(INT(IF($D481=J$3,装备表!$E626,"xxx")/10000)=1,IF($D481=J$3,装备表!$E626,"xxx")&amp;":2,1,1,"&amp;装备表!$O626&amp;";","xxx"),"xxx"))</f>
        <v>xxx</v>
      </c>
    </row>
    <row r="482" spans="4:10" x14ac:dyDescent="0.2">
      <c r="D482" s="18">
        <f>装备表!L627</f>
        <v>0</v>
      </c>
      <c r="E482" s="18" t="str">
        <f>IF(装备表!$O627=0,"xxx",IFERROR(IF(INT(IF($D482=E$3,装备表!$E627,"xxx")/10000)=1,IF($D482=E$3,装备表!$E627,"xxx")&amp;":2,1,1,"&amp;装备表!$O627&amp;";","xxx"),"xxx"))</f>
        <v>xxx</v>
      </c>
      <c r="F482" s="18" t="str">
        <f>IF(装备表!$O627=0,"xxx",IFERROR(IF(INT(IF($D482=F$3,装备表!$E627,"xxx")/10000)=1,IF($D482=F$3,装备表!$E627,"xxx")&amp;":2,1,1,"&amp;装备表!$O627&amp;";","xxx"),"xxx"))</f>
        <v>xxx</v>
      </c>
      <c r="G482" s="18" t="str">
        <f>IF(装备表!$O627=0,"xxx",IFERROR(IF(INT(IF($D482=G$3,装备表!$E627,"xxx")/10000)=1,IF($D482=G$3,装备表!$E627,"xxx")&amp;":2,1,1,"&amp;装备表!$O627&amp;";","xxx"),"xxx"))</f>
        <v>xxx</v>
      </c>
      <c r="H482" s="18" t="str">
        <f>IF(装备表!$O627=0,"xxx",IFERROR(IF(INT(IF($D482=H$3,装备表!$E627,"xxx")/10000)=1,IF($D482=H$3,装备表!$E627,"xxx")&amp;":2,1,1,"&amp;装备表!$O627&amp;";","xxx"),"xxx"))</f>
        <v>xxx</v>
      </c>
      <c r="I482" s="18" t="str">
        <f>IF(装备表!$O627=0,"xxx",IFERROR(IF(INT(IF($D482=I$3,装备表!$E627,"xxx")/10000)=1,IF($D482=I$3,装备表!$E627,"xxx")&amp;":2,1,1,"&amp;装备表!$O627&amp;";","xxx"),"xxx"))</f>
        <v>xxx</v>
      </c>
      <c r="J482" s="18" t="str">
        <f>IF(装备表!$O627=0,"xxx",IFERROR(IF(INT(IF($D482=J$3,装备表!$E627,"xxx")/10000)=1,IF($D482=J$3,装备表!$E627,"xxx")&amp;":2,1,1,"&amp;装备表!$O627&amp;";","xxx"),"xxx"))</f>
        <v>xxx</v>
      </c>
    </row>
    <row r="483" spans="4:10" x14ac:dyDescent="0.2">
      <c r="D483" s="18">
        <f>装备表!L628</f>
        <v>0</v>
      </c>
      <c r="E483" s="18" t="str">
        <f>IF(装备表!$O628=0,"xxx",IFERROR(IF(INT(IF($D483=E$3,装备表!$E628,"xxx")/10000)=1,IF($D483=E$3,装备表!$E628,"xxx")&amp;":2,1,1,"&amp;装备表!$O628&amp;";","xxx"),"xxx"))</f>
        <v>xxx</v>
      </c>
      <c r="F483" s="18" t="str">
        <f>IF(装备表!$O628=0,"xxx",IFERROR(IF(INT(IF($D483=F$3,装备表!$E628,"xxx")/10000)=1,IF($D483=F$3,装备表!$E628,"xxx")&amp;":2,1,1,"&amp;装备表!$O628&amp;";","xxx"),"xxx"))</f>
        <v>xxx</v>
      </c>
      <c r="G483" s="18" t="str">
        <f>IF(装备表!$O628=0,"xxx",IFERROR(IF(INT(IF($D483=G$3,装备表!$E628,"xxx")/10000)=1,IF($D483=G$3,装备表!$E628,"xxx")&amp;":2,1,1,"&amp;装备表!$O628&amp;";","xxx"),"xxx"))</f>
        <v>xxx</v>
      </c>
      <c r="H483" s="18" t="str">
        <f>IF(装备表!$O628=0,"xxx",IFERROR(IF(INT(IF($D483=H$3,装备表!$E628,"xxx")/10000)=1,IF($D483=H$3,装备表!$E628,"xxx")&amp;":2,1,1,"&amp;装备表!$O628&amp;";","xxx"),"xxx"))</f>
        <v>xxx</v>
      </c>
      <c r="I483" s="18" t="str">
        <f>IF(装备表!$O628=0,"xxx",IFERROR(IF(INT(IF($D483=I$3,装备表!$E628,"xxx")/10000)=1,IF($D483=I$3,装备表!$E628,"xxx")&amp;":2,1,1,"&amp;装备表!$O628&amp;";","xxx"),"xxx"))</f>
        <v>xxx</v>
      </c>
      <c r="J483" s="18" t="str">
        <f>IF(装备表!$O628=0,"xxx",IFERROR(IF(INT(IF($D483=J$3,装备表!$E628,"xxx")/10000)=1,IF($D483=J$3,装备表!$E628,"xxx")&amp;":2,1,1,"&amp;装备表!$O628&amp;";","xxx"),"xxx"))</f>
        <v>xxx</v>
      </c>
    </row>
    <row r="484" spans="4:10" x14ac:dyDescent="0.2">
      <c r="D484" s="18">
        <f>装备表!L629</f>
        <v>0</v>
      </c>
      <c r="E484" s="18" t="str">
        <f>IF(装备表!$O629=0,"xxx",IFERROR(IF(INT(IF($D484=E$3,装备表!$E629,"xxx")/10000)=1,IF($D484=E$3,装备表!$E629,"xxx")&amp;":2,1,1,"&amp;装备表!$O629&amp;";","xxx"),"xxx"))</f>
        <v>xxx</v>
      </c>
      <c r="F484" s="18" t="str">
        <f>IF(装备表!$O629=0,"xxx",IFERROR(IF(INT(IF($D484=F$3,装备表!$E629,"xxx")/10000)=1,IF($D484=F$3,装备表!$E629,"xxx")&amp;":2,1,1,"&amp;装备表!$O629&amp;";","xxx"),"xxx"))</f>
        <v>xxx</v>
      </c>
      <c r="G484" s="18" t="str">
        <f>IF(装备表!$O629=0,"xxx",IFERROR(IF(INT(IF($D484=G$3,装备表!$E629,"xxx")/10000)=1,IF($D484=G$3,装备表!$E629,"xxx")&amp;":2,1,1,"&amp;装备表!$O629&amp;";","xxx"),"xxx"))</f>
        <v>xxx</v>
      </c>
      <c r="H484" s="18" t="str">
        <f>IF(装备表!$O629=0,"xxx",IFERROR(IF(INT(IF($D484=H$3,装备表!$E629,"xxx")/10000)=1,IF($D484=H$3,装备表!$E629,"xxx")&amp;":2,1,1,"&amp;装备表!$O629&amp;";","xxx"),"xxx"))</f>
        <v>xxx</v>
      </c>
      <c r="I484" s="18" t="str">
        <f>IF(装备表!$O629=0,"xxx",IFERROR(IF(INT(IF($D484=I$3,装备表!$E629,"xxx")/10000)=1,IF($D484=I$3,装备表!$E629,"xxx")&amp;":2,1,1,"&amp;装备表!$O629&amp;";","xxx"),"xxx"))</f>
        <v>xxx</v>
      </c>
      <c r="J484" s="18" t="str">
        <f>IF(装备表!$O629=0,"xxx",IFERROR(IF(INT(IF($D484=J$3,装备表!$E629,"xxx")/10000)=1,IF($D484=J$3,装备表!$E629,"xxx")&amp;":2,1,1,"&amp;装备表!$O629&amp;";","xxx"),"xxx"))</f>
        <v>xxx</v>
      </c>
    </row>
    <row r="485" spans="4:10" x14ac:dyDescent="0.2">
      <c r="D485" s="18">
        <f>装备表!L630</f>
        <v>0</v>
      </c>
      <c r="E485" s="18" t="str">
        <f>IF(装备表!$O630=0,"xxx",IFERROR(IF(INT(IF($D485=E$3,装备表!$E630,"xxx")/10000)=1,IF($D485=E$3,装备表!$E630,"xxx")&amp;":2,1,1,"&amp;装备表!$O630&amp;";","xxx"),"xxx"))</f>
        <v>xxx</v>
      </c>
      <c r="F485" s="18" t="str">
        <f>IF(装备表!$O630=0,"xxx",IFERROR(IF(INT(IF($D485=F$3,装备表!$E630,"xxx")/10000)=1,IF($D485=F$3,装备表!$E630,"xxx")&amp;":2,1,1,"&amp;装备表!$O630&amp;";","xxx"),"xxx"))</f>
        <v>xxx</v>
      </c>
      <c r="G485" s="18" t="str">
        <f>IF(装备表!$O630=0,"xxx",IFERROR(IF(INT(IF($D485=G$3,装备表!$E630,"xxx")/10000)=1,IF($D485=G$3,装备表!$E630,"xxx")&amp;":2,1,1,"&amp;装备表!$O630&amp;";","xxx"),"xxx"))</f>
        <v>xxx</v>
      </c>
      <c r="H485" s="18" t="str">
        <f>IF(装备表!$O630=0,"xxx",IFERROR(IF(INT(IF($D485=H$3,装备表!$E630,"xxx")/10000)=1,IF($D485=H$3,装备表!$E630,"xxx")&amp;":2,1,1,"&amp;装备表!$O630&amp;";","xxx"),"xxx"))</f>
        <v>xxx</v>
      </c>
      <c r="I485" s="18" t="str">
        <f>IF(装备表!$O630=0,"xxx",IFERROR(IF(INT(IF($D485=I$3,装备表!$E630,"xxx")/10000)=1,IF($D485=I$3,装备表!$E630,"xxx")&amp;":2,1,1,"&amp;装备表!$O630&amp;";","xxx"),"xxx"))</f>
        <v>xxx</v>
      </c>
      <c r="J485" s="18" t="str">
        <f>IF(装备表!$O630=0,"xxx",IFERROR(IF(INT(IF($D485=J$3,装备表!$E630,"xxx")/10000)=1,IF($D485=J$3,装备表!$E630,"xxx")&amp;":2,1,1,"&amp;装备表!$O630&amp;";","xxx"),"xxx"))</f>
        <v>xxx</v>
      </c>
    </row>
    <row r="486" spans="4:10" x14ac:dyDescent="0.2">
      <c r="D486" s="18">
        <f>装备表!L631</f>
        <v>0</v>
      </c>
      <c r="E486" s="18" t="str">
        <f>IF(装备表!$O631=0,"xxx",IFERROR(IF(INT(IF($D486=E$3,装备表!$E631,"xxx")/10000)=1,IF($D486=E$3,装备表!$E631,"xxx")&amp;":2,1,1,"&amp;装备表!$O631&amp;";","xxx"),"xxx"))</f>
        <v>xxx</v>
      </c>
      <c r="F486" s="18" t="str">
        <f>IF(装备表!$O631=0,"xxx",IFERROR(IF(INT(IF($D486=F$3,装备表!$E631,"xxx")/10000)=1,IF($D486=F$3,装备表!$E631,"xxx")&amp;":2,1,1,"&amp;装备表!$O631&amp;";","xxx"),"xxx"))</f>
        <v>xxx</v>
      </c>
      <c r="G486" s="18" t="str">
        <f>IF(装备表!$O631=0,"xxx",IFERROR(IF(INT(IF($D486=G$3,装备表!$E631,"xxx")/10000)=1,IF($D486=G$3,装备表!$E631,"xxx")&amp;":2,1,1,"&amp;装备表!$O631&amp;";","xxx"),"xxx"))</f>
        <v>xxx</v>
      </c>
      <c r="H486" s="18" t="str">
        <f>IF(装备表!$O631=0,"xxx",IFERROR(IF(INT(IF($D486=H$3,装备表!$E631,"xxx")/10000)=1,IF($D486=H$3,装备表!$E631,"xxx")&amp;":2,1,1,"&amp;装备表!$O631&amp;";","xxx"),"xxx"))</f>
        <v>xxx</v>
      </c>
      <c r="I486" s="18" t="str">
        <f>IF(装备表!$O631=0,"xxx",IFERROR(IF(INT(IF($D486=I$3,装备表!$E631,"xxx")/10000)=1,IF($D486=I$3,装备表!$E631,"xxx")&amp;":2,1,1,"&amp;装备表!$O631&amp;";","xxx"),"xxx"))</f>
        <v>xxx</v>
      </c>
      <c r="J486" s="18" t="str">
        <f>IF(装备表!$O631=0,"xxx",IFERROR(IF(INT(IF($D486=J$3,装备表!$E631,"xxx")/10000)=1,IF($D486=J$3,装备表!$E631,"xxx")&amp;":2,1,1,"&amp;装备表!$O631&amp;";","xxx"),"xxx"))</f>
        <v>xxx</v>
      </c>
    </row>
    <row r="487" spans="4:10" x14ac:dyDescent="0.2">
      <c r="D487" s="18">
        <f>装备表!L632</f>
        <v>0</v>
      </c>
      <c r="E487" s="18" t="str">
        <f>IF(装备表!$O632=0,"xxx",IFERROR(IF(INT(IF($D487=E$3,装备表!$E632,"xxx")/10000)=1,IF($D487=E$3,装备表!$E632,"xxx")&amp;":2,1,1,"&amp;装备表!$O632&amp;";","xxx"),"xxx"))</f>
        <v>xxx</v>
      </c>
      <c r="F487" s="18" t="str">
        <f>IF(装备表!$O632=0,"xxx",IFERROR(IF(INT(IF($D487=F$3,装备表!$E632,"xxx")/10000)=1,IF($D487=F$3,装备表!$E632,"xxx")&amp;":2,1,1,"&amp;装备表!$O632&amp;";","xxx"),"xxx"))</f>
        <v>xxx</v>
      </c>
      <c r="G487" s="18" t="str">
        <f>IF(装备表!$O632=0,"xxx",IFERROR(IF(INT(IF($D487=G$3,装备表!$E632,"xxx")/10000)=1,IF($D487=G$3,装备表!$E632,"xxx")&amp;":2,1,1,"&amp;装备表!$O632&amp;";","xxx"),"xxx"))</f>
        <v>xxx</v>
      </c>
      <c r="H487" s="18" t="str">
        <f>IF(装备表!$O632=0,"xxx",IFERROR(IF(INT(IF($D487=H$3,装备表!$E632,"xxx")/10000)=1,IF($D487=H$3,装备表!$E632,"xxx")&amp;":2,1,1,"&amp;装备表!$O632&amp;";","xxx"),"xxx"))</f>
        <v>xxx</v>
      </c>
      <c r="I487" s="18" t="str">
        <f>IF(装备表!$O632=0,"xxx",IFERROR(IF(INT(IF($D487=I$3,装备表!$E632,"xxx")/10000)=1,IF($D487=I$3,装备表!$E632,"xxx")&amp;":2,1,1,"&amp;装备表!$O632&amp;";","xxx"),"xxx"))</f>
        <v>xxx</v>
      </c>
      <c r="J487" s="18" t="str">
        <f>IF(装备表!$O632=0,"xxx",IFERROR(IF(INT(IF($D487=J$3,装备表!$E632,"xxx")/10000)=1,IF($D487=J$3,装备表!$E632,"xxx")&amp;":2,1,1,"&amp;装备表!$O632&amp;";","xxx"),"xxx"))</f>
        <v>xxx</v>
      </c>
    </row>
    <row r="488" spans="4:10" x14ac:dyDescent="0.2">
      <c r="D488" s="18">
        <f>装备表!L633</f>
        <v>0</v>
      </c>
      <c r="E488" s="18" t="str">
        <f>IF(装备表!$O633=0,"xxx",IFERROR(IF(INT(IF($D488=E$3,装备表!$E633,"xxx")/10000)=1,IF($D488=E$3,装备表!$E633,"xxx")&amp;":2,1,1,"&amp;装备表!$O633&amp;";","xxx"),"xxx"))</f>
        <v>xxx</v>
      </c>
      <c r="F488" s="18" t="str">
        <f>IF(装备表!$O633=0,"xxx",IFERROR(IF(INT(IF($D488=F$3,装备表!$E633,"xxx")/10000)=1,IF($D488=F$3,装备表!$E633,"xxx")&amp;":2,1,1,"&amp;装备表!$O633&amp;";","xxx"),"xxx"))</f>
        <v>xxx</v>
      </c>
      <c r="G488" s="18" t="str">
        <f>IF(装备表!$O633=0,"xxx",IFERROR(IF(INT(IF($D488=G$3,装备表!$E633,"xxx")/10000)=1,IF($D488=G$3,装备表!$E633,"xxx")&amp;":2,1,1,"&amp;装备表!$O633&amp;";","xxx"),"xxx"))</f>
        <v>xxx</v>
      </c>
      <c r="H488" s="18" t="str">
        <f>IF(装备表!$O633=0,"xxx",IFERROR(IF(INT(IF($D488=H$3,装备表!$E633,"xxx")/10000)=1,IF($D488=H$3,装备表!$E633,"xxx")&amp;":2,1,1,"&amp;装备表!$O633&amp;";","xxx"),"xxx"))</f>
        <v>xxx</v>
      </c>
      <c r="I488" s="18" t="str">
        <f>IF(装备表!$O633=0,"xxx",IFERROR(IF(INT(IF($D488=I$3,装备表!$E633,"xxx")/10000)=1,IF($D488=I$3,装备表!$E633,"xxx")&amp;":2,1,1,"&amp;装备表!$O633&amp;";","xxx"),"xxx"))</f>
        <v>xxx</v>
      </c>
      <c r="J488" s="18" t="str">
        <f>IF(装备表!$O633=0,"xxx",IFERROR(IF(INT(IF($D488=J$3,装备表!$E633,"xxx")/10000)=1,IF($D488=J$3,装备表!$E633,"xxx")&amp;":2,1,1,"&amp;装备表!$O633&amp;";","xxx"),"xxx"))</f>
        <v>xxx</v>
      </c>
    </row>
    <row r="489" spans="4:10" x14ac:dyDescent="0.2">
      <c r="D489" s="18">
        <f>装备表!L634</f>
        <v>0</v>
      </c>
      <c r="E489" s="18" t="str">
        <f>IF(装备表!$O634=0,"xxx",IFERROR(IF(INT(IF($D489=E$3,装备表!$E634,"xxx")/10000)=1,IF($D489=E$3,装备表!$E634,"xxx")&amp;":2,1,1,"&amp;装备表!$O634&amp;";","xxx"),"xxx"))</f>
        <v>xxx</v>
      </c>
      <c r="F489" s="18" t="str">
        <f>IF(装备表!$O634=0,"xxx",IFERROR(IF(INT(IF($D489=F$3,装备表!$E634,"xxx")/10000)=1,IF($D489=F$3,装备表!$E634,"xxx")&amp;":2,1,1,"&amp;装备表!$O634&amp;";","xxx"),"xxx"))</f>
        <v>xxx</v>
      </c>
      <c r="G489" s="18" t="str">
        <f>IF(装备表!$O634=0,"xxx",IFERROR(IF(INT(IF($D489=G$3,装备表!$E634,"xxx")/10000)=1,IF($D489=G$3,装备表!$E634,"xxx")&amp;":2,1,1,"&amp;装备表!$O634&amp;";","xxx"),"xxx"))</f>
        <v>xxx</v>
      </c>
      <c r="H489" s="18" t="str">
        <f>IF(装备表!$O634=0,"xxx",IFERROR(IF(INT(IF($D489=H$3,装备表!$E634,"xxx")/10000)=1,IF($D489=H$3,装备表!$E634,"xxx")&amp;":2,1,1,"&amp;装备表!$O634&amp;";","xxx"),"xxx"))</f>
        <v>xxx</v>
      </c>
      <c r="I489" s="18" t="str">
        <f>IF(装备表!$O634=0,"xxx",IFERROR(IF(INT(IF($D489=I$3,装备表!$E634,"xxx")/10000)=1,IF($D489=I$3,装备表!$E634,"xxx")&amp;":2,1,1,"&amp;装备表!$O634&amp;";","xxx"),"xxx"))</f>
        <v>xxx</v>
      </c>
      <c r="J489" s="18" t="str">
        <f>IF(装备表!$O634=0,"xxx",IFERROR(IF(INT(IF($D489=J$3,装备表!$E634,"xxx")/10000)=1,IF($D489=J$3,装备表!$E634,"xxx")&amp;":2,1,1,"&amp;装备表!$O634&amp;";","xxx"),"xxx"))</f>
        <v>xxx</v>
      </c>
    </row>
    <row r="490" spans="4:10" x14ac:dyDescent="0.2">
      <c r="D490" s="18">
        <f>装备表!L635</f>
        <v>0</v>
      </c>
      <c r="E490" s="18" t="str">
        <f>IF(装备表!$O635=0,"xxx",IFERROR(IF(INT(IF($D490=E$3,装备表!$E635,"xxx")/10000)=1,IF($D490=E$3,装备表!$E635,"xxx")&amp;":2,1,1,"&amp;装备表!$O635&amp;";","xxx"),"xxx"))</f>
        <v>xxx</v>
      </c>
      <c r="F490" s="18" t="str">
        <f>IF(装备表!$O635=0,"xxx",IFERROR(IF(INT(IF($D490=F$3,装备表!$E635,"xxx")/10000)=1,IF($D490=F$3,装备表!$E635,"xxx")&amp;":2,1,1,"&amp;装备表!$O635&amp;";","xxx"),"xxx"))</f>
        <v>xxx</v>
      </c>
      <c r="G490" s="18" t="str">
        <f>IF(装备表!$O635=0,"xxx",IFERROR(IF(INT(IF($D490=G$3,装备表!$E635,"xxx")/10000)=1,IF($D490=G$3,装备表!$E635,"xxx")&amp;":2,1,1,"&amp;装备表!$O635&amp;";","xxx"),"xxx"))</f>
        <v>xxx</v>
      </c>
      <c r="H490" s="18" t="str">
        <f>IF(装备表!$O635=0,"xxx",IFERROR(IF(INT(IF($D490=H$3,装备表!$E635,"xxx")/10000)=1,IF($D490=H$3,装备表!$E635,"xxx")&amp;":2,1,1,"&amp;装备表!$O635&amp;";","xxx"),"xxx"))</f>
        <v>xxx</v>
      </c>
      <c r="I490" s="18" t="str">
        <f>IF(装备表!$O635=0,"xxx",IFERROR(IF(INT(IF($D490=I$3,装备表!$E635,"xxx")/10000)=1,IF($D490=I$3,装备表!$E635,"xxx")&amp;":2,1,1,"&amp;装备表!$O635&amp;";","xxx"),"xxx"))</f>
        <v>xxx</v>
      </c>
      <c r="J490" s="18" t="str">
        <f>IF(装备表!$O635=0,"xxx",IFERROR(IF(INT(IF($D490=J$3,装备表!$E635,"xxx")/10000)=1,IF($D490=J$3,装备表!$E635,"xxx")&amp;":2,1,1,"&amp;装备表!$O635&amp;";","xxx"),"xxx"))</f>
        <v>xxx</v>
      </c>
    </row>
    <row r="491" spans="4:10" x14ac:dyDescent="0.2">
      <c r="D491" s="18">
        <f>装备表!L636</f>
        <v>0</v>
      </c>
      <c r="E491" s="18" t="str">
        <f>IF(装备表!$O636=0,"xxx",IFERROR(IF(INT(IF($D491=E$3,装备表!$E636,"xxx")/10000)=1,IF($D491=E$3,装备表!$E636,"xxx")&amp;":2,1,1,"&amp;装备表!$O636&amp;";","xxx"),"xxx"))</f>
        <v>xxx</v>
      </c>
      <c r="F491" s="18" t="str">
        <f>IF(装备表!$O636=0,"xxx",IFERROR(IF(INT(IF($D491=F$3,装备表!$E636,"xxx")/10000)=1,IF($D491=F$3,装备表!$E636,"xxx")&amp;":2,1,1,"&amp;装备表!$O636&amp;";","xxx"),"xxx"))</f>
        <v>xxx</v>
      </c>
      <c r="G491" s="18" t="str">
        <f>IF(装备表!$O636=0,"xxx",IFERROR(IF(INT(IF($D491=G$3,装备表!$E636,"xxx")/10000)=1,IF($D491=G$3,装备表!$E636,"xxx")&amp;":2,1,1,"&amp;装备表!$O636&amp;";","xxx"),"xxx"))</f>
        <v>xxx</v>
      </c>
      <c r="H491" s="18" t="str">
        <f>IF(装备表!$O636=0,"xxx",IFERROR(IF(INT(IF($D491=H$3,装备表!$E636,"xxx")/10000)=1,IF($D491=H$3,装备表!$E636,"xxx")&amp;":2,1,1,"&amp;装备表!$O636&amp;";","xxx"),"xxx"))</f>
        <v>xxx</v>
      </c>
      <c r="I491" s="18" t="str">
        <f>IF(装备表!$O636=0,"xxx",IFERROR(IF(INT(IF($D491=I$3,装备表!$E636,"xxx")/10000)=1,IF($D491=I$3,装备表!$E636,"xxx")&amp;":2,1,1,"&amp;装备表!$O636&amp;";","xxx"),"xxx"))</f>
        <v>xxx</v>
      </c>
      <c r="J491" s="18" t="str">
        <f>IF(装备表!$O636=0,"xxx",IFERROR(IF(INT(IF($D491=J$3,装备表!$E636,"xxx")/10000)=1,IF($D491=J$3,装备表!$E636,"xxx")&amp;":2,1,1,"&amp;装备表!$O636&amp;";","xxx"),"xxx"))</f>
        <v>xxx</v>
      </c>
    </row>
    <row r="492" spans="4:10" x14ac:dyDescent="0.2">
      <c r="D492" s="18">
        <f>装备表!L637</f>
        <v>0</v>
      </c>
      <c r="E492" s="18" t="str">
        <f>IF(装备表!$O637=0,"xxx",IFERROR(IF(INT(IF($D492=E$3,装备表!$E637,"xxx")/10000)=1,IF($D492=E$3,装备表!$E637,"xxx")&amp;":2,1,1,"&amp;装备表!$O637&amp;";","xxx"),"xxx"))</f>
        <v>xxx</v>
      </c>
      <c r="F492" s="18" t="str">
        <f>IF(装备表!$O637=0,"xxx",IFERROR(IF(INT(IF($D492=F$3,装备表!$E637,"xxx")/10000)=1,IF($D492=F$3,装备表!$E637,"xxx")&amp;":2,1,1,"&amp;装备表!$O637&amp;";","xxx"),"xxx"))</f>
        <v>xxx</v>
      </c>
      <c r="G492" s="18" t="str">
        <f>IF(装备表!$O637=0,"xxx",IFERROR(IF(INT(IF($D492=G$3,装备表!$E637,"xxx")/10000)=1,IF($D492=G$3,装备表!$E637,"xxx")&amp;":2,1,1,"&amp;装备表!$O637&amp;";","xxx"),"xxx"))</f>
        <v>xxx</v>
      </c>
      <c r="H492" s="18" t="str">
        <f>IF(装备表!$O637=0,"xxx",IFERROR(IF(INT(IF($D492=H$3,装备表!$E637,"xxx")/10000)=1,IF($D492=H$3,装备表!$E637,"xxx")&amp;":2,1,1,"&amp;装备表!$O637&amp;";","xxx"),"xxx"))</f>
        <v>xxx</v>
      </c>
      <c r="I492" s="18" t="str">
        <f>IF(装备表!$O637=0,"xxx",IFERROR(IF(INT(IF($D492=I$3,装备表!$E637,"xxx")/10000)=1,IF($D492=I$3,装备表!$E637,"xxx")&amp;":2,1,1,"&amp;装备表!$O637&amp;";","xxx"),"xxx"))</f>
        <v>xxx</v>
      </c>
      <c r="J492" s="18" t="str">
        <f>IF(装备表!$O637=0,"xxx",IFERROR(IF(INT(IF($D492=J$3,装备表!$E637,"xxx")/10000)=1,IF($D492=J$3,装备表!$E637,"xxx")&amp;":2,1,1,"&amp;装备表!$O637&amp;";","xxx"),"xxx"))</f>
        <v>xxx</v>
      </c>
    </row>
    <row r="493" spans="4:10" x14ac:dyDescent="0.2">
      <c r="D493" s="18">
        <f>装备表!L638</f>
        <v>0</v>
      </c>
      <c r="E493" s="18" t="str">
        <f>IF(装备表!$O638=0,"xxx",IFERROR(IF(INT(IF($D493=E$3,装备表!$E638,"xxx")/10000)=1,IF($D493=E$3,装备表!$E638,"xxx")&amp;":2,1,1,"&amp;装备表!$O638&amp;";","xxx"),"xxx"))</f>
        <v>xxx</v>
      </c>
      <c r="F493" s="18" t="str">
        <f>IF(装备表!$O638=0,"xxx",IFERROR(IF(INT(IF($D493=F$3,装备表!$E638,"xxx")/10000)=1,IF($D493=F$3,装备表!$E638,"xxx")&amp;":2,1,1,"&amp;装备表!$O638&amp;";","xxx"),"xxx"))</f>
        <v>xxx</v>
      </c>
      <c r="G493" s="18" t="str">
        <f>IF(装备表!$O638=0,"xxx",IFERROR(IF(INT(IF($D493=G$3,装备表!$E638,"xxx")/10000)=1,IF($D493=G$3,装备表!$E638,"xxx")&amp;":2,1,1,"&amp;装备表!$O638&amp;";","xxx"),"xxx"))</f>
        <v>xxx</v>
      </c>
      <c r="H493" s="18" t="str">
        <f>IF(装备表!$O638=0,"xxx",IFERROR(IF(INT(IF($D493=H$3,装备表!$E638,"xxx")/10000)=1,IF($D493=H$3,装备表!$E638,"xxx")&amp;":2,1,1,"&amp;装备表!$O638&amp;";","xxx"),"xxx"))</f>
        <v>xxx</v>
      </c>
      <c r="I493" s="18" t="str">
        <f>IF(装备表!$O638=0,"xxx",IFERROR(IF(INT(IF($D493=I$3,装备表!$E638,"xxx")/10000)=1,IF($D493=I$3,装备表!$E638,"xxx")&amp;":2,1,1,"&amp;装备表!$O638&amp;";","xxx"),"xxx"))</f>
        <v>xxx</v>
      </c>
      <c r="J493" s="18" t="str">
        <f>IF(装备表!$O638=0,"xxx",IFERROR(IF(INT(IF($D493=J$3,装备表!$E638,"xxx")/10000)=1,IF($D493=J$3,装备表!$E638,"xxx")&amp;":2,1,1,"&amp;装备表!$O638&amp;";","xxx"),"xxx"))</f>
        <v>xxx</v>
      </c>
    </row>
    <row r="494" spans="4:10" x14ac:dyDescent="0.2">
      <c r="D494" s="18">
        <f>装备表!L639</f>
        <v>0</v>
      </c>
      <c r="E494" s="18" t="str">
        <f>IF(装备表!$O639=0,"xxx",IFERROR(IF(INT(IF($D494=E$3,装备表!$E639,"xxx")/10000)=1,IF($D494=E$3,装备表!$E639,"xxx")&amp;":2,1,1,"&amp;装备表!$O639&amp;";","xxx"),"xxx"))</f>
        <v>xxx</v>
      </c>
      <c r="F494" s="18" t="str">
        <f>IF(装备表!$O639=0,"xxx",IFERROR(IF(INT(IF($D494=F$3,装备表!$E639,"xxx")/10000)=1,IF($D494=F$3,装备表!$E639,"xxx")&amp;":2,1,1,"&amp;装备表!$O639&amp;";","xxx"),"xxx"))</f>
        <v>xxx</v>
      </c>
      <c r="G494" s="18" t="str">
        <f>IF(装备表!$O639=0,"xxx",IFERROR(IF(INT(IF($D494=G$3,装备表!$E639,"xxx")/10000)=1,IF($D494=G$3,装备表!$E639,"xxx")&amp;":2,1,1,"&amp;装备表!$O639&amp;";","xxx"),"xxx"))</f>
        <v>xxx</v>
      </c>
      <c r="H494" s="18" t="str">
        <f>IF(装备表!$O639=0,"xxx",IFERROR(IF(INT(IF($D494=H$3,装备表!$E639,"xxx")/10000)=1,IF($D494=H$3,装备表!$E639,"xxx")&amp;":2,1,1,"&amp;装备表!$O639&amp;";","xxx"),"xxx"))</f>
        <v>xxx</v>
      </c>
      <c r="I494" s="18" t="str">
        <f>IF(装备表!$O639=0,"xxx",IFERROR(IF(INT(IF($D494=I$3,装备表!$E639,"xxx")/10000)=1,IF($D494=I$3,装备表!$E639,"xxx")&amp;":2,1,1,"&amp;装备表!$O639&amp;";","xxx"),"xxx"))</f>
        <v>xxx</v>
      </c>
      <c r="J494" s="18" t="str">
        <f>IF(装备表!$O639=0,"xxx",IFERROR(IF(INT(IF($D494=J$3,装备表!$E639,"xxx")/10000)=1,IF($D494=J$3,装备表!$E639,"xxx")&amp;":2,1,1,"&amp;装备表!$O639&amp;";","xxx"),"xxx"))</f>
        <v>xxx</v>
      </c>
    </row>
    <row r="495" spans="4:10" x14ac:dyDescent="0.2">
      <c r="D495" s="18">
        <f>装备表!L640</f>
        <v>0</v>
      </c>
      <c r="E495" s="18" t="str">
        <f>IF(装备表!$O640=0,"xxx",IFERROR(IF(INT(IF($D495=E$3,装备表!$E640,"xxx")/10000)=1,IF($D495=E$3,装备表!$E640,"xxx")&amp;":2,1,1,"&amp;装备表!$O640&amp;";","xxx"),"xxx"))</f>
        <v>xxx</v>
      </c>
      <c r="F495" s="18" t="str">
        <f>IF(装备表!$O640=0,"xxx",IFERROR(IF(INT(IF($D495=F$3,装备表!$E640,"xxx")/10000)=1,IF($D495=F$3,装备表!$E640,"xxx")&amp;":2,1,1,"&amp;装备表!$O640&amp;";","xxx"),"xxx"))</f>
        <v>xxx</v>
      </c>
      <c r="G495" s="18" t="str">
        <f>IF(装备表!$O640=0,"xxx",IFERROR(IF(INT(IF($D495=G$3,装备表!$E640,"xxx")/10000)=1,IF($D495=G$3,装备表!$E640,"xxx")&amp;":2,1,1,"&amp;装备表!$O640&amp;";","xxx"),"xxx"))</f>
        <v>xxx</v>
      </c>
      <c r="H495" s="18" t="str">
        <f>IF(装备表!$O640=0,"xxx",IFERROR(IF(INT(IF($D495=H$3,装备表!$E640,"xxx")/10000)=1,IF($D495=H$3,装备表!$E640,"xxx")&amp;":2,1,1,"&amp;装备表!$O640&amp;";","xxx"),"xxx"))</f>
        <v>xxx</v>
      </c>
      <c r="I495" s="18" t="str">
        <f>IF(装备表!$O640=0,"xxx",IFERROR(IF(INT(IF($D495=I$3,装备表!$E640,"xxx")/10000)=1,IF($D495=I$3,装备表!$E640,"xxx")&amp;":2,1,1,"&amp;装备表!$O640&amp;";","xxx"),"xxx"))</f>
        <v>xxx</v>
      </c>
      <c r="J495" s="18" t="str">
        <f>IF(装备表!$O640=0,"xxx",IFERROR(IF(INT(IF($D495=J$3,装备表!$E640,"xxx")/10000)=1,IF($D495=J$3,装备表!$E640,"xxx")&amp;":2,1,1,"&amp;装备表!$O640&amp;";","xxx"),"xxx"))</f>
        <v>xxx</v>
      </c>
    </row>
    <row r="496" spans="4:10" x14ac:dyDescent="0.2">
      <c r="D496" s="18">
        <f>装备表!L641</f>
        <v>0</v>
      </c>
      <c r="E496" s="18" t="str">
        <f>IF(装备表!$O641=0,"xxx",IFERROR(IF(INT(IF($D496=E$3,装备表!$E641,"xxx")/10000)=1,IF($D496=E$3,装备表!$E641,"xxx")&amp;":2,1,1,"&amp;装备表!$O641&amp;";","xxx"),"xxx"))</f>
        <v>xxx</v>
      </c>
      <c r="F496" s="18" t="str">
        <f>IF(装备表!$O641=0,"xxx",IFERROR(IF(INT(IF($D496=F$3,装备表!$E641,"xxx")/10000)=1,IF($D496=F$3,装备表!$E641,"xxx")&amp;":2,1,1,"&amp;装备表!$O641&amp;";","xxx"),"xxx"))</f>
        <v>xxx</v>
      </c>
      <c r="G496" s="18" t="str">
        <f>IF(装备表!$O641=0,"xxx",IFERROR(IF(INT(IF($D496=G$3,装备表!$E641,"xxx")/10000)=1,IF($D496=G$3,装备表!$E641,"xxx")&amp;":2,1,1,"&amp;装备表!$O641&amp;";","xxx"),"xxx"))</f>
        <v>xxx</v>
      </c>
      <c r="H496" s="18" t="str">
        <f>IF(装备表!$O641=0,"xxx",IFERROR(IF(INT(IF($D496=H$3,装备表!$E641,"xxx")/10000)=1,IF($D496=H$3,装备表!$E641,"xxx")&amp;":2,1,1,"&amp;装备表!$O641&amp;";","xxx"),"xxx"))</f>
        <v>xxx</v>
      </c>
      <c r="I496" s="18" t="str">
        <f>IF(装备表!$O641=0,"xxx",IFERROR(IF(INT(IF($D496=I$3,装备表!$E641,"xxx")/10000)=1,IF($D496=I$3,装备表!$E641,"xxx")&amp;":2,1,1,"&amp;装备表!$O641&amp;";","xxx"),"xxx"))</f>
        <v>xxx</v>
      </c>
      <c r="J496" s="18" t="str">
        <f>IF(装备表!$O641=0,"xxx",IFERROR(IF(INT(IF($D496=J$3,装备表!$E641,"xxx")/10000)=1,IF($D496=J$3,装备表!$E641,"xxx")&amp;":2,1,1,"&amp;装备表!$O641&amp;";","xxx"),"xxx"))</f>
        <v>xxx</v>
      </c>
    </row>
    <row r="497" spans="4:10" x14ac:dyDescent="0.2">
      <c r="D497" s="18">
        <f>装备表!L642</f>
        <v>0</v>
      </c>
      <c r="E497" s="18" t="str">
        <f>IF(装备表!$O642=0,"xxx",IFERROR(IF(INT(IF($D497=E$3,装备表!$E642,"xxx")/10000)=1,IF($D497=E$3,装备表!$E642,"xxx")&amp;":2,1,1,"&amp;装备表!$O642&amp;";","xxx"),"xxx"))</f>
        <v>xxx</v>
      </c>
      <c r="F497" s="18" t="str">
        <f>IF(装备表!$O642=0,"xxx",IFERROR(IF(INT(IF($D497=F$3,装备表!$E642,"xxx")/10000)=1,IF($D497=F$3,装备表!$E642,"xxx")&amp;":2,1,1,"&amp;装备表!$O642&amp;";","xxx"),"xxx"))</f>
        <v>xxx</v>
      </c>
      <c r="G497" s="18" t="str">
        <f>IF(装备表!$O642=0,"xxx",IFERROR(IF(INT(IF($D497=G$3,装备表!$E642,"xxx")/10000)=1,IF($D497=G$3,装备表!$E642,"xxx")&amp;":2,1,1,"&amp;装备表!$O642&amp;";","xxx"),"xxx"))</f>
        <v>xxx</v>
      </c>
      <c r="H497" s="18" t="str">
        <f>IF(装备表!$O642=0,"xxx",IFERROR(IF(INT(IF($D497=H$3,装备表!$E642,"xxx")/10000)=1,IF($D497=H$3,装备表!$E642,"xxx")&amp;":2,1,1,"&amp;装备表!$O642&amp;";","xxx"),"xxx"))</f>
        <v>xxx</v>
      </c>
      <c r="I497" s="18" t="str">
        <f>IF(装备表!$O642=0,"xxx",IFERROR(IF(INT(IF($D497=I$3,装备表!$E642,"xxx")/10000)=1,IF($D497=I$3,装备表!$E642,"xxx")&amp;":2,1,1,"&amp;装备表!$O642&amp;";","xxx"),"xxx"))</f>
        <v>xxx</v>
      </c>
      <c r="J497" s="18" t="str">
        <f>IF(装备表!$O642=0,"xxx",IFERROR(IF(INT(IF($D497=J$3,装备表!$E642,"xxx")/10000)=1,IF($D497=J$3,装备表!$E642,"xxx")&amp;":2,1,1,"&amp;装备表!$O642&amp;";","xxx"),"xxx"))</f>
        <v>xxx</v>
      </c>
    </row>
    <row r="498" spans="4:10" x14ac:dyDescent="0.2">
      <c r="D498" s="18">
        <f>装备表!L643</f>
        <v>0</v>
      </c>
      <c r="E498" s="18" t="str">
        <f>IF(装备表!$O643=0,"xxx",IFERROR(IF(INT(IF($D498=E$3,装备表!$E643,"xxx")/10000)=1,IF($D498=E$3,装备表!$E643,"xxx")&amp;":2,1,1,"&amp;装备表!$O643&amp;";","xxx"),"xxx"))</f>
        <v>xxx</v>
      </c>
      <c r="F498" s="18" t="str">
        <f>IF(装备表!$O643=0,"xxx",IFERROR(IF(INT(IF($D498=F$3,装备表!$E643,"xxx")/10000)=1,IF($D498=F$3,装备表!$E643,"xxx")&amp;":2,1,1,"&amp;装备表!$O643&amp;";","xxx"),"xxx"))</f>
        <v>xxx</v>
      </c>
      <c r="G498" s="18" t="str">
        <f>IF(装备表!$O643=0,"xxx",IFERROR(IF(INT(IF($D498=G$3,装备表!$E643,"xxx")/10000)=1,IF($D498=G$3,装备表!$E643,"xxx")&amp;":2,1,1,"&amp;装备表!$O643&amp;";","xxx"),"xxx"))</f>
        <v>xxx</v>
      </c>
      <c r="H498" s="18" t="str">
        <f>IF(装备表!$O643=0,"xxx",IFERROR(IF(INT(IF($D498=H$3,装备表!$E643,"xxx")/10000)=1,IF($D498=H$3,装备表!$E643,"xxx")&amp;":2,1,1,"&amp;装备表!$O643&amp;";","xxx"),"xxx"))</f>
        <v>xxx</v>
      </c>
      <c r="I498" s="18" t="str">
        <f>IF(装备表!$O643=0,"xxx",IFERROR(IF(INT(IF($D498=I$3,装备表!$E643,"xxx")/10000)=1,IF($D498=I$3,装备表!$E643,"xxx")&amp;":2,1,1,"&amp;装备表!$O643&amp;";","xxx"),"xxx"))</f>
        <v>xxx</v>
      </c>
      <c r="J498" s="18" t="str">
        <f>IF(装备表!$O643=0,"xxx",IFERROR(IF(INT(IF($D498=J$3,装备表!$E643,"xxx")/10000)=1,IF($D498=J$3,装备表!$E643,"xxx")&amp;":2,1,1,"&amp;装备表!$O643&amp;";","xxx"),"xxx"))</f>
        <v>xxx</v>
      </c>
    </row>
    <row r="499" spans="4:10" x14ac:dyDescent="0.2">
      <c r="D499" s="18">
        <f>装备表!L644</f>
        <v>0</v>
      </c>
      <c r="E499" s="18" t="str">
        <f>IF(装备表!$O644=0,"xxx",IFERROR(IF(INT(IF($D499=E$3,装备表!$E644,"xxx")/10000)=1,IF($D499=E$3,装备表!$E644,"xxx")&amp;":2,1,1,"&amp;装备表!$O644&amp;";","xxx"),"xxx"))</f>
        <v>xxx</v>
      </c>
      <c r="F499" s="18" t="str">
        <f>IF(装备表!$O644=0,"xxx",IFERROR(IF(INT(IF($D499=F$3,装备表!$E644,"xxx")/10000)=1,IF($D499=F$3,装备表!$E644,"xxx")&amp;":2,1,1,"&amp;装备表!$O644&amp;";","xxx"),"xxx"))</f>
        <v>xxx</v>
      </c>
      <c r="G499" s="18" t="str">
        <f>IF(装备表!$O644=0,"xxx",IFERROR(IF(INT(IF($D499=G$3,装备表!$E644,"xxx")/10000)=1,IF($D499=G$3,装备表!$E644,"xxx")&amp;":2,1,1,"&amp;装备表!$O644&amp;";","xxx"),"xxx"))</f>
        <v>xxx</v>
      </c>
      <c r="H499" s="18" t="str">
        <f>IF(装备表!$O644=0,"xxx",IFERROR(IF(INT(IF($D499=H$3,装备表!$E644,"xxx")/10000)=1,IF($D499=H$3,装备表!$E644,"xxx")&amp;":2,1,1,"&amp;装备表!$O644&amp;";","xxx"),"xxx"))</f>
        <v>xxx</v>
      </c>
      <c r="I499" s="18" t="str">
        <f>IF(装备表!$O644=0,"xxx",IFERROR(IF(INT(IF($D499=I$3,装备表!$E644,"xxx")/10000)=1,IF($D499=I$3,装备表!$E644,"xxx")&amp;":2,1,1,"&amp;装备表!$O644&amp;";","xxx"),"xxx"))</f>
        <v>xxx</v>
      </c>
      <c r="J499" s="18" t="str">
        <f>IF(装备表!$O644=0,"xxx",IFERROR(IF(INT(IF($D499=J$3,装备表!$E644,"xxx")/10000)=1,IF($D499=J$3,装备表!$E644,"xxx")&amp;":2,1,1,"&amp;装备表!$O644&amp;";","xxx"),"xxx"))</f>
        <v>xxx</v>
      </c>
    </row>
    <row r="500" spans="4:10" x14ac:dyDescent="0.2">
      <c r="D500" s="18">
        <f>装备表!L645</f>
        <v>0</v>
      </c>
      <c r="E500" s="18" t="str">
        <f>IF(装备表!$O645=0,"xxx",IFERROR(IF(INT(IF($D500=E$3,装备表!$E645,"xxx")/10000)=1,IF($D500=E$3,装备表!$E645,"xxx")&amp;":2,1,1,"&amp;装备表!$O645&amp;";","xxx"),"xxx"))</f>
        <v>xxx</v>
      </c>
      <c r="F500" s="18" t="str">
        <f>IF(装备表!$O645=0,"xxx",IFERROR(IF(INT(IF($D500=F$3,装备表!$E645,"xxx")/10000)=1,IF($D500=F$3,装备表!$E645,"xxx")&amp;":2,1,1,"&amp;装备表!$O645&amp;";","xxx"),"xxx"))</f>
        <v>xxx</v>
      </c>
      <c r="G500" s="18" t="str">
        <f>IF(装备表!$O645=0,"xxx",IFERROR(IF(INT(IF($D500=G$3,装备表!$E645,"xxx")/10000)=1,IF($D500=G$3,装备表!$E645,"xxx")&amp;":2,1,1,"&amp;装备表!$O645&amp;";","xxx"),"xxx"))</f>
        <v>xxx</v>
      </c>
      <c r="H500" s="18" t="str">
        <f>IF(装备表!$O645=0,"xxx",IFERROR(IF(INT(IF($D500=H$3,装备表!$E645,"xxx")/10000)=1,IF($D500=H$3,装备表!$E645,"xxx")&amp;":2,1,1,"&amp;装备表!$O645&amp;";","xxx"),"xxx"))</f>
        <v>xxx</v>
      </c>
      <c r="I500" s="18" t="str">
        <f>IF(装备表!$O645=0,"xxx",IFERROR(IF(INT(IF($D500=I$3,装备表!$E645,"xxx")/10000)=1,IF($D500=I$3,装备表!$E645,"xxx")&amp;":2,1,1,"&amp;装备表!$O645&amp;";","xxx"),"xxx"))</f>
        <v>xxx</v>
      </c>
      <c r="J500" s="18" t="str">
        <f>IF(装备表!$O645=0,"xxx",IFERROR(IF(INT(IF($D500=J$3,装备表!$E645,"xxx")/10000)=1,IF($D500=J$3,装备表!$E645,"xxx")&amp;":2,1,1,"&amp;装备表!$O645&amp;";","xxx"),"xxx"))</f>
        <v>xxx</v>
      </c>
    </row>
    <row r="501" spans="4:10" x14ac:dyDescent="0.2">
      <c r="D501" s="18">
        <f>装备表!L646</f>
        <v>0</v>
      </c>
      <c r="E501" s="18" t="str">
        <f>IF(装备表!$O646=0,"xxx",IFERROR(IF(INT(IF($D501=E$3,装备表!$E646,"xxx")/10000)=1,IF($D501=E$3,装备表!$E646,"xxx")&amp;":2,1,1,"&amp;装备表!$O646&amp;";","xxx"),"xxx"))</f>
        <v>xxx</v>
      </c>
      <c r="F501" s="18" t="str">
        <f>IF(装备表!$O646=0,"xxx",IFERROR(IF(INT(IF($D501=F$3,装备表!$E646,"xxx")/10000)=1,IF($D501=F$3,装备表!$E646,"xxx")&amp;":2,1,1,"&amp;装备表!$O646&amp;";","xxx"),"xxx"))</f>
        <v>xxx</v>
      </c>
      <c r="G501" s="18" t="str">
        <f>IF(装备表!$O646=0,"xxx",IFERROR(IF(INT(IF($D501=G$3,装备表!$E646,"xxx")/10000)=1,IF($D501=G$3,装备表!$E646,"xxx")&amp;":2,1,1,"&amp;装备表!$O646&amp;";","xxx"),"xxx"))</f>
        <v>xxx</v>
      </c>
      <c r="H501" s="18" t="str">
        <f>IF(装备表!$O646=0,"xxx",IFERROR(IF(INT(IF($D501=H$3,装备表!$E646,"xxx")/10000)=1,IF($D501=H$3,装备表!$E646,"xxx")&amp;":2,1,1,"&amp;装备表!$O646&amp;";","xxx"),"xxx"))</f>
        <v>xxx</v>
      </c>
      <c r="I501" s="18" t="str">
        <f>IF(装备表!$O646=0,"xxx",IFERROR(IF(INT(IF($D501=I$3,装备表!$E646,"xxx")/10000)=1,IF($D501=I$3,装备表!$E646,"xxx")&amp;":2,1,1,"&amp;装备表!$O646&amp;";","xxx"),"xxx"))</f>
        <v>xxx</v>
      </c>
      <c r="J501" s="18" t="str">
        <f>IF(装备表!$O646=0,"xxx",IFERROR(IF(INT(IF($D501=J$3,装备表!$E646,"xxx")/10000)=1,IF($D501=J$3,装备表!$E646,"xxx")&amp;":2,1,1,"&amp;装备表!$O646&amp;";","xxx"),"xxx"))</f>
        <v>xxx</v>
      </c>
    </row>
    <row r="502" spans="4:10" x14ac:dyDescent="0.2">
      <c r="D502" s="18">
        <f>装备表!L647</f>
        <v>0</v>
      </c>
      <c r="E502" s="18" t="str">
        <f>IF(装备表!$O647=0,"xxx",IFERROR(IF(INT(IF($D502=E$3,装备表!$E647,"xxx")/10000)=1,IF($D502=E$3,装备表!$E647,"xxx")&amp;":2,1,1,"&amp;装备表!$O647&amp;";","xxx"),"xxx"))</f>
        <v>xxx</v>
      </c>
      <c r="F502" s="18" t="str">
        <f>IF(装备表!$O647=0,"xxx",IFERROR(IF(INT(IF($D502=F$3,装备表!$E647,"xxx")/10000)=1,IF($D502=F$3,装备表!$E647,"xxx")&amp;":2,1,1,"&amp;装备表!$O647&amp;";","xxx"),"xxx"))</f>
        <v>xxx</v>
      </c>
      <c r="G502" s="18" t="str">
        <f>IF(装备表!$O647=0,"xxx",IFERROR(IF(INT(IF($D502=G$3,装备表!$E647,"xxx")/10000)=1,IF($D502=G$3,装备表!$E647,"xxx")&amp;":2,1,1,"&amp;装备表!$O647&amp;";","xxx"),"xxx"))</f>
        <v>xxx</v>
      </c>
      <c r="H502" s="18" t="str">
        <f>IF(装备表!$O647=0,"xxx",IFERROR(IF(INT(IF($D502=H$3,装备表!$E647,"xxx")/10000)=1,IF($D502=H$3,装备表!$E647,"xxx")&amp;":2,1,1,"&amp;装备表!$O647&amp;";","xxx"),"xxx"))</f>
        <v>xxx</v>
      </c>
      <c r="I502" s="18" t="str">
        <f>IF(装备表!$O647=0,"xxx",IFERROR(IF(INT(IF($D502=I$3,装备表!$E647,"xxx")/10000)=1,IF($D502=I$3,装备表!$E647,"xxx")&amp;":2,1,1,"&amp;装备表!$O647&amp;";","xxx"),"xxx"))</f>
        <v>xxx</v>
      </c>
      <c r="J502" s="18" t="str">
        <f>IF(装备表!$O647=0,"xxx",IFERROR(IF(INT(IF($D502=J$3,装备表!$E647,"xxx")/10000)=1,IF($D502=J$3,装备表!$E647,"xxx")&amp;":2,1,1,"&amp;装备表!$O647&amp;";","xxx"),"xxx"))</f>
        <v>xxx</v>
      </c>
    </row>
    <row r="503" spans="4:10" x14ac:dyDescent="0.2">
      <c r="D503" s="18">
        <f>装备表!L648</f>
        <v>0</v>
      </c>
      <c r="E503" s="18" t="str">
        <f>IF(装备表!$O648=0,"xxx",IFERROR(IF(INT(IF($D503=E$3,装备表!$E648,"xxx")/10000)=1,IF($D503=E$3,装备表!$E648,"xxx")&amp;":2,1,1,"&amp;装备表!$O648&amp;";","xxx"),"xxx"))</f>
        <v>xxx</v>
      </c>
      <c r="F503" s="18" t="str">
        <f>IF(装备表!$O648=0,"xxx",IFERROR(IF(INT(IF($D503=F$3,装备表!$E648,"xxx")/10000)=1,IF($D503=F$3,装备表!$E648,"xxx")&amp;":2,1,1,"&amp;装备表!$O648&amp;";","xxx"),"xxx"))</f>
        <v>xxx</v>
      </c>
      <c r="G503" s="18" t="str">
        <f>IF(装备表!$O648=0,"xxx",IFERROR(IF(INT(IF($D503=G$3,装备表!$E648,"xxx")/10000)=1,IF($D503=G$3,装备表!$E648,"xxx")&amp;":2,1,1,"&amp;装备表!$O648&amp;";","xxx"),"xxx"))</f>
        <v>xxx</v>
      </c>
      <c r="H503" s="18" t="str">
        <f>IF(装备表!$O648=0,"xxx",IFERROR(IF(INT(IF($D503=H$3,装备表!$E648,"xxx")/10000)=1,IF($D503=H$3,装备表!$E648,"xxx")&amp;":2,1,1,"&amp;装备表!$O648&amp;";","xxx"),"xxx"))</f>
        <v>xxx</v>
      </c>
      <c r="I503" s="18" t="str">
        <f>IF(装备表!$O648=0,"xxx",IFERROR(IF(INT(IF($D503=I$3,装备表!$E648,"xxx")/10000)=1,IF($D503=I$3,装备表!$E648,"xxx")&amp;":2,1,1,"&amp;装备表!$O648&amp;";","xxx"),"xxx"))</f>
        <v>xxx</v>
      </c>
      <c r="J503" s="18" t="str">
        <f>IF(装备表!$O648=0,"xxx",IFERROR(IF(INT(IF($D503=J$3,装备表!$E648,"xxx")/10000)=1,IF($D503=J$3,装备表!$E648,"xxx")&amp;":2,1,1,"&amp;装备表!$O648&amp;";","xxx"),"xxx"))</f>
        <v>xxx</v>
      </c>
    </row>
    <row r="504" spans="4:10" x14ac:dyDescent="0.2">
      <c r="D504" s="18">
        <f>装备表!L649</f>
        <v>0</v>
      </c>
      <c r="E504" s="18" t="str">
        <f>IF(装备表!$O649=0,"xxx",IFERROR(IF(INT(IF($D504=E$3,装备表!$E649,"xxx")/10000)=1,IF($D504=E$3,装备表!$E649,"xxx")&amp;":2,1,1,"&amp;装备表!$O649&amp;";","xxx"),"xxx"))</f>
        <v>xxx</v>
      </c>
      <c r="F504" s="18" t="str">
        <f>IF(装备表!$O649=0,"xxx",IFERROR(IF(INT(IF($D504=F$3,装备表!$E649,"xxx")/10000)=1,IF($D504=F$3,装备表!$E649,"xxx")&amp;":2,1,1,"&amp;装备表!$O649&amp;";","xxx"),"xxx"))</f>
        <v>xxx</v>
      </c>
      <c r="G504" s="18" t="str">
        <f>IF(装备表!$O649=0,"xxx",IFERROR(IF(INT(IF($D504=G$3,装备表!$E649,"xxx")/10000)=1,IF($D504=G$3,装备表!$E649,"xxx")&amp;":2,1,1,"&amp;装备表!$O649&amp;";","xxx"),"xxx"))</f>
        <v>xxx</v>
      </c>
      <c r="H504" s="18" t="str">
        <f>IF(装备表!$O649=0,"xxx",IFERROR(IF(INT(IF($D504=H$3,装备表!$E649,"xxx")/10000)=1,IF($D504=H$3,装备表!$E649,"xxx")&amp;":2,1,1,"&amp;装备表!$O649&amp;";","xxx"),"xxx"))</f>
        <v>xxx</v>
      </c>
      <c r="I504" s="18" t="str">
        <f>IF(装备表!$O649=0,"xxx",IFERROR(IF(INT(IF($D504=I$3,装备表!$E649,"xxx")/10000)=1,IF($D504=I$3,装备表!$E649,"xxx")&amp;":2,1,1,"&amp;装备表!$O649&amp;";","xxx"),"xxx"))</f>
        <v>xxx</v>
      </c>
      <c r="J504" s="18" t="str">
        <f>IF(装备表!$O649=0,"xxx",IFERROR(IF(INT(IF($D504=J$3,装备表!$E649,"xxx")/10000)=1,IF($D504=J$3,装备表!$E649,"xxx")&amp;":2,1,1,"&amp;装备表!$O649&amp;";","xxx"),"xxx"))</f>
        <v>xxx</v>
      </c>
    </row>
    <row r="505" spans="4:10" x14ac:dyDescent="0.2">
      <c r="D505" s="18">
        <f>装备表!L650</f>
        <v>0</v>
      </c>
      <c r="E505" s="18" t="str">
        <f>IF(装备表!$O650=0,"xxx",IFERROR(IF(INT(IF($D505=E$3,装备表!$E650,"xxx")/10000)=1,IF($D505=E$3,装备表!$E650,"xxx")&amp;":2,1,1,"&amp;装备表!$O650&amp;";","xxx"),"xxx"))</f>
        <v>xxx</v>
      </c>
      <c r="F505" s="18" t="str">
        <f>IF(装备表!$O650=0,"xxx",IFERROR(IF(INT(IF($D505=F$3,装备表!$E650,"xxx")/10000)=1,IF($D505=F$3,装备表!$E650,"xxx")&amp;":2,1,1,"&amp;装备表!$O650&amp;";","xxx"),"xxx"))</f>
        <v>xxx</v>
      </c>
      <c r="G505" s="18" t="str">
        <f>IF(装备表!$O650=0,"xxx",IFERROR(IF(INT(IF($D505=G$3,装备表!$E650,"xxx")/10000)=1,IF($D505=G$3,装备表!$E650,"xxx")&amp;":2,1,1,"&amp;装备表!$O650&amp;";","xxx"),"xxx"))</f>
        <v>xxx</v>
      </c>
      <c r="H505" s="18" t="str">
        <f>IF(装备表!$O650=0,"xxx",IFERROR(IF(INT(IF($D505=H$3,装备表!$E650,"xxx")/10000)=1,IF($D505=H$3,装备表!$E650,"xxx")&amp;":2,1,1,"&amp;装备表!$O650&amp;";","xxx"),"xxx"))</f>
        <v>xxx</v>
      </c>
      <c r="I505" s="18" t="str">
        <f>IF(装备表!$O650=0,"xxx",IFERROR(IF(INT(IF($D505=I$3,装备表!$E650,"xxx")/10000)=1,IF($D505=I$3,装备表!$E650,"xxx")&amp;":2,1,1,"&amp;装备表!$O650&amp;";","xxx"),"xxx"))</f>
        <v>xxx</v>
      </c>
      <c r="J505" s="18" t="str">
        <f>IF(装备表!$O650=0,"xxx",IFERROR(IF(INT(IF($D505=J$3,装备表!$E650,"xxx")/10000)=1,IF($D505=J$3,装备表!$E650,"xxx")&amp;":2,1,1,"&amp;装备表!$O650&amp;";","xxx"),"xxx"))</f>
        <v>xxx</v>
      </c>
    </row>
    <row r="506" spans="4:10" x14ac:dyDescent="0.2">
      <c r="D506" s="18">
        <f>装备表!L651</f>
        <v>0</v>
      </c>
      <c r="E506" s="18" t="str">
        <f>IF(装备表!$O651=0,"xxx",IFERROR(IF(INT(IF($D506=E$3,装备表!$E651,"xxx")/10000)=1,IF($D506=E$3,装备表!$E651,"xxx")&amp;":2,1,1,"&amp;装备表!$O651&amp;";","xxx"),"xxx"))</f>
        <v>xxx</v>
      </c>
      <c r="F506" s="18" t="str">
        <f>IF(装备表!$O651=0,"xxx",IFERROR(IF(INT(IF($D506=F$3,装备表!$E651,"xxx")/10000)=1,IF($D506=F$3,装备表!$E651,"xxx")&amp;":2,1,1,"&amp;装备表!$O651&amp;";","xxx"),"xxx"))</f>
        <v>xxx</v>
      </c>
      <c r="G506" s="18" t="str">
        <f>IF(装备表!$O651=0,"xxx",IFERROR(IF(INT(IF($D506=G$3,装备表!$E651,"xxx")/10000)=1,IF($D506=G$3,装备表!$E651,"xxx")&amp;":2,1,1,"&amp;装备表!$O651&amp;";","xxx"),"xxx"))</f>
        <v>xxx</v>
      </c>
      <c r="H506" s="18" t="str">
        <f>IF(装备表!$O651=0,"xxx",IFERROR(IF(INT(IF($D506=H$3,装备表!$E651,"xxx")/10000)=1,IF($D506=H$3,装备表!$E651,"xxx")&amp;":2,1,1,"&amp;装备表!$O651&amp;";","xxx"),"xxx"))</f>
        <v>xxx</v>
      </c>
      <c r="I506" s="18" t="str">
        <f>IF(装备表!$O651=0,"xxx",IFERROR(IF(INT(IF($D506=I$3,装备表!$E651,"xxx")/10000)=1,IF($D506=I$3,装备表!$E651,"xxx")&amp;":2,1,1,"&amp;装备表!$O651&amp;";","xxx"),"xxx"))</f>
        <v>xxx</v>
      </c>
      <c r="J506" s="18" t="str">
        <f>IF(装备表!$O651=0,"xxx",IFERROR(IF(INT(IF($D506=J$3,装备表!$E651,"xxx")/10000)=1,IF($D506=J$3,装备表!$E651,"xxx")&amp;":2,1,1,"&amp;装备表!$O651&amp;";","xxx"),"xxx"))</f>
        <v>xxx</v>
      </c>
    </row>
    <row r="507" spans="4:10" x14ac:dyDescent="0.2">
      <c r="D507" s="18">
        <f>装备表!L652</f>
        <v>0</v>
      </c>
      <c r="E507" s="18" t="str">
        <f>IF(装备表!$O652=0,"xxx",IFERROR(IF(INT(IF($D507=E$3,装备表!$E652,"xxx")/10000)=1,IF($D507=E$3,装备表!$E652,"xxx")&amp;":2,1,1,"&amp;装备表!$O652&amp;";","xxx"),"xxx"))</f>
        <v>xxx</v>
      </c>
      <c r="F507" s="18" t="str">
        <f>IF(装备表!$O652=0,"xxx",IFERROR(IF(INT(IF($D507=F$3,装备表!$E652,"xxx")/10000)=1,IF($D507=F$3,装备表!$E652,"xxx")&amp;":2,1,1,"&amp;装备表!$O652&amp;";","xxx"),"xxx"))</f>
        <v>xxx</v>
      </c>
      <c r="G507" s="18" t="str">
        <f>IF(装备表!$O652=0,"xxx",IFERROR(IF(INT(IF($D507=G$3,装备表!$E652,"xxx")/10000)=1,IF($D507=G$3,装备表!$E652,"xxx")&amp;":2,1,1,"&amp;装备表!$O652&amp;";","xxx"),"xxx"))</f>
        <v>xxx</v>
      </c>
      <c r="H507" s="18" t="str">
        <f>IF(装备表!$O652=0,"xxx",IFERROR(IF(INT(IF($D507=H$3,装备表!$E652,"xxx")/10000)=1,IF($D507=H$3,装备表!$E652,"xxx")&amp;":2,1,1,"&amp;装备表!$O652&amp;";","xxx"),"xxx"))</f>
        <v>xxx</v>
      </c>
      <c r="I507" s="18" t="str">
        <f>IF(装备表!$O652=0,"xxx",IFERROR(IF(INT(IF($D507=I$3,装备表!$E652,"xxx")/10000)=1,IF($D507=I$3,装备表!$E652,"xxx")&amp;":2,1,1,"&amp;装备表!$O652&amp;";","xxx"),"xxx"))</f>
        <v>xxx</v>
      </c>
      <c r="J507" s="18" t="str">
        <f>IF(装备表!$O652=0,"xxx",IFERROR(IF(INT(IF($D507=J$3,装备表!$E652,"xxx")/10000)=1,IF($D507=J$3,装备表!$E652,"xxx")&amp;":2,1,1,"&amp;装备表!$O652&amp;";","xxx"),"xxx"))</f>
        <v>xxx</v>
      </c>
    </row>
    <row r="508" spans="4:10" x14ac:dyDescent="0.2">
      <c r="D508" s="18">
        <f>装备表!L653</f>
        <v>0</v>
      </c>
      <c r="E508" s="18" t="str">
        <f>IF(装备表!$O653=0,"xxx",IFERROR(IF(INT(IF($D508=E$3,装备表!$E653,"xxx")/10000)=1,IF($D508=E$3,装备表!$E653,"xxx")&amp;":2,1,1,"&amp;装备表!$O653&amp;";","xxx"),"xxx"))</f>
        <v>xxx</v>
      </c>
      <c r="F508" s="18" t="str">
        <f>IF(装备表!$O653=0,"xxx",IFERROR(IF(INT(IF($D508=F$3,装备表!$E653,"xxx")/10000)=1,IF($D508=F$3,装备表!$E653,"xxx")&amp;":2,1,1,"&amp;装备表!$O653&amp;";","xxx"),"xxx"))</f>
        <v>xxx</v>
      </c>
      <c r="G508" s="18" t="str">
        <f>IF(装备表!$O653=0,"xxx",IFERROR(IF(INT(IF($D508=G$3,装备表!$E653,"xxx")/10000)=1,IF($D508=G$3,装备表!$E653,"xxx")&amp;":2,1,1,"&amp;装备表!$O653&amp;";","xxx"),"xxx"))</f>
        <v>xxx</v>
      </c>
      <c r="H508" s="18" t="str">
        <f>IF(装备表!$O653=0,"xxx",IFERROR(IF(INT(IF($D508=H$3,装备表!$E653,"xxx")/10000)=1,IF($D508=H$3,装备表!$E653,"xxx")&amp;":2,1,1,"&amp;装备表!$O653&amp;";","xxx"),"xxx"))</f>
        <v>xxx</v>
      </c>
      <c r="I508" s="18" t="str">
        <f>IF(装备表!$O653=0,"xxx",IFERROR(IF(INT(IF($D508=I$3,装备表!$E653,"xxx")/10000)=1,IF($D508=I$3,装备表!$E653,"xxx")&amp;":2,1,1,"&amp;装备表!$O653&amp;";","xxx"),"xxx"))</f>
        <v>xxx</v>
      </c>
      <c r="J508" s="18" t="str">
        <f>IF(装备表!$O653=0,"xxx",IFERROR(IF(INT(IF($D508=J$3,装备表!$E653,"xxx")/10000)=1,IF($D508=J$3,装备表!$E653,"xxx")&amp;":2,1,1,"&amp;装备表!$O653&amp;";","xxx"),"xxx"))</f>
        <v>xxx</v>
      </c>
    </row>
    <row r="509" spans="4:10" x14ac:dyDescent="0.2">
      <c r="D509" s="18">
        <f>装备表!L654</f>
        <v>0</v>
      </c>
      <c r="E509" s="18" t="str">
        <f>IF(装备表!$O654=0,"xxx",IFERROR(IF(INT(IF($D509=E$3,装备表!$E654,"xxx")/10000)=1,IF($D509=E$3,装备表!$E654,"xxx")&amp;":2,1,1,"&amp;装备表!$O654&amp;";","xxx"),"xxx"))</f>
        <v>xxx</v>
      </c>
      <c r="F509" s="18" t="str">
        <f>IF(装备表!$O654=0,"xxx",IFERROR(IF(INT(IF($D509=F$3,装备表!$E654,"xxx")/10000)=1,IF($D509=F$3,装备表!$E654,"xxx")&amp;":2,1,1,"&amp;装备表!$O654&amp;";","xxx"),"xxx"))</f>
        <v>xxx</v>
      </c>
      <c r="G509" s="18" t="str">
        <f>IF(装备表!$O654=0,"xxx",IFERROR(IF(INT(IF($D509=G$3,装备表!$E654,"xxx")/10000)=1,IF($D509=G$3,装备表!$E654,"xxx")&amp;":2,1,1,"&amp;装备表!$O654&amp;";","xxx"),"xxx"))</f>
        <v>xxx</v>
      </c>
      <c r="H509" s="18" t="str">
        <f>IF(装备表!$O654=0,"xxx",IFERROR(IF(INT(IF($D509=H$3,装备表!$E654,"xxx")/10000)=1,IF($D509=H$3,装备表!$E654,"xxx")&amp;":2,1,1,"&amp;装备表!$O654&amp;";","xxx"),"xxx"))</f>
        <v>xxx</v>
      </c>
      <c r="I509" s="18" t="str">
        <f>IF(装备表!$O654=0,"xxx",IFERROR(IF(INT(IF($D509=I$3,装备表!$E654,"xxx")/10000)=1,IF($D509=I$3,装备表!$E654,"xxx")&amp;":2,1,1,"&amp;装备表!$O654&amp;";","xxx"),"xxx"))</f>
        <v>xxx</v>
      </c>
      <c r="J509" s="18" t="str">
        <f>IF(装备表!$O654=0,"xxx",IFERROR(IF(INT(IF($D509=J$3,装备表!$E654,"xxx")/10000)=1,IF($D509=J$3,装备表!$E654,"xxx")&amp;":2,1,1,"&amp;装备表!$O654&amp;";","xxx"),"xxx"))</f>
        <v>xxx</v>
      </c>
    </row>
    <row r="510" spans="4:10" x14ac:dyDescent="0.2">
      <c r="D510" s="18">
        <f>装备表!L655</f>
        <v>0</v>
      </c>
      <c r="E510" s="18" t="str">
        <f>IF(装备表!$O655=0,"xxx",IFERROR(IF(INT(IF($D510=E$3,装备表!$E655,"xxx")/10000)=1,IF($D510=E$3,装备表!$E655,"xxx")&amp;":2,1,1,"&amp;装备表!$O655&amp;";","xxx"),"xxx"))</f>
        <v>xxx</v>
      </c>
      <c r="F510" s="18" t="str">
        <f>IF(装备表!$O655=0,"xxx",IFERROR(IF(INT(IF($D510=F$3,装备表!$E655,"xxx")/10000)=1,IF($D510=F$3,装备表!$E655,"xxx")&amp;":2,1,1,"&amp;装备表!$O655&amp;";","xxx"),"xxx"))</f>
        <v>xxx</v>
      </c>
      <c r="G510" s="18" t="str">
        <f>IF(装备表!$O655=0,"xxx",IFERROR(IF(INT(IF($D510=G$3,装备表!$E655,"xxx")/10000)=1,IF($D510=G$3,装备表!$E655,"xxx")&amp;":2,1,1,"&amp;装备表!$O655&amp;";","xxx"),"xxx"))</f>
        <v>xxx</v>
      </c>
      <c r="H510" s="18" t="str">
        <f>IF(装备表!$O655=0,"xxx",IFERROR(IF(INT(IF($D510=H$3,装备表!$E655,"xxx")/10000)=1,IF($D510=H$3,装备表!$E655,"xxx")&amp;":2,1,1,"&amp;装备表!$O655&amp;";","xxx"),"xxx"))</f>
        <v>xxx</v>
      </c>
      <c r="I510" s="18" t="str">
        <f>IF(装备表!$O655=0,"xxx",IFERROR(IF(INT(IF($D510=I$3,装备表!$E655,"xxx")/10000)=1,IF($D510=I$3,装备表!$E655,"xxx")&amp;":2,1,1,"&amp;装备表!$O655&amp;";","xxx"),"xxx"))</f>
        <v>xxx</v>
      </c>
      <c r="J510" s="18" t="str">
        <f>IF(装备表!$O655=0,"xxx",IFERROR(IF(INT(IF($D510=J$3,装备表!$E655,"xxx")/10000)=1,IF($D510=J$3,装备表!$E655,"xxx")&amp;":2,1,1,"&amp;装备表!$O655&amp;";","xxx"),"xxx"))</f>
        <v>xxx</v>
      </c>
    </row>
    <row r="511" spans="4:10" x14ac:dyDescent="0.2">
      <c r="D511" s="18">
        <f>装备表!L656</f>
        <v>0</v>
      </c>
      <c r="E511" s="18" t="str">
        <f>IF(装备表!$O656=0,"xxx",IFERROR(IF(INT(IF($D511=E$3,装备表!$E656,"xxx")/10000)=1,IF($D511=E$3,装备表!$E656,"xxx")&amp;":2,1,1,"&amp;装备表!$O656&amp;";","xxx"),"xxx"))</f>
        <v>xxx</v>
      </c>
      <c r="F511" s="18" t="str">
        <f>IF(装备表!$O656=0,"xxx",IFERROR(IF(INT(IF($D511=F$3,装备表!$E656,"xxx")/10000)=1,IF($D511=F$3,装备表!$E656,"xxx")&amp;":2,1,1,"&amp;装备表!$O656&amp;";","xxx"),"xxx"))</f>
        <v>xxx</v>
      </c>
      <c r="G511" s="18" t="str">
        <f>IF(装备表!$O656=0,"xxx",IFERROR(IF(INT(IF($D511=G$3,装备表!$E656,"xxx")/10000)=1,IF($D511=G$3,装备表!$E656,"xxx")&amp;":2,1,1,"&amp;装备表!$O656&amp;";","xxx"),"xxx"))</f>
        <v>xxx</v>
      </c>
      <c r="H511" s="18" t="str">
        <f>IF(装备表!$O656=0,"xxx",IFERROR(IF(INT(IF($D511=H$3,装备表!$E656,"xxx")/10000)=1,IF($D511=H$3,装备表!$E656,"xxx")&amp;":2,1,1,"&amp;装备表!$O656&amp;";","xxx"),"xxx"))</f>
        <v>xxx</v>
      </c>
      <c r="I511" s="18" t="str">
        <f>IF(装备表!$O656=0,"xxx",IFERROR(IF(INT(IF($D511=I$3,装备表!$E656,"xxx")/10000)=1,IF($D511=I$3,装备表!$E656,"xxx")&amp;":2,1,1,"&amp;装备表!$O656&amp;";","xxx"),"xxx"))</f>
        <v>xxx</v>
      </c>
      <c r="J511" s="18" t="str">
        <f>IF(装备表!$O656=0,"xxx",IFERROR(IF(INT(IF($D511=J$3,装备表!$E656,"xxx")/10000)=1,IF($D511=J$3,装备表!$E656,"xxx")&amp;":2,1,1,"&amp;装备表!$O656&amp;";","xxx"),"xxx"))</f>
        <v>xxx</v>
      </c>
    </row>
    <row r="512" spans="4:10" x14ac:dyDescent="0.2">
      <c r="D512" s="18">
        <f>装备表!L657</f>
        <v>0</v>
      </c>
      <c r="E512" s="18" t="str">
        <f>IF(装备表!$O657=0,"xxx",IFERROR(IF(INT(IF($D512=E$3,装备表!$E657,"xxx")/10000)=1,IF($D512=E$3,装备表!$E657,"xxx")&amp;":2,1,1,"&amp;装备表!$O657&amp;";","xxx"),"xxx"))</f>
        <v>xxx</v>
      </c>
      <c r="F512" s="18" t="str">
        <f>IF(装备表!$O657=0,"xxx",IFERROR(IF(INT(IF($D512=F$3,装备表!$E657,"xxx")/10000)=1,IF($D512=F$3,装备表!$E657,"xxx")&amp;":2,1,1,"&amp;装备表!$O657&amp;";","xxx"),"xxx"))</f>
        <v>xxx</v>
      </c>
      <c r="G512" s="18" t="str">
        <f>IF(装备表!$O657=0,"xxx",IFERROR(IF(INT(IF($D512=G$3,装备表!$E657,"xxx")/10000)=1,IF($D512=G$3,装备表!$E657,"xxx")&amp;":2,1,1,"&amp;装备表!$O657&amp;";","xxx"),"xxx"))</f>
        <v>xxx</v>
      </c>
      <c r="H512" s="18" t="str">
        <f>IF(装备表!$O657=0,"xxx",IFERROR(IF(INT(IF($D512=H$3,装备表!$E657,"xxx")/10000)=1,IF($D512=H$3,装备表!$E657,"xxx")&amp;":2,1,1,"&amp;装备表!$O657&amp;";","xxx"),"xxx"))</f>
        <v>xxx</v>
      </c>
      <c r="I512" s="18" t="str">
        <f>IF(装备表!$O657=0,"xxx",IFERROR(IF(INT(IF($D512=I$3,装备表!$E657,"xxx")/10000)=1,IF($D512=I$3,装备表!$E657,"xxx")&amp;":2,1,1,"&amp;装备表!$O657&amp;";","xxx"),"xxx"))</f>
        <v>xxx</v>
      </c>
      <c r="J512" s="18" t="str">
        <f>IF(装备表!$O657=0,"xxx",IFERROR(IF(INT(IF($D512=J$3,装备表!$E657,"xxx")/10000)=1,IF($D512=J$3,装备表!$E657,"xxx")&amp;":2,1,1,"&amp;装备表!$O657&amp;";","xxx"),"xxx"))</f>
        <v>xxx</v>
      </c>
    </row>
    <row r="513" spans="4:10" x14ac:dyDescent="0.2">
      <c r="D513" s="18">
        <f>装备表!L658</f>
        <v>0</v>
      </c>
      <c r="E513" s="18" t="str">
        <f>IF(装备表!$O658=0,"xxx",IFERROR(IF(INT(IF($D513=E$3,装备表!$E658,"xxx")/10000)=1,IF($D513=E$3,装备表!$E658,"xxx")&amp;":2,1,1,"&amp;装备表!$O658&amp;";","xxx"),"xxx"))</f>
        <v>xxx</v>
      </c>
      <c r="F513" s="18" t="str">
        <f>IF(装备表!$O658=0,"xxx",IFERROR(IF(INT(IF($D513=F$3,装备表!$E658,"xxx")/10000)=1,IF($D513=F$3,装备表!$E658,"xxx")&amp;":2,1,1,"&amp;装备表!$O658&amp;";","xxx"),"xxx"))</f>
        <v>xxx</v>
      </c>
      <c r="G513" s="18" t="str">
        <f>IF(装备表!$O658=0,"xxx",IFERROR(IF(INT(IF($D513=G$3,装备表!$E658,"xxx")/10000)=1,IF($D513=G$3,装备表!$E658,"xxx")&amp;":2,1,1,"&amp;装备表!$O658&amp;";","xxx"),"xxx"))</f>
        <v>xxx</v>
      </c>
      <c r="H513" s="18" t="str">
        <f>IF(装备表!$O658=0,"xxx",IFERROR(IF(INT(IF($D513=H$3,装备表!$E658,"xxx")/10000)=1,IF($D513=H$3,装备表!$E658,"xxx")&amp;":2,1,1,"&amp;装备表!$O658&amp;";","xxx"),"xxx"))</f>
        <v>xxx</v>
      </c>
      <c r="I513" s="18" t="str">
        <f>IF(装备表!$O658=0,"xxx",IFERROR(IF(INT(IF($D513=I$3,装备表!$E658,"xxx")/10000)=1,IF($D513=I$3,装备表!$E658,"xxx")&amp;":2,1,1,"&amp;装备表!$O658&amp;";","xxx"),"xxx"))</f>
        <v>xxx</v>
      </c>
      <c r="J513" s="18" t="str">
        <f>IF(装备表!$O658=0,"xxx",IFERROR(IF(INT(IF($D513=J$3,装备表!$E658,"xxx")/10000)=1,IF($D513=J$3,装备表!$E658,"xxx")&amp;":2,1,1,"&amp;装备表!$O658&amp;";","xxx"),"xxx"))</f>
        <v>xxx</v>
      </c>
    </row>
    <row r="514" spans="4:10" x14ac:dyDescent="0.2">
      <c r="D514" s="18">
        <f>装备表!L659</f>
        <v>0</v>
      </c>
      <c r="E514" s="18" t="str">
        <f>IF(装备表!$O659=0,"xxx",IFERROR(IF(INT(IF($D514=E$3,装备表!$E659,"xxx")/10000)=1,IF($D514=E$3,装备表!$E659,"xxx")&amp;":2,1,1,"&amp;装备表!$O659&amp;";","xxx"),"xxx"))</f>
        <v>xxx</v>
      </c>
      <c r="F514" s="18" t="str">
        <f>IF(装备表!$O659=0,"xxx",IFERROR(IF(INT(IF($D514=F$3,装备表!$E659,"xxx")/10000)=1,IF($D514=F$3,装备表!$E659,"xxx")&amp;":2,1,1,"&amp;装备表!$O659&amp;";","xxx"),"xxx"))</f>
        <v>xxx</v>
      </c>
      <c r="G514" s="18" t="str">
        <f>IF(装备表!$O659=0,"xxx",IFERROR(IF(INT(IF($D514=G$3,装备表!$E659,"xxx")/10000)=1,IF($D514=G$3,装备表!$E659,"xxx")&amp;":2,1,1,"&amp;装备表!$O659&amp;";","xxx"),"xxx"))</f>
        <v>xxx</v>
      </c>
      <c r="H514" s="18" t="str">
        <f>IF(装备表!$O659=0,"xxx",IFERROR(IF(INT(IF($D514=H$3,装备表!$E659,"xxx")/10000)=1,IF($D514=H$3,装备表!$E659,"xxx")&amp;":2,1,1,"&amp;装备表!$O659&amp;";","xxx"),"xxx"))</f>
        <v>xxx</v>
      </c>
      <c r="I514" s="18" t="str">
        <f>IF(装备表!$O659=0,"xxx",IFERROR(IF(INT(IF($D514=I$3,装备表!$E659,"xxx")/10000)=1,IF($D514=I$3,装备表!$E659,"xxx")&amp;":2,1,1,"&amp;装备表!$O659&amp;";","xxx"),"xxx"))</f>
        <v>xxx</v>
      </c>
      <c r="J514" s="18" t="str">
        <f>IF(装备表!$O659=0,"xxx",IFERROR(IF(INT(IF($D514=J$3,装备表!$E659,"xxx")/10000)=1,IF($D514=J$3,装备表!$E659,"xxx")&amp;":2,1,1,"&amp;装备表!$O659&amp;";","xxx"),"xxx"))</f>
        <v>xxx</v>
      </c>
    </row>
    <row r="515" spans="4:10" x14ac:dyDescent="0.2">
      <c r="D515" s="18">
        <f>装备表!L660</f>
        <v>0</v>
      </c>
      <c r="E515" s="18" t="str">
        <f>IF(装备表!$O660=0,"xxx",IFERROR(IF(INT(IF($D515=E$3,装备表!$E660,"xxx")/10000)=1,IF($D515=E$3,装备表!$E660,"xxx")&amp;":2,1,1,"&amp;装备表!$O660&amp;";","xxx"),"xxx"))</f>
        <v>xxx</v>
      </c>
      <c r="F515" s="18" t="str">
        <f>IF(装备表!$O660=0,"xxx",IFERROR(IF(INT(IF($D515=F$3,装备表!$E660,"xxx")/10000)=1,IF($D515=F$3,装备表!$E660,"xxx")&amp;":2,1,1,"&amp;装备表!$O660&amp;";","xxx"),"xxx"))</f>
        <v>xxx</v>
      </c>
      <c r="G515" s="18" t="str">
        <f>IF(装备表!$O660=0,"xxx",IFERROR(IF(INT(IF($D515=G$3,装备表!$E660,"xxx")/10000)=1,IF($D515=G$3,装备表!$E660,"xxx")&amp;":2,1,1,"&amp;装备表!$O660&amp;";","xxx"),"xxx"))</f>
        <v>xxx</v>
      </c>
      <c r="H515" s="18" t="str">
        <f>IF(装备表!$O660=0,"xxx",IFERROR(IF(INT(IF($D515=H$3,装备表!$E660,"xxx")/10000)=1,IF($D515=H$3,装备表!$E660,"xxx")&amp;":2,1,1,"&amp;装备表!$O660&amp;";","xxx"),"xxx"))</f>
        <v>xxx</v>
      </c>
      <c r="I515" s="18" t="str">
        <f>IF(装备表!$O660=0,"xxx",IFERROR(IF(INT(IF($D515=I$3,装备表!$E660,"xxx")/10000)=1,IF($D515=I$3,装备表!$E660,"xxx")&amp;":2,1,1,"&amp;装备表!$O660&amp;";","xxx"),"xxx"))</f>
        <v>xxx</v>
      </c>
      <c r="J515" s="18" t="str">
        <f>IF(装备表!$O660=0,"xxx",IFERROR(IF(INT(IF($D515=J$3,装备表!$E660,"xxx")/10000)=1,IF($D515=J$3,装备表!$E660,"xxx")&amp;":2,1,1,"&amp;装备表!$O660&amp;";","xxx"),"xxx"))</f>
        <v>xxx</v>
      </c>
    </row>
    <row r="516" spans="4:10" x14ac:dyDescent="0.2">
      <c r="D516" s="18">
        <f>装备表!L661</f>
        <v>0</v>
      </c>
      <c r="E516" s="18" t="str">
        <f>IF(装备表!$O661=0,"xxx",IFERROR(IF(INT(IF($D516=E$3,装备表!$E661,"xxx")/10000)=1,IF($D516=E$3,装备表!$E661,"xxx")&amp;":2,1,1,"&amp;装备表!$O661&amp;";","xxx"),"xxx"))</f>
        <v>xxx</v>
      </c>
      <c r="F516" s="18" t="str">
        <f>IF(装备表!$O661=0,"xxx",IFERROR(IF(INT(IF($D516=F$3,装备表!$E661,"xxx")/10000)=1,IF($D516=F$3,装备表!$E661,"xxx")&amp;":2,1,1,"&amp;装备表!$O661&amp;";","xxx"),"xxx"))</f>
        <v>xxx</v>
      </c>
      <c r="G516" s="18" t="str">
        <f>IF(装备表!$O661=0,"xxx",IFERROR(IF(INT(IF($D516=G$3,装备表!$E661,"xxx")/10000)=1,IF($D516=G$3,装备表!$E661,"xxx")&amp;":2,1,1,"&amp;装备表!$O661&amp;";","xxx"),"xxx"))</f>
        <v>xxx</v>
      </c>
      <c r="H516" s="18" t="str">
        <f>IF(装备表!$O661=0,"xxx",IFERROR(IF(INT(IF($D516=H$3,装备表!$E661,"xxx")/10000)=1,IF($D516=H$3,装备表!$E661,"xxx")&amp;":2,1,1,"&amp;装备表!$O661&amp;";","xxx"),"xxx"))</f>
        <v>xxx</v>
      </c>
      <c r="I516" s="18" t="str">
        <f>IF(装备表!$O661=0,"xxx",IFERROR(IF(INT(IF($D516=I$3,装备表!$E661,"xxx")/10000)=1,IF($D516=I$3,装备表!$E661,"xxx")&amp;":2,1,1,"&amp;装备表!$O661&amp;";","xxx"),"xxx"))</f>
        <v>xxx</v>
      </c>
      <c r="J516" s="18" t="str">
        <f>IF(装备表!$O661=0,"xxx",IFERROR(IF(INT(IF($D516=J$3,装备表!$E661,"xxx")/10000)=1,IF($D516=J$3,装备表!$E661,"xxx")&amp;":2,1,1,"&amp;装备表!$O661&amp;";","xxx"),"xxx"))</f>
        <v>xxx</v>
      </c>
    </row>
    <row r="517" spans="4:10" x14ac:dyDescent="0.2">
      <c r="D517" s="18">
        <f>装备表!L662</f>
        <v>0</v>
      </c>
      <c r="E517" s="18" t="str">
        <f>IF(装备表!$O662=0,"xxx",IFERROR(IF(INT(IF($D517=E$3,装备表!$E662,"xxx")/10000)=1,IF($D517=E$3,装备表!$E662,"xxx")&amp;":2,1,1,"&amp;装备表!$O662&amp;";","xxx"),"xxx"))</f>
        <v>xxx</v>
      </c>
      <c r="F517" s="18" t="str">
        <f>IF(装备表!$O662=0,"xxx",IFERROR(IF(INT(IF($D517=F$3,装备表!$E662,"xxx")/10000)=1,IF($D517=F$3,装备表!$E662,"xxx")&amp;":2,1,1,"&amp;装备表!$O662&amp;";","xxx"),"xxx"))</f>
        <v>xxx</v>
      </c>
      <c r="G517" s="18" t="str">
        <f>IF(装备表!$O662=0,"xxx",IFERROR(IF(INT(IF($D517=G$3,装备表!$E662,"xxx")/10000)=1,IF($D517=G$3,装备表!$E662,"xxx")&amp;":2,1,1,"&amp;装备表!$O662&amp;";","xxx"),"xxx"))</f>
        <v>xxx</v>
      </c>
      <c r="H517" s="18" t="str">
        <f>IF(装备表!$O662=0,"xxx",IFERROR(IF(INT(IF($D517=H$3,装备表!$E662,"xxx")/10000)=1,IF($D517=H$3,装备表!$E662,"xxx")&amp;":2,1,1,"&amp;装备表!$O662&amp;";","xxx"),"xxx"))</f>
        <v>xxx</v>
      </c>
      <c r="I517" s="18" t="str">
        <f>IF(装备表!$O662=0,"xxx",IFERROR(IF(INT(IF($D517=I$3,装备表!$E662,"xxx")/10000)=1,IF($D517=I$3,装备表!$E662,"xxx")&amp;":2,1,1,"&amp;装备表!$O662&amp;";","xxx"),"xxx"))</f>
        <v>xxx</v>
      </c>
      <c r="J517" s="18" t="str">
        <f>IF(装备表!$O662=0,"xxx",IFERROR(IF(INT(IF($D517=J$3,装备表!$E662,"xxx")/10000)=1,IF($D517=J$3,装备表!$E662,"xxx")&amp;":2,1,1,"&amp;装备表!$O662&amp;";","xxx"),"xxx"))</f>
        <v>xxx</v>
      </c>
    </row>
    <row r="518" spans="4:10" x14ac:dyDescent="0.2">
      <c r="D518" s="18">
        <f>装备表!L663</f>
        <v>0</v>
      </c>
      <c r="E518" s="18" t="str">
        <f>IF(装备表!$O663=0,"xxx",IFERROR(IF(INT(IF($D518=E$3,装备表!$E663,"xxx")/10000)=1,IF($D518=E$3,装备表!$E663,"xxx")&amp;":2,1,1,"&amp;装备表!$O663&amp;";","xxx"),"xxx"))</f>
        <v>xxx</v>
      </c>
      <c r="F518" s="18" t="str">
        <f>IF(装备表!$O663=0,"xxx",IFERROR(IF(INT(IF($D518=F$3,装备表!$E663,"xxx")/10000)=1,IF($D518=F$3,装备表!$E663,"xxx")&amp;":2,1,1,"&amp;装备表!$O663&amp;";","xxx"),"xxx"))</f>
        <v>xxx</v>
      </c>
      <c r="G518" s="18" t="str">
        <f>IF(装备表!$O663=0,"xxx",IFERROR(IF(INT(IF($D518=G$3,装备表!$E663,"xxx")/10000)=1,IF($D518=G$3,装备表!$E663,"xxx")&amp;":2,1,1,"&amp;装备表!$O663&amp;";","xxx"),"xxx"))</f>
        <v>xxx</v>
      </c>
      <c r="H518" s="18" t="str">
        <f>IF(装备表!$O663=0,"xxx",IFERROR(IF(INT(IF($D518=H$3,装备表!$E663,"xxx")/10000)=1,IF($D518=H$3,装备表!$E663,"xxx")&amp;":2,1,1,"&amp;装备表!$O663&amp;";","xxx"),"xxx"))</f>
        <v>xxx</v>
      </c>
      <c r="I518" s="18" t="str">
        <f>IF(装备表!$O663=0,"xxx",IFERROR(IF(INT(IF($D518=I$3,装备表!$E663,"xxx")/10000)=1,IF($D518=I$3,装备表!$E663,"xxx")&amp;":2,1,1,"&amp;装备表!$O663&amp;";","xxx"),"xxx"))</f>
        <v>xxx</v>
      </c>
      <c r="J518" s="18" t="str">
        <f>IF(装备表!$O663=0,"xxx",IFERROR(IF(INT(IF($D518=J$3,装备表!$E663,"xxx")/10000)=1,IF($D518=J$3,装备表!$E663,"xxx")&amp;":2,1,1,"&amp;装备表!$O663&amp;";","xxx"),"xxx"))</f>
        <v>xxx</v>
      </c>
    </row>
    <row r="519" spans="4:10" x14ac:dyDescent="0.2">
      <c r="D519" s="18">
        <f>装备表!L664</f>
        <v>0</v>
      </c>
      <c r="E519" s="18" t="str">
        <f>IF(装备表!$O664=0,"xxx",IFERROR(IF(INT(IF($D519=E$3,装备表!$E664,"xxx")/10000)=1,IF($D519=E$3,装备表!$E664,"xxx")&amp;":2,1,1,"&amp;装备表!$O664&amp;";","xxx"),"xxx"))</f>
        <v>xxx</v>
      </c>
      <c r="F519" s="18" t="str">
        <f>IF(装备表!$O664=0,"xxx",IFERROR(IF(INT(IF($D519=F$3,装备表!$E664,"xxx")/10000)=1,IF($D519=F$3,装备表!$E664,"xxx")&amp;":2,1,1,"&amp;装备表!$O664&amp;";","xxx"),"xxx"))</f>
        <v>xxx</v>
      </c>
      <c r="G519" s="18" t="str">
        <f>IF(装备表!$O664=0,"xxx",IFERROR(IF(INT(IF($D519=G$3,装备表!$E664,"xxx")/10000)=1,IF($D519=G$3,装备表!$E664,"xxx")&amp;":2,1,1,"&amp;装备表!$O664&amp;";","xxx"),"xxx"))</f>
        <v>xxx</v>
      </c>
      <c r="H519" s="18" t="str">
        <f>IF(装备表!$O664=0,"xxx",IFERROR(IF(INT(IF($D519=H$3,装备表!$E664,"xxx")/10000)=1,IF($D519=H$3,装备表!$E664,"xxx")&amp;":2,1,1,"&amp;装备表!$O664&amp;";","xxx"),"xxx"))</f>
        <v>xxx</v>
      </c>
      <c r="I519" s="18" t="str">
        <f>IF(装备表!$O664=0,"xxx",IFERROR(IF(INT(IF($D519=I$3,装备表!$E664,"xxx")/10000)=1,IF($D519=I$3,装备表!$E664,"xxx")&amp;":2,1,1,"&amp;装备表!$O664&amp;";","xxx"),"xxx"))</f>
        <v>xxx</v>
      </c>
      <c r="J519" s="18" t="str">
        <f>IF(装备表!$O664=0,"xxx",IFERROR(IF(INT(IF($D519=J$3,装备表!$E664,"xxx")/10000)=1,IF($D519=J$3,装备表!$E664,"xxx")&amp;":2,1,1,"&amp;装备表!$O664&amp;";","xxx"),"xxx"))</f>
        <v>xxx</v>
      </c>
    </row>
    <row r="520" spans="4:10" x14ac:dyDescent="0.2">
      <c r="D520" s="18">
        <f>装备表!L665</f>
        <v>0</v>
      </c>
      <c r="E520" s="18" t="str">
        <f>IF(装备表!$O665=0,"xxx",IFERROR(IF(INT(IF($D520=E$3,装备表!$E665,"xxx")/10000)=1,IF($D520=E$3,装备表!$E665,"xxx")&amp;":2,1,1,"&amp;装备表!$O665&amp;";","xxx"),"xxx"))</f>
        <v>xxx</v>
      </c>
      <c r="F520" s="18" t="str">
        <f>IF(装备表!$O665=0,"xxx",IFERROR(IF(INT(IF($D520=F$3,装备表!$E665,"xxx")/10000)=1,IF($D520=F$3,装备表!$E665,"xxx")&amp;":2,1,1,"&amp;装备表!$O665&amp;";","xxx"),"xxx"))</f>
        <v>xxx</v>
      </c>
      <c r="G520" s="18" t="str">
        <f>IF(装备表!$O665=0,"xxx",IFERROR(IF(INT(IF($D520=G$3,装备表!$E665,"xxx")/10000)=1,IF($D520=G$3,装备表!$E665,"xxx")&amp;":2,1,1,"&amp;装备表!$O665&amp;";","xxx"),"xxx"))</f>
        <v>xxx</v>
      </c>
      <c r="H520" s="18" t="str">
        <f>IF(装备表!$O665=0,"xxx",IFERROR(IF(INT(IF($D520=H$3,装备表!$E665,"xxx")/10000)=1,IF($D520=H$3,装备表!$E665,"xxx")&amp;":2,1,1,"&amp;装备表!$O665&amp;";","xxx"),"xxx"))</f>
        <v>xxx</v>
      </c>
      <c r="I520" s="18" t="str">
        <f>IF(装备表!$O665=0,"xxx",IFERROR(IF(INT(IF($D520=I$3,装备表!$E665,"xxx")/10000)=1,IF($D520=I$3,装备表!$E665,"xxx")&amp;":2,1,1,"&amp;装备表!$O665&amp;";","xxx"),"xxx"))</f>
        <v>xxx</v>
      </c>
      <c r="J520" s="18" t="str">
        <f>IF(装备表!$O665=0,"xxx",IFERROR(IF(INT(IF($D520=J$3,装备表!$E665,"xxx")/10000)=1,IF($D520=J$3,装备表!$E665,"xxx")&amp;":2,1,1,"&amp;装备表!$O665&amp;";","xxx"),"xxx"))</f>
        <v>xxx</v>
      </c>
    </row>
    <row r="521" spans="4:10" x14ac:dyDescent="0.2">
      <c r="D521" s="18">
        <f>装备表!L666</f>
        <v>0</v>
      </c>
      <c r="E521" s="18" t="str">
        <f>IF(装备表!$O666=0,"xxx",IFERROR(IF(INT(IF($D521=E$3,装备表!$E666,"xxx")/10000)=1,IF($D521=E$3,装备表!$E666,"xxx")&amp;":2,1,1,"&amp;装备表!$O666&amp;";","xxx"),"xxx"))</f>
        <v>xxx</v>
      </c>
      <c r="F521" s="18" t="str">
        <f>IF(装备表!$O666=0,"xxx",IFERROR(IF(INT(IF($D521=F$3,装备表!$E666,"xxx")/10000)=1,IF($D521=F$3,装备表!$E666,"xxx")&amp;":2,1,1,"&amp;装备表!$O666&amp;";","xxx"),"xxx"))</f>
        <v>xxx</v>
      </c>
      <c r="G521" s="18" t="str">
        <f>IF(装备表!$O666=0,"xxx",IFERROR(IF(INT(IF($D521=G$3,装备表!$E666,"xxx")/10000)=1,IF($D521=G$3,装备表!$E666,"xxx")&amp;":2,1,1,"&amp;装备表!$O666&amp;";","xxx"),"xxx"))</f>
        <v>xxx</v>
      </c>
      <c r="H521" s="18" t="str">
        <f>IF(装备表!$O666=0,"xxx",IFERROR(IF(INT(IF($D521=H$3,装备表!$E666,"xxx")/10000)=1,IF($D521=H$3,装备表!$E666,"xxx")&amp;":2,1,1,"&amp;装备表!$O666&amp;";","xxx"),"xxx"))</f>
        <v>xxx</v>
      </c>
      <c r="I521" s="18" t="str">
        <f>IF(装备表!$O666=0,"xxx",IFERROR(IF(INT(IF($D521=I$3,装备表!$E666,"xxx")/10000)=1,IF($D521=I$3,装备表!$E666,"xxx")&amp;":2,1,1,"&amp;装备表!$O666&amp;";","xxx"),"xxx"))</f>
        <v>xxx</v>
      </c>
      <c r="J521" s="18" t="str">
        <f>IF(装备表!$O666=0,"xxx",IFERROR(IF(INT(IF($D521=J$3,装备表!$E666,"xxx")/10000)=1,IF($D521=J$3,装备表!$E666,"xxx")&amp;":2,1,1,"&amp;装备表!$O666&amp;";","xxx"),"xxx"))</f>
        <v>xxx</v>
      </c>
    </row>
    <row r="522" spans="4:10" x14ac:dyDescent="0.2">
      <c r="D522" s="18">
        <f>装备表!L667</f>
        <v>0</v>
      </c>
      <c r="E522" s="18" t="str">
        <f>IF(装备表!$O667=0,"xxx",IFERROR(IF(INT(IF($D522=E$3,装备表!$E667,"xxx")/10000)=1,IF($D522=E$3,装备表!$E667,"xxx")&amp;":2,1,1,"&amp;装备表!$O667&amp;";","xxx"),"xxx"))</f>
        <v>xxx</v>
      </c>
      <c r="F522" s="18" t="str">
        <f>IF(装备表!$O667=0,"xxx",IFERROR(IF(INT(IF($D522=F$3,装备表!$E667,"xxx")/10000)=1,IF($D522=F$3,装备表!$E667,"xxx")&amp;":2,1,1,"&amp;装备表!$O667&amp;";","xxx"),"xxx"))</f>
        <v>xxx</v>
      </c>
      <c r="G522" s="18" t="str">
        <f>IF(装备表!$O667=0,"xxx",IFERROR(IF(INT(IF($D522=G$3,装备表!$E667,"xxx")/10000)=1,IF($D522=G$3,装备表!$E667,"xxx")&amp;":2,1,1,"&amp;装备表!$O667&amp;";","xxx"),"xxx"))</f>
        <v>xxx</v>
      </c>
      <c r="H522" s="18" t="str">
        <f>IF(装备表!$O667=0,"xxx",IFERROR(IF(INT(IF($D522=H$3,装备表!$E667,"xxx")/10000)=1,IF($D522=H$3,装备表!$E667,"xxx")&amp;":2,1,1,"&amp;装备表!$O667&amp;";","xxx"),"xxx"))</f>
        <v>xxx</v>
      </c>
      <c r="I522" s="18" t="str">
        <f>IF(装备表!$O667=0,"xxx",IFERROR(IF(INT(IF($D522=I$3,装备表!$E667,"xxx")/10000)=1,IF($D522=I$3,装备表!$E667,"xxx")&amp;":2,1,1,"&amp;装备表!$O667&amp;";","xxx"),"xxx"))</f>
        <v>xxx</v>
      </c>
      <c r="J522" s="18" t="str">
        <f>IF(装备表!$O667=0,"xxx",IFERROR(IF(INT(IF($D522=J$3,装备表!$E667,"xxx")/10000)=1,IF($D522=J$3,装备表!$E667,"xxx")&amp;":2,1,1,"&amp;装备表!$O667&amp;";","xxx"),"xxx"))</f>
        <v>xxx</v>
      </c>
    </row>
    <row r="523" spans="4:10" x14ac:dyDescent="0.2">
      <c r="D523" s="18">
        <f>装备表!L668</f>
        <v>0</v>
      </c>
      <c r="E523" s="18" t="str">
        <f>IF(装备表!$O668=0,"xxx",IFERROR(IF(INT(IF($D523=E$3,装备表!$E668,"xxx")/10000)=1,IF($D523=E$3,装备表!$E668,"xxx")&amp;":2,1,1,"&amp;装备表!$O668&amp;";","xxx"),"xxx"))</f>
        <v>xxx</v>
      </c>
      <c r="F523" s="18" t="str">
        <f>IF(装备表!$O668=0,"xxx",IFERROR(IF(INT(IF($D523=F$3,装备表!$E668,"xxx")/10000)=1,IF($D523=F$3,装备表!$E668,"xxx")&amp;":2,1,1,"&amp;装备表!$O668&amp;";","xxx"),"xxx"))</f>
        <v>xxx</v>
      </c>
      <c r="G523" s="18" t="str">
        <f>IF(装备表!$O668=0,"xxx",IFERROR(IF(INT(IF($D523=G$3,装备表!$E668,"xxx")/10000)=1,IF($D523=G$3,装备表!$E668,"xxx")&amp;":2,1,1,"&amp;装备表!$O668&amp;";","xxx"),"xxx"))</f>
        <v>xxx</v>
      </c>
      <c r="H523" s="18" t="str">
        <f>IF(装备表!$O668=0,"xxx",IFERROR(IF(INT(IF($D523=H$3,装备表!$E668,"xxx")/10000)=1,IF($D523=H$3,装备表!$E668,"xxx")&amp;":2,1,1,"&amp;装备表!$O668&amp;";","xxx"),"xxx"))</f>
        <v>xxx</v>
      </c>
      <c r="I523" s="18" t="str">
        <f>IF(装备表!$O668=0,"xxx",IFERROR(IF(INT(IF($D523=I$3,装备表!$E668,"xxx")/10000)=1,IF($D523=I$3,装备表!$E668,"xxx")&amp;":2,1,1,"&amp;装备表!$O668&amp;";","xxx"),"xxx"))</f>
        <v>xxx</v>
      </c>
      <c r="J523" s="18" t="str">
        <f>IF(装备表!$O668=0,"xxx",IFERROR(IF(INT(IF($D523=J$3,装备表!$E668,"xxx")/10000)=1,IF($D523=J$3,装备表!$E668,"xxx")&amp;":2,1,1,"&amp;装备表!$O668&amp;";","xxx"),"xxx"))</f>
        <v>xxx</v>
      </c>
    </row>
    <row r="524" spans="4:10" x14ac:dyDescent="0.2">
      <c r="D524" s="18">
        <f>装备表!L669</f>
        <v>0</v>
      </c>
      <c r="E524" s="18" t="str">
        <f>IF(装备表!$O669=0,"xxx",IFERROR(IF(INT(IF($D524=E$3,装备表!$E669,"xxx")/10000)=1,IF($D524=E$3,装备表!$E669,"xxx")&amp;":2,1,1,"&amp;装备表!$O669&amp;";","xxx"),"xxx"))</f>
        <v>xxx</v>
      </c>
      <c r="F524" s="18" t="str">
        <f>IF(装备表!$O669=0,"xxx",IFERROR(IF(INT(IF($D524=F$3,装备表!$E669,"xxx")/10000)=1,IF($D524=F$3,装备表!$E669,"xxx")&amp;":2,1,1,"&amp;装备表!$O669&amp;";","xxx"),"xxx"))</f>
        <v>xxx</v>
      </c>
      <c r="G524" s="18" t="str">
        <f>IF(装备表!$O669=0,"xxx",IFERROR(IF(INT(IF($D524=G$3,装备表!$E669,"xxx")/10000)=1,IF($D524=G$3,装备表!$E669,"xxx")&amp;":2,1,1,"&amp;装备表!$O669&amp;";","xxx"),"xxx"))</f>
        <v>xxx</v>
      </c>
      <c r="H524" s="18" t="str">
        <f>IF(装备表!$O669=0,"xxx",IFERROR(IF(INT(IF($D524=H$3,装备表!$E669,"xxx")/10000)=1,IF($D524=H$3,装备表!$E669,"xxx")&amp;":2,1,1,"&amp;装备表!$O669&amp;";","xxx"),"xxx"))</f>
        <v>xxx</v>
      </c>
      <c r="I524" s="18" t="str">
        <f>IF(装备表!$O669=0,"xxx",IFERROR(IF(INT(IF($D524=I$3,装备表!$E669,"xxx")/10000)=1,IF($D524=I$3,装备表!$E669,"xxx")&amp;":2,1,1,"&amp;装备表!$O669&amp;";","xxx"),"xxx"))</f>
        <v>xxx</v>
      </c>
      <c r="J524" s="18" t="str">
        <f>IF(装备表!$O669=0,"xxx",IFERROR(IF(INT(IF($D524=J$3,装备表!$E669,"xxx")/10000)=1,IF($D524=J$3,装备表!$E669,"xxx")&amp;":2,1,1,"&amp;装备表!$O669&amp;";","xxx"),"xxx"))</f>
        <v>xxx</v>
      </c>
    </row>
    <row r="525" spans="4:10" x14ac:dyDescent="0.2">
      <c r="D525" s="18">
        <f>装备表!L670</f>
        <v>0</v>
      </c>
      <c r="E525" s="18" t="str">
        <f>IF(装备表!$O670=0,"xxx",IFERROR(IF(INT(IF($D525=E$3,装备表!$E670,"xxx")/10000)=1,IF($D525=E$3,装备表!$E670,"xxx")&amp;":2,1,1,"&amp;装备表!$O670&amp;";","xxx"),"xxx"))</f>
        <v>xxx</v>
      </c>
      <c r="F525" s="18" t="str">
        <f>IF(装备表!$O670=0,"xxx",IFERROR(IF(INT(IF($D525=F$3,装备表!$E670,"xxx")/10000)=1,IF($D525=F$3,装备表!$E670,"xxx")&amp;":2,1,1,"&amp;装备表!$O670&amp;";","xxx"),"xxx"))</f>
        <v>xxx</v>
      </c>
      <c r="G525" s="18" t="str">
        <f>IF(装备表!$O670=0,"xxx",IFERROR(IF(INT(IF($D525=G$3,装备表!$E670,"xxx")/10000)=1,IF($D525=G$3,装备表!$E670,"xxx")&amp;":2,1,1,"&amp;装备表!$O670&amp;";","xxx"),"xxx"))</f>
        <v>xxx</v>
      </c>
      <c r="H525" s="18" t="str">
        <f>IF(装备表!$O670=0,"xxx",IFERROR(IF(INT(IF($D525=H$3,装备表!$E670,"xxx")/10000)=1,IF($D525=H$3,装备表!$E670,"xxx")&amp;":2,1,1,"&amp;装备表!$O670&amp;";","xxx"),"xxx"))</f>
        <v>xxx</v>
      </c>
      <c r="I525" s="18" t="str">
        <f>IF(装备表!$O670=0,"xxx",IFERROR(IF(INT(IF($D525=I$3,装备表!$E670,"xxx")/10000)=1,IF($D525=I$3,装备表!$E670,"xxx")&amp;":2,1,1,"&amp;装备表!$O670&amp;";","xxx"),"xxx"))</f>
        <v>xxx</v>
      </c>
      <c r="J525" s="18" t="str">
        <f>IF(装备表!$O670=0,"xxx",IFERROR(IF(INT(IF($D525=J$3,装备表!$E670,"xxx")/10000)=1,IF($D525=J$3,装备表!$E670,"xxx")&amp;":2,1,1,"&amp;装备表!$O670&amp;";","xxx"),"xxx"))</f>
        <v>xxx</v>
      </c>
    </row>
    <row r="526" spans="4:10" x14ac:dyDescent="0.2">
      <c r="D526" s="18">
        <f>装备表!L671</f>
        <v>0</v>
      </c>
      <c r="E526" s="18" t="str">
        <f>IF(装备表!$O671=0,"xxx",IFERROR(IF(INT(IF($D526=E$3,装备表!$E671,"xxx")/10000)=1,IF($D526=E$3,装备表!$E671,"xxx")&amp;":2,1,1,"&amp;装备表!$O671&amp;";","xxx"),"xxx"))</f>
        <v>xxx</v>
      </c>
      <c r="F526" s="18" t="str">
        <f>IF(装备表!$O671=0,"xxx",IFERROR(IF(INT(IF($D526=F$3,装备表!$E671,"xxx")/10000)=1,IF($D526=F$3,装备表!$E671,"xxx")&amp;":2,1,1,"&amp;装备表!$O671&amp;";","xxx"),"xxx"))</f>
        <v>xxx</v>
      </c>
      <c r="G526" s="18" t="str">
        <f>IF(装备表!$O671=0,"xxx",IFERROR(IF(INT(IF($D526=G$3,装备表!$E671,"xxx")/10000)=1,IF($D526=G$3,装备表!$E671,"xxx")&amp;":2,1,1,"&amp;装备表!$O671&amp;";","xxx"),"xxx"))</f>
        <v>xxx</v>
      </c>
      <c r="H526" s="18" t="str">
        <f>IF(装备表!$O671=0,"xxx",IFERROR(IF(INT(IF($D526=H$3,装备表!$E671,"xxx")/10000)=1,IF($D526=H$3,装备表!$E671,"xxx")&amp;":2,1,1,"&amp;装备表!$O671&amp;";","xxx"),"xxx"))</f>
        <v>xxx</v>
      </c>
      <c r="I526" s="18" t="str">
        <f>IF(装备表!$O671=0,"xxx",IFERROR(IF(INT(IF($D526=I$3,装备表!$E671,"xxx")/10000)=1,IF($D526=I$3,装备表!$E671,"xxx")&amp;":2,1,1,"&amp;装备表!$O671&amp;";","xxx"),"xxx"))</f>
        <v>xxx</v>
      </c>
      <c r="J526" s="18" t="str">
        <f>IF(装备表!$O671=0,"xxx",IFERROR(IF(INT(IF($D526=J$3,装备表!$E671,"xxx")/10000)=1,IF($D526=J$3,装备表!$E671,"xxx")&amp;":2,1,1,"&amp;装备表!$O671&amp;";","xxx"),"xxx"))</f>
        <v>xxx</v>
      </c>
    </row>
    <row r="527" spans="4:10" x14ac:dyDescent="0.2">
      <c r="D527" s="18">
        <f>装备表!L672</f>
        <v>0</v>
      </c>
      <c r="E527" s="18" t="str">
        <f>IF(装备表!$O672=0,"xxx",IFERROR(IF(INT(IF($D527=E$3,装备表!$E672,"xxx")/10000)=1,IF($D527=E$3,装备表!$E672,"xxx")&amp;":2,1,1,"&amp;装备表!$O672&amp;";","xxx"),"xxx"))</f>
        <v>xxx</v>
      </c>
      <c r="F527" s="18" t="str">
        <f>IF(装备表!$O672=0,"xxx",IFERROR(IF(INT(IF($D527=F$3,装备表!$E672,"xxx")/10000)=1,IF($D527=F$3,装备表!$E672,"xxx")&amp;":2,1,1,"&amp;装备表!$O672&amp;";","xxx"),"xxx"))</f>
        <v>xxx</v>
      </c>
      <c r="G527" s="18" t="str">
        <f>IF(装备表!$O672=0,"xxx",IFERROR(IF(INT(IF($D527=G$3,装备表!$E672,"xxx")/10000)=1,IF($D527=G$3,装备表!$E672,"xxx")&amp;":2,1,1,"&amp;装备表!$O672&amp;";","xxx"),"xxx"))</f>
        <v>xxx</v>
      </c>
      <c r="H527" s="18" t="str">
        <f>IF(装备表!$O672=0,"xxx",IFERROR(IF(INT(IF($D527=H$3,装备表!$E672,"xxx")/10000)=1,IF($D527=H$3,装备表!$E672,"xxx")&amp;":2,1,1,"&amp;装备表!$O672&amp;";","xxx"),"xxx"))</f>
        <v>xxx</v>
      </c>
      <c r="I527" s="18" t="str">
        <f>IF(装备表!$O672=0,"xxx",IFERROR(IF(INT(IF($D527=I$3,装备表!$E672,"xxx")/10000)=1,IF($D527=I$3,装备表!$E672,"xxx")&amp;":2,1,1,"&amp;装备表!$O672&amp;";","xxx"),"xxx"))</f>
        <v>xxx</v>
      </c>
      <c r="J527" s="18" t="str">
        <f>IF(装备表!$O672=0,"xxx",IFERROR(IF(INT(IF($D527=J$3,装备表!$E672,"xxx")/10000)=1,IF($D527=J$3,装备表!$E672,"xxx")&amp;":2,1,1,"&amp;装备表!$O672&amp;";","xxx"),"xxx"))</f>
        <v>xxx</v>
      </c>
    </row>
    <row r="528" spans="4:10" x14ac:dyDescent="0.2">
      <c r="D528" s="18">
        <f>装备表!L673</f>
        <v>0</v>
      </c>
      <c r="E528" s="18" t="str">
        <f>IF(装备表!$O673=0,"xxx",IFERROR(IF(INT(IF($D528=E$3,装备表!$E673,"xxx")/10000)=1,IF($D528=E$3,装备表!$E673,"xxx")&amp;":2,1,1,"&amp;装备表!$O673&amp;";","xxx"),"xxx"))</f>
        <v>xxx</v>
      </c>
      <c r="F528" s="18" t="str">
        <f>IF(装备表!$O673=0,"xxx",IFERROR(IF(INT(IF($D528=F$3,装备表!$E673,"xxx")/10000)=1,IF($D528=F$3,装备表!$E673,"xxx")&amp;":2,1,1,"&amp;装备表!$O673&amp;";","xxx"),"xxx"))</f>
        <v>xxx</v>
      </c>
      <c r="G528" s="18" t="str">
        <f>IF(装备表!$O673=0,"xxx",IFERROR(IF(INT(IF($D528=G$3,装备表!$E673,"xxx")/10000)=1,IF($D528=G$3,装备表!$E673,"xxx")&amp;":2,1,1,"&amp;装备表!$O673&amp;";","xxx"),"xxx"))</f>
        <v>xxx</v>
      </c>
      <c r="H528" s="18" t="str">
        <f>IF(装备表!$O673=0,"xxx",IFERROR(IF(INT(IF($D528=H$3,装备表!$E673,"xxx")/10000)=1,IF($D528=H$3,装备表!$E673,"xxx")&amp;":2,1,1,"&amp;装备表!$O673&amp;";","xxx"),"xxx"))</f>
        <v>xxx</v>
      </c>
      <c r="I528" s="18" t="str">
        <f>IF(装备表!$O673=0,"xxx",IFERROR(IF(INT(IF($D528=I$3,装备表!$E673,"xxx")/10000)=1,IF($D528=I$3,装备表!$E673,"xxx")&amp;":2,1,1,"&amp;装备表!$O673&amp;";","xxx"),"xxx"))</f>
        <v>xxx</v>
      </c>
      <c r="J528" s="18" t="str">
        <f>IF(装备表!$O673=0,"xxx",IFERROR(IF(INT(IF($D528=J$3,装备表!$E673,"xxx")/10000)=1,IF($D528=J$3,装备表!$E673,"xxx")&amp;":2,1,1,"&amp;装备表!$O673&amp;";","xxx"),"xxx"))</f>
        <v>xxx</v>
      </c>
    </row>
    <row r="529" spans="4:10" x14ac:dyDescent="0.2">
      <c r="D529" s="18">
        <f>装备表!L674</f>
        <v>0</v>
      </c>
      <c r="E529" s="18" t="str">
        <f>IF(装备表!$O674=0,"xxx",IFERROR(IF(INT(IF($D529=E$3,装备表!$E674,"xxx")/10000)=1,IF($D529=E$3,装备表!$E674,"xxx")&amp;":2,1,1,"&amp;装备表!$O674&amp;";","xxx"),"xxx"))</f>
        <v>xxx</v>
      </c>
      <c r="F529" s="18" t="str">
        <f>IF(装备表!$O674=0,"xxx",IFERROR(IF(INT(IF($D529=F$3,装备表!$E674,"xxx")/10000)=1,IF($D529=F$3,装备表!$E674,"xxx")&amp;":2,1,1,"&amp;装备表!$O674&amp;";","xxx"),"xxx"))</f>
        <v>xxx</v>
      </c>
      <c r="G529" s="18" t="str">
        <f>IF(装备表!$O674=0,"xxx",IFERROR(IF(INT(IF($D529=G$3,装备表!$E674,"xxx")/10000)=1,IF($D529=G$3,装备表!$E674,"xxx")&amp;":2,1,1,"&amp;装备表!$O674&amp;";","xxx"),"xxx"))</f>
        <v>xxx</v>
      </c>
      <c r="H529" s="18" t="str">
        <f>IF(装备表!$O674=0,"xxx",IFERROR(IF(INT(IF($D529=H$3,装备表!$E674,"xxx")/10000)=1,IF($D529=H$3,装备表!$E674,"xxx")&amp;":2,1,1,"&amp;装备表!$O674&amp;";","xxx"),"xxx"))</f>
        <v>xxx</v>
      </c>
      <c r="I529" s="18" t="str">
        <f>IF(装备表!$O674=0,"xxx",IFERROR(IF(INT(IF($D529=I$3,装备表!$E674,"xxx")/10000)=1,IF($D529=I$3,装备表!$E674,"xxx")&amp;":2,1,1,"&amp;装备表!$O674&amp;";","xxx"),"xxx"))</f>
        <v>xxx</v>
      </c>
      <c r="J529" s="18" t="str">
        <f>IF(装备表!$O674=0,"xxx",IFERROR(IF(INT(IF($D529=J$3,装备表!$E674,"xxx")/10000)=1,IF($D529=J$3,装备表!$E674,"xxx")&amp;":2,1,1,"&amp;装备表!$O674&amp;";","xxx"),"xxx"))</f>
        <v>xxx</v>
      </c>
    </row>
    <row r="530" spans="4:10" x14ac:dyDescent="0.2">
      <c r="D530" s="18">
        <f>装备表!L675</f>
        <v>0</v>
      </c>
      <c r="E530" s="18" t="str">
        <f>IF(装备表!$O675=0,"xxx",IFERROR(IF(INT(IF($D530=E$3,装备表!$E675,"xxx")/10000)=1,IF($D530=E$3,装备表!$E675,"xxx")&amp;":2,1,1,"&amp;装备表!$O675&amp;";","xxx"),"xxx"))</f>
        <v>xxx</v>
      </c>
      <c r="F530" s="18" t="str">
        <f>IF(装备表!$O675=0,"xxx",IFERROR(IF(INT(IF($D530=F$3,装备表!$E675,"xxx")/10000)=1,IF($D530=F$3,装备表!$E675,"xxx")&amp;":2,1,1,"&amp;装备表!$O675&amp;";","xxx"),"xxx"))</f>
        <v>xxx</v>
      </c>
      <c r="G530" s="18" t="str">
        <f>IF(装备表!$O675=0,"xxx",IFERROR(IF(INT(IF($D530=G$3,装备表!$E675,"xxx")/10000)=1,IF($D530=G$3,装备表!$E675,"xxx")&amp;":2,1,1,"&amp;装备表!$O675&amp;";","xxx"),"xxx"))</f>
        <v>xxx</v>
      </c>
      <c r="H530" s="18" t="str">
        <f>IF(装备表!$O675=0,"xxx",IFERROR(IF(INT(IF($D530=H$3,装备表!$E675,"xxx")/10000)=1,IF($D530=H$3,装备表!$E675,"xxx")&amp;":2,1,1,"&amp;装备表!$O675&amp;";","xxx"),"xxx"))</f>
        <v>xxx</v>
      </c>
      <c r="I530" s="18" t="str">
        <f>IF(装备表!$O675=0,"xxx",IFERROR(IF(INT(IF($D530=I$3,装备表!$E675,"xxx")/10000)=1,IF($D530=I$3,装备表!$E675,"xxx")&amp;":2,1,1,"&amp;装备表!$O675&amp;";","xxx"),"xxx"))</f>
        <v>xxx</v>
      </c>
      <c r="J530" s="18" t="str">
        <f>IF(装备表!$O675=0,"xxx",IFERROR(IF(INT(IF($D530=J$3,装备表!$E675,"xxx")/10000)=1,IF($D530=J$3,装备表!$E675,"xxx")&amp;":2,1,1,"&amp;装备表!$O675&amp;";","xxx"),"xxx"))</f>
        <v>xxx</v>
      </c>
    </row>
    <row r="531" spans="4:10" x14ac:dyDescent="0.2">
      <c r="D531" s="18">
        <f>装备表!L676</f>
        <v>0</v>
      </c>
      <c r="E531" s="18" t="str">
        <f>IF(装备表!$O676=0,"xxx",IFERROR(IF(INT(IF($D531=E$3,装备表!$E676,"xxx")/10000)=1,IF($D531=E$3,装备表!$E676,"xxx")&amp;":2,1,1,"&amp;装备表!$O676&amp;";","xxx"),"xxx"))</f>
        <v>xxx</v>
      </c>
      <c r="F531" s="18" t="str">
        <f>IF(装备表!$O676=0,"xxx",IFERROR(IF(INT(IF($D531=F$3,装备表!$E676,"xxx")/10000)=1,IF($D531=F$3,装备表!$E676,"xxx")&amp;":2,1,1,"&amp;装备表!$O676&amp;";","xxx"),"xxx"))</f>
        <v>xxx</v>
      </c>
      <c r="G531" s="18" t="str">
        <f>IF(装备表!$O676=0,"xxx",IFERROR(IF(INT(IF($D531=G$3,装备表!$E676,"xxx")/10000)=1,IF($D531=G$3,装备表!$E676,"xxx")&amp;":2,1,1,"&amp;装备表!$O676&amp;";","xxx"),"xxx"))</f>
        <v>xxx</v>
      </c>
      <c r="H531" s="18" t="str">
        <f>IF(装备表!$O676=0,"xxx",IFERROR(IF(INT(IF($D531=H$3,装备表!$E676,"xxx")/10000)=1,IF($D531=H$3,装备表!$E676,"xxx")&amp;":2,1,1,"&amp;装备表!$O676&amp;";","xxx"),"xxx"))</f>
        <v>xxx</v>
      </c>
      <c r="I531" s="18" t="str">
        <f>IF(装备表!$O676=0,"xxx",IFERROR(IF(INT(IF($D531=I$3,装备表!$E676,"xxx")/10000)=1,IF($D531=I$3,装备表!$E676,"xxx")&amp;":2,1,1,"&amp;装备表!$O676&amp;";","xxx"),"xxx"))</f>
        <v>xxx</v>
      </c>
      <c r="J531" s="18" t="str">
        <f>IF(装备表!$O676=0,"xxx",IFERROR(IF(INT(IF($D531=J$3,装备表!$E676,"xxx")/10000)=1,IF($D531=J$3,装备表!$E676,"xxx")&amp;":2,1,1,"&amp;装备表!$O676&amp;";","xxx"),"xxx"))</f>
        <v>xxx</v>
      </c>
    </row>
    <row r="532" spans="4:10" x14ac:dyDescent="0.2">
      <c r="D532" s="18">
        <f>装备表!L677</f>
        <v>0</v>
      </c>
      <c r="E532" s="18" t="str">
        <f>IF(装备表!$O677=0,"xxx",IFERROR(IF(INT(IF($D532=E$3,装备表!$E677,"xxx")/10000)=1,IF($D532=E$3,装备表!$E677,"xxx")&amp;":2,1,1,"&amp;装备表!$O677&amp;";","xxx"),"xxx"))</f>
        <v>xxx</v>
      </c>
      <c r="F532" s="18" t="str">
        <f>IF(装备表!$O677=0,"xxx",IFERROR(IF(INT(IF($D532=F$3,装备表!$E677,"xxx")/10000)=1,IF($D532=F$3,装备表!$E677,"xxx")&amp;":2,1,1,"&amp;装备表!$O677&amp;";","xxx"),"xxx"))</f>
        <v>xxx</v>
      </c>
      <c r="G532" s="18" t="str">
        <f>IF(装备表!$O677=0,"xxx",IFERROR(IF(INT(IF($D532=G$3,装备表!$E677,"xxx")/10000)=1,IF($D532=G$3,装备表!$E677,"xxx")&amp;":2,1,1,"&amp;装备表!$O677&amp;";","xxx"),"xxx"))</f>
        <v>xxx</v>
      </c>
      <c r="H532" s="18" t="str">
        <f>IF(装备表!$O677=0,"xxx",IFERROR(IF(INT(IF($D532=H$3,装备表!$E677,"xxx")/10000)=1,IF($D532=H$3,装备表!$E677,"xxx")&amp;":2,1,1,"&amp;装备表!$O677&amp;";","xxx"),"xxx"))</f>
        <v>xxx</v>
      </c>
      <c r="I532" s="18" t="str">
        <f>IF(装备表!$O677=0,"xxx",IFERROR(IF(INT(IF($D532=I$3,装备表!$E677,"xxx")/10000)=1,IF($D532=I$3,装备表!$E677,"xxx")&amp;":2,1,1,"&amp;装备表!$O677&amp;";","xxx"),"xxx"))</f>
        <v>xxx</v>
      </c>
      <c r="J532" s="18" t="str">
        <f>IF(装备表!$O677=0,"xxx",IFERROR(IF(INT(IF($D532=J$3,装备表!$E677,"xxx")/10000)=1,IF($D532=J$3,装备表!$E677,"xxx")&amp;":2,1,1,"&amp;装备表!$O677&amp;";","xxx"),"xxx"))</f>
        <v>xxx</v>
      </c>
    </row>
    <row r="533" spans="4:10" x14ac:dyDescent="0.2">
      <c r="D533" s="18">
        <f>装备表!L678</f>
        <v>0</v>
      </c>
      <c r="E533" s="18" t="str">
        <f>IF(装备表!$O678=0,"xxx",IFERROR(IF(INT(IF($D533=E$3,装备表!$E678,"xxx")/10000)=1,IF($D533=E$3,装备表!$E678,"xxx")&amp;":2,1,1,"&amp;装备表!$O678&amp;";","xxx"),"xxx"))</f>
        <v>xxx</v>
      </c>
      <c r="F533" s="18" t="str">
        <f>IF(装备表!$O678=0,"xxx",IFERROR(IF(INT(IF($D533=F$3,装备表!$E678,"xxx")/10000)=1,IF($D533=F$3,装备表!$E678,"xxx")&amp;":2,1,1,"&amp;装备表!$O678&amp;";","xxx"),"xxx"))</f>
        <v>xxx</v>
      </c>
      <c r="G533" s="18" t="str">
        <f>IF(装备表!$O678=0,"xxx",IFERROR(IF(INT(IF($D533=G$3,装备表!$E678,"xxx")/10000)=1,IF($D533=G$3,装备表!$E678,"xxx")&amp;":2,1,1,"&amp;装备表!$O678&amp;";","xxx"),"xxx"))</f>
        <v>xxx</v>
      </c>
      <c r="H533" s="18" t="str">
        <f>IF(装备表!$O678=0,"xxx",IFERROR(IF(INT(IF($D533=H$3,装备表!$E678,"xxx")/10000)=1,IF($D533=H$3,装备表!$E678,"xxx")&amp;":2,1,1,"&amp;装备表!$O678&amp;";","xxx"),"xxx"))</f>
        <v>xxx</v>
      </c>
      <c r="I533" s="18" t="str">
        <f>IF(装备表!$O678=0,"xxx",IFERROR(IF(INT(IF($D533=I$3,装备表!$E678,"xxx")/10000)=1,IF($D533=I$3,装备表!$E678,"xxx")&amp;":2,1,1,"&amp;装备表!$O678&amp;";","xxx"),"xxx"))</f>
        <v>xxx</v>
      </c>
      <c r="J533" s="18" t="str">
        <f>IF(装备表!$O678=0,"xxx",IFERROR(IF(INT(IF($D533=J$3,装备表!$E678,"xxx")/10000)=1,IF($D533=J$3,装备表!$E678,"xxx")&amp;":2,1,1,"&amp;装备表!$O678&amp;";","xxx"),"xxx"))</f>
        <v>xxx</v>
      </c>
    </row>
    <row r="534" spans="4:10" x14ac:dyDescent="0.2">
      <c r="D534" s="18">
        <f>装备表!L679</f>
        <v>0</v>
      </c>
      <c r="E534" s="18" t="str">
        <f>IF(装备表!$O679=0,"xxx",IFERROR(IF(INT(IF($D534=E$3,装备表!$E679,"xxx")/10000)=1,IF($D534=E$3,装备表!$E679,"xxx")&amp;":2,1,1,"&amp;装备表!$O679&amp;";","xxx"),"xxx"))</f>
        <v>xxx</v>
      </c>
      <c r="F534" s="18" t="str">
        <f>IF(装备表!$O679=0,"xxx",IFERROR(IF(INT(IF($D534=F$3,装备表!$E679,"xxx")/10000)=1,IF($D534=F$3,装备表!$E679,"xxx")&amp;":2,1,1,"&amp;装备表!$O679&amp;";","xxx"),"xxx"))</f>
        <v>xxx</v>
      </c>
      <c r="G534" s="18" t="str">
        <f>IF(装备表!$O679=0,"xxx",IFERROR(IF(INT(IF($D534=G$3,装备表!$E679,"xxx")/10000)=1,IF($D534=G$3,装备表!$E679,"xxx")&amp;":2,1,1,"&amp;装备表!$O679&amp;";","xxx"),"xxx"))</f>
        <v>xxx</v>
      </c>
      <c r="H534" s="18" t="str">
        <f>IF(装备表!$O679=0,"xxx",IFERROR(IF(INT(IF($D534=H$3,装备表!$E679,"xxx")/10000)=1,IF($D534=H$3,装备表!$E679,"xxx")&amp;":2,1,1,"&amp;装备表!$O679&amp;";","xxx"),"xxx"))</f>
        <v>xxx</v>
      </c>
      <c r="I534" s="18" t="str">
        <f>IF(装备表!$O679=0,"xxx",IFERROR(IF(INT(IF($D534=I$3,装备表!$E679,"xxx")/10000)=1,IF($D534=I$3,装备表!$E679,"xxx")&amp;":2,1,1,"&amp;装备表!$O679&amp;";","xxx"),"xxx"))</f>
        <v>xxx</v>
      </c>
      <c r="J534" s="18" t="str">
        <f>IF(装备表!$O679=0,"xxx",IFERROR(IF(INT(IF($D534=J$3,装备表!$E679,"xxx")/10000)=1,IF($D534=J$3,装备表!$E679,"xxx")&amp;":2,1,1,"&amp;装备表!$O679&amp;";","xxx"),"xxx"))</f>
        <v>xxx</v>
      </c>
    </row>
    <row r="535" spans="4:10" x14ac:dyDescent="0.2">
      <c r="D535" s="18">
        <f>装备表!L680</f>
        <v>0</v>
      </c>
      <c r="E535" s="18" t="str">
        <f>IF(装备表!$O680=0,"xxx",IFERROR(IF(INT(IF($D535=E$3,装备表!$E680,"xxx")/10000)=1,IF($D535=E$3,装备表!$E680,"xxx")&amp;":2,1,1,"&amp;装备表!$O680&amp;";","xxx"),"xxx"))</f>
        <v>xxx</v>
      </c>
      <c r="F535" s="18" t="str">
        <f>IF(装备表!$O680=0,"xxx",IFERROR(IF(INT(IF($D535=F$3,装备表!$E680,"xxx")/10000)=1,IF($D535=F$3,装备表!$E680,"xxx")&amp;":2,1,1,"&amp;装备表!$O680&amp;";","xxx"),"xxx"))</f>
        <v>xxx</v>
      </c>
      <c r="G535" s="18" t="str">
        <f>IF(装备表!$O680=0,"xxx",IFERROR(IF(INT(IF($D535=G$3,装备表!$E680,"xxx")/10000)=1,IF($D535=G$3,装备表!$E680,"xxx")&amp;":2,1,1,"&amp;装备表!$O680&amp;";","xxx"),"xxx"))</f>
        <v>xxx</v>
      </c>
      <c r="H535" s="18" t="str">
        <f>IF(装备表!$O680=0,"xxx",IFERROR(IF(INT(IF($D535=H$3,装备表!$E680,"xxx")/10000)=1,IF($D535=H$3,装备表!$E680,"xxx")&amp;":2,1,1,"&amp;装备表!$O680&amp;";","xxx"),"xxx"))</f>
        <v>xxx</v>
      </c>
      <c r="I535" s="18" t="str">
        <f>IF(装备表!$O680=0,"xxx",IFERROR(IF(INT(IF($D535=I$3,装备表!$E680,"xxx")/10000)=1,IF($D535=I$3,装备表!$E680,"xxx")&amp;":2,1,1,"&amp;装备表!$O680&amp;";","xxx"),"xxx"))</f>
        <v>xxx</v>
      </c>
      <c r="J535" s="18" t="str">
        <f>IF(装备表!$O680=0,"xxx",IFERROR(IF(INT(IF($D535=J$3,装备表!$E680,"xxx")/10000)=1,IF($D535=J$3,装备表!$E680,"xxx")&amp;":2,1,1,"&amp;装备表!$O680&amp;";","xxx"),"xxx"))</f>
        <v>xxx</v>
      </c>
    </row>
    <row r="536" spans="4:10" x14ac:dyDescent="0.2">
      <c r="D536" s="18">
        <f>装备表!L681</f>
        <v>0</v>
      </c>
      <c r="E536" s="18" t="str">
        <f>IF(装备表!$O681=0,"xxx",IFERROR(IF(INT(IF($D536=E$3,装备表!$E681,"xxx")/10000)=1,IF($D536=E$3,装备表!$E681,"xxx")&amp;":2,1,1,"&amp;装备表!$O681&amp;";","xxx"),"xxx"))</f>
        <v>xxx</v>
      </c>
      <c r="F536" s="18" t="str">
        <f>IF(装备表!$O681=0,"xxx",IFERROR(IF(INT(IF($D536=F$3,装备表!$E681,"xxx")/10000)=1,IF($D536=F$3,装备表!$E681,"xxx")&amp;":2,1,1,"&amp;装备表!$O681&amp;";","xxx"),"xxx"))</f>
        <v>xxx</v>
      </c>
      <c r="G536" s="18" t="str">
        <f>IF(装备表!$O681=0,"xxx",IFERROR(IF(INT(IF($D536=G$3,装备表!$E681,"xxx")/10000)=1,IF($D536=G$3,装备表!$E681,"xxx")&amp;":2,1,1,"&amp;装备表!$O681&amp;";","xxx"),"xxx"))</f>
        <v>xxx</v>
      </c>
      <c r="H536" s="18" t="str">
        <f>IF(装备表!$O681=0,"xxx",IFERROR(IF(INT(IF($D536=H$3,装备表!$E681,"xxx")/10000)=1,IF($D536=H$3,装备表!$E681,"xxx")&amp;":2,1,1,"&amp;装备表!$O681&amp;";","xxx"),"xxx"))</f>
        <v>xxx</v>
      </c>
      <c r="I536" s="18" t="str">
        <f>IF(装备表!$O681=0,"xxx",IFERROR(IF(INT(IF($D536=I$3,装备表!$E681,"xxx")/10000)=1,IF($D536=I$3,装备表!$E681,"xxx")&amp;":2,1,1,"&amp;装备表!$O681&amp;";","xxx"),"xxx"))</f>
        <v>xxx</v>
      </c>
      <c r="J536" s="18" t="str">
        <f>IF(装备表!$O681=0,"xxx",IFERROR(IF(INT(IF($D536=J$3,装备表!$E681,"xxx")/10000)=1,IF($D536=J$3,装备表!$E681,"xxx")&amp;":2,1,1,"&amp;装备表!$O681&amp;";","xxx"),"xxx"))</f>
        <v>xxx</v>
      </c>
    </row>
    <row r="537" spans="4:10" x14ac:dyDescent="0.2">
      <c r="D537" s="18">
        <f>装备表!L682</f>
        <v>0</v>
      </c>
      <c r="E537" s="18" t="str">
        <f>IF(装备表!$O682=0,"xxx",IFERROR(IF(INT(IF($D537=E$3,装备表!$E682,"xxx")/10000)=1,IF($D537=E$3,装备表!$E682,"xxx")&amp;":2,1,1,"&amp;装备表!$O682&amp;";","xxx"),"xxx"))</f>
        <v>xxx</v>
      </c>
      <c r="F537" s="18" t="str">
        <f>IF(装备表!$O682=0,"xxx",IFERROR(IF(INT(IF($D537=F$3,装备表!$E682,"xxx")/10000)=1,IF($D537=F$3,装备表!$E682,"xxx")&amp;":2,1,1,"&amp;装备表!$O682&amp;";","xxx"),"xxx"))</f>
        <v>xxx</v>
      </c>
      <c r="G537" s="18" t="str">
        <f>IF(装备表!$O682=0,"xxx",IFERROR(IF(INT(IF($D537=G$3,装备表!$E682,"xxx")/10000)=1,IF($D537=G$3,装备表!$E682,"xxx")&amp;":2,1,1,"&amp;装备表!$O682&amp;";","xxx"),"xxx"))</f>
        <v>xxx</v>
      </c>
      <c r="H537" s="18" t="str">
        <f>IF(装备表!$O682=0,"xxx",IFERROR(IF(INT(IF($D537=H$3,装备表!$E682,"xxx")/10000)=1,IF($D537=H$3,装备表!$E682,"xxx")&amp;":2,1,1,"&amp;装备表!$O682&amp;";","xxx"),"xxx"))</f>
        <v>xxx</v>
      </c>
      <c r="I537" s="18" t="str">
        <f>IF(装备表!$O682=0,"xxx",IFERROR(IF(INT(IF($D537=I$3,装备表!$E682,"xxx")/10000)=1,IF($D537=I$3,装备表!$E682,"xxx")&amp;":2,1,1,"&amp;装备表!$O682&amp;";","xxx"),"xxx"))</f>
        <v>xxx</v>
      </c>
      <c r="J537" s="18" t="str">
        <f>IF(装备表!$O682=0,"xxx",IFERROR(IF(INT(IF($D537=J$3,装备表!$E682,"xxx")/10000)=1,IF($D537=J$3,装备表!$E682,"xxx")&amp;":2,1,1,"&amp;装备表!$O682&amp;";","xxx"),"xxx"))</f>
        <v>xxx</v>
      </c>
    </row>
    <row r="538" spans="4:10" x14ac:dyDescent="0.2">
      <c r="D538" s="18">
        <f>装备表!L683</f>
        <v>0</v>
      </c>
      <c r="E538" s="18" t="str">
        <f>IF(装备表!$O683=0,"xxx",IFERROR(IF(INT(IF($D538=E$3,装备表!$E683,"xxx")/10000)=1,IF($D538=E$3,装备表!$E683,"xxx")&amp;":2,1,1,"&amp;装备表!$O683&amp;";","xxx"),"xxx"))</f>
        <v>xxx</v>
      </c>
      <c r="F538" s="18" t="str">
        <f>IF(装备表!$O683=0,"xxx",IFERROR(IF(INT(IF($D538=F$3,装备表!$E683,"xxx")/10000)=1,IF($D538=F$3,装备表!$E683,"xxx")&amp;":2,1,1,"&amp;装备表!$O683&amp;";","xxx"),"xxx"))</f>
        <v>xxx</v>
      </c>
      <c r="G538" s="18" t="str">
        <f>IF(装备表!$O683=0,"xxx",IFERROR(IF(INT(IF($D538=G$3,装备表!$E683,"xxx")/10000)=1,IF($D538=G$3,装备表!$E683,"xxx")&amp;":2,1,1,"&amp;装备表!$O683&amp;";","xxx"),"xxx"))</f>
        <v>xxx</v>
      </c>
      <c r="H538" s="18" t="str">
        <f>IF(装备表!$O683=0,"xxx",IFERROR(IF(INT(IF($D538=H$3,装备表!$E683,"xxx")/10000)=1,IF($D538=H$3,装备表!$E683,"xxx")&amp;":2,1,1,"&amp;装备表!$O683&amp;";","xxx"),"xxx"))</f>
        <v>xxx</v>
      </c>
      <c r="I538" s="18" t="str">
        <f>IF(装备表!$O683=0,"xxx",IFERROR(IF(INT(IF($D538=I$3,装备表!$E683,"xxx")/10000)=1,IF($D538=I$3,装备表!$E683,"xxx")&amp;":2,1,1,"&amp;装备表!$O683&amp;";","xxx"),"xxx"))</f>
        <v>xxx</v>
      </c>
      <c r="J538" s="18" t="str">
        <f>IF(装备表!$O683=0,"xxx",IFERROR(IF(INT(IF($D538=J$3,装备表!$E683,"xxx")/10000)=1,IF($D538=J$3,装备表!$E683,"xxx")&amp;":2,1,1,"&amp;装备表!$O683&amp;";","xxx"),"xxx"))</f>
        <v>xxx</v>
      </c>
    </row>
    <row r="539" spans="4:10" x14ac:dyDescent="0.2">
      <c r="D539" s="18">
        <f>装备表!L684</f>
        <v>0</v>
      </c>
      <c r="E539" s="18" t="str">
        <f>IF(装备表!$O684=0,"xxx",IFERROR(IF(INT(IF($D539=E$3,装备表!$E684,"xxx")/10000)=1,IF($D539=E$3,装备表!$E684,"xxx")&amp;":2,1,1,"&amp;装备表!$O684&amp;";","xxx"),"xxx"))</f>
        <v>xxx</v>
      </c>
      <c r="F539" s="18" t="str">
        <f>IF(装备表!$O684=0,"xxx",IFERROR(IF(INT(IF($D539=F$3,装备表!$E684,"xxx")/10000)=1,IF($D539=F$3,装备表!$E684,"xxx")&amp;":2,1,1,"&amp;装备表!$O684&amp;";","xxx"),"xxx"))</f>
        <v>xxx</v>
      </c>
      <c r="G539" s="18" t="str">
        <f>IF(装备表!$O684=0,"xxx",IFERROR(IF(INT(IF($D539=G$3,装备表!$E684,"xxx")/10000)=1,IF($D539=G$3,装备表!$E684,"xxx")&amp;":2,1,1,"&amp;装备表!$O684&amp;";","xxx"),"xxx"))</f>
        <v>xxx</v>
      </c>
      <c r="H539" s="18" t="str">
        <f>IF(装备表!$O684=0,"xxx",IFERROR(IF(INT(IF($D539=H$3,装备表!$E684,"xxx")/10000)=1,IF($D539=H$3,装备表!$E684,"xxx")&amp;":2,1,1,"&amp;装备表!$O684&amp;";","xxx"),"xxx"))</f>
        <v>xxx</v>
      </c>
      <c r="I539" s="18" t="str">
        <f>IF(装备表!$O684=0,"xxx",IFERROR(IF(INT(IF($D539=I$3,装备表!$E684,"xxx")/10000)=1,IF($D539=I$3,装备表!$E684,"xxx")&amp;":2,1,1,"&amp;装备表!$O684&amp;";","xxx"),"xxx"))</f>
        <v>xxx</v>
      </c>
      <c r="J539" s="18" t="str">
        <f>IF(装备表!$O684=0,"xxx",IFERROR(IF(INT(IF($D539=J$3,装备表!$E684,"xxx")/10000)=1,IF($D539=J$3,装备表!$E684,"xxx")&amp;":2,1,1,"&amp;装备表!$O684&amp;";","xxx"),"xxx"))</f>
        <v>xxx</v>
      </c>
    </row>
    <row r="540" spans="4:10" x14ac:dyDescent="0.2">
      <c r="D540" s="18">
        <f>装备表!L685</f>
        <v>0</v>
      </c>
      <c r="E540" s="18" t="str">
        <f>IF(装备表!$O685=0,"xxx",IFERROR(IF(INT(IF($D540=E$3,装备表!$E685,"xxx")/10000)=1,IF($D540=E$3,装备表!$E685,"xxx")&amp;":2,1,1,"&amp;装备表!$O685&amp;";","xxx"),"xxx"))</f>
        <v>xxx</v>
      </c>
      <c r="F540" s="18" t="str">
        <f>IF(装备表!$O685=0,"xxx",IFERROR(IF(INT(IF($D540=F$3,装备表!$E685,"xxx")/10000)=1,IF($D540=F$3,装备表!$E685,"xxx")&amp;":2,1,1,"&amp;装备表!$O685&amp;";","xxx"),"xxx"))</f>
        <v>xxx</v>
      </c>
      <c r="G540" s="18" t="str">
        <f>IF(装备表!$O685=0,"xxx",IFERROR(IF(INT(IF($D540=G$3,装备表!$E685,"xxx")/10000)=1,IF($D540=G$3,装备表!$E685,"xxx")&amp;":2,1,1,"&amp;装备表!$O685&amp;";","xxx"),"xxx"))</f>
        <v>xxx</v>
      </c>
      <c r="H540" s="18" t="str">
        <f>IF(装备表!$O685=0,"xxx",IFERROR(IF(INT(IF($D540=H$3,装备表!$E685,"xxx")/10000)=1,IF($D540=H$3,装备表!$E685,"xxx")&amp;":2,1,1,"&amp;装备表!$O685&amp;";","xxx"),"xxx"))</f>
        <v>xxx</v>
      </c>
      <c r="I540" s="18" t="str">
        <f>IF(装备表!$O685=0,"xxx",IFERROR(IF(INT(IF($D540=I$3,装备表!$E685,"xxx")/10000)=1,IF($D540=I$3,装备表!$E685,"xxx")&amp;":2,1,1,"&amp;装备表!$O685&amp;";","xxx"),"xxx"))</f>
        <v>xxx</v>
      </c>
      <c r="J540" s="18" t="str">
        <f>IF(装备表!$O685=0,"xxx",IFERROR(IF(INT(IF($D540=J$3,装备表!$E685,"xxx")/10000)=1,IF($D540=J$3,装备表!$E685,"xxx")&amp;":2,1,1,"&amp;装备表!$O685&amp;";","xxx"),"xxx"))</f>
        <v>xxx</v>
      </c>
    </row>
    <row r="541" spans="4:10" x14ac:dyDescent="0.2">
      <c r="D541" s="18">
        <f>装备表!L686</f>
        <v>0</v>
      </c>
      <c r="E541" s="18" t="str">
        <f>IF(装备表!$O686=0,"xxx",IFERROR(IF(INT(IF($D541=E$3,装备表!$E686,"xxx")/10000)=1,IF($D541=E$3,装备表!$E686,"xxx")&amp;":2,1,1,"&amp;装备表!$O686&amp;";","xxx"),"xxx"))</f>
        <v>xxx</v>
      </c>
      <c r="F541" s="18" t="str">
        <f>IF(装备表!$O686=0,"xxx",IFERROR(IF(INT(IF($D541=F$3,装备表!$E686,"xxx")/10000)=1,IF($D541=F$3,装备表!$E686,"xxx")&amp;":2,1,1,"&amp;装备表!$O686&amp;";","xxx"),"xxx"))</f>
        <v>xxx</v>
      </c>
      <c r="G541" s="18" t="str">
        <f>IF(装备表!$O686=0,"xxx",IFERROR(IF(INT(IF($D541=G$3,装备表!$E686,"xxx")/10000)=1,IF($D541=G$3,装备表!$E686,"xxx")&amp;":2,1,1,"&amp;装备表!$O686&amp;";","xxx"),"xxx"))</f>
        <v>xxx</v>
      </c>
      <c r="H541" s="18" t="str">
        <f>IF(装备表!$O686=0,"xxx",IFERROR(IF(INT(IF($D541=H$3,装备表!$E686,"xxx")/10000)=1,IF($D541=H$3,装备表!$E686,"xxx")&amp;":2,1,1,"&amp;装备表!$O686&amp;";","xxx"),"xxx"))</f>
        <v>xxx</v>
      </c>
      <c r="I541" s="18" t="str">
        <f>IF(装备表!$O686=0,"xxx",IFERROR(IF(INT(IF($D541=I$3,装备表!$E686,"xxx")/10000)=1,IF($D541=I$3,装备表!$E686,"xxx")&amp;":2,1,1,"&amp;装备表!$O686&amp;";","xxx"),"xxx"))</f>
        <v>xxx</v>
      </c>
      <c r="J541" s="18" t="str">
        <f>IF(装备表!$O686=0,"xxx",IFERROR(IF(INT(IF($D541=J$3,装备表!$E686,"xxx")/10000)=1,IF($D541=J$3,装备表!$E686,"xxx")&amp;":2,1,1,"&amp;装备表!$O686&amp;";","xxx"),"xxx"))</f>
        <v>xxx</v>
      </c>
    </row>
    <row r="542" spans="4:10" x14ac:dyDescent="0.2">
      <c r="D542" s="18">
        <f>装备表!L687</f>
        <v>0</v>
      </c>
      <c r="E542" s="18" t="str">
        <f>IF(装备表!$O687=0,"xxx",IFERROR(IF(INT(IF($D542=E$3,装备表!$E687,"xxx")/10000)=1,IF($D542=E$3,装备表!$E687,"xxx")&amp;":2,1,1,"&amp;装备表!$O687&amp;";","xxx"),"xxx"))</f>
        <v>xxx</v>
      </c>
      <c r="F542" s="18" t="str">
        <f>IF(装备表!$O687=0,"xxx",IFERROR(IF(INT(IF($D542=F$3,装备表!$E687,"xxx")/10000)=1,IF($D542=F$3,装备表!$E687,"xxx")&amp;":2,1,1,"&amp;装备表!$O687&amp;";","xxx"),"xxx"))</f>
        <v>xxx</v>
      </c>
      <c r="G542" s="18" t="str">
        <f>IF(装备表!$O687=0,"xxx",IFERROR(IF(INT(IF($D542=G$3,装备表!$E687,"xxx")/10000)=1,IF($D542=G$3,装备表!$E687,"xxx")&amp;":2,1,1,"&amp;装备表!$O687&amp;";","xxx"),"xxx"))</f>
        <v>xxx</v>
      </c>
      <c r="H542" s="18" t="str">
        <f>IF(装备表!$O687=0,"xxx",IFERROR(IF(INT(IF($D542=H$3,装备表!$E687,"xxx")/10000)=1,IF($D542=H$3,装备表!$E687,"xxx")&amp;":2,1,1,"&amp;装备表!$O687&amp;";","xxx"),"xxx"))</f>
        <v>xxx</v>
      </c>
      <c r="I542" s="18" t="str">
        <f>IF(装备表!$O687=0,"xxx",IFERROR(IF(INT(IF($D542=I$3,装备表!$E687,"xxx")/10000)=1,IF($D542=I$3,装备表!$E687,"xxx")&amp;":2,1,1,"&amp;装备表!$O687&amp;";","xxx"),"xxx"))</f>
        <v>xxx</v>
      </c>
      <c r="J542" s="18" t="str">
        <f>IF(装备表!$O687=0,"xxx",IFERROR(IF(INT(IF($D542=J$3,装备表!$E687,"xxx")/10000)=1,IF($D542=J$3,装备表!$E687,"xxx")&amp;":2,1,1,"&amp;装备表!$O687&amp;";","xxx"),"xxx"))</f>
        <v>xxx</v>
      </c>
    </row>
    <row r="543" spans="4:10" x14ac:dyDescent="0.2">
      <c r="D543" s="18">
        <f>装备表!L688</f>
        <v>0</v>
      </c>
      <c r="E543" s="18" t="str">
        <f>IF(装备表!$O688=0,"xxx",IFERROR(IF(INT(IF($D543=E$3,装备表!$E688,"xxx")/10000)=1,IF($D543=E$3,装备表!$E688,"xxx")&amp;":2,1,1,"&amp;装备表!$O688&amp;";","xxx"),"xxx"))</f>
        <v>xxx</v>
      </c>
      <c r="F543" s="18" t="str">
        <f>IF(装备表!$O688=0,"xxx",IFERROR(IF(INT(IF($D543=F$3,装备表!$E688,"xxx")/10000)=1,IF($D543=F$3,装备表!$E688,"xxx")&amp;":2,1,1,"&amp;装备表!$O688&amp;";","xxx"),"xxx"))</f>
        <v>xxx</v>
      </c>
      <c r="G543" s="18" t="str">
        <f>IF(装备表!$O688=0,"xxx",IFERROR(IF(INT(IF($D543=G$3,装备表!$E688,"xxx")/10000)=1,IF($D543=G$3,装备表!$E688,"xxx")&amp;":2,1,1,"&amp;装备表!$O688&amp;";","xxx"),"xxx"))</f>
        <v>xxx</v>
      </c>
      <c r="H543" s="18" t="str">
        <f>IF(装备表!$O688=0,"xxx",IFERROR(IF(INT(IF($D543=H$3,装备表!$E688,"xxx")/10000)=1,IF($D543=H$3,装备表!$E688,"xxx")&amp;":2,1,1,"&amp;装备表!$O688&amp;";","xxx"),"xxx"))</f>
        <v>xxx</v>
      </c>
      <c r="I543" s="18" t="str">
        <f>IF(装备表!$O688=0,"xxx",IFERROR(IF(INT(IF($D543=I$3,装备表!$E688,"xxx")/10000)=1,IF($D543=I$3,装备表!$E688,"xxx")&amp;":2,1,1,"&amp;装备表!$O688&amp;";","xxx"),"xxx"))</f>
        <v>xxx</v>
      </c>
      <c r="J543" s="18" t="str">
        <f>IF(装备表!$O688=0,"xxx",IFERROR(IF(INT(IF($D543=J$3,装备表!$E688,"xxx")/10000)=1,IF($D543=J$3,装备表!$E688,"xxx")&amp;":2,1,1,"&amp;装备表!$O688&amp;";","xxx"),"xxx"))</f>
        <v>xxx</v>
      </c>
    </row>
    <row r="544" spans="4:10" x14ac:dyDescent="0.2">
      <c r="D544" s="18">
        <f>装备表!L689</f>
        <v>0</v>
      </c>
      <c r="E544" s="18" t="str">
        <f>IF(装备表!$O689=0,"xxx",IFERROR(IF(INT(IF($D544=E$3,装备表!$E689,"xxx")/10000)=1,IF($D544=E$3,装备表!$E689,"xxx")&amp;":2,1,1,"&amp;装备表!$O689&amp;";","xxx"),"xxx"))</f>
        <v>xxx</v>
      </c>
      <c r="F544" s="18" t="str">
        <f>IF(装备表!$O689=0,"xxx",IFERROR(IF(INT(IF($D544=F$3,装备表!$E689,"xxx")/10000)=1,IF($D544=F$3,装备表!$E689,"xxx")&amp;":2,1,1,"&amp;装备表!$O689&amp;";","xxx"),"xxx"))</f>
        <v>xxx</v>
      </c>
      <c r="G544" s="18" t="str">
        <f>IF(装备表!$O689=0,"xxx",IFERROR(IF(INT(IF($D544=G$3,装备表!$E689,"xxx")/10000)=1,IF($D544=G$3,装备表!$E689,"xxx")&amp;":2,1,1,"&amp;装备表!$O689&amp;";","xxx"),"xxx"))</f>
        <v>xxx</v>
      </c>
      <c r="H544" s="18" t="str">
        <f>IF(装备表!$O689=0,"xxx",IFERROR(IF(INT(IF($D544=H$3,装备表!$E689,"xxx")/10000)=1,IF($D544=H$3,装备表!$E689,"xxx")&amp;":2,1,1,"&amp;装备表!$O689&amp;";","xxx"),"xxx"))</f>
        <v>xxx</v>
      </c>
      <c r="I544" s="18" t="str">
        <f>IF(装备表!$O689=0,"xxx",IFERROR(IF(INT(IF($D544=I$3,装备表!$E689,"xxx")/10000)=1,IF($D544=I$3,装备表!$E689,"xxx")&amp;":2,1,1,"&amp;装备表!$O689&amp;";","xxx"),"xxx"))</f>
        <v>xxx</v>
      </c>
      <c r="J544" s="18" t="str">
        <f>IF(装备表!$O689=0,"xxx",IFERROR(IF(INT(IF($D544=J$3,装备表!$E689,"xxx")/10000)=1,IF($D544=J$3,装备表!$E689,"xxx")&amp;":2,1,1,"&amp;装备表!$O689&amp;";","xxx"),"xxx"))</f>
        <v>xxx</v>
      </c>
    </row>
    <row r="545" spans="4:10" x14ac:dyDescent="0.2">
      <c r="D545" s="18">
        <f>装备表!L690</f>
        <v>0</v>
      </c>
      <c r="E545" s="18" t="str">
        <f>IF(装备表!$O690=0,"xxx",IFERROR(IF(INT(IF($D545=E$3,装备表!$E690,"xxx")/10000)=1,IF($D545=E$3,装备表!$E690,"xxx")&amp;":2,1,1,"&amp;装备表!$O690&amp;";","xxx"),"xxx"))</f>
        <v>xxx</v>
      </c>
      <c r="F545" s="18" t="str">
        <f>IF(装备表!$O690=0,"xxx",IFERROR(IF(INT(IF($D545=F$3,装备表!$E690,"xxx")/10000)=1,IF($D545=F$3,装备表!$E690,"xxx")&amp;":2,1,1,"&amp;装备表!$O690&amp;";","xxx"),"xxx"))</f>
        <v>xxx</v>
      </c>
      <c r="G545" s="18" t="str">
        <f>IF(装备表!$O690=0,"xxx",IFERROR(IF(INT(IF($D545=G$3,装备表!$E690,"xxx")/10000)=1,IF($D545=G$3,装备表!$E690,"xxx")&amp;":2,1,1,"&amp;装备表!$O690&amp;";","xxx"),"xxx"))</f>
        <v>xxx</v>
      </c>
      <c r="H545" s="18" t="str">
        <f>IF(装备表!$O690=0,"xxx",IFERROR(IF(INT(IF($D545=H$3,装备表!$E690,"xxx")/10000)=1,IF($D545=H$3,装备表!$E690,"xxx")&amp;":2,1,1,"&amp;装备表!$O690&amp;";","xxx"),"xxx"))</f>
        <v>xxx</v>
      </c>
      <c r="I545" s="18" t="str">
        <f>IF(装备表!$O690=0,"xxx",IFERROR(IF(INT(IF($D545=I$3,装备表!$E690,"xxx")/10000)=1,IF($D545=I$3,装备表!$E690,"xxx")&amp;":2,1,1,"&amp;装备表!$O690&amp;";","xxx"),"xxx"))</f>
        <v>xxx</v>
      </c>
      <c r="J545" s="18" t="str">
        <f>IF(装备表!$O690=0,"xxx",IFERROR(IF(INT(IF($D545=J$3,装备表!$E690,"xxx")/10000)=1,IF($D545=J$3,装备表!$E690,"xxx")&amp;":2,1,1,"&amp;装备表!$O690&amp;";","xxx"),"xxx"))</f>
        <v>xxx</v>
      </c>
    </row>
    <row r="546" spans="4:10" x14ac:dyDescent="0.2">
      <c r="D546" s="18">
        <f>装备表!L691</f>
        <v>0</v>
      </c>
      <c r="E546" s="18" t="str">
        <f>IF(装备表!$O691=0,"xxx",IFERROR(IF(INT(IF($D546=E$3,装备表!$E691,"xxx")/10000)=1,IF($D546=E$3,装备表!$E691,"xxx")&amp;":2,1,1,"&amp;装备表!$O691&amp;";","xxx"),"xxx"))</f>
        <v>xxx</v>
      </c>
      <c r="F546" s="18" t="str">
        <f>IF(装备表!$O691=0,"xxx",IFERROR(IF(INT(IF($D546=F$3,装备表!$E691,"xxx")/10000)=1,IF($D546=F$3,装备表!$E691,"xxx")&amp;":2,1,1,"&amp;装备表!$O691&amp;";","xxx"),"xxx"))</f>
        <v>xxx</v>
      </c>
      <c r="G546" s="18" t="str">
        <f>IF(装备表!$O691=0,"xxx",IFERROR(IF(INT(IF($D546=G$3,装备表!$E691,"xxx")/10000)=1,IF($D546=G$3,装备表!$E691,"xxx")&amp;":2,1,1,"&amp;装备表!$O691&amp;";","xxx"),"xxx"))</f>
        <v>xxx</v>
      </c>
      <c r="H546" s="18" t="str">
        <f>IF(装备表!$O691=0,"xxx",IFERROR(IF(INT(IF($D546=H$3,装备表!$E691,"xxx")/10000)=1,IF($D546=H$3,装备表!$E691,"xxx")&amp;":2,1,1,"&amp;装备表!$O691&amp;";","xxx"),"xxx"))</f>
        <v>xxx</v>
      </c>
      <c r="I546" s="18" t="str">
        <f>IF(装备表!$O691=0,"xxx",IFERROR(IF(INT(IF($D546=I$3,装备表!$E691,"xxx")/10000)=1,IF($D546=I$3,装备表!$E691,"xxx")&amp;":2,1,1,"&amp;装备表!$O691&amp;";","xxx"),"xxx"))</f>
        <v>xxx</v>
      </c>
      <c r="J546" s="18" t="str">
        <f>IF(装备表!$O691=0,"xxx",IFERROR(IF(INT(IF($D546=J$3,装备表!$E691,"xxx")/10000)=1,IF($D546=J$3,装备表!$E691,"xxx")&amp;":2,1,1,"&amp;装备表!$O691&amp;";","xxx"),"xxx"))</f>
        <v>xxx</v>
      </c>
    </row>
    <row r="547" spans="4:10" x14ac:dyDescent="0.2">
      <c r="D547" s="18">
        <f>装备表!L692</f>
        <v>0</v>
      </c>
      <c r="E547" s="18" t="str">
        <f>IF(装备表!$O692=0,"xxx",IFERROR(IF(INT(IF($D547=E$3,装备表!$E692,"xxx")/10000)=1,IF($D547=E$3,装备表!$E692,"xxx")&amp;":2,1,1,"&amp;装备表!$O692&amp;";","xxx"),"xxx"))</f>
        <v>xxx</v>
      </c>
      <c r="F547" s="18" t="str">
        <f>IF(装备表!$O692=0,"xxx",IFERROR(IF(INT(IF($D547=F$3,装备表!$E692,"xxx")/10000)=1,IF($D547=F$3,装备表!$E692,"xxx")&amp;":2,1,1,"&amp;装备表!$O692&amp;";","xxx"),"xxx"))</f>
        <v>xxx</v>
      </c>
      <c r="G547" s="18" t="str">
        <f>IF(装备表!$O692=0,"xxx",IFERROR(IF(INT(IF($D547=G$3,装备表!$E692,"xxx")/10000)=1,IF($D547=G$3,装备表!$E692,"xxx")&amp;":2,1,1,"&amp;装备表!$O692&amp;";","xxx"),"xxx"))</f>
        <v>xxx</v>
      </c>
      <c r="H547" s="18" t="str">
        <f>IF(装备表!$O692=0,"xxx",IFERROR(IF(INT(IF($D547=H$3,装备表!$E692,"xxx")/10000)=1,IF($D547=H$3,装备表!$E692,"xxx")&amp;":2,1,1,"&amp;装备表!$O692&amp;";","xxx"),"xxx"))</f>
        <v>xxx</v>
      </c>
      <c r="I547" s="18" t="str">
        <f>IF(装备表!$O692=0,"xxx",IFERROR(IF(INT(IF($D547=I$3,装备表!$E692,"xxx")/10000)=1,IF($D547=I$3,装备表!$E692,"xxx")&amp;":2,1,1,"&amp;装备表!$O692&amp;";","xxx"),"xxx"))</f>
        <v>xxx</v>
      </c>
      <c r="J547" s="18" t="str">
        <f>IF(装备表!$O692=0,"xxx",IFERROR(IF(INT(IF($D547=J$3,装备表!$E692,"xxx")/10000)=1,IF($D547=J$3,装备表!$E692,"xxx")&amp;":2,1,1,"&amp;装备表!$O692&amp;";","xxx"),"xxx"))</f>
        <v>xxx</v>
      </c>
    </row>
    <row r="548" spans="4:10" x14ac:dyDescent="0.2">
      <c r="D548" s="18">
        <f>装备表!L693</f>
        <v>0</v>
      </c>
      <c r="E548" s="18" t="str">
        <f>IF(装备表!$O693=0,"xxx",IFERROR(IF(INT(IF($D548=E$3,装备表!$E693,"xxx")/10000)=1,IF($D548=E$3,装备表!$E693,"xxx")&amp;":2,1,1,"&amp;装备表!$O693&amp;";","xxx"),"xxx"))</f>
        <v>xxx</v>
      </c>
      <c r="F548" s="18" t="str">
        <f>IF(装备表!$O693=0,"xxx",IFERROR(IF(INT(IF($D548=F$3,装备表!$E693,"xxx")/10000)=1,IF($D548=F$3,装备表!$E693,"xxx")&amp;":2,1,1,"&amp;装备表!$O693&amp;";","xxx"),"xxx"))</f>
        <v>xxx</v>
      </c>
      <c r="G548" s="18" t="str">
        <f>IF(装备表!$O693=0,"xxx",IFERROR(IF(INT(IF($D548=G$3,装备表!$E693,"xxx")/10000)=1,IF($D548=G$3,装备表!$E693,"xxx")&amp;":2,1,1,"&amp;装备表!$O693&amp;";","xxx"),"xxx"))</f>
        <v>xxx</v>
      </c>
      <c r="H548" s="18" t="str">
        <f>IF(装备表!$O693=0,"xxx",IFERROR(IF(INT(IF($D548=H$3,装备表!$E693,"xxx")/10000)=1,IF($D548=H$3,装备表!$E693,"xxx")&amp;":2,1,1,"&amp;装备表!$O693&amp;";","xxx"),"xxx"))</f>
        <v>xxx</v>
      </c>
      <c r="I548" s="18" t="str">
        <f>IF(装备表!$O693=0,"xxx",IFERROR(IF(INT(IF($D548=I$3,装备表!$E693,"xxx")/10000)=1,IF($D548=I$3,装备表!$E693,"xxx")&amp;":2,1,1,"&amp;装备表!$O693&amp;";","xxx"),"xxx"))</f>
        <v>xxx</v>
      </c>
      <c r="J548" s="18" t="str">
        <f>IF(装备表!$O693=0,"xxx",IFERROR(IF(INT(IF($D548=J$3,装备表!$E693,"xxx")/10000)=1,IF($D548=J$3,装备表!$E693,"xxx")&amp;":2,1,1,"&amp;装备表!$O693&amp;";","xxx"),"xxx"))</f>
        <v>xxx</v>
      </c>
    </row>
    <row r="549" spans="4:10" x14ac:dyDescent="0.2">
      <c r="D549" s="18">
        <f>装备表!L694</f>
        <v>0</v>
      </c>
      <c r="E549" s="18" t="str">
        <f>IF(装备表!$O694=0,"xxx",IFERROR(IF(INT(IF($D549=E$3,装备表!$E694,"xxx")/10000)=1,IF($D549=E$3,装备表!$E694,"xxx")&amp;":2,1,1,"&amp;装备表!$O694&amp;";","xxx"),"xxx"))</f>
        <v>xxx</v>
      </c>
      <c r="F549" s="18" t="str">
        <f>IF(装备表!$O694=0,"xxx",IFERROR(IF(INT(IF($D549=F$3,装备表!$E694,"xxx")/10000)=1,IF($D549=F$3,装备表!$E694,"xxx")&amp;":2,1,1,"&amp;装备表!$O694&amp;";","xxx"),"xxx"))</f>
        <v>xxx</v>
      </c>
      <c r="G549" s="18" t="str">
        <f>IF(装备表!$O694=0,"xxx",IFERROR(IF(INT(IF($D549=G$3,装备表!$E694,"xxx")/10000)=1,IF($D549=G$3,装备表!$E694,"xxx")&amp;":2,1,1,"&amp;装备表!$O694&amp;";","xxx"),"xxx"))</f>
        <v>xxx</v>
      </c>
      <c r="H549" s="18" t="str">
        <f>IF(装备表!$O694=0,"xxx",IFERROR(IF(INT(IF($D549=H$3,装备表!$E694,"xxx")/10000)=1,IF($D549=H$3,装备表!$E694,"xxx")&amp;":2,1,1,"&amp;装备表!$O694&amp;";","xxx"),"xxx"))</f>
        <v>xxx</v>
      </c>
      <c r="I549" s="18" t="str">
        <f>IF(装备表!$O694=0,"xxx",IFERROR(IF(INT(IF($D549=I$3,装备表!$E694,"xxx")/10000)=1,IF($D549=I$3,装备表!$E694,"xxx")&amp;":2,1,1,"&amp;装备表!$O694&amp;";","xxx"),"xxx"))</f>
        <v>xxx</v>
      </c>
      <c r="J549" s="18" t="str">
        <f>IF(装备表!$O694=0,"xxx",IFERROR(IF(INT(IF($D549=J$3,装备表!$E694,"xxx")/10000)=1,IF($D549=J$3,装备表!$E694,"xxx")&amp;":2,1,1,"&amp;装备表!$O694&amp;";","xxx"),"xxx"))</f>
        <v>xxx</v>
      </c>
    </row>
    <row r="550" spans="4:10" x14ac:dyDescent="0.2">
      <c r="D550" s="18">
        <f>装备表!L695</f>
        <v>0</v>
      </c>
      <c r="E550" s="18" t="str">
        <f>IF(装备表!$O695=0,"xxx",IFERROR(IF(INT(IF($D550=E$3,装备表!$E695,"xxx")/10000)=1,IF($D550=E$3,装备表!$E695,"xxx")&amp;":2,1,1,"&amp;装备表!$O695&amp;";","xxx"),"xxx"))</f>
        <v>xxx</v>
      </c>
      <c r="F550" s="18" t="str">
        <f>IF(装备表!$O695=0,"xxx",IFERROR(IF(INT(IF($D550=F$3,装备表!$E695,"xxx")/10000)=1,IF($D550=F$3,装备表!$E695,"xxx")&amp;":2,1,1,"&amp;装备表!$O695&amp;";","xxx"),"xxx"))</f>
        <v>xxx</v>
      </c>
      <c r="G550" s="18" t="str">
        <f>IF(装备表!$O695=0,"xxx",IFERROR(IF(INT(IF($D550=G$3,装备表!$E695,"xxx")/10000)=1,IF($D550=G$3,装备表!$E695,"xxx")&amp;":2,1,1,"&amp;装备表!$O695&amp;";","xxx"),"xxx"))</f>
        <v>xxx</v>
      </c>
      <c r="H550" s="18" t="str">
        <f>IF(装备表!$O695=0,"xxx",IFERROR(IF(INT(IF($D550=H$3,装备表!$E695,"xxx")/10000)=1,IF($D550=H$3,装备表!$E695,"xxx")&amp;":2,1,1,"&amp;装备表!$O695&amp;";","xxx"),"xxx"))</f>
        <v>xxx</v>
      </c>
      <c r="I550" s="18" t="str">
        <f>IF(装备表!$O695=0,"xxx",IFERROR(IF(INT(IF($D550=I$3,装备表!$E695,"xxx")/10000)=1,IF($D550=I$3,装备表!$E695,"xxx")&amp;":2,1,1,"&amp;装备表!$O695&amp;";","xxx"),"xxx"))</f>
        <v>xxx</v>
      </c>
      <c r="J550" s="18" t="str">
        <f>IF(装备表!$O695=0,"xxx",IFERROR(IF(INT(IF($D550=J$3,装备表!$E695,"xxx")/10000)=1,IF($D550=J$3,装备表!$E695,"xxx")&amp;":2,1,1,"&amp;装备表!$O695&amp;";","xxx"),"xxx"))</f>
        <v>xxx</v>
      </c>
    </row>
    <row r="551" spans="4:10" x14ac:dyDescent="0.2">
      <c r="D551" s="18">
        <f>装备表!L696</f>
        <v>0</v>
      </c>
      <c r="E551" s="18" t="str">
        <f>IF(装备表!$O696=0,"xxx",IFERROR(IF(INT(IF($D551=E$3,装备表!$E696,"xxx")/10000)=1,IF($D551=E$3,装备表!$E696,"xxx")&amp;":2,1,1,"&amp;装备表!$O696&amp;";","xxx"),"xxx"))</f>
        <v>xxx</v>
      </c>
      <c r="F551" s="18" t="str">
        <f>IF(装备表!$O696=0,"xxx",IFERROR(IF(INT(IF($D551=F$3,装备表!$E696,"xxx")/10000)=1,IF($D551=F$3,装备表!$E696,"xxx")&amp;":2,1,1,"&amp;装备表!$O696&amp;";","xxx"),"xxx"))</f>
        <v>xxx</v>
      </c>
      <c r="G551" s="18" t="str">
        <f>IF(装备表!$O696=0,"xxx",IFERROR(IF(INT(IF($D551=G$3,装备表!$E696,"xxx")/10000)=1,IF($D551=G$3,装备表!$E696,"xxx")&amp;":2,1,1,"&amp;装备表!$O696&amp;";","xxx"),"xxx"))</f>
        <v>xxx</v>
      </c>
      <c r="H551" s="18" t="str">
        <f>IF(装备表!$O696=0,"xxx",IFERROR(IF(INT(IF($D551=H$3,装备表!$E696,"xxx")/10000)=1,IF($D551=H$3,装备表!$E696,"xxx")&amp;":2,1,1,"&amp;装备表!$O696&amp;";","xxx"),"xxx"))</f>
        <v>xxx</v>
      </c>
      <c r="I551" s="18" t="str">
        <f>IF(装备表!$O696=0,"xxx",IFERROR(IF(INT(IF($D551=I$3,装备表!$E696,"xxx")/10000)=1,IF($D551=I$3,装备表!$E696,"xxx")&amp;":2,1,1,"&amp;装备表!$O696&amp;";","xxx"),"xxx"))</f>
        <v>xxx</v>
      </c>
      <c r="J551" s="18" t="str">
        <f>IF(装备表!$O696=0,"xxx",IFERROR(IF(INT(IF($D551=J$3,装备表!$E696,"xxx")/10000)=1,IF($D551=J$3,装备表!$E696,"xxx")&amp;":2,1,1,"&amp;装备表!$O696&amp;";","xxx"),"xxx"))</f>
        <v>xxx</v>
      </c>
    </row>
    <row r="552" spans="4:10" x14ac:dyDescent="0.2">
      <c r="D552" s="18">
        <f>装备表!L697</f>
        <v>0</v>
      </c>
      <c r="E552" s="18" t="str">
        <f>IF(装备表!$O697=0,"xxx",IFERROR(IF(INT(IF($D552=E$3,装备表!$E697,"xxx")/10000)=1,IF($D552=E$3,装备表!$E697,"xxx")&amp;":2,1,1,"&amp;装备表!$O697&amp;";","xxx"),"xxx"))</f>
        <v>xxx</v>
      </c>
      <c r="F552" s="18" t="str">
        <f>IF(装备表!$O697=0,"xxx",IFERROR(IF(INT(IF($D552=F$3,装备表!$E697,"xxx")/10000)=1,IF($D552=F$3,装备表!$E697,"xxx")&amp;":2,1,1,"&amp;装备表!$O697&amp;";","xxx"),"xxx"))</f>
        <v>xxx</v>
      </c>
      <c r="G552" s="18" t="str">
        <f>IF(装备表!$O697=0,"xxx",IFERROR(IF(INT(IF($D552=G$3,装备表!$E697,"xxx")/10000)=1,IF($D552=G$3,装备表!$E697,"xxx")&amp;":2,1,1,"&amp;装备表!$O697&amp;";","xxx"),"xxx"))</f>
        <v>xxx</v>
      </c>
      <c r="H552" s="18" t="str">
        <f>IF(装备表!$O697=0,"xxx",IFERROR(IF(INT(IF($D552=H$3,装备表!$E697,"xxx")/10000)=1,IF($D552=H$3,装备表!$E697,"xxx")&amp;":2,1,1,"&amp;装备表!$O697&amp;";","xxx"),"xxx"))</f>
        <v>xxx</v>
      </c>
      <c r="I552" s="18" t="str">
        <f>IF(装备表!$O697=0,"xxx",IFERROR(IF(INT(IF($D552=I$3,装备表!$E697,"xxx")/10000)=1,IF($D552=I$3,装备表!$E697,"xxx")&amp;":2,1,1,"&amp;装备表!$O697&amp;";","xxx"),"xxx"))</f>
        <v>xxx</v>
      </c>
      <c r="J552" s="18" t="str">
        <f>IF(装备表!$O697=0,"xxx",IFERROR(IF(INT(IF($D552=J$3,装备表!$E697,"xxx")/10000)=1,IF($D552=J$3,装备表!$E697,"xxx")&amp;":2,1,1,"&amp;装备表!$O697&amp;";","xxx"),"xxx"))</f>
        <v>xxx</v>
      </c>
    </row>
    <row r="553" spans="4:10" x14ac:dyDescent="0.2">
      <c r="D553" s="18">
        <f>装备表!L698</f>
        <v>0</v>
      </c>
      <c r="E553" s="18" t="str">
        <f>IF(装备表!$O698=0,"xxx",IFERROR(IF(INT(IF($D553=E$3,装备表!$E698,"xxx")/10000)=1,IF($D553=E$3,装备表!$E698,"xxx")&amp;":2,1,1,"&amp;装备表!$O698&amp;";","xxx"),"xxx"))</f>
        <v>xxx</v>
      </c>
      <c r="F553" s="18" t="str">
        <f>IF(装备表!$O698=0,"xxx",IFERROR(IF(INT(IF($D553=F$3,装备表!$E698,"xxx")/10000)=1,IF($D553=F$3,装备表!$E698,"xxx")&amp;":2,1,1,"&amp;装备表!$O698&amp;";","xxx"),"xxx"))</f>
        <v>xxx</v>
      </c>
      <c r="G553" s="18" t="str">
        <f>IF(装备表!$O698=0,"xxx",IFERROR(IF(INT(IF($D553=G$3,装备表!$E698,"xxx")/10000)=1,IF($D553=G$3,装备表!$E698,"xxx")&amp;":2,1,1,"&amp;装备表!$O698&amp;";","xxx"),"xxx"))</f>
        <v>xxx</v>
      </c>
      <c r="H553" s="18" t="str">
        <f>IF(装备表!$O698=0,"xxx",IFERROR(IF(INT(IF($D553=H$3,装备表!$E698,"xxx")/10000)=1,IF($D553=H$3,装备表!$E698,"xxx")&amp;":2,1,1,"&amp;装备表!$O698&amp;";","xxx"),"xxx"))</f>
        <v>xxx</v>
      </c>
      <c r="I553" s="18" t="str">
        <f>IF(装备表!$O698=0,"xxx",IFERROR(IF(INT(IF($D553=I$3,装备表!$E698,"xxx")/10000)=1,IF($D553=I$3,装备表!$E698,"xxx")&amp;":2,1,1,"&amp;装备表!$O698&amp;";","xxx"),"xxx"))</f>
        <v>xxx</v>
      </c>
      <c r="J553" s="18" t="str">
        <f>IF(装备表!$O698=0,"xxx",IFERROR(IF(INT(IF($D553=J$3,装备表!$E698,"xxx")/10000)=1,IF($D553=J$3,装备表!$E698,"xxx")&amp;":2,1,1,"&amp;装备表!$O698&amp;";","xxx"),"xxx"))</f>
        <v>xxx</v>
      </c>
    </row>
    <row r="554" spans="4:10" x14ac:dyDescent="0.2">
      <c r="D554" s="18">
        <f>装备表!L699</f>
        <v>0</v>
      </c>
      <c r="E554" s="18" t="str">
        <f>IF(装备表!$O699=0,"xxx",IFERROR(IF(INT(IF($D554=E$3,装备表!$E699,"xxx")/10000)=1,IF($D554=E$3,装备表!$E699,"xxx")&amp;":2,1,1,"&amp;装备表!$O699&amp;";","xxx"),"xxx"))</f>
        <v>xxx</v>
      </c>
      <c r="F554" s="18" t="str">
        <f>IF(装备表!$O699=0,"xxx",IFERROR(IF(INT(IF($D554=F$3,装备表!$E699,"xxx")/10000)=1,IF($D554=F$3,装备表!$E699,"xxx")&amp;":2,1,1,"&amp;装备表!$O699&amp;";","xxx"),"xxx"))</f>
        <v>xxx</v>
      </c>
      <c r="G554" s="18" t="str">
        <f>IF(装备表!$O699=0,"xxx",IFERROR(IF(INT(IF($D554=G$3,装备表!$E699,"xxx")/10000)=1,IF($D554=G$3,装备表!$E699,"xxx")&amp;":2,1,1,"&amp;装备表!$O699&amp;";","xxx"),"xxx"))</f>
        <v>xxx</v>
      </c>
      <c r="H554" s="18" t="str">
        <f>IF(装备表!$O699=0,"xxx",IFERROR(IF(INT(IF($D554=H$3,装备表!$E699,"xxx")/10000)=1,IF($D554=H$3,装备表!$E699,"xxx")&amp;":2,1,1,"&amp;装备表!$O699&amp;";","xxx"),"xxx"))</f>
        <v>xxx</v>
      </c>
      <c r="I554" s="18" t="str">
        <f>IF(装备表!$O699=0,"xxx",IFERROR(IF(INT(IF($D554=I$3,装备表!$E699,"xxx")/10000)=1,IF($D554=I$3,装备表!$E699,"xxx")&amp;":2,1,1,"&amp;装备表!$O699&amp;";","xxx"),"xxx"))</f>
        <v>xxx</v>
      </c>
      <c r="J554" s="18" t="str">
        <f>IF(装备表!$O699=0,"xxx",IFERROR(IF(INT(IF($D554=J$3,装备表!$E699,"xxx")/10000)=1,IF($D554=J$3,装备表!$E699,"xxx")&amp;":2,1,1,"&amp;装备表!$O699&amp;";","xxx"),"xxx"))</f>
        <v>xxx</v>
      </c>
    </row>
    <row r="555" spans="4:10" x14ac:dyDescent="0.2">
      <c r="D555" s="18">
        <f>装备表!L700</f>
        <v>0</v>
      </c>
      <c r="E555" s="18" t="str">
        <f>IF(装备表!$O700=0,"xxx",IFERROR(IF(INT(IF($D555=E$3,装备表!$E700,"xxx")/10000)=1,IF($D555=E$3,装备表!$E700,"xxx")&amp;":2,1,1,"&amp;装备表!$O700&amp;";","xxx"),"xxx"))</f>
        <v>xxx</v>
      </c>
      <c r="F555" s="18" t="str">
        <f>IF(装备表!$O700=0,"xxx",IFERROR(IF(INT(IF($D555=F$3,装备表!$E700,"xxx")/10000)=1,IF($D555=F$3,装备表!$E700,"xxx")&amp;":2,1,1,"&amp;装备表!$O700&amp;";","xxx"),"xxx"))</f>
        <v>xxx</v>
      </c>
      <c r="G555" s="18" t="str">
        <f>IF(装备表!$O700=0,"xxx",IFERROR(IF(INT(IF($D555=G$3,装备表!$E700,"xxx")/10000)=1,IF($D555=G$3,装备表!$E700,"xxx")&amp;":2,1,1,"&amp;装备表!$O700&amp;";","xxx"),"xxx"))</f>
        <v>xxx</v>
      </c>
      <c r="H555" s="18" t="str">
        <f>IF(装备表!$O700=0,"xxx",IFERROR(IF(INT(IF($D555=H$3,装备表!$E700,"xxx")/10000)=1,IF($D555=H$3,装备表!$E700,"xxx")&amp;":2,1,1,"&amp;装备表!$O700&amp;";","xxx"),"xxx"))</f>
        <v>xxx</v>
      </c>
      <c r="I555" s="18" t="str">
        <f>IF(装备表!$O700=0,"xxx",IFERROR(IF(INT(IF($D555=I$3,装备表!$E700,"xxx")/10000)=1,IF($D555=I$3,装备表!$E700,"xxx")&amp;":2,1,1,"&amp;装备表!$O700&amp;";","xxx"),"xxx"))</f>
        <v>xxx</v>
      </c>
      <c r="J555" s="18" t="str">
        <f>IF(装备表!$O700=0,"xxx",IFERROR(IF(INT(IF($D555=J$3,装备表!$E700,"xxx")/10000)=1,IF($D555=J$3,装备表!$E700,"xxx")&amp;":2,1,1,"&amp;装备表!$O700&amp;";","xxx"),"xxx"))</f>
        <v>xxx</v>
      </c>
    </row>
    <row r="556" spans="4:10" x14ac:dyDescent="0.2">
      <c r="D556" s="18">
        <f>装备表!L701</f>
        <v>0</v>
      </c>
      <c r="E556" s="18" t="str">
        <f>IF(装备表!$O701=0,"xxx",IFERROR(IF(INT(IF($D556=E$3,装备表!$E701,"xxx")/10000)=1,IF($D556=E$3,装备表!$E701,"xxx")&amp;":2,1,1,"&amp;装备表!$O701&amp;";","xxx"),"xxx"))</f>
        <v>xxx</v>
      </c>
      <c r="F556" s="18" t="str">
        <f>IF(装备表!$O701=0,"xxx",IFERROR(IF(INT(IF($D556=F$3,装备表!$E701,"xxx")/10000)=1,IF($D556=F$3,装备表!$E701,"xxx")&amp;":2,1,1,"&amp;装备表!$O701&amp;";","xxx"),"xxx"))</f>
        <v>xxx</v>
      </c>
      <c r="G556" s="18" t="str">
        <f>IF(装备表!$O701=0,"xxx",IFERROR(IF(INT(IF($D556=G$3,装备表!$E701,"xxx")/10000)=1,IF($D556=G$3,装备表!$E701,"xxx")&amp;":2,1,1,"&amp;装备表!$O701&amp;";","xxx"),"xxx"))</f>
        <v>xxx</v>
      </c>
      <c r="H556" s="18" t="str">
        <f>IF(装备表!$O701=0,"xxx",IFERROR(IF(INT(IF($D556=H$3,装备表!$E701,"xxx")/10000)=1,IF($D556=H$3,装备表!$E701,"xxx")&amp;":2,1,1,"&amp;装备表!$O701&amp;";","xxx"),"xxx"))</f>
        <v>xxx</v>
      </c>
      <c r="I556" s="18" t="str">
        <f>IF(装备表!$O701=0,"xxx",IFERROR(IF(INT(IF($D556=I$3,装备表!$E701,"xxx")/10000)=1,IF($D556=I$3,装备表!$E701,"xxx")&amp;":2,1,1,"&amp;装备表!$O701&amp;";","xxx"),"xxx"))</f>
        <v>xxx</v>
      </c>
      <c r="J556" s="18" t="str">
        <f>IF(装备表!$O701=0,"xxx",IFERROR(IF(INT(IF($D556=J$3,装备表!$E701,"xxx")/10000)=1,IF($D556=J$3,装备表!$E701,"xxx")&amp;":2,1,1,"&amp;装备表!$O701&amp;";","xxx"),"xxx"))</f>
        <v>xxx</v>
      </c>
    </row>
    <row r="557" spans="4:10" x14ac:dyDescent="0.2">
      <c r="D557" s="18">
        <f>装备表!L702</f>
        <v>0</v>
      </c>
      <c r="E557" s="18" t="str">
        <f>IF(装备表!$O702=0,"xxx",IFERROR(IF(INT(IF($D557=E$3,装备表!$E702,"xxx")/10000)=1,IF($D557=E$3,装备表!$E702,"xxx")&amp;":2,1,1,"&amp;装备表!$O702&amp;";","xxx"),"xxx"))</f>
        <v>xxx</v>
      </c>
      <c r="F557" s="18" t="str">
        <f>IF(装备表!$O702=0,"xxx",IFERROR(IF(INT(IF($D557=F$3,装备表!$E702,"xxx")/10000)=1,IF($D557=F$3,装备表!$E702,"xxx")&amp;":2,1,1,"&amp;装备表!$O702&amp;";","xxx"),"xxx"))</f>
        <v>xxx</v>
      </c>
      <c r="G557" s="18" t="str">
        <f>IF(装备表!$O702=0,"xxx",IFERROR(IF(INT(IF($D557=G$3,装备表!$E702,"xxx")/10000)=1,IF($D557=G$3,装备表!$E702,"xxx")&amp;":2,1,1,"&amp;装备表!$O702&amp;";","xxx"),"xxx"))</f>
        <v>xxx</v>
      </c>
      <c r="H557" s="18" t="str">
        <f>IF(装备表!$O702=0,"xxx",IFERROR(IF(INT(IF($D557=H$3,装备表!$E702,"xxx")/10000)=1,IF($D557=H$3,装备表!$E702,"xxx")&amp;":2,1,1,"&amp;装备表!$O702&amp;";","xxx"),"xxx"))</f>
        <v>xxx</v>
      </c>
      <c r="I557" s="18" t="str">
        <f>IF(装备表!$O702=0,"xxx",IFERROR(IF(INT(IF($D557=I$3,装备表!$E702,"xxx")/10000)=1,IF($D557=I$3,装备表!$E702,"xxx")&amp;":2,1,1,"&amp;装备表!$O702&amp;";","xxx"),"xxx"))</f>
        <v>xxx</v>
      </c>
      <c r="J557" s="18" t="str">
        <f>IF(装备表!$O702=0,"xxx",IFERROR(IF(INT(IF($D557=J$3,装备表!$E702,"xxx")/10000)=1,IF($D557=J$3,装备表!$E702,"xxx")&amp;":2,1,1,"&amp;装备表!$O702&amp;";","xxx"),"xxx"))</f>
        <v>xxx</v>
      </c>
    </row>
    <row r="558" spans="4:10" x14ac:dyDescent="0.2">
      <c r="D558" s="18">
        <f>装备表!L703</f>
        <v>0</v>
      </c>
      <c r="E558" s="18" t="str">
        <f>IF(装备表!$O703=0,"xxx",IFERROR(IF(INT(IF($D558=E$3,装备表!$E703,"xxx")/10000)=1,IF($D558=E$3,装备表!$E703,"xxx")&amp;":2,1,1,"&amp;装备表!$O703&amp;";","xxx"),"xxx"))</f>
        <v>xxx</v>
      </c>
      <c r="F558" s="18" t="str">
        <f>IF(装备表!$O703=0,"xxx",IFERROR(IF(INT(IF($D558=F$3,装备表!$E703,"xxx")/10000)=1,IF($D558=F$3,装备表!$E703,"xxx")&amp;":2,1,1,"&amp;装备表!$O703&amp;";","xxx"),"xxx"))</f>
        <v>xxx</v>
      </c>
      <c r="G558" s="18" t="str">
        <f>IF(装备表!$O703=0,"xxx",IFERROR(IF(INT(IF($D558=G$3,装备表!$E703,"xxx")/10000)=1,IF($D558=G$3,装备表!$E703,"xxx")&amp;":2,1,1,"&amp;装备表!$O703&amp;";","xxx"),"xxx"))</f>
        <v>xxx</v>
      </c>
      <c r="H558" s="18" t="str">
        <f>IF(装备表!$O703=0,"xxx",IFERROR(IF(INT(IF($D558=H$3,装备表!$E703,"xxx")/10000)=1,IF($D558=H$3,装备表!$E703,"xxx")&amp;":2,1,1,"&amp;装备表!$O703&amp;";","xxx"),"xxx"))</f>
        <v>xxx</v>
      </c>
      <c r="I558" s="18" t="str">
        <f>IF(装备表!$O703=0,"xxx",IFERROR(IF(INT(IF($D558=I$3,装备表!$E703,"xxx")/10000)=1,IF($D558=I$3,装备表!$E703,"xxx")&amp;":2,1,1,"&amp;装备表!$O703&amp;";","xxx"),"xxx"))</f>
        <v>xxx</v>
      </c>
      <c r="J558" s="18" t="str">
        <f>IF(装备表!$O703=0,"xxx",IFERROR(IF(INT(IF($D558=J$3,装备表!$E703,"xxx")/10000)=1,IF($D558=J$3,装备表!$E703,"xxx")&amp;":2,1,1,"&amp;装备表!$O703&amp;";","xxx"),"xxx"))</f>
        <v>xxx</v>
      </c>
    </row>
    <row r="559" spans="4:10" x14ac:dyDescent="0.2">
      <c r="D559" s="18">
        <f>装备表!L704</f>
        <v>0</v>
      </c>
      <c r="E559" s="18" t="str">
        <f>IF(装备表!$O704=0,"xxx",IFERROR(IF(INT(IF($D559=E$3,装备表!$E704,"xxx")/10000)=1,IF($D559=E$3,装备表!$E704,"xxx")&amp;":2,1,1,"&amp;装备表!$O704&amp;";","xxx"),"xxx"))</f>
        <v>xxx</v>
      </c>
      <c r="F559" s="18" t="str">
        <f>IF(装备表!$O704=0,"xxx",IFERROR(IF(INT(IF($D559=F$3,装备表!$E704,"xxx")/10000)=1,IF($D559=F$3,装备表!$E704,"xxx")&amp;":2,1,1,"&amp;装备表!$O704&amp;";","xxx"),"xxx"))</f>
        <v>xxx</v>
      </c>
      <c r="G559" s="18" t="str">
        <f>IF(装备表!$O704=0,"xxx",IFERROR(IF(INT(IF($D559=G$3,装备表!$E704,"xxx")/10000)=1,IF($D559=G$3,装备表!$E704,"xxx")&amp;":2,1,1,"&amp;装备表!$O704&amp;";","xxx"),"xxx"))</f>
        <v>xxx</v>
      </c>
      <c r="H559" s="18" t="str">
        <f>IF(装备表!$O704=0,"xxx",IFERROR(IF(INT(IF($D559=H$3,装备表!$E704,"xxx")/10000)=1,IF($D559=H$3,装备表!$E704,"xxx")&amp;":2,1,1,"&amp;装备表!$O704&amp;";","xxx"),"xxx"))</f>
        <v>xxx</v>
      </c>
      <c r="I559" s="18" t="str">
        <f>IF(装备表!$O704=0,"xxx",IFERROR(IF(INT(IF($D559=I$3,装备表!$E704,"xxx")/10000)=1,IF($D559=I$3,装备表!$E704,"xxx")&amp;":2,1,1,"&amp;装备表!$O704&amp;";","xxx"),"xxx"))</f>
        <v>xxx</v>
      </c>
      <c r="J559" s="18" t="str">
        <f>IF(装备表!$O704=0,"xxx",IFERROR(IF(INT(IF($D559=J$3,装备表!$E704,"xxx")/10000)=1,IF($D559=J$3,装备表!$E704,"xxx")&amp;":2,1,1,"&amp;装备表!$O704&amp;";","xxx"),"xxx"))</f>
        <v>xxx</v>
      </c>
    </row>
    <row r="560" spans="4:10" x14ac:dyDescent="0.2">
      <c r="D560" s="18">
        <f>装备表!L705</f>
        <v>0</v>
      </c>
      <c r="E560" s="18" t="str">
        <f>IF(装备表!$O705=0,"xxx",IFERROR(IF(INT(IF($D560=E$3,装备表!$E705,"xxx")/10000)=1,IF($D560=E$3,装备表!$E705,"xxx")&amp;":2,1,1,"&amp;装备表!$O705&amp;";","xxx"),"xxx"))</f>
        <v>xxx</v>
      </c>
      <c r="F560" s="18" t="str">
        <f>IF(装备表!$O705=0,"xxx",IFERROR(IF(INT(IF($D560=F$3,装备表!$E705,"xxx")/10000)=1,IF($D560=F$3,装备表!$E705,"xxx")&amp;":2,1,1,"&amp;装备表!$O705&amp;";","xxx"),"xxx"))</f>
        <v>xxx</v>
      </c>
      <c r="G560" s="18" t="str">
        <f>IF(装备表!$O705=0,"xxx",IFERROR(IF(INT(IF($D560=G$3,装备表!$E705,"xxx")/10000)=1,IF($D560=G$3,装备表!$E705,"xxx")&amp;":2,1,1,"&amp;装备表!$O705&amp;";","xxx"),"xxx"))</f>
        <v>xxx</v>
      </c>
      <c r="H560" s="18" t="str">
        <f>IF(装备表!$O705=0,"xxx",IFERROR(IF(INT(IF($D560=H$3,装备表!$E705,"xxx")/10000)=1,IF($D560=H$3,装备表!$E705,"xxx")&amp;":2,1,1,"&amp;装备表!$O705&amp;";","xxx"),"xxx"))</f>
        <v>xxx</v>
      </c>
      <c r="I560" s="18" t="str">
        <f>IF(装备表!$O705=0,"xxx",IFERROR(IF(INT(IF($D560=I$3,装备表!$E705,"xxx")/10000)=1,IF($D560=I$3,装备表!$E705,"xxx")&amp;":2,1,1,"&amp;装备表!$O705&amp;";","xxx"),"xxx"))</f>
        <v>xxx</v>
      </c>
      <c r="J560" s="18" t="str">
        <f>IF(装备表!$O705=0,"xxx",IFERROR(IF(INT(IF($D560=J$3,装备表!$E705,"xxx")/10000)=1,IF($D560=J$3,装备表!$E705,"xxx")&amp;":2,1,1,"&amp;装备表!$O705&amp;";","xxx"),"xxx"))</f>
        <v>xxx</v>
      </c>
    </row>
    <row r="561" spans="4:10" x14ac:dyDescent="0.2">
      <c r="D561" s="18">
        <f>装备表!L706</f>
        <v>0</v>
      </c>
      <c r="E561" s="18" t="str">
        <f>IF(装备表!$O706=0,"xxx",IFERROR(IF(INT(IF($D561=E$3,装备表!$E706,"xxx")/10000)=1,IF($D561=E$3,装备表!$E706,"xxx")&amp;":2,1,1,"&amp;装备表!$O706&amp;";","xxx"),"xxx"))</f>
        <v>xxx</v>
      </c>
      <c r="F561" s="18" t="str">
        <f>IF(装备表!$O706=0,"xxx",IFERROR(IF(INT(IF($D561=F$3,装备表!$E706,"xxx")/10000)=1,IF($D561=F$3,装备表!$E706,"xxx")&amp;":2,1,1,"&amp;装备表!$O706&amp;";","xxx"),"xxx"))</f>
        <v>xxx</v>
      </c>
      <c r="G561" s="18" t="str">
        <f>IF(装备表!$O706=0,"xxx",IFERROR(IF(INT(IF($D561=G$3,装备表!$E706,"xxx")/10000)=1,IF($D561=G$3,装备表!$E706,"xxx")&amp;":2,1,1,"&amp;装备表!$O706&amp;";","xxx"),"xxx"))</f>
        <v>xxx</v>
      </c>
      <c r="H561" s="18" t="str">
        <f>IF(装备表!$O706=0,"xxx",IFERROR(IF(INT(IF($D561=H$3,装备表!$E706,"xxx")/10000)=1,IF($D561=H$3,装备表!$E706,"xxx")&amp;":2,1,1,"&amp;装备表!$O706&amp;";","xxx"),"xxx"))</f>
        <v>xxx</v>
      </c>
      <c r="I561" s="18" t="str">
        <f>IF(装备表!$O706=0,"xxx",IFERROR(IF(INT(IF($D561=I$3,装备表!$E706,"xxx")/10000)=1,IF($D561=I$3,装备表!$E706,"xxx")&amp;":2,1,1,"&amp;装备表!$O706&amp;";","xxx"),"xxx"))</f>
        <v>xxx</v>
      </c>
      <c r="J561" s="18" t="str">
        <f>IF(装备表!$O706=0,"xxx",IFERROR(IF(INT(IF($D561=J$3,装备表!$E706,"xxx")/10000)=1,IF($D561=J$3,装备表!$E706,"xxx")&amp;":2,1,1,"&amp;装备表!$O706&amp;";","xxx"),"xxx"))</f>
        <v>xxx</v>
      </c>
    </row>
    <row r="562" spans="4:10" x14ac:dyDescent="0.2">
      <c r="D562" s="18">
        <f>装备表!L707</f>
        <v>0</v>
      </c>
      <c r="E562" s="18" t="str">
        <f>IF(装备表!$O707=0,"xxx",IFERROR(IF(INT(IF($D562=E$3,装备表!$E707,"xxx")/10000)=1,IF($D562=E$3,装备表!$E707,"xxx")&amp;":2,1,1,"&amp;装备表!$O707&amp;";","xxx"),"xxx"))</f>
        <v>xxx</v>
      </c>
      <c r="F562" s="18" t="str">
        <f>IF(装备表!$O707=0,"xxx",IFERROR(IF(INT(IF($D562=F$3,装备表!$E707,"xxx")/10000)=1,IF($D562=F$3,装备表!$E707,"xxx")&amp;":2,1,1,"&amp;装备表!$O707&amp;";","xxx"),"xxx"))</f>
        <v>xxx</v>
      </c>
      <c r="G562" s="18" t="str">
        <f>IF(装备表!$O707=0,"xxx",IFERROR(IF(INT(IF($D562=G$3,装备表!$E707,"xxx")/10000)=1,IF($D562=G$3,装备表!$E707,"xxx")&amp;":2,1,1,"&amp;装备表!$O707&amp;";","xxx"),"xxx"))</f>
        <v>xxx</v>
      </c>
      <c r="H562" s="18" t="str">
        <f>IF(装备表!$O707=0,"xxx",IFERROR(IF(INT(IF($D562=H$3,装备表!$E707,"xxx")/10000)=1,IF($D562=H$3,装备表!$E707,"xxx")&amp;":2,1,1,"&amp;装备表!$O707&amp;";","xxx"),"xxx"))</f>
        <v>xxx</v>
      </c>
      <c r="I562" s="18" t="str">
        <f>IF(装备表!$O707=0,"xxx",IFERROR(IF(INT(IF($D562=I$3,装备表!$E707,"xxx")/10000)=1,IF($D562=I$3,装备表!$E707,"xxx")&amp;":2,1,1,"&amp;装备表!$O707&amp;";","xxx"),"xxx"))</f>
        <v>xxx</v>
      </c>
      <c r="J562" s="18" t="str">
        <f>IF(装备表!$O707=0,"xxx",IFERROR(IF(INT(IF($D562=J$3,装备表!$E707,"xxx")/10000)=1,IF($D562=J$3,装备表!$E707,"xxx")&amp;":2,1,1,"&amp;装备表!$O707&amp;";","xxx"),"xxx"))</f>
        <v>xxx</v>
      </c>
    </row>
    <row r="563" spans="4:10" x14ac:dyDescent="0.2">
      <c r="D563" s="18">
        <f>装备表!L708</f>
        <v>0</v>
      </c>
      <c r="E563" s="18" t="str">
        <f>IF(装备表!$O708=0,"xxx",IFERROR(IF(INT(IF($D563=E$3,装备表!$E708,"xxx")/10000)=1,IF($D563=E$3,装备表!$E708,"xxx")&amp;":2,1,1,"&amp;装备表!$O708&amp;";","xxx"),"xxx"))</f>
        <v>xxx</v>
      </c>
      <c r="F563" s="18" t="str">
        <f>IF(装备表!$O708=0,"xxx",IFERROR(IF(INT(IF($D563=F$3,装备表!$E708,"xxx")/10000)=1,IF($D563=F$3,装备表!$E708,"xxx")&amp;":2,1,1,"&amp;装备表!$O708&amp;";","xxx"),"xxx"))</f>
        <v>xxx</v>
      </c>
      <c r="G563" s="18" t="str">
        <f>IF(装备表!$O708=0,"xxx",IFERROR(IF(INT(IF($D563=G$3,装备表!$E708,"xxx")/10000)=1,IF($D563=G$3,装备表!$E708,"xxx")&amp;":2,1,1,"&amp;装备表!$O708&amp;";","xxx"),"xxx"))</f>
        <v>xxx</v>
      </c>
      <c r="H563" s="18" t="str">
        <f>IF(装备表!$O708=0,"xxx",IFERROR(IF(INT(IF($D563=H$3,装备表!$E708,"xxx")/10000)=1,IF($D563=H$3,装备表!$E708,"xxx")&amp;":2,1,1,"&amp;装备表!$O708&amp;";","xxx"),"xxx"))</f>
        <v>xxx</v>
      </c>
      <c r="I563" s="18" t="str">
        <f>IF(装备表!$O708=0,"xxx",IFERROR(IF(INT(IF($D563=I$3,装备表!$E708,"xxx")/10000)=1,IF($D563=I$3,装备表!$E708,"xxx")&amp;":2,1,1,"&amp;装备表!$O708&amp;";","xxx"),"xxx"))</f>
        <v>xxx</v>
      </c>
      <c r="J563" s="18" t="str">
        <f>IF(装备表!$O708=0,"xxx",IFERROR(IF(INT(IF($D563=J$3,装备表!$E708,"xxx")/10000)=1,IF($D563=J$3,装备表!$E708,"xxx")&amp;":2,1,1,"&amp;装备表!$O708&amp;";","xxx"),"xxx"))</f>
        <v>xxx</v>
      </c>
    </row>
    <row r="564" spans="4:10" x14ac:dyDescent="0.2">
      <c r="D564" s="18">
        <f>装备表!L709</f>
        <v>0</v>
      </c>
      <c r="E564" s="18" t="str">
        <f>IF(装备表!$O709=0,"xxx",IFERROR(IF(INT(IF($D564=E$3,装备表!$E709,"xxx")/10000)=1,IF($D564=E$3,装备表!$E709,"xxx")&amp;":2,1,1,"&amp;装备表!$O709&amp;";","xxx"),"xxx"))</f>
        <v>xxx</v>
      </c>
      <c r="F564" s="18" t="str">
        <f>IF(装备表!$O709=0,"xxx",IFERROR(IF(INT(IF($D564=F$3,装备表!$E709,"xxx")/10000)=1,IF($D564=F$3,装备表!$E709,"xxx")&amp;":2,1,1,"&amp;装备表!$O709&amp;";","xxx"),"xxx"))</f>
        <v>xxx</v>
      </c>
      <c r="G564" s="18" t="str">
        <f>IF(装备表!$O709=0,"xxx",IFERROR(IF(INT(IF($D564=G$3,装备表!$E709,"xxx")/10000)=1,IF($D564=G$3,装备表!$E709,"xxx")&amp;":2,1,1,"&amp;装备表!$O709&amp;";","xxx"),"xxx"))</f>
        <v>xxx</v>
      </c>
      <c r="H564" s="18" t="str">
        <f>IF(装备表!$O709=0,"xxx",IFERROR(IF(INT(IF($D564=H$3,装备表!$E709,"xxx")/10000)=1,IF($D564=H$3,装备表!$E709,"xxx")&amp;":2,1,1,"&amp;装备表!$O709&amp;";","xxx"),"xxx"))</f>
        <v>xxx</v>
      </c>
      <c r="I564" s="18" t="str">
        <f>IF(装备表!$O709=0,"xxx",IFERROR(IF(INT(IF($D564=I$3,装备表!$E709,"xxx")/10000)=1,IF($D564=I$3,装备表!$E709,"xxx")&amp;":2,1,1,"&amp;装备表!$O709&amp;";","xxx"),"xxx"))</f>
        <v>xxx</v>
      </c>
      <c r="J564" s="18" t="str">
        <f>IF(装备表!$O709=0,"xxx",IFERROR(IF(INT(IF($D564=J$3,装备表!$E709,"xxx")/10000)=1,IF($D564=J$3,装备表!$E709,"xxx")&amp;":2,1,1,"&amp;装备表!$O709&amp;";","xxx"),"xxx"))</f>
        <v>xxx</v>
      </c>
    </row>
    <row r="565" spans="4:10" x14ac:dyDescent="0.2">
      <c r="D565" s="18">
        <f>装备表!L710</f>
        <v>0</v>
      </c>
      <c r="E565" s="18" t="str">
        <f>IF(装备表!$O710=0,"xxx",IFERROR(IF(INT(IF($D565=E$3,装备表!$E710,"xxx")/10000)=1,IF($D565=E$3,装备表!$E710,"xxx")&amp;":2,1,1,"&amp;装备表!$O710&amp;";","xxx"),"xxx"))</f>
        <v>xxx</v>
      </c>
      <c r="F565" s="18" t="str">
        <f>IF(装备表!$O710=0,"xxx",IFERROR(IF(INT(IF($D565=F$3,装备表!$E710,"xxx")/10000)=1,IF($D565=F$3,装备表!$E710,"xxx")&amp;":2,1,1,"&amp;装备表!$O710&amp;";","xxx"),"xxx"))</f>
        <v>xxx</v>
      </c>
      <c r="G565" s="18" t="str">
        <f>IF(装备表!$O710=0,"xxx",IFERROR(IF(INT(IF($D565=G$3,装备表!$E710,"xxx")/10000)=1,IF($D565=G$3,装备表!$E710,"xxx")&amp;":2,1,1,"&amp;装备表!$O710&amp;";","xxx"),"xxx"))</f>
        <v>xxx</v>
      </c>
      <c r="H565" s="18" t="str">
        <f>IF(装备表!$O710=0,"xxx",IFERROR(IF(INT(IF($D565=H$3,装备表!$E710,"xxx")/10000)=1,IF($D565=H$3,装备表!$E710,"xxx")&amp;":2,1,1,"&amp;装备表!$O710&amp;";","xxx"),"xxx"))</f>
        <v>xxx</v>
      </c>
      <c r="I565" s="18" t="str">
        <f>IF(装备表!$O710=0,"xxx",IFERROR(IF(INT(IF($D565=I$3,装备表!$E710,"xxx")/10000)=1,IF($D565=I$3,装备表!$E710,"xxx")&amp;":2,1,1,"&amp;装备表!$O710&amp;";","xxx"),"xxx"))</f>
        <v>xxx</v>
      </c>
      <c r="J565" s="18" t="str">
        <f>IF(装备表!$O710=0,"xxx",IFERROR(IF(INT(IF($D565=J$3,装备表!$E710,"xxx")/10000)=1,IF($D565=J$3,装备表!$E710,"xxx")&amp;":2,1,1,"&amp;装备表!$O710&amp;";","xxx"),"xxx"))</f>
        <v>xxx</v>
      </c>
    </row>
    <row r="566" spans="4:10" x14ac:dyDescent="0.2">
      <c r="D566" s="18">
        <f>装备表!L711</f>
        <v>0</v>
      </c>
      <c r="E566" s="18" t="str">
        <f>IF(装备表!$O711=0,"xxx",IFERROR(IF(INT(IF($D566=E$3,装备表!$E711,"xxx")/10000)=1,IF($D566=E$3,装备表!$E711,"xxx")&amp;":2,1,1,"&amp;装备表!$O711&amp;";","xxx"),"xxx"))</f>
        <v>xxx</v>
      </c>
      <c r="F566" s="18" t="str">
        <f>IF(装备表!$O711=0,"xxx",IFERROR(IF(INT(IF($D566=F$3,装备表!$E711,"xxx")/10000)=1,IF($D566=F$3,装备表!$E711,"xxx")&amp;":2,1,1,"&amp;装备表!$O711&amp;";","xxx"),"xxx"))</f>
        <v>xxx</v>
      </c>
      <c r="G566" s="18" t="str">
        <f>IF(装备表!$O711=0,"xxx",IFERROR(IF(INT(IF($D566=G$3,装备表!$E711,"xxx")/10000)=1,IF($D566=G$3,装备表!$E711,"xxx")&amp;":2,1,1,"&amp;装备表!$O711&amp;";","xxx"),"xxx"))</f>
        <v>xxx</v>
      </c>
      <c r="H566" s="18" t="str">
        <f>IF(装备表!$O711=0,"xxx",IFERROR(IF(INT(IF($D566=H$3,装备表!$E711,"xxx")/10000)=1,IF($D566=H$3,装备表!$E711,"xxx")&amp;":2,1,1,"&amp;装备表!$O711&amp;";","xxx"),"xxx"))</f>
        <v>xxx</v>
      </c>
      <c r="I566" s="18" t="str">
        <f>IF(装备表!$O711=0,"xxx",IFERROR(IF(INT(IF($D566=I$3,装备表!$E711,"xxx")/10000)=1,IF($D566=I$3,装备表!$E711,"xxx")&amp;":2,1,1,"&amp;装备表!$O711&amp;";","xxx"),"xxx"))</f>
        <v>xxx</v>
      </c>
      <c r="J566" s="18" t="str">
        <f>IF(装备表!$O711=0,"xxx",IFERROR(IF(INT(IF($D566=J$3,装备表!$E711,"xxx")/10000)=1,IF($D566=J$3,装备表!$E711,"xxx")&amp;":2,1,1,"&amp;装备表!$O711&amp;";","xxx"),"xxx"))</f>
        <v>xxx</v>
      </c>
    </row>
    <row r="567" spans="4:10" x14ac:dyDescent="0.2">
      <c r="D567" s="18">
        <f>装备表!L712</f>
        <v>0</v>
      </c>
      <c r="E567" s="18" t="str">
        <f>IF(装备表!$O712=0,"xxx",IFERROR(IF(INT(IF($D567=E$3,装备表!$E712,"xxx")/10000)=1,IF($D567=E$3,装备表!$E712,"xxx")&amp;":2,1,1,"&amp;装备表!$O712&amp;";","xxx"),"xxx"))</f>
        <v>xxx</v>
      </c>
      <c r="F567" s="18" t="str">
        <f>IF(装备表!$O712=0,"xxx",IFERROR(IF(INT(IF($D567=F$3,装备表!$E712,"xxx")/10000)=1,IF($D567=F$3,装备表!$E712,"xxx")&amp;":2,1,1,"&amp;装备表!$O712&amp;";","xxx"),"xxx"))</f>
        <v>xxx</v>
      </c>
      <c r="G567" s="18" t="str">
        <f>IF(装备表!$O712=0,"xxx",IFERROR(IF(INT(IF($D567=G$3,装备表!$E712,"xxx")/10000)=1,IF($D567=G$3,装备表!$E712,"xxx")&amp;":2,1,1,"&amp;装备表!$O712&amp;";","xxx"),"xxx"))</f>
        <v>xxx</v>
      </c>
      <c r="H567" s="18" t="str">
        <f>IF(装备表!$O712=0,"xxx",IFERROR(IF(INT(IF($D567=H$3,装备表!$E712,"xxx")/10000)=1,IF($D567=H$3,装备表!$E712,"xxx")&amp;":2,1,1,"&amp;装备表!$O712&amp;";","xxx"),"xxx"))</f>
        <v>xxx</v>
      </c>
      <c r="I567" s="18" t="str">
        <f>IF(装备表!$O712=0,"xxx",IFERROR(IF(INT(IF($D567=I$3,装备表!$E712,"xxx")/10000)=1,IF($D567=I$3,装备表!$E712,"xxx")&amp;":2,1,1,"&amp;装备表!$O712&amp;";","xxx"),"xxx"))</f>
        <v>xxx</v>
      </c>
      <c r="J567" s="18" t="str">
        <f>IF(装备表!$O712=0,"xxx",IFERROR(IF(INT(IF($D567=J$3,装备表!$E712,"xxx")/10000)=1,IF($D567=J$3,装备表!$E712,"xxx")&amp;":2,1,1,"&amp;装备表!$O712&amp;";","xxx"),"xxx"))</f>
        <v>xxx</v>
      </c>
    </row>
    <row r="568" spans="4:10" x14ac:dyDescent="0.2">
      <c r="D568" s="18">
        <f>装备表!L713</f>
        <v>0</v>
      </c>
      <c r="E568" s="18" t="str">
        <f>IF(装备表!$O713=0,"xxx",IFERROR(IF(INT(IF($D568=E$3,装备表!$E713,"xxx")/10000)=1,IF($D568=E$3,装备表!$E713,"xxx")&amp;":2,1,1,"&amp;装备表!$O713&amp;";","xxx"),"xxx"))</f>
        <v>xxx</v>
      </c>
      <c r="F568" s="18" t="str">
        <f>IF(装备表!$O713=0,"xxx",IFERROR(IF(INT(IF($D568=F$3,装备表!$E713,"xxx")/10000)=1,IF($D568=F$3,装备表!$E713,"xxx")&amp;":2,1,1,"&amp;装备表!$O713&amp;";","xxx"),"xxx"))</f>
        <v>xxx</v>
      </c>
      <c r="G568" s="18" t="str">
        <f>IF(装备表!$O713=0,"xxx",IFERROR(IF(INT(IF($D568=G$3,装备表!$E713,"xxx")/10000)=1,IF($D568=G$3,装备表!$E713,"xxx")&amp;":2,1,1,"&amp;装备表!$O713&amp;";","xxx"),"xxx"))</f>
        <v>xxx</v>
      </c>
      <c r="H568" s="18" t="str">
        <f>IF(装备表!$O713=0,"xxx",IFERROR(IF(INT(IF($D568=H$3,装备表!$E713,"xxx")/10000)=1,IF($D568=H$3,装备表!$E713,"xxx")&amp;":2,1,1,"&amp;装备表!$O713&amp;";","xxx"),"xxx"))</f>
        <v>xxx</v>
      </c>
      <c r="I568" s="18" t="str">
        <f>IF(装备表!$O713=0,"xxx",IFERROR(IF(INT(IF($D568=I$3,装备表!$E713,"xxx")/10000)=1,IF($D568=I$3,装备表!$E713,"xxx")&amp;":2,1,1,"&amp;装备表!$O713&amp;";","xxx"),"xxx"))</f>
        <v>xxx</v>
      </c>
      <c r="J568" s="18" t="str">
        <f>IF(装备表!$O713=0,"xxx",IFERROR(IF(INT(IF($D568=J$3,装备表!$E713,"xxx")/10000)=1,IF($D568=J$3,装备表!$E713,"xxx")&amp;":2,1,1,"&amp;装备表!$O713&amp;";","xxx"),"xxx"))</f>
        <v>xxx</v>
      </c>
    </row>
    <row r="569" spans="4:10" x14ac:dyDescent="0.2">
      <c r="D569" s="18">
        <f>装备表!L714</f>
        <v>0</v>
      </c>
      <c r="E569" s="18" t="str">
        <f>IF(装备表!$O714=0,"xxx",IFERROR(IF(INT(IF($D569=E$3,装备表!$E714,"xxx")/10000)=1,IF($D569=E$3,装备表!$E714,"xxx")&amp;":2,1,1,"&amp;装备表!$O714&amp;";","xxx"),"xxx"))</f>
        <v>xxx</v>
      </c>
      <c r="F569" s="18" t="str">
        <f>IF(装备表!$O714=0,"xxx",IFERROR(IF(INT(IF($D569=F$3,装备表!$E714,"xxx")/10000)=1,IF($D569=F$3,装备表!$E714,"xxx")&amp;":2,1,1,"&amp;装备表!$O714&amp;";","xxx"),"xxx"))</f>
        <v>xxx</v>
      </c>
      <c r="G569" s="18" t="str">
        <f>IF(装备表!$O714=0,"xxx",IFERROR(IF(INT(IF($D569=G$3,装备表!$E714,"xxx")/10000)=1,IF($D569=G$3,装备表!$E714,"xxx")&amp;":2,1,1,"&amp;装备表!$O714&amp;";","xxx"),"xxx"))</f>
        <v>xxx</v>
      </c>
      <c r="H569" s="18" t="str">
        <f>IF(装备表!$O714=0,"xxx",IFERROR(IF(INT(IF($D569=H$3,装备表!$E714,"xxx")/10000)=1,IF($D569=H$3,装备表!$E714,"xxx")&amp;":2,1,1,"&amp;装备表!$O714&amp;";","xxx"),"xxx"))</f>
        <v>xxx</v>
      </c>
      <c r="I569" s="18" t="str">
        <f>IF(装备表!$O714=0,"xxx",IFERROR(IF(INT(IF($D569=I$3,装备表!$E714,"xxx")/10000)=1,IF($D569=I$3,装备表!$E714,"xxx")&amp;":2,1,1,"&amp;装备表!$O714&amp;";","xxx"),"xxx"))</f>
        <v>xxx</v>
      </c>
      <c r="J569" s="18" t="str">
        <f>IF(装备表!$O714=0,"xxx",IFERROR(IF(INT(IF($D569=J$3,装备表!$E714,"xxx")/10000)=1,IF($D569=J$3,装备表!$E714,"xxx")&amp;":2,1,1,"&amp;装备表!$O714&amp;";","xxx"),"xxx"))</f>
        <v>xxx</v>
      </c>
    </row>
    <row r="570" spans="4:10" x14ac:dyDescent="0.2">
      <c r="D570" s="18">
        <f>装备表!L715</f>
        <v>0</v>
      </c>
      <c r="E570" s="18" t="str">
        <f>IF(装备表!$O715=0,"xxx",IFERROR(IF(INT(IF($D570=E$3,装备表!$E715,"xxx")/10000)=1,IF($D570=E$3,装备表!$E715,"xxx")&amp;":2,1,1,"&amp;装备表!$O715&amp;";","xxx"),"xxx"))</f>
        <v>xxx</v>
      </c>
      <c r="F570" s="18" t="str">
        <f>IF(装备表!$O715=0,"xxx",IFERROR(IF(INT(IF($D570=F$3,装备表!$E715,"xxx")/10000)=1,IF($D570=F$3,装备表!$E715,"xxx")&amp;":2,1,1,"&amp;装备表!$O715&amp;";","xxx"),"xxx"))</f>
        <v>xxx</v>
      </c>
      <c r="G570" s="18" t="str">
        <f>IF(装备表!$O715=0,"xxx",IFERROR(IF(INT(IF($D570=G$3,装备表!$E715,"xxx")/10000)=1,IF($D570=G$3,装备表!$E715,"xxx")&amp;":2,1,1,"&amp;装备表!$O715&amp;";","xxx"),"xxx"))</f>
        <v>xxx</v>
      </c>
      <c r="H570" s="18" t="str">
        <f>IF(装备表!$O715=0,"xxx",IFERROR(IF(INT(IF($D570=H$3,装备表!$E715,"xxx")/10000)=1,IF($D570=H$3,装备表!$E715,"xxx")&amp;":2,1,1,"&amp;装备表!$O715&amp;";","xxx"),"xxx"))</f>
        <v>xxx</v>
      </c>
      <c r="I570" s="18" t="str">
        <f>IF(装备表!$O715=0,"xxx",IFERROR(IF(INT(IF($D570=I$3,装备表!$E715,"xxx")/10000)=1,IF($D570=I$3,装备表!$E715,"xxx")&amp;":2,1,1,"&amp;装备表!$O715&amp;";","xxx"),"xxx"))</f>
        <v>xxx</v>
      </c>
      <c r="J570" s="18" t="str">
        <f>IF(装备表!$O715=0,"xxx",IFERROR(IF(INT(IF($D570=J$3,装备表!$E715,"xxx")/10000)=1,IF($D570=J$3,装备表!$E715,"xxx")&amp;":2,1,1,"&amp;装备表!$O715&amp;";","xxx"),"xxx"))</f>
        <v>xxx</v>
      </c>
    </row>
    <row r="571" spans="4:10" x14ac:dyDescent="0.2">
      <c r="D571" s="18">
        <f>装备表!L716</f>
        <v>0</v>
      </c>
      <c r="E571" s="18" t="str">
        <f>IF(装备表!$O716=0,"xxx",IFERROR(IF(INT(IF($D571=E$3,装备表!$E716,"xxx")/10000)=1,IF($D571=E$3,装备表!$E716,"xxx")&amp;":2,1,1,"&amp;装备表!$O716&amp;";","xxx"),"xxx"))</f>
        <v>xxx</v>
      </c>
      <c r="F571" s="18" t="str">
        <f>IF(装备表!$O716=0,"xxx",IFERROR(IF(INT(IF($D571=F$3,装备表!$E716,"xxx")/10000)=1,IF($D571=F$3,装备表!$E716,"xxx")&amp;":2,1,1,"&amp;装备表!$O716&amp;";","xxx"),"xxx"))</f>
        <v>xxx</v>
      </c>
      <c r="G571" s="18" t="str">
        <f>IF(装备表!$O716=0,"xxx",IFERROR(IF(INT(IF($D571=G$3,装备表!$E716,"xxx")/10000)=1,IF($D571=G$3,装备表!$E716,"xxx")&amp;":2,1,1,"&amp;装备表!$O716&amp;";","xxx"),"xxx"))</f>
        <v>xxx</v>
      </c>
      <c r="H571" s="18" t="str">
        <f>IF(装备表!$O716=0,"xxx",IFERROR(IF(INT(IF($D571=H$3,装备表!$E716,"xxx")/10000)=1,IF($D571=H$3,装备表!$E716,"xxx")&amp;":2,1,1,"&amp;装备表!$O716&amp;";","xxx"),"xxx"))</f>
        <v>xxx</v>
      </c>
      <c r="I571" s="18" t="str">
        <f>IF(装备表!$O716=0,"xxx",IFERROR(IF(INT(IF($D571=I$3,装备表!$E716,"xxx")/10000)=1,IF($D571=I$3,装备表!$E716,"xxx")&amp;":2,1,1,"&amp;装备表!$O716&amp;";","xxx"),"xxx"))</f>
        <v>xxx</v>
      </c>
      <c r="J571" s="18" t="str">
        <f>IF(装备表!$O716=0,"xxx",IFERROR(IF(INT(IF($D571=J$3,装备表!$E716,"xxx")/10000)=1,IF($D571=J$3,装备表!$E716,"xxx")&amp;":2,1,1,"&amp;装备表!$O716&amp;";","xxx"),"xxx"))</f>
        <v>xxx</v>
      </c>
    </row>
    <row r="572" spans="4:10" x14ac:dyDescent="0.2">
      <c r="D572" s="18">
        <f>装备表!L717</f>
        <v>0</v>
      </c>
      <c r="E572" s="18" t="str">
        <f>IF(装备表!$O717=0,"xxx",IFERROR(IF(INT(IF($D572=E$3,装备表!$E717,"xxx")/10000)=1,IF($D572=E$3,装备表!$E717,"xxx")&amp;":2,1,1,"&amp;装备表!$O717&amp;";","xxx"),"xxx"))</f>
        <v>xxx</v>
      </c>
      <c r="F572" s="18" t="str">
        <f>IF(装备表!$O717=0,"xxx",IFERROR(IF(INT(IF($D572=F$3,装备表!$E717,"xxx")/10000)=1,IF($D572=F$3,装备表!$E717,"xxx")&amp;":2,1,1,"&amp;装备表!$O717&amp;";","xxx"),"xxx"))</f>
        <v>xxx</v>
      </c>
      <c r="G572" s="18" t="str">
        <f>IF(装备表!$O717=0,"xxx",IFERROR(IF(INT(IF($D572=G$3,装备表!$E717,"xxx")/10000)=1,IF($D572=G$3,装备表!$E717,"xxx")&amp;":2,1,1,"&amp;装备表!$O717&amp;";","xxx"),"xxx"))</f>
        <v>xxx</v>
      </c>
      <c r="H572" s="18" t="str">
        <f>IF(装备表!$O717=0,"xxx",IFERROR(IF(INT(IF($D572=H$3,装备表!$E717,"xxx")/10000)=1,IF($D572=H$3,装备表!$E717,"xxx")&amp;":2,1,1,"&amp;装备表!$O717&amp;";","xxx"),"xxx"))</f>
        <v>xxx</v>
      </c>
      <c r="I572" s="18" t="str">
        <f>IF(装备表!$O717=0,"xxx",IFERROR(IF(INT(IF($D572=I$3,装备表!$E717,"xxx")/10000)=1,IF($D572=I$3,装备表!$E717,"xxx")&amp;":2,1,1,"&amp;装备表!$O717&amp;";","xxx"),"xxx"))</f>
        <v>xxx</v>
      </c>
      <c r="J572" s="18" t="str">
        <f>IF(装备表!$O717=0,"xxx",IFERROR(IF(INT(IF($D572=J$3,装备表!$E717,"xxx")/10000)=1,IF($D572=J$3,装备表!$E717,"xxx")&amp;":2,1,1,"&amp;装备表!$O717&amp;";","xxx"),"xxx"))</f>
        <v>xxx</v>
      </c>
    </row>
    <row r="573" spans="4:10" x14ac:dyDescent="0.2">
      <c r="D573" s="18">
        <f>装备表!L718</f>
        <v>0</v>
      </c>
      <c r="E573" s="18" t="str">
        <f>IF(装备表!$O718=0,"xxx",IFERROR(IF(INT(IF($D573=E$3,装备表!$E718,"xxx")/10000)=1,IF($D573=E$3,装备表!$E718,"xxx")&amp;":2,1,1,"&amp;装备表!$O718&amp;";","xxx"),"xxx"))</f>
        <v>xxx</v>
      </c>
      <c r="F573" s="18" t="str">
        <f>IF(装备表!$O718=0,"xxx",IFERROR(IF(INT(IF($D573=F$3,装备表!$E718,"xxx")/10000)=1,IF($D573=F$3,装备表!$E718,"xxx")&amp;":2,1,1,"&amp;装备表!$O718&amp;";","xxx"),"xxx"))</f>
        <v>xxx</v>
      </c>
      <c r="G573" s="18" t="str">
        <f>IF(装备表!$O718=0,"xxx",IFERROR(IF(INT(IF($D573=G$3,装备表!$E718,"xxx")/10000)=1,IF($D573=G$3,装备表!$E718,"xxx")&amp;":2,1,1,"&amp;装备表!$O718&amp;";","xxx"),"xxx"))</f>
        <v>xxx</v>
      </c>
      <c r="H573" s="18" t="str">
        <f>IF(装备表!$O718=0,"xxx",IFERROR(IF(INT(IF($D573=H$3,装备表!$E718,"xxx")/10000)=1,IF($D573=H$3,装备表!$E718,"xxx")&amp;":2,1,1,"&amp;装备表!$O718&amp;";","xxx"),"xxx"))</f>
        <v>xxx</v>
      </c>
      <c r="I573" s="18" t="str">
        <f>IF(装备表!$O718=0,"xxx",IFERROR(IF(INT(IF($D573=I$3,装备表!$E718,"xxx")/10000)=1,IF($D573=I$3,装备表!$E718,"xxx")&amp;":2,1,1,"&amp;装备表!$O718&amp;";","xxx"),"xxx"))</f>
        <v>xxx</v>
      </c>
      <c r="J573" s="18" t="str">
        <f>IF(装备表!$O718=0,"xxx",IFERROR(IF(INT(IF($D573=J$3,装备表!$E718,"xxx")/10000)=1,IF($D573=J$3,装备表!$E718,"xxx")&amp;":2,1,1,"&amp;装备表!$O718&amp;";","xxx"),"xxx"))</f>
        <v>xxx</v>
      </c>
    </row>
    <row r="574" spans="4:10" x14ac:dyDescent="0.2">
      <c r="D574" s="18">
        <f>装备表!L719</f>
        <v>0</v>
      </c>
      <c r="E574" s="18" t="str">
        <f>IF(装备表!$O719=0,"xxx",IFERROR(IF(INT(IF($D574=E$3,装备表!$E719,"xxx")/10000)=1,IF($D574=E$3,装备表!$E719,"xxx")&amp;":2,1,1,"&amp;装备表!$O719&amp;";","xxx"),"xxx"))</f>
        <v>xxx</v>
      </c>
      <c r="F574" s="18" t="str">
        <f>IF(装备表!$O719=0,"xxx",IFERROR(IF(INT(IF($D574=F$3,装备表!$E719,"xxx")/10000)=1,IF($D574=F$3,装备表!$E719,"xxx")&amp;":2,1,1,"&amp;装备表!$O719&amp;";","xxx"),"xxx"))</f>
        <v>xxx</v>
      </c>
      <c r="G574" s="18" t="str">
        <f>IF(装备表!$O719=0,"xxx",IFERROR(IF(INT(IF($D574=G$3,装备表!$E719,"xxx")/10000)=1,IF($D574=G$3,装备表!$E719,"xxx")&amp;":2,1,1,"&amp;装备表!$O719&amp;";","xxx"),"xxx"))</f>
        <v>xxx</v>
      </c>
      <c r="H574" s="18" t="str">
        <f>IF(装备表!$O719=0,"xxx",IFERROR(IF(INT(IF($D574=H$3,装备表!$E719,"xxx")/10000)=1,IF($D574=H$3,装备表!$E719,"xxx")&amp;":2,1,1,"&amp;装备表!$O719&amp;";","xxx"),"xxx"))</f>
        <v>xxx</v>
      </c>
      <c r="I574" s="18" t="str">
        <f>IF(装备表!$O719=0,"xxx",IFERROR(IF(INT(IF($D574=I$3,装备表!$E719,"xxx")/10000)=1,IF($D574=I$3,装备表!$E719,"xxx")&amp;":2,1,1,"&amp;装备表!$O719&amp;";","xxx"),"xxx"))</f>
        <v>xxx</v>
      </c>
      <c r="J574" s="18" t="str">
        <f>IF(装备表!$O719=0,"xxx",IFERROR(IF(INT(IF($D574=J$3,装备表!$E719,"xxx")/10000)=1,IF($D574=J$3,装备表!$E719,"xxx")&amp;":2,1,1,"&amp;装备表!$O719&amp;";","xxx"),"xxx"))</f>
        <v>xxx</v>
      </c>
    </row>
    <row r="575" spans="4:10" x14ac:dyDescent="0.2">
      <c r="D575" s="18">
        <f>装备表!L720</f>
        <v>0</v>
      </c>
      <c r="E575" s="18" t="str">
        <f>IF(装备表!$O720=0,"xxx",IFERROR(IF(INT(IF($D575=E$3,装备表!$E720,"xxx")/10000)=1,IF($D575=E$3,装备表!$E720,"xxx")&amp;":2,1,1,"&amp;装备表!$O720&amp;";","xxx"),"xxx"))</f>
        <v>xxx</v>
      </c>
      <c r="F575" s="18" t="str">
        <f>IF(装备表!$O720=0,"xxx",IFERROR(IF(INT(IF($D575=F$3,装备表!$E720,"xxx")/10000)=1,IF($D575=F$3,装备表!$E720,"xxx")&amp;":2,1,1,"&amp;装备表!$O720&amp;";","xxx"),"xxx"))</f>
        <v>xxx</v>
      </c>
      <c r="G575" s="18" t="str">
        <f>IF(装备表!$O720=0,"xxx",IFERROR(IF(INT(IF($D575=G$3,装备表!$E720,"xxx")/10000)=1,IF($D575=G$3,装备表!$E720,"xxx")&amp;":2,1,1,"&amp;装备表!$O720&amp;";","xxx"),"xxx"))</f>
        <v>xxx</v>
      </c>
      <c r="H575" s="18" t="str">
        <f>IF(装备表!$O720=0,"xxx",IFERROR(IF(INT(IF($D575=H$3,装备表!$E720,"xxx")/10000)=1,IF($D575=H$3,装备表!$E720,"xxx")&amp;":2,1,1,"&amp;装备表!$O720&amp;";","xxx"),"xxx"))</f>
        <v>xxx</v>
      </c>
      <c r="I575" s="18" t="str">
        <f>IF(装备表!$O720=0,"xxx",IFERROR(IF(INT(IF($D575=I$3,装备表!$E720,"xxx")/10000)=1,IF($D575=I$3,装备表!$E720,"xxx")&amp;":2,1,1,"&amp;装备表!$O720&amp;";","xxx"),"xxx"))</f>
        <v>xxx</v>
      </c>
      <c r="J575" s="18" t="str">
        <f>IF(装备表!$O720=0,"xxx",IFERROR(IF(INT(IF($D575=J$3,装备表!$E720,"xxx")/10000)=1,IF($D575=J$3,装备表!$E720,"xxx")&amp;":2,1,1,"&amp;装备表!$O720&amp;";","xxx"),"xxx"))</f>
        <v>xxx</v>
      </c>
    </row>
    <row r="576" spans="4:10" x14ac:dyDescent="0.2">
      <c r="D576" s="18">
        <f>装备表!L721</f>
        <v>0</v>
      </c>
      <c r="E576" s="18" t="str">
        <f>IF(装备表!$O721=0,"xxx",IFERROR(IF(INT(IF($D576=E$3,装备表!$E721,"xxx")/10000)=1,IF($D576=E$3,装备表!$E721,"xxx")&amp;":2,1,1,"&amp;装备表!$O721&amp;";","xxx"),"xxx"))</f>
        <v>xxx</v>
      </c>
      <c r="F576" s="18" t="str">
        <f>IF(装备表!$O721=0,"xxx",IFERROR(IF(INT(IF($D576=F$3,装备表!$E721,"xxx")/10000)=1,IF($D576=F$3,装备表!$E721,"xxx")&amp;":2,1,1,"&amp;装备表!$O721&amp;";","xxx"),"xxx"))</f>
        <v>xxx</v>
      </c>
      <c r="G576" s="18" t="str">
        <f>IF(装备表!$O721=0,"xxx",IFERROR(IF(INT(IF($D576=G$3,装备表!$E721,"xxx")/10000)=1,IF($D576=G$3,装备表!$E721,"xxx")&amp;":2,1,1,"&amp;装备表!$O721&amp;";","xxx"),"xxx"))</f>
        <v>xxx</v>
      </c>
      <c r="H576" s="18" t="str">
        <f>IF(装备表!$O721=0,"xxx",IFERROR(IF(INT(IF($D576=H$3,装备表!$E721,"xxx")/10000)=1,IF($D576=H$3,装备表!$E721,"xxx")&amp;":2,1,1,"&amp;装备表!$O721&amp;";","xxx"),"xxx"))</f>
        <v>xxx</v>
      </c>
      <c r="I576" s="18" t="str">
        <f>IF(装备表!$O721=0,"xxx",IFERROR(IF(INT(IF($D576=I$3,装备表!$E721,"xxx")/10000)=1,IF($D576=I$3,装备表!$E721,"xxx")&amp;":2,1,1,"&amp;装备表!$O721&amp;";","xxx"),"xxx"))</f>
        <v>xxx</v>
      </c>
      <c r="J576" s="18" t="str">
        <f>IF(装备表!$O721=0,"xxx",IFERROR(IF(INT(IF($D576=J$3,装备表!$E721,"xxx")/10000)=1,IF($D576=J$3,装备表!$E721,"xxx")&amp;":2,1,1,"&amp;装备表!$O721&amp;";","xxx"),"xxx"))</f>
        <v>xxx</v>
      </c>
    </row>
    <row r="577" spans="4:10" x14ac:dyDescent="0.2">
      <c r="D577" s="18">
        <f>装备表!L722</f>
        <v>0</v>
      </c>
      <c r="E577" s="18" t="str">
        <f>IF(装备表!$O722=0,"xxx",IFERROR(IF(INT(IF($D577=E$3,装备表!$E722,"xxx")/10000)=1,IF($D577=E$3,装备表!$E722,"xxx")&amp;":2,1,1,"&amp;装备表!$O722&amp;";","xxx"),"xxx"))</f>
        <v>xxx</v>
      </c>
      <c r="F577" s="18" t="str">
        <f>IF(装备表!$O722=0,"xxx",IFERROR(IF(INT(IF($D577=F$3,装备表!$E722,"xxx")/10000)=1,IF($D577=F$3,装备表!$E722,"xxx")&amp;":2,1,1,"&amp;装备表!$O722&amp;";","xxx"),"xxx"))</f>
        <v>xxx</v>
      </c>
      <c r="G577" s="18" t="str">
        <f>IF(装备表!$O722=0,"xxx",IFERROR(IF(INT(IF($D577=G$3,装备表!$E722,"xxx")/10000)=1,IF($D577=G$3,装备表!$E722,"xxx")&amp;":2,1,1,"&amp;装备表!$O722&amp;";","xxx"),"xxx"))</f>
        <v>xxx</v>
      </c>
      <c r="H577" s="18" t="str">
        <f>IF(装备表!$O722=0,"xxx",IFERROR(IF(INT(IF($D577=H$3,装备表!$E722,"xxx")/10000)=1,IF($D577=H$3,装备表!$E722,"xxx")&amp;":2,1,1,"&amp;装备表!$O722&amp;";","xxx"),"xxx"))</f>
        <v>xxx</v>
      </c>
      <c r="I577" s="18" t="str">
        <f>IF(装备表!$O722=0,"xxx",IFERROR(IF(INT(IF($D577=I$3,装备表!$E722,"xxx")/10000)=1,IF($D577=I$3,装备表!$E722,"xxx")&amp;":2,1,1,"&amp;装备表!$O722&amp;";","xxx"),"xxx"))</f>
        <v>xxx</v>
      </c>
      <c r="J577" s="18" t="str">
        <f>IF(装备表!$O722=0,"xxx",IFERROR(IF(INT(IF($D577=J$3,装备表!$E722,"xxx")/10000)=1,IF($D577=J$3,装备表!$E722,"xxx")&amp;":2,1,1,"&amp;装备表!$O722&amp;";","xxx"),"xxx"))</f>
        <v>xxx</v>
      </c>
    </row>
    <row r="578" spans="4:10" x14ac:dyDescent="0.2">
      <c r="D578" s="18">
        <f>装备表!L723</f>
        <v>0</v>
      </c>
      <c r="E578" s="18" t="str">
        <f>IF(装备表!$O723=0,"xxx",IFERROR(IF(INT(IF($D578=E$3,装备表!$E723,"xxx")/10000)=1,IF($D578=E$3,装备表!$E723,"xxx")&amp;":2,1,1,"&amp;装备表!$O723&amp;";","xxx"),"xxx"))</f>
        <v>xxx</v>
      </c>
      <c r="F578" s="18" t="str">
        <f>IF(装备表!$O723=0,"xxx",IFERROR(IF(INT(IF($D578=F$3,装备表!$E723,"xxx")/10000)=1,IF($D578=F$3,装备表!$E723,"xxx")&amp;":2,1,1,"&amp;装备表!$O723&amp;";","xxx"),"xxx"))</f>
        <v>xxx</v>
      </c>
      <c r="G578" s="18" t="str">
        <f>IF(装备表!$O723=0,"xxx",IFERROR(IF(INT(IF($D578=G$3,装备表!$E723,"xxx")/10000)=1,IF($D578=G$3,装备表!$E723,"xxx")&amp;":2,1,1,"&amp;装备表!$O723&amp;";","xxx"),"xxx"))</f>
        <v>xxx</v>
      </c>
      <c r="H578" s="18" t="str">
        <f>IF(装备表!$O723=0,"xxx",IFERROR(IF(INT(IF($D578=H$3,装备表!$E723,"xxx")/10000)=1,IF($D578=H$3,装备表!$E723,"xxx")&amp;":2,1,1,"&amp;装备表!$O723&amp;";","xxx"),"xxx"))</f>
        <v>xxx</v>
      </c>
      <c r="I578" s="18" t="str">
        <f>IF(装备表!$O723=0,"xxx",IFERROR(IF(INT(IF($D578=I$3,装备表!$E723,"xxx")/10000)=1,IF($D578=I$3,装备表!$E723,"xxx")&amp;":2,1,1,"&amp;装备表!$O723&amp;";","xxx"),"xxx"))</f>
        <v>xxx</v>
      </c>
      <c r="J578" s="18" t="str">
        <f>IF(装备表!$O723=0,"xxx",IFERROR(IF(INT(IF($D578=J$3,装备表!$E723,"xxx")/10000)=1,IF($D578=J$3,装备表!$E723,"xxx")&amp;":2,1,1,"&amp;装备表!$O723&amp;";","xxx"),"xxx"))</f>
        <v>xxx</v>
      </c>
    </row>
    <row r="579" spans="4:10" x14ac:dyDescent="0.2">
      <c r="D579" s="18">
        <f>装备表!L724</f>
        <v>0</v>
      </c>
      <c r="E579" s="18" t="str">
        <f>IF(装备表!$O724=0,"xxx",IFERROR(IF(INT(IF($D579=E$3,装备表!$E724,"xxx")/10000)=1,IF($D579=E$3,装备表!$E724,"xxx")&amp;":2,1,1,"&amp;装备表!$O724&amp;";","xxx"),"xxx"))</f>
        <v>xxx</v>
      </c>
      <c r="F579" s="18" t="str">
        <f>IF(装备表!$O724=0,"xxx",IFERROR(IF(INT(IF($D579=F$3,装备表!$E724,"xxx")/10000)=1,IF($D579=F$3,装备表!$E724,"xxx")&amp;":2,1,1,"&amp;装备表!$O724&amp;";","xxx"),"xxx"))</f>
        <v>xxx</v>
      </c>
      <c r="G579" s="18" t="str">
        <f>IF(装备表!$O724=0,"xxx",IFERROR(IF(INT(IF($D579=G$3,装备表!$E724,"xxx")/10000)=1,IF($D579=G$3,装备表!$E724,"xxx")&amp;":2,1,1,"&amp;装备表!$O724&amp;";","xxx"),"xxx"))</f>
        <v>xxx</v>
      </c>
      <c r="H579" s="18" t="str">
        <f>IF(装备表!$O724=0,"xxx",IFERROR(IF(INT(IF($D579=H$3,装备表!$E724,"xxx")/10000)=1,IF($D579=H$3,装备表!$E724,"xxx")&amp;":2,1,1,"&amp;装备表!$O724&amp;";","xxx"),"xxx"))</f>
        <v>xxx</v>
      </c>
      <c r="I579" s="18" t="str">
        <f>IF(装备表!$O724=0,"xxx",IFERROR(IF(INT(IF($D579=I$3,装备表!$E724,"xxx")/10000)=1,IF($D579=I$3,装备表!$E724,"xxx")&amp;":2,1,1,"&amp;装备表!$O724&amp;";","xxx"),"xxx"))</f>
        <v>xxx</v>
      </c>
      <c r="J579" s="18" t="str">
        <f>IF(装备表!$O724=0,"xxx",IFERROR(IF(INT(IF($D579=J$3,装备表!$E724,"xxx")/10000)=1,IF($D579=J$3,装备表!$E724,"xxx")&amp;":2,1,1,"&amp;装备表!$O724&amp;";","xxx"),"xxx"))</f>
        <v>xxx</v>
      </c>
    </row>
    <row r="580" spans="4:10" x14ac:dyDescent="0.2">
      <c r="D580" s="18">
        <f>装备表!L725</f>
        <v>0</v>
      </c>
      <c r="E580" s="18" t="str">
        <f>IF(装备表!$O725=0,"xxx",IFERROR(IF(INT(IF($D580=E$3,装备表!$E725,"xxx")/10000)=1,IF($D580=E$3,装备表!$E725,"xxx")&amp;":2,1,1,"&amp;装备表!$O725&amp;";","xxx"),"xxx"))</f>
        <v>xxx</v>
      </c>
      <c r="F580" s="18" t="str">
        <f>IF(装备表!$O725=0,"xxx",IFERROR(IF(INT(IF($D580=F$3,装备表!$E725,"xxx")/10000)=1,IF($D580=F$3,装备表!$E725,"xxx")&amp;":2,1,1,"&amp;装备表!$O725&amp;";","xxx"),"xxx"))</f>
        <v>xxx</v>
      </c>
      <c r="G580" s="18" t="str">
        <f>IF(装备表!$O725=0,"xxx",IFERROR(IF(INT(IF($D580=G$3,装备表!$E725,"xxx")/10000)=1,IF($D580=G$3,装备表!$E725,"xxx")&amp;":2,1,1,"&amp;装备表!$O725&amp;";","xxx"),"xxx"))</f>
        <v>xxx</v>
      </c>
      <c r="H580" s="18" t="str">
        <f>IF(装备表!$O725=0,"xxx",IFERROR(IF(INT(IF($D580=H$3,装备表!$E725,"xxx")/10000)=1,IF($D580=H$3,装备表!$E725,"xxx")&amp;":2,1,1,"&amp;装备表!$O725&amp;";","xxx"),"xxx"))</f>
        <v>xxx</v>
      </c>
      <c r="I580" s="18" t="str">
        <f>IF(装备表!$O725=0,"xxx",IFERROR(IF(INT(IF($D580=I$3,装备表!$E725,"xxx")/10000)=1,IF($D580=I$3,装备表!$E725,"xxx")&amp;":2,1,1,"&amp;装备表!$O725&amp;";","xxx"),"xxx"))</f>
        <v>xxx</v>
      </c>
      <c r="J580" s="18" t="str">
        <f>IF(装备表!$O725=0,"xxx",IFERROR(IF(INT(IF($D580=J$3,装备表!$E725,"xxx")/10000)=1,IF($D580=J$3,装备表!$E725,"xxx")&amp;":2,1,1,"&amp;装备表!$O725&amp;";","xxx"),"xxx"))</f>
        <v>xxx</v>
      </c>
    </row>
    <row r="581" spans="4:10" x14ac:dyDescent="0.2">
      <c r="D581" s="18">
        <f>装备表!L726</f>
        <v>0</v>
      </c>
      <c r="E581" s="18" t="str">
        <f>IF(装备表!$O726=0,"xxx",IFERROR(IF(INT(IF($D581=E$3,装备表!$E726,"xxx")/10000)=1,IF($D581=E$3,装备表!$E726,"xxx")&amp;":2,1,1,"&amp;装备表!$O726&amp;";","xxx"),"xxx"))</f>
        <v>xxx</v>
      </c>
      <c r="F581" s="18" t="str">
        <f>IF(装备表!$O726=0,"xxx",IFERROR(IF(INT(IF($D581=F$3,装备表!$E726,"xxx")/10000)=1,IF($D581=F$3,装备表!$E726,"xxx")&amp;":2,1,1,"&amp;装备表!$O726&amp;";","xxx"),"xxx"))</f>
        <v>xxx</v>
      </c>
      <c r="G581" s="18" t="str">
        <f>IF(装备表!$O726=0,"xxx",IFERROR(IF(INT(IF($D581=G$3,装备表!$E726,"xxx")/10000)=1,IF($D581=G$3,装备表!$E726,"xxx")&amp;":2,1,1,"&amp;装备表!$O726&amp;";","xxx"),"xxx"))</f>
        <v>xxx</v>
      </c>
      <c r="H581" s="18" t="str">
        <f>IF(装备表!$O726=0,"xxx",IFERROR(IF(INT(IF($D581=H$3,装备表!$E726,"xxx")/10000)=1,IF($D581=H$3,装备表!$E726,"xxx")&amp;":2,1,1,"&amp;装备表!$O726&amp;";","xxx"),"xxx"))</f>
        <v>xxx</v>
      </c>
      <c r="I581" s="18" t="str">
        <f>IF(装备表!$O726=0,"xxx",IFERROR(IF(INT(IF($D581=I$3,装备表!$E726,"xxx")/10000)=1,IF($D581=I$3,装备表!$E726,"xxx")&amp;":2,1,1,"&amp;装备表!$O726&amp;";","xxx"),"xxx"))</f>
        <v>xxx</v>
      </c>
      <c r="J581" s="18" t="str">
        <f>IF(装备表!$O726=0,"xxx",IFERROR(IF(INT(IF($D581=J$3,装备表!$E726,"xxx")/10000)=1,IF($D581=J$3,装备表!$E726,"xxx")&amp;":2,1,1,"&amp;装备表!$O726&amp;";","xxx"),"xxx"))</f>
        <v>xxx</v>
      </c>
    </row>
    <row r="582" spans="4:10" x14ac:dyDescent="0.2">
      <c r="D582" s="18">
        <f>装备表!L727</f>
        <v>0</v>
      </c>
      <c r="E582" s="18" t="str">
        <f>IF(装备表!$O727=0,"xxx",IFERROR(IF(INT(IF($D582=E$3,装备表!$E727,"xxx")/10000)=1,IF($D582=E$3,装备表!$E727,"xxx")&amp;":2,1,1,"&amp;装备表!$O727&amp;";","xxx"),"xxx"))</f>
        <v>xxx</v>
      </c>
      <c r="F582" s="18" t="str">
        <f>IF(装备表!$O727=0,"xxx",IFERROR(IF(INT(IF($D582=F$3,装备表!$E727,"xxx")/10000)=1,IF($D582=F$3,装备表!$E727,"xxx")&amp;":2,1,1,"&amp;装备表!$O727&amp;";","xxx"),"xxx"))</f>
        <v>xxx</v>
      </c>
      <c r="G582" s="18" t="str">
        <f>IF(装备表!$O727=0,"xxx",IFERROR(IF(INT(IF($D582=G$3,装备表!$E727,"xxx")/10000)=1,IF($D582=G$3,装备表!$E727,"xxx")&amp;":2,1,1,"&amp;装备表!$O727&amp;";","xxx"),"xxx"))</f>
        <v>xxx</v>
      </c>
      <c r="H582" s="18" t="str">
        <f>IF(装备表!$O727=0,"xxx",IFERROR(IF(INT(IF($D582=H$3,装备表!$E727,"xxx")/10000)=1,IF($D582=H$3,装备表!$E727,"xxx")&amp;":2,1,1,"&amp;装备表!$O727&amp;";","xxx"),"xxx"))</f>
        <v>xxx</v>
      </c>
      <c r="I582" s="18" t="str">
        <f>IF(装备表!$O727=0,"xxx",IFERROR(IF(INT(IF($D582=I$3,装备表!$E727,"xxx")/10000)=1,IF($D582=I$3,装备表!$E727,"xxx")&amp;":2,1,1,"&amp;装备表!$O727&amp;";","xxx"),"xxx"))</f>
        <v>xxx</v>
      </c>
      <c r="J582" s="18" t="str">
        <f>IF(装备表!$O727=0,"xxx",IFERROR(IF(INT(IF($D582=J$3,装备表!$E727,"xxx")/10000)=1,IF($D582=J$3,装备表!$E727,"xxx")&amp;":2,1,1,"&amp;装备表!$O727&amp;";","xxx"),"xxx"))</f>
        <v>xxx</v>
      </c>
    </row>
    <row r="583" spans="4:10" x14ac:dyDescent="0.2">
      <c r="D583" s="18">
        <f>装备表!L728</f>
        <v>0</v>
      </c>
      <c r="E583" s="18" t="str">
        <f>IF(装备表!$O728=0,"xxx",IFERROR(IF(INT(IF($D583=E$3,装备表!$E728,"xxx")/10000)=1,IF($D583=E$3,装备表!$E728,"xxx")&amp;":2,1,1,"&amp;装备表!$O728&amp;";","xxx"),"xxx"))</f>
        <v>xxx</v>
      </c>
      <c r="F583" s="18" t="str">
        <f>IF(装备表!$O728=0,"xxx",IFERROR(IF(INT(IF($D583=F$3,装备表!$E728,"xxx")/10000)=1,IF($D583=F$3,装备表!$E728,"xxx")&amp;":2,1,1,"&amp;装备表!$O728&amp;";","xxx"),"xxx"))</f>
        <v>xxx</v>
      </c>
      <c r="G583" s="18" t="str">
        <f>IF(装备表!$O728=0,"xxx",IFERROR(IF(INT(IF($D583=G$3,装备表!$E728,"xxx")/10000)=1,IF($D583=G$3,装备表!$E728,"xxx")&amp;":2,1,1,"&amp;装备表!$O728&amp;";","xxx"),"xxx"))</f>
        <v>xxx</v>
      </c>
      <c r="H583" s="18" t="str">
        <f>IF(装备表!$O728=0,"xxx",IFERROR(IF(INT(IF($D583=H$3,装备表!$E728,"xxx")/10000)=1,IF($D583=H$3,装备表!$E728,"xxx")&amp;":2,1,1,"&amp;装备表!$O728&amp;";","xxx"),"xxx"))</f>
        <v>xxx</v>
      </c>
      <c r="I583" s="18" t="str">
        <f>IF(装备表!$O728=0,"xxx",IFERROR(IF(INT(IF($D583=I$3,装备表!$E728,"xxx")/10000)=1,IF($D583=I$3,装备表!$E728,"xxx")&amp;":2,1,1,"&amp;装备表!$O728&amp;";","xxx"),"xxx"))</f>
        <v>xxx</v>
      </c>
      <c r="J583" s="18" t="str">
        <f>IF(装备表!$O728=0,"xxx",IFERROR(IF(INT(IF($D583=J$3,装备表!$E728,"xxx")/10000)=1,IF($D583=J$3,装备表!$E728,"xxx")&amp;":2,1,1,"&amp;装备表!$O728&amp;";","xxx"),"xxx"))</f>
        <v>xxx</v>
      </c>
    </row>
    <row r="584" spans="4:10" x14ac:dyDescent="0.2">
      <c r="D584" s="18">
        <f>装备表!L729</f>
        <v>0</v>
      </c>
      <c r="E584" s="18" t="str">
        <f>IF(装备表!$O729=0,"xxx",IFERROR(IF(INT(IF($D584=E$3,装备表!$E729,"xxx")/10000)=1,IF($D584=E$3,装备表!$E729,"xxx")&amp;":2,1,1,"&amp;装备表!$O729&amp;";","xxx"),"xxx"))</f>
        <v>xxx</v>
      </c>
      <c r="F584" s="18" t="str">
        <f>IF(装备表!$O729=0,"xxx",IFERROR(IF(INT(IF($D584=F$3,装备表!$E729,"xxx")/10000)=1,IF($D584=F$3,装备表!$E729,"xxx")&amp;":2,1,1,"&amp;装备表!$O729&amp;";","xxx"),"xxx"))</f>
        <v>xxx</v>
      </c>
      <c r="G584" s="18" t="str">
        <f>IF(装备表!$O729=0,"xxx",IFERROR(IF(INT(IF($D584=G$3,装备表!$E729,"xxx")/10000)=1,IF($D584=G$3,装备表!$E729,"xxx")&amp;":2,1,1,"&amp;装备表!$O729&amp;";","xxx"),"xxx"))</f>
        <v>xxx</v>
      </c>
      <c r="H584" s="18" t="str">
        <f>IF(装备表!$O729=0,"xxx",IFERROR(IF(INT(IF($D584=H$3,装备表!$E729,"xxx")/10000)=1,IF($D584=H$3,装备表!$E729,"xxx")&amp;":2,1,1,"&amp;装备表!$O729&amp;";","xxx"),"xxx"))</f>
        <v>xxx</v>
      </c>
      <c r="I584" s="18" t="str">
        <f>IF(装备表!$O729=0,"xxx",IFERROR(IF(INT(IF($D584=I$3,装备表!$E729,"xxx")/10000)=1,IF($D584=I$3,装备表!$E729,"xxx")&amp;":2,1,1,"&amp;装备表!$O729&amp;";","xxx"),"xxx"))</f>
        <v>xxx</v>
      </c>
      <c r="J584" s="18" t="str">
        <f>IF(装备表!$O729=0,"xxx",IFERROR(IF(INT(IF($D584=J$3,装备表!$E729,"xxx")/10000)=1,IF($D584=J$3,装备表!$E729,"xxx")&amp;":2,1,1,"&amp;装备表!$O729&amp;";","xxx"),"xxx"))</f>
        <v>xxx</v>
      </c>
    </row>
    <row r="585" spans="4:10" x14ac:dyDescent="0.2">
      <c r="D585" s="18">
        <f>装备表!L730</f>
        <v>0</v>
      </c>
      <c r="E585" s="18" t="str">
        <f>IF(装备表!$O730=0,"xxx",IFERROR(IF(INT(IF($D585=E$3,装备表!$E730,"xxx")/10000)=1,IF($D585=E$3,装备表!$E730,"xxx")&amp;":2,1,1,"&amp;装备表!$O730&amp;";","xxx"),"xxx"))</f>
        <v>xxx</v>
      </c>
      <c r="F585" s="18" t="str">
        <f>IF(装备表!$O730=0,"xxx",IFERROR(IF(INT(IF($D585=F$3,装备表!$E730,"xxx")/10000)=1,IF($D585=F$3,装备表!$E730,"xxx")&amp;":2,1,1,"&amp;装备表!$O730&amp;";","xxx"),"xxx"))</f>
        <v>xxx</v>
      </c>
      <c r="G585" s="18" t="str">
        <f>IF(装备表!$O730=0,"xxx",IFERROR(IF(INT(IF($D585=G$3,装备表!$E730,"xxx")/10000)=1,IF($D585=G$3,装备表!$E730,"xxx")&amp;":2,1,1,"&amp;装备表!$O730&amp;";","xxx"),"xxx"))</f>
        <v>xxx</v>
      </c>
      <c r="H585" s="18" t="str">
        <f>IF(装备表!$O730=0,"xxx",IFERROR(IF(INT(IF($D585=H$3,装备表!$E730,"xxx")/10000)=1,IF($D585=H$3,装备表!$E730,"xxx")&amp;":2,1,1,"&amp;装备表!$O730&amp;";","xxx"),"xxx"))</f>
        <v>xxx</v>
      </c>
      <c r="I585" s="18" t="str">
        <f>IF(装备表!$O730=0,"xxx",IFERROR(IF(INT(IF($D585=I$3,装备表!$E730,"xxx")/10000)=1,IF($D585=I$3,装备表!$E730,"xxx")&amp;":2,1,1,"&amp;装备表!$O730&amp;";","xxx"),"xxx"))</f>
        <v>xxx</v>
      </c>
      <c r="J585" s="18" t="str">
        <f>IF(装备表!$O730=0,"xxx",IFERROR(IF(INT(IF($D585=J$3,装备表!$E730,"xxx")/10000)=1,IF($D585=J$3,装备表!$E730,"xxx")&amp;":2,1,1,"&amp;装备表!$O730&amp;";","xxx"),"xxx"))</f>
        <v>xxx</v>
      </c>
    </row>
    <row r="586" spans="4:10" x14ac:dyDescent="0.2">
      <c r="D586" s="18">
        <f>装备表!L731</f>
        <v>0</v>
      </c>
      <c r="E586" s="18" t="str">
        <f>IF(装备表!$O731=0,"xxx",IFERROR(IF(INT(IF($D586=E$3,装备表!$E731,"xxx")/10000)=1,IF($D586=E$3,装备表!$E731,"xxx")&amp;":2,1,1,"&amp;装备表!$O731&amp;";","xxx"),"xxx"))</f>
        <v>xxx</v>
      </c>
      <c r="F586" s="18" t="str">
        <f>IF(装备表!$O731=0,"xxx",IFERROR(IF(INT(IF($D586=F$3,装备表!$E731,"xxx")/10000)=1,IF($D586=F$3,装备表!$E731,"xxx")&amp;":2,1,1,"&amp;装备表!$O731&amp;";","xxx"),"xxx"))</f>
        <v>xxx</v>
      </c>
      <c r="G586" s="18" t="str">
        <f>IF(装备表!$O731=0,"xxx",IFERROR(IF(INT(IF($D586=G$3,装备表!$E731,"xxx")/10000)=1,IF($D586=G$3,装备表!$E731,"xxx")&amp;":2,1,1,"&amp;装备表!$O731&amp;";","xxx"),"xxx"))</f>
        <v>xxx</v>
      </c>
      <c r="H586" s="18" t="str">
        <f>IF(装备表!$O731=0,"xxx",IFERROR(IF(INT(IF($D586=H$3,装备表!$E731,"xxx")/10000)=1,IF($D586=H$3,装备表!$E731,"xxx")&amp;":2,1,1,"&amp;装备表!$O731&amp;";","xxx"),"xxx"))</f>
        <v>xxx</v>
      </c>
      <c r="I586" s="18" t="str">
        <f>IF(装备表!$O731=0,"xxx",IFERROR(IF(INT(IF($D586=I$3,装备表!$E731,"xxx")/10000)=1,IF($D586=I$3,装备表!$E731,"xxx")&amp;":2,1,1,"&amp;装备表!$O731&amp;";","xxx"),"xxx"))</f>
        <v>xxx</v>
      </c>
      <c r="J586" s="18" t="str">
        <f>IF(装备表!$O731=0,"xxx",IFERROR(IF(INT(IF($D586=J$3,装备表!$E731,"xxx")/10000)=1,IF($D586=J$3,装备表!$E731,"xxx")&amp;":2,1,1,"&amp;装备表!$O731&amp;";","xxx"),"xxx"))</f>
        <v>xxx</v>
      </c>
    </row>
    <row r="587" spans="4:10" x14ac:dyDescent="0.2">
      <c r="D587" s="18">
        <f>装备表!L732</f>
        <v>0</v>
      </c>
      <c r="E587" s="18" t="str">
        <f>IF(装备表!$O732=0,"xxx",IFERROR(IF(INT(IF($D587=E$3,装备表!$E732,"xxx")/10000)=1,IF($D587=E$3,装备表!$E732,"xxx")&amp;":2,1,1,"&amp;装备表!$O732&amp;";","xxx"),"xxx"))</f>
        <v>xxx</v>
      </c>
      <c r="F587" s="18" t="str">
        <f>IF(装备表!$O732=0,"xxx",IFERROR(IF(INT(IF($D587=F$3,装备表!$E732,"xxx")/10000)=1,IF($D587=F$3,装备表!$E732,"xxx")&amp;":2,1,1,"&amp;装备表!$O732&amp;";","xxx"),"xxx"))</f>
        <v>xxx</v>
      </c>
      <c r="G587" s="18" t="str">
        <f>IF(装备表!$O732=0,"xxx",IFERROR(IF(INT(IF($D587=G$3,装备表!$E732,"xxx")/10000)=1,IF($D587=G$3,装备表!$E732,"xxx")&amp;":2,1,1,"&amp;装备表!$O732&amp;";","xxx"),"xxx"))</f>
        <v>xxx</v>
      </c>
      <c r="H587" s="18" t="str">
        <f>IF(装备表!$O732=0,"xxx",IFERROR(IF(INT(IF($D587=H$3,装备表!$E732,"xxx")/10000)=1,IF($D587=H$3,装备表!$E732,"xxx")&amp;":2,1,1,"&amp;装备表!$O732&amp;";","xxx"),"xxx"))</f>
        <v>xxx</v>
      </c>
      <c r="I587" s="18" t="str">
        <f>IF(装备表!$O732=0,"xxx",IFERROR(IF(INT(IF($D587=I$3,装备表!$E732,"xxx")/10000)=1,IF($D587=I$3,装备表!$E732,"xxx")&amp;":2,1,1,"&amp;装备表!$O732&amp;";","xxx"),"xxx"))</f>
        <v>xxx</v>
      </c>
      <c r="J587" s="18" t="str">
        <f>IF(装备表!$O732=0,"xxx",IFERROR(IF(INT(IF($D587=J$3,装备表!$E732,"xxx")/10000)=1,IF($D587=J$3,装备表!$E732,"xxx")&amp;":2,1,1,"&amp;装备表!$O732&amp;";","xxx"),"xxx"))</f>
        <v>xxx</v>
      </c>
    </row>
    <row r="588" spans="4:10" x14ac:dyDescent="0.2">
      <c r="D588" s="18">
        <f>装备表!L733</f>
        <v>0</v>
      </c>
      <c r="E588" s="18" t="str">
        <f>IF(装备表!$O733=0,"xxx",IFERROR(IF(INT(IF($D588=E$3,装备表!$E733,"xxx")/10000)=1,IF($D588=E$3,装备表!$E733,"xxx")&amp;":2,1,1,"&amp;装备表!$O733&amp;";","xxx"),"xxx"))</f>
        <v>xxx</v>
      </c>
      <c r="F588" s="18" t="str">
        <f>IF(装备表!$O733=0,"xxx",IFERROR(IF(INT(IF($D588=F$3,装备表!$E733,"xxx")/10000)=1,IF($D588=F$3,装备表!$E733,"xxx")&amp;":2,1,1,"&amp;装备表!$O733&amp;";","xxx"),"xxx"))</f>
        <v>xxx</v>
      </c>
      <c r="G588" s="18" t="str">
        <f>IF(装备表!$O733=0,"xxx",IFERROR(IF(INT(IF($D588=G$3,装备表!$E733,"xxx")/10000)=1,IF($D588=G$3,装备表!$E733,"xxx")&amp;":2,1,1,"&amp;装备表!$O733&amp;";","xxx"),"xxx"))</f>
        <v>xxx</v>
      </c>
      <c r="H588" s="18" t="str">
        <f>IF(装备表!$O733=0,"xxx",IFERROR(IF(INT(IF($D588=H$3,装备表!$E733,"xxx")/10000)=1,IF($D588=H$3,装备表!$E733,"xxx")&amp;":2,1,1,"&amp;装备表!$O733&amp;";","xxx"),"xxx"))</f>
        <v>xxx</v>
      </c>
      <c r="I588" s="18" t="str">
        <f>IF(装备表!$O733=0,"xxx",IFERROR(IF(INT(IF($D588=I$3,装备表!$E733,"xxx")/10000)=1,IF($D588=I$3,装备表!$E733,"xxx")&amp;":2,1,1,"&amp;装备表!$O733&amp;";","xxx"),"xxx"))</f>
        <v>xxx</v>
      </c>
      <c r="J588" s="18" t="str">
        <f>IF(装备表!$O733=0,"xxx",IFERROR(IF(INT(IF($D588=J$3,装备表!$E733,"xxx")/10000)=1,IF($D588=J$3,装备表!$E733,"xxx")&amp;":2,1,1,"&amp;装备表!$O733&amp;";","xxx"),"xxx"))</f>
        <v>xxx</v>
      </c>
    </row>
    <row r="589" spans="4:10" x14ac:dyDescent="0.2">
      <c r="D589" s="18">
        <f>装备表!L734</f>
        <v>0</v>
      </c>
      <c r="E589" s="18" t="str">
        <f>IF(装备表!$O734=0,"xxx",IFERROR(IF(INT(IF($D589=E$3,装备表!$E734,"xxx")/10000)=1,IF($D589=E$3,装备表!$E734,"xxx")&amp;":2,1,1,"&amp;装备表!$O734&amp;";","xxx"),"xxx"))</f>
        <v>xxx</v>
      </c>
      <c r="F589" s="18" t="str">
        <f>IF(装备表!$O734=0,"xxx",IFERROR(IF(INT(IF($D589=F$3,装备表!$E734,"xxx")/10000)=1,IF($D589=F$3,装备表!$E734,"xxx")&amp;":2,1,1,"&amp;装备表!$O734&amp;";","xxx"),"xxx"))</f>
        <v>xxx</v>
      </c>
      <c r="G589" s="18" t="str">
        <f>IF(装备表!$O734=0,"xxx",IFERROR(IF(INT(IF($D589=G$3,装备表!$E734,"xxx")/10000)=1,IF($D589=G$3,装备表!$E734,"xxx")&amp;":2,1,1,"&amp;装备表!$O734&amp;";","xxx"),"xxx"))</f>
        <v>xxx</v>
      </c>
      <c r="H589" s="18" t="str">
        <f>IF(装备表!$O734=0,"xxx",IFERROR(IF(INT(IF($D589=H$3,装备表!$E734,"xxx")/10000)=1,IF($D589=H$3,装备表!$E734,"xxx")&amp;":2,1,1,"&amp;装备表!$O734&amp;";","xxx"),"xxx"))</f>
        <v>xxx</v>
      </c>
      <c r="I589" s="18" t="str">
        <f>IF(装备表!$O734=0,"xxx",IFERROR(IF(INT(IF($D589=I$3,装备表!$E734,"xxx")/10000)=1,IF($D589=I$3,装备表!$E734,"xxx")&amp;":2,1,1,"&amp;装备表!$O734&amp;";","xxx"),"xxx"))</f>
        <v>xxx</v>
      </c>
      <c r="J589" s="18" t="str">
        <f>IF(装备表!$O734=0,"xxx",IFERROR(IF(INT(IF($D589=J$3,装备表!$E734,"xxx")/10000)=1,IF($D589=J$3,装备表!$E734,"xxx")&amp;":2,1,1,"&amp;装备表!$O734&amp;";","xxx"),"xxx"))</f>
        <v>xxx</v>
      </c>
    </row>
    <row r="590" spans="4:10" x14ac:dyDescent="0.2">
      <c r="D590" s="18">
        <f>装备表!L735</f>
        <v>0</v>
      </c>
      <c r="E590" s="18" t="str">
        <f>IF(装备表!$O735=0,"xxx",IFERROR(IF(INT(IF($D590=E$3,装备表!$E735,"xxx")/10000)=1,IF($D590=E$3,装备表!$E735,"xxx")&amp;":2,1,1,"&amp;装备表!$O735&amp;";","xxx"),"xxx"))</f>
        <v>xxx</v>
      </c>
      <c r="F590" s="18" t="str">
        <f>IF(装备表!$O735=0,"xxx",IFERROR(IF(INT(IF($D590=F$3,装备表!$E735,"xxx")/10000)=1,IF($D590=F$3,装备表!$E735,"xxx")&amp;":2,1,1,"&amp;装备表!$O735&amp;";","xxx"),"xxx"))</f>
        <v>xxx</v>
      </c>
      <c r="G590" s="18" t="str">
        <f>IF(装备表!$O735=0,"xxx",IFERROR(IF(INT(IF($D590=G$3,装备表!$E735,"xxx")/10000)=1,IF($D590=G$3,装备表!$E735,"xxx")&amp;":2,1,1,"&amp;装备表!$O735&amp;";","xxx"),"xxx"))</f>
        <v>xxx</v>
      </c>
      <c r="H590" s="18" t="str">
        <f>IF(装备表!$O735=0,"xxx",IFERROR(IF(INT(IF($D590=H$3,装备表!$E735,"xxx")/10000)=1,IF($D590=H$3,装备表!$E735,"xxx")&amp;":2,1,1,"&amp;装备表!$O735&amp;";","xxx"),"xxx"))</f>
        <v>xxx</v>
      </c>
      <c r="I590" s="18" t="str">
        <f>IF(装备表!$O735=0,"xxx",IFERROR(IF(INT(IF($D590=I$3,装备表!$E735,"xxx")/10000)=1,IF($D590=I$3,装备表!$E735,"xxx")&amp;":2,1,1,"&amp;装备表!$O735&amp;";","xxx"),"xxx"))</f>
        <v>xxx</v>
      </c>
      <c r="J590" s="18" t="str">
        <f>IF(装备表!$O735=0,"xxx",IFERROR(IF(INT(IF($D590=J$3,装备表!$E735,"xxx")/10000)=1,IF($D590=J$3,装备表!$E735,"xxx")&amp;":2,1,1,"&amp;装备表!$O735&amp;";","xxx"),"xxx"))</f>
        <v>xxx</v>
      </c>
    </row>
    <row r="591" spans="4:10" x14ac:dyDescent="0.2">
      <c r="D591" s="18">
        <f>装备表!L736</f>
        <v>0</v>
      </c>
      <c r="E591" s="18" t="str">
        <f>IF(装备表!$O736=0,"xxx",IFERROR(IF(INT(IF($D591=E$3,装备表!$E736,"xxx")/10000)=1,IF($D591=E$3,装备表!$E736,"xxx")&amp;":2,1,1,"&amp;装备表!$O736&amp;";","xxx"),"xxx"))</f>
        <v>xxx</v>
      </c>
      <c r="F591" s="18" t="str">
        <f>IF(装备表!$O736=0,"xxx",IFERROR(IF(INT(IF($D591=F$3,装备表!$E736,"xxx")/10000)=1,IF($D591=F$3,装备表!$E736,"xxx")&amp;":2,1,1,"&amp;装备表!$O736&amp;";","xxx"),"xxx"))</f>
        <v>xxx</v>
      </c>
      <c r="G591" s="18" t="str">
        <f>IF(装备表!$O736=0,"xxx",IFERROR(IF(INT(IF($D591=G$3,装备表!$E736,"xxx")/10000)=1,IF($D591=G$3,装备表!$E736,"xxx")&amp;":2,1,1,"&amp;装备表!$O736&amp;";","xxx"),"xxx"))</f>
        <v>xxx</v>
      </c>
      <c r="H591" s="18" t="str">
        <f>IF(装备表!$O736=0,"xxx",IFERROR(IF(INT(IF($D591=H$3,装备表!$E736,"xxx")/10000)=1,IF($D591=H$3,装备表!$E736,"xxx")&amp;":2,1,1,"&amp;装备表!$O736&amp;";","xxx"),"xxx"))</f>
        <v>xxx</v>
      </c>
      <c r="I591" s="18" t="str">
        <f>IF(装备表!$O736=0,"xxx",IFERROR(IF(INT(IF($D591=I$3,装备表!$E736,"xxx")/10000)=1,IF($D591=I$3,装备表!$E736,"xxx")&amp;":2,1,1,"&amp;装备表!$O736&amp;";","xxx"),"xxx"))</f>
        <v>xxx</v>
      </c>
      <c r="J591" s="18" t="str">
        <f>IF(装备表!$O736=0,"xxx",IFERROR(IF(INT(IF($D591=J$3,装备表!$E736,"xxx")/10000)=1,IF($D591=J$3,装备表!$E736,"xxx")&amp;":2,1,1,"&amp;装备表!$O736&amp;";","xxx"),"xxx"))</f>
        <v>xxx</v>
      </c>
    </row>
    <row r="592" spans="4:10" x14ac:dyDescent="0.2">
      <c r="D592" s="18">
        <f>装备表!L737</f>
        <v>0</v>
      </c>
      <c r="E592" s="18" t="str">
        <f>IF(装备表!$O737=0,"xxx",IFERROR(IF(INT(IF($D592=E$3,装备表!$E737,"xxx")/10000)=1,IF($D592=E$3,装备表!$E737,"xxx")&amp;":2,1,1,"&amp;装备表!$O737&amp;";","xxx"),"xxx"))</f>
        <v>xxx</v>
      </c>
      <c r="F592" s="18" t="str">
        <f>IF(装备表!$O737=0,"xxx",IFERROR(IF(INT(IF($D592=F$3,装备表!$E737,"xxx")/10000)=1,IF($D592=F$3,装备表!$E737,"xxx")&amp;":2,1,1,"&amp;装备表!$O737&amp;";","xxx"),"xxx"))</f>
        <v>xxx</v>
      </c>
      <c r="G592" s="18" t="str">
        <f>IF(装备表!$O737=0,"xxx",IFERROR(IF(INT(IF($D592=G$3,装备表!$E737,"xxx")/10000)=1,IF($D592=G$3,装备表!$E737,"xxx")&amp;":2,1,1,"&amp;装备表!$O737&amp;";","xxx"),"xxx"))</f>
        <v>xxx</v>
      </c>
      <c r="H592" s="18" t="str">
        <f>IF(装备表!$O737=0,"xxx",IFERROR(IF(INT(IF($D592=H$3,装备表!$E737,"xxx")/10000)=1,IF($D592=H$3,装备表!$E737,"xxx")&amp;":2,1,1,"&amp;装备表!$O737&amp;";","xxx"),"xxx"))</f>
        <v>xxx</v>
      </c>
      <c r="I592" s="18" t="str">
        <f>IF(装备表!$O737=0,"xxx",IFERROR(IF(INT(IF($D592=I$3,装备表!$E737,"xxx")/10000)=1,IF($D592=I$3,装备表!$E737,"xxx")&amp;":2,1,1,"&amp;装备表!$O737&amp;";","xxx"),"xxx"))</f>
        <v>xxx</v>
      </c>
      <c r="J592" s="18" t="str">
        <f>IF(装备表!$O737=0,"xxx",IFERROR(IF(INT(IF($D592=J$3,装备表!$E737,"xxx")/10000)=1,IF($D592=J$3,装备表!$E737,"xxx")&amp;":2,1,1,"&amp;装备表!$O737&amp;";","xxx"),"xxx"))</f>
        <v>xxx</v>
      </c>
    </row>
    <row r="593" spans="4:10" x14ac:dyDescent="0.2">
      <c r="D593" s="18">
        <f>装备表!L738</f>
        <v>0</v>
      </c>
      <c r="E593" s="18" t="str">
        <f>IF(装备表!$O738=0,"xxx",IFERROR(IF(INT(IF($D593=E$3,装备表!$E738,"xxx")/10000)=1,IF($D593=E$3,装备表!$E738,"xxx")&amp;":2,1,1,"&amp;装备表!$O738&amp;";","xxx"),"xxx"))</f>
        <v>xxx</v>
      </c>
      <c r="F593" s="18" t="str">
        <f>IF(装备表!$O738=0,"xxx",IFERROR(IF(INT(IF($D593=F$3,装备表!$E738,"xxx")/10000)=1,IF($D593=F$3,装备表!$E738,"xxx")&amp;":2,1,1,"&amp;装备表!$O738&amp;";","xxx"),"xxx"))</f>
        <v>xxx</v>
      </c>
      <c r="G593" s="18" t="str">
        <f>IF(装备表!$O738=0,"xxx",IFERROR(IF(INT(IF($D593=G$3,装备表!$E738,"xxx")/10000)=1,IF($D593=G$3,装备表!$E738,"xxx")&amp;":2,1,1,"&amp;装备表!$O738&amp;";","xxx"),"xxx"))</f>
        <v>xxx</v>
      </c>
      <c r="H593" s="18" t="str">
        <f>IF(装备表!$O738=0,"xxx",IFERROR(IF(INT(IF($D593=H$3,装备表!$E738,"xxx")/10000)=1,IF($D593=H$3,装备表!$E738,"xxx")&amp;":2,1,1,"&amp;装备表!$O738&amp;";","xxx"),"xxx"))</f>
        <v>xxx</v>
      </c>
      <c r="I593" s="18" t="str">
        <f>IF(装备表!$O738=0,"xxx",IFERROR(IF(INT(IF($D593=I$3,装备表!$E738,"xxx")/10000)=1,IF($D593=I$3,装备表!$E738,"xxx")&amp;":2,1,1,"&amp;装备表!$O738&amp;";","xxx"),"xxx"))</f>
        <v>xxx</v>
      </c>
      <c r="J593" s="18" t="str">
        <f>IF(装备表!$O738=0,"xxx",IFERROR(IF(INT(IF($D593=J$3,装备表!$E738,"xxx")/10000)=1,IF($D593=J$3,装备表!$E738,"xxx")&amp;":2,1,1,"&amp;装备表!$O738&amp;";","xxx"),"xxx"))</f>
        <v>xxx</v>
      </c>
    </row>
    <row r="594" spans="4:10" x14ac:dyDescent="0.2">
      <c r="D594" s="18">
        <f>装备表!L739</f>
        <v>0</v>
      </c>
      <c r="E594" s="18" t="str">
        <f>IF(装备表!$O739=0,"xxx",IFERROR(IF(INT(IF($D594=E$3,装备表!$E739,"xxx")/10000)=1,IF($D594=E$3,装备表!$E739,"xxx")&amp;":2,1,1,"&amp;装备表!$O739&amp;";","xxx"),"xxx"))</f>
        <v>xxx</v>
      </c>
      <c r="F594" s="18" t="str">
        <f>IF(装备表!$O739=0,"xxx",IFERROR(IF(INT(IF($D594=F$3,装备表!$E739,"xxx")/10000)=1,IF($D594=F$3,装备表!$E739,"xxx")&amp;":2,1,1,"&amp;装备表!$O739&amp;";","xxx"),"xxx"))</f>
        <v>xxx</v>
      </c>
      <c r="G594" s="18" t="str">
        <f>IF(装备表!$O739=0,"xxx",IFERROR(IF(INT(IF($D594=G$3,装备表!$E739,"xxx")/10000)=1,IF($D594=G$3,装备表!$E739,"xxx")&amp;":2,1,1,"&amp;装备表!$O739&amp;";","xxx"),"xxx"))</f>
        <v>xxx</v>
      </c>
      <c r="H594" s="18" t="str">
        <f>IF(装备表!$O739=0,"xxx",IFERROR(IF(INT(IF($D594=H$3,装备表!$E739,"xxx")/10000)=1,IF($D594=H$3,装备表!$E739,"xxx")&amp;":2,1,1,"&amp;装备表!$O739&amp;";","xxx"),"xxx"))</f>
        <v>xxx</v>
      </c>
      <c r="I594" s="18" t="str">
        <f>IF(装备表!$O739=0,"xxx",IFERROR(IF(INT(IF($D594=I$3,装备表!$E739,"xxx")/10000)=1,IF($D594=I$3,装备表!$E739,"xxx")&amp;":2,1,1,"&amp;装备表!$O739&amp;";","xxx"),"xxx"))</f>
        <v>xxx</v>
      </c>
      <c r="J594" s="18" t="str">
        <f>IF(装备表!$O739=0,"xxx",IFERROR(IF(INT(IF($D594=J$3,装备表!$E739,"xxx")/10000)=1,IF($D594=J$3,装备表!$E739,"xxx")&amp;":2,1,1,"&amp;装备表!$O739&amp;";","xxx"),"xxx"))</f>
        <v>xxx</v>
      </c>
    </row>
    <row r="595" spans="4:10" x14ac:dyDescent="0.2">
      <c r="D595" s="18">
        <f>装备表!L740</f>
        <v>0</v>
      </c>
      <c r="E595" s="18" t="str">
        <f>IF(装备表!$O740=0,"xxx",IFERROR(IF(INT(IF($D595=E$3,装备表!$E740,"xxx")/10000)=1,IF($D595=E$3,装备表!$E740,"xxx")&amp;":2,1,1,"&amp;装备表!$O740&amp;";","xxx"),"xxx"))</f>
        <v>xxx</v>
      </c>
      <c r="F595" s="18" t="str">
        <f>IF(装备表!$O740=0,"xxx",IFERROR(IF(INT(IF($D595=F$3,装备表!$E740,"xxx")/10000)=1,IF($D595=F$3,装备表!$E740,"xxx")&amp;":2,1,1,"&amp;装备表!$O740&amp;";","xxx"),"xxx"))</f>
        <v>xxx</v>
      </c>
      <c r="G595" s="18" t="str">
        <f>IF(装备表!$O740=0,"xxx",IFERROR(IF(INT(IF($D595=G$3,装备表!$E740,"xxx")/10000)=1,IF($D595=G$3,装备表!$E740,"xxx")&amp;":2,1,1,"&amp;装备表!$O740&amp;";","xxx"),"xxx"))</f>
        <v>xxx</v>
      </c>
      <c r="H595" s="18" t="str">
        <f>IF(装备表!$O740=0,"xxx",IFERROR(IF(INT(IF($D595=H$3,装备表!$E740,"xxx")/10000)=1,IF($D595=H$3,装备表!$E740,"xxx")&amp;":2,1,1,"&amp;装备表!$O740&amp;";","xxx"),"xxx"))</f>
        <v>xxx</v>
      </c>
      <c r="I595" s="18" t="str">
        <f>IF(装备表!$O740=0,"xxx",IFERROR(IF(INT(IF($D595=I$3,装备表!$E740,"xxx")/10000)=1,IF($D595=I$3,装备表!$E740,"xxx")&amp;":2,1,1,"&amp;装备表!$O740&amp;";","xxx"),"xxx"))</f>
        <v>xxx</v>
      </c>
      <c r="J595" s="18" t="str">
        <f>IF(装备表!$O740=0,"xxx",IFERROR(IF(INT(IF($D595=J$3,装备表!$E740,"xxx")/10000)=1,IF($D595=J$3,装备表!$E740,"xxx")&amp;":2,1,1,"&amp;装备表!$O740&amp;";","xxx"),"xxx"))</f>
        <v>xxx</v>
      </c>
    </row>
    <row r="596" spans="4:10" x14ac:dyDescent="0.2">
      <c r="D596" s="18">
        <f>装备表!L741</f>
        <v>0</v>
      </c>
      <c r="E596" s="18" t="str">
        <f>IF(装备表!$O741=0,"xxx",IFERROR(IF(INT(IF($D596=E$3,装备表!$E741,"xxx")/10000)=1,IF($D596=E$3,装备表!$E741,"xxx")&amp;":2,1,1,"&amp;装备表!$O741&amp;";","xxx"),"xxx"))</f>
        <v>xxx</v>
      </c>
      <c r="F596" s="18" t="str">
        <f>IF(装备表!$O741=0,"xxx",IFERROR(IF(INT(IF($D596=F$3,装备表!$E741,"xxx")/10000)=1,IF($D596=F$3,装备表!$E741,"xxx")&amp;":2,1,1,"&amp;装备表!$O741&amp;";","xxx"),"xxx"))</f>
        <v>xxx</v>
      </c>
      <c r="G596" s="18" t="str">
        <f>IF(装备表!$O741=0,"xxx",IFERROR(IF(INT(IF($D596=G$3,装备表!$E741,"xxx")/10000)=1,IF($D596=G$3,装备表!$E741,"xxx")&amp;":2,1,1,"&amp;装备表!$O741&amp;";","xxx"),"xxx"))</f>
        <v>xxx</v>
      </c>
      <c r="H596" s="18" t="str">
        <f>IF(装备表!$O741=0,"xxx",IFERROR(IF(INT(IF($D596=H$3,装备表!$E741,"xxx")/10000)=1,IF($D596=H$3,装备表!$E741,"xxx")&amp;":2,1,1,"&amp;装备表!$O741&amp;";","xxx"),"xxx"))</f>
        <v>xxx</v>
      </c>
      <c r="I596" s="18" t="str">
        <f>IF(装备表!$O741=0,"xxx",IFERROR(IF(INT(IF($D596=I$3,装备表!$E741,"xxx")/10000)=1,IF($D596=I$3,装备表!$E741,"xxx")&amp;":2,1,1,"&amp;装备表!$O741&amp;";","xxx"),"xxx"))</f>
        <v>xxx</v>
      </c>
      <c r="J596" s="18" t="str">
        <f>IF(装备表!$O741=0,"xxx",IFERROR(IF(INT(IF($D596=J$3,装备表!$E741,"xxx")/10000)=1,IF($D596=J$3,装备表!$E741,"xxx")&amp;":2,1,1,"&amp;装备表!$O741&amp;";","xxx"),"xxx"))</f>
        <v>xxx</v>
      </c>
    </row>
    <row r="597" spans="4:10" x14ac:dyDescent="0.2">
      <c r="D597" s="18">
        <f>装备表!L742</f>
        <v>0</v>
      </c>
      <c r="E597" s="18" t="str">
        <f>IF(装备表!$O742=0,"xxx",IFERROR(IF(INT(IF($D597=E$3,装备表!$E742,"xxx")/10000)=1,IF($D597=E$3,装备表!$E742,"xxx")&amp;":2,1,1,"&amp;装备表!$O742&amp;";","xxx"),"xxx"))</f>
        <v>xxx</v>
      </c>
      <c r="F597" s="18" t="str">
        <f>IF(装备表!$O742=0,"xxx",IFERROR(IF(INT(IF($D597=F$3,装备表!$E742,"xxx")/10000)=1,IF($D597=F$3,装备表!$E742,"xxx")&amp;":2,1,1,"&amp;装备表!$O742&amp;";","xxx"),"xxx"))</f>
        <v>xxx</v>
      </c>
      <c r="G597" s="18" t="str">
        <f>IF(装备表!$O742=0,"xxx",IFERROR(IF(INT(IF($D597=G$3,装备表!$E742,"xxx")/10000)=1,IF($D597=G$3,装备表!$E742,"xxx")&amp;":2,1,1,"&amp;装备表!$O742&amp;";","xxx"),"xxx"))</f>
        <v>xxx</v>
      </c>
      <c r="H597" s="18" t="str">
        <f>IF(装备表!$O742=0,"xxx",IFERROR(IF(INT(IF($D597=H$3,装备表!$E742,"xxx")/10000)=1,IF($D597=H$3,装备表!$E742,"xxx")&amp;":2,1,1,"&amp;装备表!$O742&amp;";","xxx"),"xxx"))</f>
        <v>xxx</v>
      </c>
      <c r="I597" s="18" t="str">
        <f>IF(装备表!$O742=0,"xxx",IFERROR(IF(INT(IF($D597=I$3,装备表!$E742,"xxx")/10000)=1,IF($D597=I$3,装备表!$E742,"xxx")&amp;":2,1,1,"&amp;装备表!$O742&amp;";","xxx"),"xxx"))</f>
        <v>xxx</v>
      </c>
      <c r="J597" s="18" t="str">
        <f>IF(装备表!$O742=0,"xxx",IFERROR(IF(INT(IF($D597=J$3,装备表!$E742,"xxx")/10000)=1,IF($D597=J$3,装备表!$E742,"xxx")&amp;":2,1,1,"&amp;装备表!$O742&amp;";","xxx"),"xxx"))</f>
        <v>xxx</v>
      </c>
    </row>
    <row r="598" spans="4:10" x14ac:dyDescent="0.2">
      <c r="D598" s="18">
        <f>装备表!L743</f>
        <v>0</v>
      </c>
      <c r="E598" s="18" t="str">
        <f>IF(装备表!$O743=0,"xxx",IFERROR(IF(INT(IF($D598=E$3,装备表!$E743,"xxx")/10000)=1,IF($D598=E$3,装备表!$E743,"xxx")&amp;":2,1,1,"&amp;装备表!$O743&amp;";","xxx"),"xxx"))</f>
        <v>xxx</v>
      </c>
      <c r="F598" s="18" t="str">
        <f>IF(装备表!$O743=0,"xxx",IFERROR(IF(INT(IF($D598=F$3,装备表!$E743,"xxx")/10000)=1,IF($D598=F$3,装备表!$E743,"xxx")&amp;":2,1,1,"&amp;装备表!$O743&amp;";","xxx"),"xxx"))</f>
        <v>xxx</v>
      </c>
      <c r="G598" s="18" t="str">
        <f>IF(装备表!$O743=0,"xxx",IFERROR(IF(INT(IF($D598=G$3,装备表!$E743,"xxx")/10000)=1,IF($D598=G$3,装备表!$E743,"xxx")&amp;":2,1,1,"&amp;装备表!$O743&amp;";","xxx"),"xxx"))</f>
        <v>xxx</v>
      </c>
      <c r="H598" s="18" t="str">
        <f>IF(装备表!$O743=0,"xxx",IFERROR(IF(INT(IF($D598=H$3,装备表!$E743,"xxx")/10000)=1,IF($D598=H$3,装备表!$E743,"xxx")&amp;":2,1,1,"&amp;装备表!$O743&amp;";","xxx"),"xxx"))</f>
        <v>xxx</v>
      </c>
      <c r="I598" s="18" t="str">
        <f>IF(装备表!$O743=0,"xxx",IFERROR(IF(INT(IF($D598=I$3,装备表!$E743,"xxx")/10000)=1,IF($D598=I$3,装备表!$E743,"xxx")&amp;":2,1,1,"&amp;装备表!$O743&amp;";","xxx"),"xxx"))</f>
        <v>xxx</v>
      </c>
      <c r="J598" s="18" t="str">
        <f>IF(装备表!$O743=0,"xxx",IFERROR(IF(INT(IF($D598=J$3,装备表!$E743,"xxx")/10000)=1,IF($D598=J$3,装备表!$E743,"xxx")&amp;":2,1,1,"&amp;装备表!$O743&amp;";","xxx"),"xxx"))</f>
        <v>xxx</v>
      </c>
    </row>
    <row r="599" spans="4:10" x14ac:dyDescent="0.2">
      <c r="D599" s="18">
        <f>装备表!L744</f>
        <v>0</v>
      </c>
      <c r="E599" s="18" t="str">
        <f>IF(装备表!$O744=0,"xxx",IFERROR(IF(INT(IF($D599=E$3,装备表!$E744,"xxx")/10000)=1,IF($D599=E$3,装备表!$E744,"xxx")&amp;":2,1,1,"&amp;装备表!$O744&amp;";","xxx"),"xxx"))</f>
        <v>xxx</v>
      </c>
      <c r="F599" s="18" t="str">
        <f>IF(装备表!$O744=0,"xxx",IFERROR(IF(INT(IF($D599=F$3,装备表!$E744,"xxx")/10000)=1,IF($D599=F$3,装备表!$E744,"xxx")&amp;":2,1,1,"&amp;装备表!$O744&amp;";","xxx"),"xxx"))</f>
        <v>xxx</v>
      </c>
      <c r="G599" s="18" t="str">
        <f>IF(装备表!$O744=0,"xxx",IFERROR(IF(INT(IF($D599=G$3,装备表!$E744,"xxx")/10000)=1,IF($D599=G$3,装备表!$E744,"xxx")&amp;":2,1,1,"&amp;装备表!$O744&amp;";","xxx"),"xxx"))</f>
        <v>xxx</v>
      </c>
      <c r="H599" s="18" t="str">
        <f>IF(装备表!$O744=0,"xxx",IFERROR(IF(INT(IF($D599=H$3,装备表!$E744,"xxx")/10000)=1,IF($D599=H$3,装备表!$E744,"xxx")&amp;":2,1,1,"&amp;装备表!$O744&amp;";","xxx"),"xxx"))</f>
        <v>xxx</v>
      </c>
      <c r="I599" s="18" t="str">
        <f>IF(装备表!$O744=0,"xxx",IFERROR(IF(INT(IF($D599=I$3,装备表!$E744,"xxx")/10000)=1,IF($D599=I$3,装备表!$E744,"xxx")&amp;":2,1,1,"&amp;装备表!$O744&amp;";","xxx"),"xxx"))</f>
        <v>xxx</v>
      </c>
      <c r="J599" s="18" t="str">
        <f>IF(装备表!$O744=0,"xxx",IFERROR(IF(INT(IF($D599=J$3,装备表!$E744,"xxx")/10000)=1,IF($D599=J$3,装备表!$E744,"xxx")&amp;":2,1,1,"&amp;装备表!$O744&amp;";","xxx"),"xxx"))</f>
        <v>xxx</v>
      </c>
    </row>
    <row r="600" spans="4:10" x14ac:dyDescent="0.2">
      <c r="D600" s="18">
        <f>装备表!L745</f>
        <v>0</v>
      </c>
      <c r="E600" s="18" t="str">
        <f>IF(装备表!$O745=0,"xxx",IFERROR(IF(INT(IF($D600=E$3,装备表!$E745,"xxx")/10000)=1,IF($D600=E$3,装备表!$E745,"xxx")&amp;":2,1,1,"&amp;装备表!$O745&amp;";","xxx"),"xxx"))</f>
        <v>xxx</v>
      </c>
      <c r="F600" s="18" t="str">
        <f>IF(装备表!$O745=0,"xxx",IFERROR(IF(INT(IF($D600=F$3,装备表!$E745,"xxx")/10000)=1,IF($D600=F$3,装备表!$E745,"xxx")&amp;":2,1,1,"&amp;装备表!$O745&amp;";","xxx"),"xxx"))</f>
        <v>xxx</v>
      </c>
      <c r="G600" s="18" t="str">
        <f>IF(装备表!$O745=0,"xxx",IFERROR(IF(INT(IF($D600=G$3,装备表!$E745,"xxx")/10000)=1,IF($D600=G$3,装备表!$E745,"xxx")&amp;":2,1,1,"&amp;装备表!$O745&amp;";","xxx"),"xxx"))</f>
        <v>xxx</v>
      </c>
      <c r="H600" s="18" t="str">
        <f>IF(装备表!$O745=0,"xxx",IFERROR(IF(INT(IF($D600=H$3,装备表!$E745,"xxx")/10000)=1,IF($D600=H$3,装备表!$E745,"xxx")&amp;":2,1,1,"&amp;装备表!$O745&amp;";","xxx"),"xxx"))</f>
        <v>xxx</v>
      </c>
      <c r="I600" s="18" t="str">
        <f>IF(装备表!$O745=0,"xxx",IFERROR(IF(INT(IF($D600=I$3,装备表!$E745,"xxx")/10000)=1,IF($D600=I$3,装备表!$E745,"xxx")&amp;":2,1,1,"&amp;装备表!$O745&amp;";","xxx"),"xxx"))</f>
        <v>xxx</v>
      </c>
      <c r="J600" s="18" t="str">
        <f>IF(装备表!$O745=0,"xxx",IFERROR(IF(INT(IF($D600=J$3,装备表!$E745,"xxx")/10000)=1,IF($D600=J$3,装备表!$E745,"xxx")&amp;":2,1,1,"&amp;装备表!$O745&amp;";","xxx"),"xxx"))</f>
        <v>xxx</v>
      </c>
    </row>
    <row r="601" spans="4:10" x14ac:dyDescent="0.2">
      <c r="D601" s="18">
        <f>装备表!L746</f>
        <v>0</v>
      </c>
      <c r="E601" s="18" t="str">
        <f>IF(装备表!$O746=0,"xxx",IFERROR(IF(INT(IF($D601=E$3,装备表!$E746,"xxx")/10000)=1,IF($D601=E$3,装备表!$E746,"xxx")&amp;":2,1,1,"&amp;装备表!$O746&amp;";","xxx"),"xxx"))</f>
        <v>xxx</v>
      </c>
      <c r="F601" s="18" t="str">
        <f>IF(装备表!$O746=0,"xxx",IFERROR(IF(INT(IF($D601=F$3,装备表!$E746,"xxx")/10000)=1,IF($D601=F$3,装备表!$E746,"xxx")&amp;":2,1,1,"&amp;装备表!$O746&amp;";","xxx"),"xxx"))</f>
        <v>xxx</v>
      </c>
      <c r="G601" s="18" t="str">
        <f>IF(装备表!$O746=0,"xxx",IFERROR(IF(INT(IF($D601=G$3,装备表!$E746,"xxx")/10000)=1,IF($D601=G$3,装备表!$E746,"xxx")&amp;":2,1,1,"&amp;装备表!$O746&amp;";","xxx"),"xxx"))</f>
        <v>xxx</v>
      </c>
      <c r="H601" s="18" t="str">
        <f>IF(装备表!$O746=0,"xxx",IFERROR(IF(INT(IF($D601=H$3,装备表!$E746,"xxx")/10000)=1,IF($D601=H$3,装备表!$E746,"xxx")&amp;":2,1,1,"&amp;装备表!$O746&amp;";","xxx"),"xxx"))</f>
        <v>xxx</v>
      </c>
      <c r="I601" s="18" t="str">
        <f>IF(装备表!$O746=0,"xxx",IFERROR(IF(INT(IF($D601=I$3,装备表!$E746,"xxx")/10000)=1,IF($D601=I$3,装备表!$E746,"xxx")&amp;":2,1,1,"&amp;装备表!$O746&amp;";","xxx"),"xxx"))</f>
        <v>xxx</v>
      </c>
      <c r="J601" s="18" t="str">
        <f>IF(装备表!$O746=0,"xxx",IFERROR(IF(INT(IF($D601=J$3,装备表!$E746,"xxx")/10000)=1,IF($D601=J$3,装备表!$E746,"xxx")&amp;":2,1,1,"&amp;装备表!$O746&amp;";","xxx"),"xxx"))</f>
        <v>xxx</v>
      </c>
    </row>
    <row r="602" spans="4:10" x14ac:dyDescent="0.2">
      <c r="D602" s="18">
        <f>装备表!L747</f>
        <v>0</v>
      </c>
      <c r="E602" s="18" t="str">
        <f>IF(装备表!$O747=0,"xxx",IFERROR(IF(INT(IF($D602=E$3,装备表!$E747,"xxx")/10000)=1,IF($D602=E$3,装备表!$E747,"xxx")&amp;":2,1,1,"&amp;装备表!$O747&amp;";","xxx"),"xxx"))</f>
        <v>xxx</v>
      </c>
      <c r="F602" s="18" t="str">
        <f>IF(装备表!$O747=0,"xxx",IFERROR(IF(INT(IF($D602=F$3,装备表!$E747,"xxx")/10000)=1,IF($D602=F$3,装备表!$E747,"xxx")&amp;":2,1,1,"&amp;装备表!$O747&amp;";","xxx"),"xxx"))</f>
        <v>xxx</v>
      </c>
      <c r="G602" s="18" t="str">
        <f>IF(装备表!$O747=0,"xxx",IFERROR(IF(INT(IF($D602=G$3,装备表!$E747,"xxx")/10000)=1,IF($D602=G$3,装备表!$E747,"xxx")&amp;":2,1,1,"&amp;装备表!$O747&amp;";","xxx"),"xxx"))</f>
        <v>xxx</v>
      </c>
      <c r="H602" s="18" t="str">
        <f>IF(装备表!$O747=0,"xxx",IFERROR(IF(INT(IF($D602=H$3,装备表!$E747,"xxx")/10000)=1,IF($D602=H$3,装备表!$E747,"xxx")&amp;":2,1,1,"&amp;装备表!$O747&amp;";","xxx"),"xxx"))</f>
        <v>xxx</v>
      </c>
      <c r="I602" s="18" t="str">
        <f>IF(装备表!$O747=0,"xxx",IFERROR(IF(INT(IF($D602=I$3,装备表!$E747,"xxx")/10000)=1,IF($D602=I$3,装备表!$E747,"xxx")&amp;":2,1,1,"&amp;装备表!$O747&amp;";","xxx"),"xxx"))</f>
        <v>xxx</v>
      </c>
      <c r="J602" s="18" t="str">
        <f>IF(装备表!$O747=0,"xxx",IFERROR(IF(INT(IF($D602=J$3,装备表!$E747,"xxx")/10000)=1,IF($D602=J$3,装备表!$E747,"xxx")&amp;":2,1,1,"&amp;装备表!$O747&amp;";","xxx"),"xxx"))</f>
        <v>xxx</v>
      </c>
    </row>
    <row r="603" spans="4:10" x14ac:dyDescent="0.2">
      <c r="D603" s="18">
        <f>装备表!L748</f>
        <v>0</v>
      </c>
      <c r="E603" s="18" t="str">
        <f>IF(装备表!$O748=0,"xxx",IFERROR(IF(INT(IF($D603=E$3,装备表!$E748,"xxx")/10000)=1,IF($D603=E$3,装备表!$E748,"xxx")&amp;":2,1,1,"&amp;装备表!$O748&amp;";","xxx"),"xxx"))</f>
        <v>xxx</v>
      </c>
      <c r="F603" s="18" t="str">
        <f>IF(装备表!$O748=0,"xxx",IFERROR(IF(INT(IF($D603=F$3,装备表!$E748,"xxx")/10000)=1,IF($D603=F$3,装备表!$E748,"xxx")&amp;":2,1,1,"&amp;装备表!$O748&amp;";","xxx"),"xxx"))</f>
        <v>xxx</v>
      </c>
      <c r="G603" s="18" t="str">
        <f>IF(装备表!$O748=0,"xxx",IFERROR(IF(INT(IF($D603=G$3,装备表!$E748,"xxx")/10000)=1,IF($D603=G$3,装备表!$E748,"xxx")&amp;":2,1,1,"&amp;装备表!$O748&amp;";","xxx"),"xxx"))</f>
        <v>xxx</v>
      </c>
      <c r="H603" s="18" t="str">
        <f>IF(装备表!$O748=0,"xxx",IFERROR(IF(INT(IF($D603=H$3,装备表!$E748,"xxx")/10000)=1,IF($D603=H$3,装备表!$E748,"xxx")&amp;":2,1,1,"&amp;装备表!$O748&amp;";","xxx"),"xxx"))</f>
        <v>xxx</v>
      </c>
      <c r="I603" s="18" t="str">
        <f>IF(装备表!$O748=0,"xxx",IFERROR(IF(INT(IF($D603=I$3,装备表!$E748,"xxx")/10000)=1,IF($D603=I$3,装备表!$E748,"xxx")&amp;":2,1,1,"&amp;装备表!$O748&amp;";","xxx"),"xxx"))</f>
        <v>xxx</v>
      </c>
      <c r="J603" s="18" t="str">
        <f>IF(装备表!$O748=0,"xxx",IFERROR(IF(INT(IF($D603=J$3,装备表!$E748,"xxx")/10000)=1,IF($D603=J$3,装备表!$E748,"xxx")&amp;":2,1,1,"&amp;装备表!$O748&amp;";","xxx"),"xxx"))</f>
        <v>xxx</v>
      </c>
    </row>
    <row r="604" spans="4:10" x14ac:dyDescent="0.2">
      <c r="D604" s="18">
        <f>装备表!L749</f>
        <v>0</v>
      </c>
      <c r="E604" s="18" t="str">
        <f>IF(装备表!$O749=0,"xxx",IFERROR(IF(INT(IF($D604=E$3,装备表!$E749,"xxx")/10000)=1,IF($D604=E$3,装备表!$E749,"xxx")&amp;":2,1,1,"&amp;装备表!$O749&amp;";","xxx"),"xxx"))</f>
        <v>xxx</v>
      </c>
      <c r="F604" s="18" t="str">
        <f>IF(装备表!$O749=0,"xxx",IFERROR(IF(INT(IF($D604=F$3,装备表!$E749,"xxx")/10000)=1,IF($D604=F$3,装备表!$E749,"xxx")&amp;":2,1,1,"&amp;装备表!$O749&amp;";","xxx"),"xxx"))</f>
        <v>xxx</v>
      </c>
      <c r="G604" s="18" t="str">
        <f>IF(装备表!$O749=0,"xxx",IFERROR(IF(INT(IF($D604=G$3,装备表!$E749,"xxx")/10000)=1,IF($D604=G$3,装备表!$E749,"xxx")&amp;":2,1,1,"&amp;装备表!$O749&amp;";","xxx"),"xxx"))</f>
        <v>xxx</v>
      </c>
      <c r="H604" s="18" t="str">
        <f>IF(装备表!$O749=0,"xxx",IFERROR(IF(INT(IF($D604=H$3,装备表!$E749,"xxx")/10000)=1,IF($D604=H$3,装备表!$E749,"xxx")&amp;":2,1,1,"&amp;装备表!$O749&amp;";","xxx"),"xxx"))</f>
        <v>xxx</v>
      </c>
      <c r="I604" s="18" t="str">
        <f>IF(装备表!$O749=0,"xxx",IFERROR(IF(INT(IF($D604=I$3,装备表!$E749,"xxx")/10000)=1,IF($D604=I$3,装备表!$E749,"xxx")&amp;":2,1,1,"&amp;装备表!$O749&amp;";","xxx"),"xxx"))</f>
        <v>xxx</v>
      </c>
      <c r="J604" s="18" t="str">
        <f>IF(装备表!$O749=0,"xxx",IFERROR(IF(INT(IF($D604=J$3,装备表!$E749,"xxx")/10000)=1,IF($D604=J$3,装备表!$E749,"xxx")&amp;":2,1,1,"&amp;装备表!$O749&amp;";","xxx"),"xxx"))</f>
        <v>xxx</v>
      </c>
    </row>
    <row r="605" spans="4:10" x14ac:dyDescent="0.2">
      <c r="D605" s="18">
        <f>装备表!L750</f>
        <v>0</v>
      </c>
      <c r="E605" s="18" t="str">
        <f>IF(装备表!$O750=0,"xxx",IFERROR(IF(INT(IF($D605=E$3,装备表!$E750,"xxx")/10000)=1,IF($D605=E$3,装备表!$E750,"xxx")&amp;":2,1,1,"&amp;装备表!$O750&amp;";","xxx"),"xxx"))</f>
        <v>xxx</v>
      </c>
      <c r="F605" s="18" t="str">
        <f>IF(装备表!$O750=0,"xxx",IFERROR(IF(INT(IF($D605=F$3,装备表!$E750,"xxx")/10000)=1,IF($D605=F$3,装备表!$E750,"xxx")&amp;":2,1,1,"&amp;装备表!$O750&amp;";","xxx"),"xxx"))</f>
        <v>xxx</v>
      </c>
      <c r="G605" s="18" t="str">
        <f>IF(装备表!$O750=0,"xxx",IFERROR(IF(INT(IF($D605=G$3,装备表!$E750,"xxx")/10000)=1,IF($D605=G$3,装备表!$E750,"xxx")&amp;":2,1,1,"&amp;装备表!$O750&amp;";","xxx"),"xxx"))</f>
        <v>xxx</v>
      </c>
      <c r="H605" s="18" t="str">
        <f>IF(装备表!$O750=0,"xxx",IFERROR(IF(INT(IF($D605=H$3,装备表!$E750,"xxx")/10000)=1,IF($D605=H$3,装备表!$E750,"xxx")&amp;":2,1,1,"&amp;装备表!$O750&amp;";","xxx"),"xxx"))</f>
        <v>xxx</v>
      </c>
      <c r="I605" s="18" t="str">
        <f>IF(装备表!$O750=0,"xxx",IFERROR(IF(INT(IF($D605=I$3,装备表!$E750,"xxx")/10000)=1,IF($D605=I$3,装备表!$E750,"xxx")&amp;":2,1,1,"&amp;装备表!$O750&amp;";","xxx"),"xxx"))</f>
        <v>xxx</v>
      </c>
      <c r="J605" s="18" t="str">
        <f>IF(装备表!$O750=0,"xxx",IFERROR(IF(INT(IF($D605=J$3,装备表!$E750,"xxx")/10000)=1,IF($D605=J$3,装备表!$E750,"xxx")&amp;":2,1,1,"&amp;装备表!$O750&amp;";","xxx"),"xxx"))</f>
        <v>xxx</v>
      </c>
    </row>
    <row r="606" spans="4:10" x14ac:dyDescent="0.2">
      <c r="D606" s="18">
        <f>装备表!L751</f>
        <v>0</v>
      </c>
      <c r="E606" s="18" t="str">
        <f>IF(装备表!$O751=0,"xxx",IFERROR(IF(INT(IF($D606=E$3,装备表!$E751,"xxx")/10000)=1,IF($D606=E$3,装备表!$E751,"xxx")&amp;":2,1,1,"&amp;装备表!$O751&amp;";","xxx"),"xxx"))</f>
        <v>xxx</v>
      </c>
      <c r="F606" s="18" t="str">
        <f>IF(装备表!$O751=0,"xxx",IFERROR(IF(INT(IF($D606=F$3,装备表!$E751,"xxx")/10000)=1,IF($D606=F$3,装备表!$E751,"xxx")&amp;":2,1,1,"&amp;装备表!$O751&amp;";","xxx"),"xxx"))</f>
        <v>xxx</v>
      </c>
      <c r="G606" s="18" t="str">
        <f>IF(装备表!$O751=0,"xxx",IFERROR(IF(INT(IF($D606=G$3,装备表!$E751,"xxx")/10000)=1,IF($D606=G$3,装备表!$E751,"xxx")&amp;":2,1,1,"&amp;装备表!$O751&amp;";","xxx"),"xxx"))</f>
        <v>xxx</v>
      </c>
      <c r="H606" s="18" t="str">
        <f>IF(装备表!$O751=0,"xxx",IFERROR(IF(INT(IF($D606=H$3,装备表!$E751,"xxx")/10000)=1,IF($D606=H$3,装备表!$E751,"xxx")&amp;":2,1,1,"&amp;装备表!$O751&amp;";","xxx"),"xxx"))</f>
        <v>xxx</v>
      </c>
      <c r="I606" s="18" t="str">
        <f>IF(装备表!$O751=0,"xxx",IFERROR(IF(INT(IF($D606=I$3,装备表!$E751,"xxx")/10000)=1,IF($D606=I$3,装备表!$E751,"xxx")&amp;":2,1,1,"&amp;装备表!$O751&amp;";","xxx"),"xxx"))</f>
        <v>xxx</v>
      </c>
      <c r="J606" s="18" t="str">
        <f>IF(装备表!$O751=0,"xxx",IFERROR(IF(INT(IF($D606=J$3,装备表!$E751,"xxx")/10000)=1,IF($D606=J$3,装备表!$E751,"xxx")&amp;":2,1,1,"&amp;装备表!$O751&amp;";","xxx"),"xxx"))</f>
        <v>xxx</v>
      </c>
    </row>
    <row r="607" spans="4:10" x14ac:dyDescent="0.2">
      <c r="D607" s="18">
        <f>装备表!L752</f>
        <v>0</v>
      </c>
      <c r="E607" s="18" t="str">
        <f>IF(装备表!$O752=0,"xxx",IFERROR(IF(INT(IF($D607=E$3,装备表!$E752,"xxx")/10000)=1,IF($D607=E$3,装备表!$E752,"xxx")&amp;":2,1,1,"&amp;装备表!$O752&amp;";","xxx"),"xxx"))</f>
        <v>xxx</v>
      </c>
      <c r="F607" s="18" t="str">
        <f>IF(装备表!$O752=0,"xxx",IFERROR(IF(INT(IF($D607=F$3,装备表!$E752,"xxx")/10000)=1,IF($D607=F$3,装备表!$E752,"xxx")&amp;":2,1,1,"&amp;装备表!$O752&amp;";","xxx"),"xxx"))</f>
        <v>xxx</v>
      </c>
      <c r="G607" s="18" t="str">
        <f>IF(装备表!$O752=0,"xxx",IFERROR(IF(INT(IF($D607=G$3,装备表!$E752,"xxx")/10000)=1,IF($D607=G$3,装备表!$E752,"xxx")&amp;":2,1,1,"&amp;装备表!$O752&amp;";","xxx"),"xxx"))</f>
        <v>xxx</v>
      </c>
      <c r="H607" s="18" t="str">
        <f>IF(装备表!$O752=0,"xxx",IFERROR(IF(INT(IF($D607=H$3,装备表!$E752,"xxx")/10000)=1,IF($D607=H$3,装备表!$E752,"xxx")&amp;":2,1,1,"&amp;装备表!$O752&amp;";","xxx"),"xxx"))</f>
        <v>xxx</v>
      </c>
      <c r="I607" s="18" t="str">
        <f>IF(装备表!$O752=0,"xxx",IFERROR(IF(INT(IF($D607=I$3,装备表!$E752,"xxx")/10000)=1,IF($D607=I$3,装备表!$E752,"xxx")&amp;":2,1,1,"&amp;装备表!$O752&amp;";","xxx"),"xxx"))</f>
        <v>xxx</v>
      </c>
      <c r="J607" s="18" t="str">
        <f>IF(装备表!$O752=0,"xxx",IFERROR(IF(INT(IF($D607=J$3,装备表!$E752,"xxx")/10000)=1,IF($D607=J$3,装备表!$E752,"xxx")&amp;":2,1,1,"&amp;装备表!$O752&amp;";","xxx"),"xxx"))</f>
        <v>xxx</v>
      </c>
    </row>
    <row r="608" spans="4:10" x14ac:dyDescent="0.2">
      <c r="D608" s="18">
        <f>装备表!L753</f>
        <v>0</v>
      </c>
      <c r="E608" s="18" t="str">
        <f>IF(装备表!$O753=0,"xxx",IFERROR(IF(INT(IF($D608=E$3,装备表!$E753,"xxx")/10000)=1,IF($D608=E$3,装备表!$E753,"xxx")&amp;":2,1,1,"&amp;装备表!$O753&amp;";","xxx"),"xxx"))</f>
        <v>xxx</v>
      </c>
      <c r="F608" s="18" t="str">
        <f>IF(装备表!$O753=0,"xxx",IFERROR(IF(INT(IF($D608=F$3,装备表!$E753,"xxx")/10000)=1,IF($D608=F$3,装备表!$E753,"xxx")&amp;":2,1,1,"&amp;装备表!$O753&amp;";","xxx"),"xxx"))</f>
        <v>xxx</v>
      </c>
      <c r="G608" s="18" t="str">
        <f>IF(装备表!$O753=0,"xxx",IFERROR(IF(INT(IF($D608=G$3,装备表!$E753,"xxx")/10000)=1,IF($D608=G$3,装备表!$E753,"xxx")&amp;":2,1,1,"&amp;装备表!$O753&amp;";","xxx"),"xxx"))</f>
        <v>xxx</v>
      </c>
      <c r="H608" s="18" t="str">
        <f>IF(装备表!$O753=0,"xxx",IFERROR(IF(INT(IF($D608=H$3,装备表!$E753,"xxx")/10000)=1,IF($D608=H$3,装备表!$E753,"xxx")&amp;":2,1,1,"&amp;装备表!$O753&amp;";","xxx"),"xxx"))</f>
        <v>xxx</v>
      </c>
      <c r="I608" s="18" t="str">
        <f>IF(装备表!$O753=0,"xxx",IFERROR(IF(INT(IF($D608=I$3,装备表!$E753,"xxx")/10000)=1,IF($D608=I$3,装备表!$E753,"xxx")&amp;":2,1,1,"&amp;装备表!$O753&amp;";","xxx"),"xxx"))</f>
        <v>xxx</v>
      </c>
      <c r="J608" s="18" t="str">
        <f>IF(装备表!$O753=0,"xxx",IFERROR(IF(INT(IF($D608=J$3,装备表!$E753,"xxx")/10000)=1,IF($D608=J$3,装备表!$E753,"xxx")&amp;":2,1,1,"&amp;装备表!$O753&amp;";","xxx"),"xxx"))</f>
        <v>xxx</v>
      </c>
    </row>
    <row r="609" spans="4:10" x14ac:dyDescent="0.2">
      <c r="D609" s="18">
        <f>装备表!L754</f>
        <v>0</v>
      </c>
      <c r="E609" s="18" t="str">
        <f>IF(装备表!$O754=0,"xxx",IFERROR(IF(INT(IF($D609=E$3,装备表!$E754,"xxx")/10000)=1,IF($D609=E$3,装备表!$E754,"xxx")&amp;":2,1,1,"&amp;装备表!$O754&amp;";","xxx"),"xxx"))</f>
        <v>xxx</v>
      </c>
      <c r="F609" s="18" t="str">
        <f>IF(装备表!$O754=0,"xxx",IFERROR(IF(INT(IF($D609=F$3,装备表!$E754,"xxx")/10000)=1,IF($D609=F$3,装备表!$E754,"xxx")&amp;":2,1,1,"&amp;装备表!$O754&amp;";","xxx"),"xxx"))</f>
        <v>xxx</v>
      </c>
      <c r="G609" s="18" t="str">
        <f>IF(装备表!$O754=0,"xxx",IFERROR(IF(INT(IF($D609=G$3,装备表!$E754,"xxx")/10000)=1,IF($D609=G$3,装备表!$E754,"xxx")&amp;":2,1,1,"&amp;装备表!$O754&amp;";","xxx"),"xxx"))</f>
        <v>xxx</v>
      </c>
      <c r="H609" s="18" t="str">
        <f>IF(装备表!$O754=0,"xxx",IFERROR(IF(INT(IF($D609=H$3,装备表!$E754,"xxx")/10000)=1,IF($D609=H$3,装备表!$E754,"xxx")&amp;":2,1,1,"&amp;装备表!$O754&amp;";","xxx"),"xxx"))</f>
        <v>xxx</v>
      </c>
      <c r="I609" s="18" t="str">
        <f>IF(装备表!$O754=0,"xxx",IFERROR(IF(INT(IF($D609=I$3,装备表!$E754,"xxx")/10000)=1,IF($D609=I$3,装备表!$E754,"xxx")&amp;":2,1,1,"&amp;装备表!$O754&amp;";","xxx"),"xxx"))</f>
        <v>xxx</v>
      </c>
      <c r="J609" s="18" t="str">
        <f>IF(装备表!$O754=0,"xxx",IFERROR(IF(INT(IF($D609=J$3,装备表!$E754,"xxx")/10000)=1,IF($D609=J$3,装备表!$E754,"xxx")&amp;":2,1,1,"&amp;装备表!$O754&amp;";","xxx"),"xxx"))</f>
        <v>xxx</v>
      </c>
    </row>
    <row r="610" spans="4:10" x14ac:dyDescent="0.2">
      <c r="D610" s="18">
        <f>装备表!L755</f>
        <v>0</v>
      </c>
      <c r="E610" s="18" t="str">
        <f>IF(装备表!$O755=0,"xxx",IFERROR(IF(INT(IF($D610=E$3,装备表!$E755,"xxx")/10000)=1,IF($D610=E$3,装备表!$E755,"xxx")&amp;":2,1,1,"&amp;装备表!$O755&amp;";","xxx"),"xxx"))</f>
        <v>xxx</v>
      </c>
      <c r="F610" s="18" t="str">
        <f>IF(装备表!$O755=0,"xxx",IFERROR(IF(INT(IF($D610=F$3,装备表!$E755,"xxx")/10000)=1,IF($D610=F$3,装备表!$E755,"xxx")&amp;":2,1,1,"&amp;装备表!$O755&amp;";","xxx"),"xxx"))</f>
        <v>xxx</v>
      </c>
      <c r="G610" s="18" t="str">
        <f>IF(装备表!$O755=0,"xxx",IFERROR(IF(INT(IF($D610=G$3,装备表!$E755,"xxx")/10000)=1,IF($D610=G$3,装备表!$E755,"xxx")&amp;":2,1,1,"&amp;装备表!$O755&amp;";","xxx"),"xxx"))</f>
        <v>xxx</v>
      </c>
      <c r="H610" s="18" t="str">
        <f>IF(装备表!$O755=0,"xxx",IFERROR(IF(INT(IF($D610=H$3,装备表!$E755,"xxx")/10000)=1,IF($D610=H$3,装备表!$E755,"xxx")&amp;":2,1,1,"&amp;装备表!$O755&amp;";","xxx"),"xxx"))</f>
        <v>xxx</v>
      </c>
      <c r="I610" s="18" t="str">
        <f>IF(装备表!$O755=0,"xxx",IFERROR(IF(INT(IF($D610=I$3,装备表!$E755,"xxx")/10000)=1,IF($D610=I$3,装备表!$E755,"xxx")&amp;":2,1,1,"&amp;装备表!$O755&amp;";","xxx"),"xxx"))</f>
        <v>xxx</v>
      </c>
      <c r="J610" s="18" t="str">
        <f>IF(装备表!$O755=0,"xxx",IFERROR(IF(INT(IF($D610=J$3,装备表!$E755,"xxx")/10000)=1,IF($D610=J$3,装备表!$E755,"xxx")&amp;":2,1,1,"&amp;装备表!$O755&amp;";","xxx"),"xxx"))</f>
        <v>xxx</v>
      </c>
    </row>
    <row r="611" spans="4:10" x14ac:dyDescent="0.2">
      <c r="D611" s="18">
        <f>装备表!L756</f>
        <v>0</v>
      </c>
      <c r="E611" s="18" t="str">
        <f>IF(装备表!$O756=0,"xxx",IFERROR(IF(INT(IF($D611=E$3,装备表!$E756,"xxx")/10000)=1,IF($D611=E$3,装备表!$E756,"xxx")&amp;":2,1,1,"&amp;装备表!$O756&amp;";","xxx"),"xxx"))</f>
        <v>xxx</v>
      </c>
      <c r="F611" s="18" t="str">
        <f>IF(装备表!$O756=0,"xxx",IFERROR(IF(INT(IF($D611=F$3,装备表!$E756,"xxx")/10000)=1,IF($D611=F$3,装备表!$E756,"xxx")&amp;":2,1,1,"&amp;装备表!$O756&amp;";","xxx"),"xxx"))</f>
        <v>xxx</v>
      </c>
      <c r="G611" s="18" t="str">
        <f>IF(装备表!$O756=0,"xxx",IFERROR(IF(INT(IF($D611=G$3,装备表!$E756,"xxx")/10000)=1,IF($D611=G$3,装备表!$E756,"xxx")&amp;":2,1,1,"&amp;装备表!$O756&amp;";","xxx"),"xxx"))</f>
        <v>xxx</v>
      </c>
      <c r="H611" s="18" t="str">
        <f>IF(装备表!$O756=0,"xxx",IFERROR(IF(INT(IF($D611=H$3,装备表!$E756,"xxx")/10000)=1,IF($D611=H$3,装备表!$E756,"xxx")&amp;":2,1,1,"&amp;装备表!$O756&amp;";","xxx"),"xxx"))</f>
        <v>xxx</v>
      </c>
      <c r="I611" s="18" t="str">
        <f>IF(装备表!$O756=0,"xxx",IFERROR(IF(INT(IF($D611=I$3,装备表!$E756,"xxx")/10000)=1,IF($D611=I$3,装备表!$E756,"xxx")&amp;":2,1,1,"&amp;装备表!$O756&amp;";","xxx"),"xxx"))</f>
        <v>xxx</v>
      </c>
      <c r="J611" s="18" t="str">
        <f>IF(装备表!$O756=0,"xxx",IFERROR(IF(INT(IF($D611=J$3,装备表!$E756,"xxx")/10000)=1,IF($D611=J$3,装备表!$E756,"xxx")&amp;":2,1,1,"&amp;装备表!$O756&amp;";","xxx"),"xxx"))</f>
        <v>xxx</v>
      </c>
    </row>
    <row r="612" spans="4:10" x14ac:dyDescent="0.2">
      <c r="D612" s="18">
        <f>装备表!L757</f>
        <v>0</v>
      </c>
      <c r="E612" s="18" t="str">
        <f>IF(装备表!$O757=0,"xxx",IFERROR(IF(INT(IF($D612=E$3,装备表!$E757,"xxx")/10000)=1,IF($D612=E$3,装备表!$E757,"xxx")&amp;":2,1,1,"&amp;装备表!$O757&amp;";","xxx"),"xxx"))</f>
        <v>xxx</v>
      </c>
      <c r="F612" s="18" t="str">
        <f>IF(装备表!$O757=0,"xxx",IFERROR(IF(INT(IF($D612=F$3,装备表!$E757,"xxx")/10000)=1,IF($D612=F$3,装备表!$E757,"xxx")&amp;":2,1,1,"&amp;装备表!$O757&amp;";","xxx"),"xxx"))</f>
        <v>xxx</v>
      </c>
      <c r="G612" s="18" t="str">
        <f>IF(装备表!$O757=0,"xxx",IFERROR(IF(INT(IF($D612=G$3,装备表!$E757,"xxx")/10000)=1,IF($D612=G$3,装备表!$E757,"xxx")&amp;":2,1,1,"&amp;装备表!$O757&amp;";","xxx"),"xxx"))</f>
        <v>xxx</v>
      </c>
      <c r="H612" s="18" t="str">
        <f>IF(装备表!$O757=0,"xxx",IFERROR(IF(INT(IF($D612=H$3,装备表!$E757,"xxx")/10000)=1,IF($D612=H$3,装备表!$E757,"xxx")&amp;":2,1,1,"&amp;装备表!$O757&amp;";","xxx"),"xxx"))</f>
        <v>xxx</v>
      </c>
      <c r="I612" s="18" t="str">
        <f>IF(装备表!$O757=0,"xxx",IFERROR(IF(INT(IF($D612=I$3,装备表!$E757,"xxx")/10000)=1,IF($D612=I$3,装备表!$E757,"xxx")&amp;":2,1,1,"&amp;装备表!$O757&amp;";","xxx"),"xxx"))</f>
        <v>xxx</v>
      </c>
      <c r="J612" s="18" t="str">
        <f>IF(装备表!$O757=0,"xxx",IFERROR(IF(INT(IF($D612=J$3,装备表!$E757,"xxx")/10000)=1,IF($D612=J$3,装备表!$E757,"xxx")&amp;":2,1,1,"&amp;装备表!$O757&amp;";","xxx"),"xxx"))</f>
        <v>xxx</v>
      </c>
    </row>
    <row r="613" spans="4:10" x14ac:dyDescent="0.2">
      <c r="D613" s="18">
        <f>装备表!L758</f>
        <v>0</v>
      </c>
      <c r="E613" s="18" t="str">
        <f>IF(装备表!$O758=0,"xxx",IFERROR(IF(INT(IF($D613=E$3,装备表!$E758,"xxx")/10000)=1,IF($D613=E$3,装备表!$E758,"xxx")&amp;":2,1,1,"&amp;装备表!$O758&amp;";","xxx"),"xxx"))</f>
        <v>xxx</v>
      </c>
      <c r="F613" s="18" t="str">
        <f>IF(装备表!$O758=0,"xxx",IFERROR(IF(INT(IF($D613=F$3,装备表!$E758,"xxx")/10000)=1,IF($D613=F$3,装备表!$E758,"xxx")&amp;":2,1,1,"&amp;装备表!$O758&amp;";","xxx"),"xxx"))</f>
        <v>xxx</v>
      </c>
      <c r="G613" s="18" t="str">
        <f>IF(装备表!$O758=0,"xxx",IFERROR(IF(INT(IF($D613=G$3,装备表!$E758,"xxx")/10000)=1,IF($D613=G$3,装备表!$E758,"xxx")&amp;":2,1,1,"&amp;装备表!$O758&amp;";","xxx"),"xxx"))</f>
        <v>xxx</v>
      </c>
      <c r="H613" s="18" t="str">
        <f>IF(装备表!$O758=0,"xxx",IFERROR(IF(INT(IF($D613=H$3,装备表!$E758,"xxx")/10000)=1,IF($D613=H$3,装备表!$E758,"xxx")&amp;":2,1,1,"&amp;装备表!$O758&amp;";","xxx"),"xxx"))</f>
        <v>xxx</v>
      </c>
      <c r="I613" s="18" t="str">
        <f>IF(装备表!$O758=0,"xxx",IFERROR(IF(INT(IF($D613=I$3,装备表!$E758,"xxx")/10000)=1,IF($D613=I$3,装备表!$E758,"xxx")&amp;":2,1,1,"&amp;装备表!$O758&amp;";","xxx"),"xxx"))</f>
        <v>xxx</v>
      </c>
      <c r="J613" s="18" t="str">
        <f>IF(装备表!$O758=0,"xxx",IFERROR(IF(INT(IF($D613=J$3,装备表!$E758,"xxx")/10000)=1,IF($D613=J$3,装备表!$E758,"xxx")&amp;":2,1,1,"&amp;装备表!$O758&amp;";","xxx"),"xxx"))</f>
        <v>xxx</v>
      </c>
    </row>
    <row r="614" spans="4:10" x14ac:dyDescent="0.2">
      <c r="D614" s="18">
        <f>装备表!L759</f>
        <v>0</v>
      </c>
      <c r="E614" s="18" t="str">
        <f>IF(装备表!$O759=0,"xxx",IFERROR(IF(INT(IF($D614=E$3,装备表!$E759,"xxx")/10000)=1,IF($D614=E$3,装备表!$E759,"xxx")&amp;":2,1,1,"&amp;装备表!$O759&amp;";","xxx"),"xxx"))</f>
        <v>xxx</v>
      </c>
      <c r="F614" s="18" t="str">
        <f>IF(装备表!$O759=0,"xxx",IFERROR(IF(INT(IF($D614=F$3,装备表!$E759,"xxx")/10000)=1,IF($D614=F$3,装备表!$E759,"xxx")&amp;":2,1,1,"&amp;装备表!$O759&amp;";","xxx"),"xxx"))</f>
        <v>xxx</v>
      </c>
      <c r="G614" s="18" t="str">
        <f>IF(装备表!$O759=0,"xxx",IFERROR(IF(INT(IF($D614=G$3,装备表!$E759,"xxx")/10000)=1,IF($D614=G$3,装备表!$E759,"xxx")&amp;":2,1,1,"&amp;装备表!$O759&amp;";","xxx"),"xxx"))</f>
        <v>xxx</v>
      </c>
      <c r="H614" s="18" t="str">
        <f>IF(装备表!$O759=0,"xxx",IFERROR(IF(INT(IF($D614=H$3,装备表!$E759,"xxx")/10000)=1,IF($D614=H$3,装备表!$E759,"xxx")&amp;":2,1,1,"&amp;装备表!$O759&amp;";","xxx"),"xxx"))</f>
        <v>xxx</v>
      </c>
      <c r="I614" s="18" t="str">
        <f>IF(装备表!$O759=0,"xxx",IFERROR(IF(INT(IF($D614=I$3,装备表!$E759,"xxx")/10000)=1,IF($D614=I$3,装备表!$E759,"xxx")&amp;":2,1,1,"&amp;装备表!$O759&amp;";","xxx"),"xxx"))</f>
        <v>xxx</v>
      </c>
      <c r="J614" s="18" t="str">
        <f>IF(装备表!$O759=0,"xxx",IFERROR(IF(INT(IF($D614=J$3,装备表!$E759,"xxx")/10000)=1,IF($D614=J$3,装备表!$E759,"xxx")&amp;":2,1,1,"&amp;装备表!$O759&amp;";","xxx"),"xxx"))</f>
        <v>xxx</v>
      </c>
    </row>
    <row r="615" spans="4:10" x14ac:dyDescent="0.2">
      <c r="D615" s="18">
        <f>装备表!L760</f>
        <v>0</v>
      </c>
      <c r="E615" s="18" t="str">
        <f>IF(装备表!$O760=0,"xxx",IFERROR(IF(INT(IF($D615=E$3,装备表!$E760,"xxx")/10000)=1,IF($D615=E$3,装备表!$E760,"xxx")&amp;":2,1,1,"&amp;装备表!$O760&amp;";","xxx"),"xxx"))</f>
        <v>xxx</v>
      </c>
      <c r="F615" s="18" t="str">
        <f>IF(装备表!$O760=0,"xxx",IFERROR(IF(INT(IF($D615=F$3,装备表!$E760,"xxx")/10000)=1,IF($D615=F$3,装备表!$E760,"xxx")&amp;":2,1,1,"&amp;装备表!$O760&amp;";","xxx"),"xxx"))</f>
        <v>xxx</v>
      </c>
      <c r="G615" s="18" t="str">
        <f>IF(装备表!$O760=0,"xxx",IFERROR(IF(INT(IF($D615=G$3,装备表!$E760,"xxx")/10000)=1,IF($D615=G$3,装备表!$E760,"xxx")&amp;":2,1,1,"&amp;装备表!$O760&amp;";","xxx"),"xxx"))</f>
        <v>xxx</v>
      </c>
      <c r="H615" s="18" t="str">
        <f>IF(装备表!$O760=0,"xxx",IFERROR(IF(INT(IF($D615=H$3,装备表!$E760,"xxx")/10000)=1,IF($D615=H$3,装备表!$E760,"xxx")&amp;":2,1,1,"&amp;装备表!$O760&amp;";","xxx"),"xxx"))</f>
        <v>xxx</v>
      </c>
      <c r="I615" s="18" t="str">
        <f>IF(装备表!$O760=0,"xxx",IFERROR(IF(INT(IF($D615=I$3,装备表!$E760,"xxx")/10000)=1,IF($D615=I$3,装备表!$E760,"xxx")&amp;":2,1,1,"&amp;装备表!$O760&amp;";","xxx"),"xxx"))</f>
        <v>xxx</v>
      </c>
      <c r="J615" s="18" t="str">
        <f>IF(装备表!$O760=0,"xxx",IFERROR(IF(INT(IF($D615=J$3,装备表!$E760,"xxx")/10000)=1,IF($D615=J$3,装备表!$E760,"xxx")&amp;":2,1,1,"&amp;装备表!$O760&amp;";","xxx"),"xxx"))</f>
        <v>xxx</v>
      </c>
    </row>
    <row r="616" spans="4:10" x14ac:dyDescent="0.2">
      <c r="D616" s="18">
        <f>装备表!L761</f>
        <v>0</v>
      </c>
      <c r="E616" s="18" t="str">
        <f>IF(装备表!$O761=0,"xxx",IFERROR(IF(INT(IF($D616=E$3,装备表!$E761,"xxx")/10000)=1,IF($D616=E$3,装备表!$E761,"xxx")&amp;":2,1,1,"&amp;装备表!$O761&amp;";","xxx"),"xxx"))</f>
        <v>xxx</v>
      </c>
      <c r="F616" s="18" t="str">
        <f>IF(装备表!$O761=0,"xxx",IFERROR(IF(INT(IF($D616=F$3,装备表!$E761,"xxx")/10000)=1,IF($D616=F$3,装备表!$E761,"xxx")&amp;":2,1,1,"&amp;装备表!$O761&amp;";","xxx"),"xxx"))</f>
        <v>xxx</v>
      </c>
      <c r="G616" s="18" t="str">
        <f>IF(装备表!$O761=0,"xxx",IFERROR(IF(INT(IF($D616=G$3,装备表!$E761,"xxx")/10000)=1,IF($D616=G$3,装备表!$E761,"xxx")&amp;":2,1,1,"&amp;装备表!$O761&amp;";","xxx"),"xxx"))</f>
        <v>xxx</v>
      </c>
      <c r="H616" s="18" t="str">
        <f>IF(装备表!$O761=0,"xxx",IFERROR(IF(INT(IF($D616=H$3,装备表!$E761,"xxx")/10000)=1,IF($D616=H$3,装备表!$E761,"xxx")&amp;":2,1,1,"&amp;装备表!$O761&amp;";","xxx"),"xxx"))</f>
        <v>xxx</v>
      </c>
      <c r="I616" s="18" t="str">
        <f>IF(装备表!$O761=0,"xxx",IFERROR(IF(INT(IF($D616=I$3,装备表!$E761,"xxx")/10000)=1,IF($D616=I$3,装备表!$E761,"xxx")&amp;":2,1,1,"&amp;装备表!$O761&amp;";","xxx"),"xxx"))</f>
        <v>xxx</v>
      </c>
      <c r="J616" s="18" t="str">
        <f>IF(装备表!$O761=0,"xxx",IFERROR(IF(INT(IF($D616=J$3,装备表!$E761,"xxx")/10000)=1,IF($D616=J$3,装备表!$E761,"xxx")&amp;":2,1,1,"&amp;装备表!$O761&amp;";","xxx"),"xxx"))</f>
        <v>xxx</v>
      </c>
    </row>
    <row r="617" spans="4:10" x14ac:dyDescent="0.2">
      <c r="D617" s="18">
        <f>装备表!L762</f>
        <v>0</v>
      </c>
      <c r="E617" s="18" t="str">
        <f>IF(装备表!$O762=0,"xxx",IFERROR(IF(INT(IF($D617=E$3,装备表!$E762,"xxx")/10000)=1,IF($D617=E$3,装备表!$E762,"xxx")&amp;":2,1,1,"&amp;装备表!$O762&amp;";","xxx"),"xxx"))</f>
        <v>xxx</v>
      </c>
      <c r="F617" s="18" t="str">
        <f>IF(装备表!$O762=0,"xxx",IFERROR(IF(INT(IF($D617=F$3,装备表!$E762,"xxx")/10000)=1,IF($D617=F$3,装备表!$E762,"xxx")&amp;":2,1,1,"&amp;装备表!$O762&amp;";","xxx"),"xxx"))</f>
        <v>xxx</v>
      </c>
      <c r="G617" s="18" t="str">
        <f>IF(装备表!$O762=0,"xxx",IFERROR(IF(INT(IF($D617=G$3,装备表!$E762,"xxx")/10000)=1,IF($D617=G$3,装备表!$E762,"xxx")&amp;":2,1,1,"&amp;装备表!$O762&amp;";","xxx"),"xxx"))</f>
        <v>xxx</v>
      </c>
      <c r="H617" s="18" t="str">
        <f>IF(装备表!$O762=0,"xxx",IFERROR(IF(INT(IF($D617=H$3,装备表!$E762,"xxx")/10000)=1,IF($D617=H$3,装备表!$E762,"xxx")&amp;":2,1,1,"&amp;装备表!$O762&amp;";","xxx"),"xxx"))</f>
        <v>xxx</v>
      </c>
      <c r="I617" s="18" t="str">
        <f>IF(装备表!$O762=0,"xxx",IFERROR(IF(INT(IF($D617=I$3,装备表!$E762,"xxx")/10000)=1,IF($D617=I$3,装备表!$E762,"xxx")&amp;":2,1,1,"&amp;装备表!$O762&amp;";","xxx"),"xxx"))</f>
        <v>xxx</v>
      </c>
      <c r="J617" s="18" t="str">
        <f>IF(装备表!$O762=0,"xxx",IFERROR(IF(INT(IF($D617=J$3,装备表!$E762,"xxx")/10000)=1,IF($D617=J$3,装备表!$E762,"xxx")&amp;":2,1,1,"&amp;装备表!$O762&amp;";","xxx"),"xxx"))</f>
        <v>xxx</v>
      </c>
    </row>
    <row r="618" spans="4:10" x14ac:dyDescent="0.2">
      <c r="D618" s="18">
        <f>装备表!L763</f>
        <v>0</v>
      </c>
      <c r="E618" s="18" t="str">
        <f>IF(装备表!$O763=0,"xxx",IFERROR(IF(INT(IF($D618=E$3,装备表!$E763,"xxx")/10000)=1,IF($D618=E$3,装备表!$E763,"xxx")&amp;":2,1,1,"&amp;装备表!$O763&amp;";","xxx"),"xxx"))</f>
        <v>xxx</v>
      </c>
      <c r="F618" s="18" t="str">
        <f>IF(装备表!$O763=0,"xxx",IFERROR(IF(INT(IF($D618=F$3,装备表!$E763,"xxx")/10000)=1,IF($D618=F$3,装备表!$E763,"xxx")&amp;":2,1,1,"&amp;装备表!$O763&amp;";","xxx"),"xxx"))</f>
        <v>xxx</v>
      </c>
      <c r="G618" s="18" t="str">
        <f>IF(装备表!$O763=0,"xxx",IFERROR(IF(INT(IF($D618=G$3,装备表!$E763,"xxx")/10000)=1,IF($D618=G$3,装备表!$E763,"xxx")&amp;":2,1,1,"&amp;装备表!$O763&amp;";","xxx"),"xxx"))</f>
        <v>xxx</v>
      </c>
      <c r="H618" s="18" t="str">
        <f>IF(装备表!$O763=0,"xxx",IFERROR(IF(INT(IF($D618=H$3,装备表!$E763,"xxx")/10000)=1,IF($D618=H$3,装备表!$E763,"xxx")&amp;":2,1,1,"&amp;装备表!$O763&amp;";","xxx"),"xxx"))</f>
        <v>xxx</v>
      </c>
      <c r="I618" s="18" t="str">
        <f>IF(装备表!$O763=0,"xxx",IFERROR(IF(INT(IF($D618=I$3,装备表!$E763,"xxx")/10000)=1,IF($D618=I$3,装备表!$E763,"xxx")&amp;":2,1,1,"&amp;装备表!$O763&amp;";","xxx"),"xxx"))</f>
        <v>xxx</v>
      </c>
      <c r="J618" s="18" t="str">
        <f>IF(装备表!$O763=0,"xxx",IFERROR(IF(INT(IF($D618=J$3,装备表!$E763,"xxx")/10000)=1,IF($D618=J$3,装备表!$E763,"xxx")&amp;":2,1,1,"&amp;装备表!$O763&amp;";","xxx"),"xxx"))</f>
        <v>xxx</v>
      </c>
    </row>
    <row r="619" spans="4:10" x14ac:dyDescent="0.2">
      <c r="D619" s="18">
        <f>装备表!L764</f>
        <v>0</v>
      </c>
      <c r="E619" s="18" t="str">
        <f>IF(装备表!$O764=0,"xxx",IFERROR(IF(INT(IF($D619=E$3,装备表!$E764,"xxx")/10000)=1,IF($D619=E$3,装备表!$E764,"xxx")&amp;":2,1,1,"&amp;装备表!$O764&amp;";","xxx"),"xxx"))</f>
        <v>xxx</v>
      </c>
      <c r="F619" s="18" t="str">
        <f>IF(装备表!$O764=0,"xxx",IFERROR(IF(INT(IF($D619=F$3,装备表!$E764,"xxx")/10000)=1,IF($D619=F$3,装备表!$E764,"xxx")&amp;":2,1,1,"&amp;装备表!$O764&amp;";","xxx"),"xxx"))</f>
        <v>xxx</v>
      </c>
      <c r="G619" s="18" t="str">
        <f>IF(装备表!$O764=0,"xxx",IFERROR(IF(INT(IF($D619=G$3,装备表!$E764,"xxx")/10000)=1,IF($D619=G$3,装备表!$E764,"xxx")&amp;":2,1,1,"&amp;装备表!$O764&amp;";","xxx"),"xxx"))</f>
        <v>xxx</v>
      </c>
      <c r="H619" s="18" t="str">
        <f>IF(装备表!$O764=0,"xxx",IFERROR(IF(INT(IF($D619=H$3,装备表!$E764,"xxx")/10000)=1,IF($D619=H$3,装备表!$E764,"xxx")&amp;":2,1,1,"&amp;装备表!$O764&amp;";","xxx"),"xxx"))</f>
        <v>xxx</v>
      </c>
      <c r="I619" s="18" t="str">
        <f>IF(装备表!$O764=0,"xxx",IFERROR(IF(INT(IF($D619=I$3,装备表!$E764,"xxx")/10000)=1,IF($D619=I$3,装备表!$E764,"xxx")&amp;":2,1,1,"&amp;装备表!$O764&amp;";","xxx"),"xxx"))</f>
        <v>xxx</v>
      </c>
      <c r="J619" s="18" t="str">
        <f>IF(装备表!$O764=0,"xxx",IFERROR(IF(INT(IF($D619=J$3,装备表!$E764,"xxx")/10000)=1,IF($D619=J$3,装备表!$E764,"xxx")&amp;":2,1,1,"&amp;装备表!$O764&amp;";","xxx"),"xxx"))</f>
        <v>xxx</v>
      </c>
    </row>
    <row r="620" spans="4:10" x14ac:dyDescent="0.2">
      <c r="D620" s="18">
        <f>装备表!L765</f>
        <v>0</v>
      </c>
      <c r="E620" s="18" t="str">
        <f>IF(装备表!$O765=0,"xxx",IFERROR(IF(INT(IF($D620=E$3,装备表!$E765,"xxx")/10000)=1,IF($D620=E$3,装备表!$E765,"xxx")&amp;":2,1,1,"&amp;装备表!$O765&amp;";","xxx"),"xxx"))</f>
        <v>xxx</v>
      </c>
      <c r="F620" s="18" t="str">
        <f>IF(装备表!$O765=0,"xxx",IFERROR(IF(INT(IF($D620=F$3,装备表!$E765,"xxx")/10000)=1,IF($D620=F$3,装备表!$E765,"xxx")&amp;":2,1,1,"&amp;装备表!$O765&amp;";","xxx"),"xxx"))</f>
        <v>xxx</v>
      </c>
      <c r="G620" s="18" t="str">
        <f>IF(装备表!$O765=0,"xxx",IFERROR(IF(INT(IF($D620=G$3,装备表!$E765,"xxx")/10000)=1,IF($D620=G$3,装备表!$E765,"xxx")&amp;":2,1,1,"&amp;装备表!$O765&amp;";","xxx"),"xxx"))</f>
        <v>xxx</v>
      </c>
      <c r="H620" s="18" t="str">
        <f>IF(装备表!$O765=0,"xxx",IFERROR(IF(INT(IF($D620=H$3,装备表!$E765,"xxx")/10000)=1,IF($D620=H$3,装备表!$E765,"xxx")&amp;":2,1,1,"&amp;装备表!$O765&amp;";","xxx"),"xxx"))</f>
        <v>xxx</v>
      </c>
      <c r="I620" s="18" t="str">
        <f>IF(装备表!$O765=0,"xxx",IFERROR(IF(INT(IF($D620=I$3,装备表!$E765,"xxx")/10000)=1,IF($D620=I$3,装备表!$E765,"xxx")&amp;":2,1,1,"&amp;装备表!$O765&amp;";","xxx"),"xxx"))</f>
        <v>xxx</v>
      </c>
      <c r="J620" s="18" t="str">
        <f>IF(装备表!$O765=0,"xxx",IFERROR(IF(INT(IF($D620=J$3,装备表!$E765,"xxx")/10000)=1,IF($D620=J$3,装备表!$E765,"xxx")&amp;":2,1,1,"&amp;装备表!$O765&amp;";","xxx"),"xxx"))</f>
        <v>xxx</v>
      </c>
    </row>
    <row r="621" spans="4:10" x14ac:dyDescent="0.2">
      <c r="D621" s="18">
        <f>装备表!L766</f>
        <v>0</v>
      </c>
      <c r="E621" s="18" t="str">
        <f>IF(装备表!$O766=0,"xxx",IFERROR(IF(INT(IF($D621=E$3,装备表!$E766,"xxx")/10000)=1,IF($D621=E$3,装备表!$E766,"xxx")&amp;":2,1,1,"&amp;装备表!$O766&amp;";","xxx"),"xxx"))</f>
        <v>xxx</v>
      </c>
      <c r="F621" s="18" t="str">
        <f>IF(装备表!$O766=0,"xxx",IFERROR(IF(INT(IF($D621=F$3,装备表!$E766,"xxx")/10000)=1,IF($D621=F$3,装备表!$E766,"xxx")&amp;":2,1,1,"&amp;装备表!$O766&amp;";","xxx"),"xxx"))</f>
        <v>xxx</v>
      </c>
      <c r="G621" s="18" t="str">
        <f>IF(装备表!$O766=0,"xxx",IFERROR(IF(INT(IF($D621=G$3,装备表!$E766,"xxx")/10000)=1,IF($D621=G$3,装备表!$E766,"xxx")&amp;":2,1,1,"&amp;装备表!$O766&amp;";","xxx"),"xxx"))</f>
        <v>xxx</v>
      </c>
      <c r="H621" s="18" t="str">
        <f>IF(装备表!$O766=0,"xxx",IFERROR(IF(INT(IF($D621=H$3,装备表!$E766,"xxx")/10000)=1,IF($D621=H$3,装备表!$E766,"xxx")&amp;":2,1,1,"&amp;装备表!$O766&amp;";","xxx"),"xxx"))</f>
        <v>xxx</v>
      </c>
      <c r="I621" s="18" t="str">
        <f>IF(装备表!$O766=0,"xxx",IFERROR(IF(INT(IF($D621=I$3,装备表!$E766,"xxx")/10000)=1,IF($D621=I$3,装备表!$E766,"xxx")&amp;":2,1,1,"&amp;装备表!$O766&amp;";","xxx"),"xxx"))</f>
        <v>xxx</v>
      </c>
      <c r="J621" s="18" t="str">
        <f>IF(装备表!$O766=0,"xxx",IFERROR(IF(INT(IF($D621=J$3,装备表!$E766,"xxx")/10000)=1,IF($D621=J$3,装备表!$E766,"xxx")&amp;":2,1,1,"&amp;装备表!$O766&amp;";","xxx"),"xxx"))</f>
        <v>xxx</v>
      </c>
    </row>
    <row r="622" spans="4:10" x14ac:dyDescent="0.2">
      <c r="D622" s="18">
        <f>装备表!L767</f>
        <v>0</v>
      </c>
      <c r="E622" s="18" t="str">
        <f>IF(装备表!$O767=0,"xxx",IFERROR(IF(INT(IF($D622=E$3,装备表!$E767,"xxx")/10000)=1,IF($D622=E$3,装备表!$E767,"xxx")&amp;":2,1,1,"&amp;装备表!$O767&amp;";","xxx"),"xxx"))</f>
        <v>xxx</v>
      </c>
      <c r="F622" s="18" t="str">
        <f>IF(装备表!$O767=0,"xxx",IFERROR(IF(INT(IF($D622=F$3,装备表!$E767,"xxx")/10000)=1,IF($D622=F$3,装备表!$E767,"xxx")&amp;":2,1,1,"&amp;装备表!$O767&amp;";","xxx"),"xxx"))</f>
        <v>xxx</v>
      </c>
      <c r="G622" s="18" t="str">
        <f>IF(装备表!$O767=0,"xxx",IFERROR(IF(INT(IF($D622=G$3,装备表!$E767,"xxx")/10000)=1,IF($D622=G$3,装备表!$E767,"xxx")&amp;":2,1,1,"&amp;装备表!$O767&amp;";","xxx"),"xxx"))</f>
        <v>xxx</v>
      </c>
      <c r="H622" s="18" t="str">
        <f>IF(装备表!$O767=0,"xxx",IFERROR(IF(INT(IF($D622=H$3,装备表!$E767,"xxx")/10000)=1,IF($D622=H$3,装备表!$E767,"xxx")&amp;":2,1,1,"&amp;装备表!$O767&amp;";","xxx"),"xxx"))</f>
        <v>xxx</v>
      </c>
      <c r="I622" s="18" t="str">
        <f>IF(装备表!$O767=0,"xxx",IFERROR(IF(INT(IF($D622=I$3,装备表!$E767,"xxx")/10000)=1,IF($D622=I$3,装备表!$E767,"xxx")&amp;":2,1,1,"&amp;装备表!$O767&amp;";","xxx"),"xxx"))</f>
        <v>xxx</v>
      </c>
      <c r="J622" s="18" t="str">
        <f>IF(装备表!$O767=0,"xxx",IFERROR(IF(INT(IF($D622=J$3,装备表!$E767,"xxx")/10000)=1,IF($D622=J$3,装备表!$E767,"xxx")&amp;":2,1,1,"&amp;装备表!$O767&amp;";","xxx"),"xxx"))</f>
        <v>xxx</v>
      </c>
    </row>
    <row r="623" spans="4:10" x14ac:dyDescent="0.2">
      <c r="D623" s="18">
        <f>装备表!L768</f>
        <v>0</v>
      </c>
      <c r="E623" s="18" t="str">
        <f>IF(装备表!$O768=0,"xxx",IFERROR(IF(INT(IF($D623=E$3,装备表!$E768,"xxx")/10000)=1,IF($D623=E$3,装备表!$E768,"xxx")&amp;":2,1,1,"&amp;装备表!$O768&amp;";","xxx"),"xxx"))</f>
        <v>xxx</v>
      </c>
      <c r="F623" s="18" t="str">
        <f>IF(装备表!$O768=0,"xxx",IFERROR(IF(INT(IF($D623=F$3,装备表!$E768,"xxx")/10000)=1,IF($D623=F$3,装备表!$E768,"xxx")&amp;":2,1,1,"&amp;装备表!$O768&amp;";","xxx"),"xxx"))</f>
        <v>xxx</v>
      </c>
      <c r="G623" s="18" t="str">
        <f>IF(装备表!$O768=0,"xxx",IFERROR(IF(INT(IF($D623=G$3,装备表!$E768,"xxx")/10000)=1,IF($D623=G$3,装备表!$E768,"xxx")&amp;":2,1,1,"&amp;装备表!$O768&amp;";","xxx"),"xxx"))</f>
        <v>xxx</v>
      </c>
      <c r="H623" s="18" t="str">
        <f>IF(装备表!$O768=0,"xxx",IFERROR(IF(INT(IF($D623=H$3,装备表!$E768,"xxx")/10000)=1,IF($D623=H$3,装备表!$E768,"xxx")&amp;":2,1,1,"&amp;装备表!$O768&amp;";","xxx"),"xxx"))</f>
        <v>xxx</v>
      </c>
      <c r="I623" s="18" t="str">
        <f>IF(装备表!$O768=0,"xxx",IFERROR(IF(INT(IF($D623=I$3,装备表!$E768,"xxx")/10000)=1,IF($D623=I$3,装备表!$E768,"xxx")&amp;":2,1,1,"&amp;装备表!$O768&amp;";","xxx"),"xxx"))</f>
        <v>xxx</v>
      </c>
      <c r="J623" s="18" t="str">
        <f>IF(装备表!$O768=0,"xxx",IFERROR(IF(INT(IF($D623=J$3,装备表!$E768,"xxx")/10000)=1,IF($D623=J$3,装备表!$E768,"xxx")&amp;":2,1,1,"&amp;装备表!$O768&amp;";","xxx"),"xxx"))</f>
        <v>xxx</v>
      </c>
    </row>
    <row r="624" spans="4:10" x14ac:dyDescent="0.2">
      <c r="D624" s="18">
        <f>装备表!L769</f>
        <v>0</v>
      </c>
      <c r="E624" s="18" t="str">
        <f>IF(装备表!$O769=0,"xxx",IFERROR(IF(INT(IF($D624=E$3,装备表!$E769,"xxx")/10000)=1,IF($D624=E$3,装备表!$E769,"xxx")&amp;":2,1,1,"&amp;装备表!$O769&amp;";","xxx"),"xxx"))</f>
        <v>xxx</v>
      </c>
      <c r="F624" s="18" t="str">
        <f>IF(装备表!$O769=0,"xxx",IFERROR(IF(INT(IF($D624=F$3,装备表!$E769,"xxx")/10000)=1,IF($D624=F$3,装备表!$E769,"xxx")&amp;":2,1,1,"&amp;装备表!$O769&amp;";","xxx"),"xxx"))</f>
        <v>xxx</v>
      </c>
      <c r="G624" s="18" t="str">
        <f>IF(装备表!$O769=0,"xxx",IFERROR(IF(INT(IF($D624=G$3,装备表!$E769,"xxx")/10000)=1,IF($D624=G$3,装备表!$E769,"xxx")&amp;":2,1,1,"&amp;装备表!$O769&amp;";","xxx"),"xxx"))</f>
        <v>xxx</v>
      </c>
      <c r="H624" s="18" t="str">
        <f>IF(装备表!$O769=0,"xxx",IFERROR(IF(INT(IF($D624=H$3,装备表!$E769,"xxx")/10000)=1,IF($D624=H$3,装备表!$E769,"xxx")&amp;":2,1,1,"&amp;装备表!$O769&amp;";","xxx"),"xxx"))</f>
        <v>xxx</v>
      </c>
      <c r="I624" s="18" t="str">
        <f>IF(装备表!$O769=0,"xxx",IFERROR(IF(INT(IF($D624=I$3,装备表!$E769,"xxx")/10000)=1,IF($D624=I$3,装备表!$E769,"xxx")&amp;":2,1,1,"&amp;装备表!$O769&amp;";","xxx"),"xxx"))</f>
        <v>xxx</v>
      </c>
      <c r="J624" s="18" t="str">
        <f>IF(装备表!$O769=0,"xxx",IFERROR(IF(INT(IF($D624=J$3,装备表!$E769,"xxx")/10000)=1,IF($D624=J$3,装备表!$E769,"xxx")&amp;":2,1,1,"&amp;装备表!$O769&amp;";","xxx"),"xxx"))</f>
        <v>xxx</v>
      </c>
    </row>
    <row r="625" spans="4:10" x14ac:dyDescent="0.2">
      <c r="D625" s="18">
        <f>装备表!L770</f>
        <v>0</v>
      </c>
      <c r="E625" s="18" t="str">
        <f>IF(装备表!$O770=0,"xxx",IFERROR(IF(INT(IF($D625=E$3,装备表!$E770,"xxx")/10000)=1,IF($D625=E$3,装备表!$E770,"xxx")&amp;":2,1,1,"&amp;装备表!$O770&amp;";","xxx"),"xxx"))</f>
        <v>xxx</v>
      </c>
      <c r="F625" s="18" t="str">
        <f>IF(装备表!$O770=0,"xxx",IFERROR(IF(INT(IF($D625=F$3,装备表!$E770,"xxx")/10000)=1,IF($D625=F$3,装备表!$E770,"xxx")&amp;":2,1,1,"&amp;装备表!$O770&amp;";","xxx"),"xxx"))</f>
        <v>xxx</v>
      </c>
      <c r="G625" s="18" t="str">
        <f>IF(装备表!$O770=0,"xxx",IFERROR(IF(INT(IF($D625=G$3,装备表!$E770,"xxx")/10000)=1,IF($D625=G$3,装备表!$E770,"xxx")&amp;":2,1,1,"&amp;装备表!$O770&amp;";","xxx"),"xxx"))</f>
        <v>xxx</v>
      </c>
      <c r="H625" s="18" t="str">
        <f>IF(装备表!$O770=0,"xxx",IFERROR(IF(INT(IF($D625=H$3,装备表!$E770,"xxx")/10000)=1,IF($D625=H$3,装备表!$E770,"xxx")&amp;":2,1,1,"&amp;装备表!$O770&amp;";","xxx"),"xxx"))</f>
        <v>xxx</v>
      </c>
      <c r="I625" s="18" t="str">
        <f>IF(装备表!$O770=0,"xxx",IFERROR(IF(INT(IF($D625=I$3,装备表!$E770,"xxx")/10000)=1,IF($D625=I$3,装备表!$E770,"xxx")&amp;":2,1,1,"&amp;装备表!$O770&amp;";","xxx"),"xxx"))</f>
        <v>xxx</v>
      </c>
      <c r="J625" s="18" t="str">
        <f>IF(装备表!$O770=0,"xxx",IFERROR(IF(INT(IF($D625=J$3,装备表!$E770,"xxx")/10000)=1,IF($D625=J$3,装备表!$E770,"xxx")&amp;":2,1,1,"&amp;装备表!$O770&amp;";","xxx"),"xxx"))</f>
        <v>xxx</v>
      </c>
    </row>
    <row r="626" spans="4:10" x14ac:dyDescent="0.2">
      <c r="D626" s="18">
        <f>装备表!L771</f>
        <v>0</v>
      </c>
      <c r="E626" s="18" t="str">
        <f>IF(装备表!$O771=0,"xxx",IFERROR(IF(INT(IF($D626=E$3,装备表!$E771,"xxx")/10000)=1,IF($D626=E$3,装备表!$E771,"xxx")&amp;":2,1,1,"&amp;装备表!$O771&amp;";","xxx"),"xxx"))</f>
        <v>xxx</v>
      </c>
      <c r="F626" s="18" t="str">
        <f>IF(装备表!$O771=0,"xxx",IFERROR(IF(INT(IF($D626=F$3,装备表!$E771,"xxx")/10000)=1,IF($D626=F$3,装备表!$E771,"xxx")&amp;":2,1,1,"&amp;装备表!$O771&amp;";","xxx"),"xxx"))</f>
        <v>xxx</v>
      </c>
      <c r="G626" s="18" t="str">
        <f>IF(装备表!$O771=0,"xxx",IFERROR(IF(INT(IF($D626=G$3,装备表!$E771,"xxx")/10000)=1,IF($D626=G$3,装备表!$E771,"xxx")&amp;":2,1,1,"&amp;装备表!$O771&amp;";","xxx"),"xxx"))</f>
        <v>xxx</v>
      </c>
      <c r="H626" s="18" t="str">
        <f>IF(装备表!$O771=0,"xxx",IFERROR(IF(INT(IF($D626=H$3,装备表!$E771,"xxx")/10000)=1,IF($D626=H$3,装备表!$E771,"xxx")&amp;":2,1,1,"&amp;装备表!$O771&amp;";","xxx"),"xxx"))</f>
        <v>xxx</v>
      </c>
      <c r="I626" s="18" t="str">
        <f>IF(装备表!$O771=0,"xxx",IFERROR(IF(INT(IF($D626=I$3,装备表!$E771,"xxx")/10000)=1,IF($D626=I$3,装备表!$E771,"xxx")&amp;":2,1,1,"&amp;装备表!$O771&amp;";","xxx"),"xxx"))</f>
        <v>xxx</v>
      </c>
      <c r="J626" s="18" t="str">
        <f>IF(装备表!$O771=0,"xxx",IFERROR(IF(INT(IF($D626=J$3,装备表!$E771,"xxx")/10000)=1,IF($D626=J$3,装备表!$E771,"xxx")&amp;":2,1,1,"&amp;装备表!$O771&amp;";","xxx"),"xxx"))</f>
        <v>xxx</v>
      </c>
    </row>
    <row r="627" spans="4:10" x14ac:dyDescent="0.2">
      <c r="D627" s="18">
        <f>装备表!L772</f>
        <v>0</v>
      </c>
      <c r="E627" s="18" t="str">
        <f>IF(装备表!$O772=0,"xxx",IFERROR(IF(INT(IF($D627=E$3,装备表!$E772,"xxx")/10000)=1,IF($D627=E$3,装备表!$E772,"xxx")&amp;":2,1,1,"&amp;装备表!$O772&amp;";","xxx"),"xxx"))</f>
        <v>xxx</v>
      </c>
      <c r="F627" s="18" t="str">
        <f>IF(装备表!$O772=0,"xxx",IFERROR(IF(INT(IF($D627=F$3,装备表!$E772,"xxx")/10000)=1,IF($D627=F$3,装备表!$E772,"xxx")&amp;":2,1,1,"&amp;装备表!$O772&amp;";","xxx"),"xxx"))</f>
        <v>xxx</v>
      </c>
      <c r="G627" s="18" t="str">
        <f>IF(装备表!$O772=0,"xxx",IFERROR(IF(INT(IF($D627=G$3,装备表!$E772,"xxx")/10000)=1,IF($D627=G$3,装备表!$E772,"xxx")&amp;":2,1,1,"&amp;装备表!$O772&amp;";","xxx"),"xxx"))</f>
        <v>xxx</v>
      </c>
      <c r="H627" s="18" t="str">
        <f>IF(装备表!$O772=0,"xxx",IFERROR(IF(INT(IF($D627=H$3,装备表!$E772,"xxx")/10000)=1,IF($D627=H$3,装备表!$E772,"xxx")&amp;":2,1,1,"&amp;装备表!$O772&amp;";","xxx"),"xxx"))</f>
        <v>xxx</v>
      </c>
      <c r="I627" s="18" t="str">
        <f>IF(装备表!$O772=0,"xxx",IFERROR(IF(INT(IF($D627=I$3,装备表!$E772,"xxx")/10000)=1,IF($D627=I$3,装备表!$E772,"xxx")&amp;":2,1,1,"&amp;装备表!$O772&amp;";","xxx"),"xxx"))</f>
        <v>xxx</v>
      </c>
      <c r="J627" s="18" t="str">
        <f>IF(装备表!$O772=0,"xxx",IFERROR(IF(INT(IF($D627=J$3,装备表!$E772,"xxx")/10000)=1,IF($D627=J$3,装备表!$E772,"xxx")&amp;":2,1,1,"&amp;装备表!$O772&amp;";","xxx"),"xxx"))</f>
        <v>xxx</v>
      </c>
    </row>
    <row r="628" spans="4:10" x14ac:dyDescent="0.2">
      <c r="D628" s="18">
        <f>装备表!L773</f>
        <v>0</v>
      </c>
      <c r="E628" s="18" t="str">
        <f>IF(装备表!$O773=0,"xxx",IFERROR(IF(INT(IF($D628=E$3,装备表!$E773,"xxx")/10000)=1,IF($D628=E$3,装备表!$E773,"xxx")&amp;":2,1,1,"&amp;装备表!$O773&amp;";","xxx"),"xxx"))</f>
        <v>xxx</v>
      </c>
      <c r="F628" s="18" t="str">
        <f>IF(装备表!$O773=0,"xxx",IFERROR(IF(INT(IF($D628=F$3,装备表!$E773,"xxx")/10000)=1,IF($D628=F$3,装备表!$E773,"xxx")&amp;":2,1,1,"&amp;装备表!$O773&amp;";","xxx"),"xxx"))</f>
        <v>xxx</v>
      </c>
      <c r="G628" s="18" t="str">
        <f>IF(装备表!$O773=0,"xxx",IFERROR(IF(INT(IF($D628=G$3,装备表!$E773,"xxx")/10000)=1,IF($D628=G$3,装备表!$E773,"xxx")&amp;":2,1,1,"&amp;装备表!$O773&amp;";","xxx"),"xxx"))</f>
        <v>xxx</v>
      </c>
      <c r="H628" s="18" t="str">
        <f>IF(装备表!$O773=0,"xxx",IFERROR(IF(INT(IF($D628=H$3,装备表!$E773,"xxx")/10000)=1,IF($D628=H$3,装备表!$E773,"xxx")&amp;":2,1,1,"&amp;装备表!$O773&amp;";","xxx"),"xxx"))</f>
        <v>xxx</v>
      </c>
      <c r="I628" s="18" t="str">
        <f>IF(装备表!$O773=0,"xxx",IFERROR(IF(INT(IF($D628=I$3,装备表!$E773,"xxx")/10000)=1,IF($D628=I$3,装备表!$E773,"xxx")&amp;":2,1,1,"&amp;装备表!$O773&amp;";","xxx"),"xxx"))</f>
        <v>xxx</v>
      </c>
      <c r="J628" s="18" t="str">
        <f>IF(装备表!$O773=0,"xxx",IFERROR(IF(INT(IF($D628=J$3,装备表!$E773,"xxx")/10000)=1,IF($D628=J$3,装备表!$E773,"xxx")&amp;":2,1,1,"&amp;装备表!$O773&amp;";","xxx"),"xxx"))</f>
        <v>xxx</v>
      </c>
    </row>
    <row r="629" spans="4:10" x14ac:dyDescent="0.2">
      <c r="D629" s="18">
        <f>装备表!L774</f>
        <v>0</v>
      </c>
      <c r="E629" s="18" t="str">
        <f>IF(装备表!$O774=0,"xxx",IFERROR(IF(INT(IF($D629=E$3,装备表!$E774,"xxx")/10000)=1,IF($D629=E$3,装备表!$E774,"xxx")&amp;":2,1,1,"&amp;装备表!$O774&amp;";","xxx"),"xxx"))</f>
        <v>xxx</v>
      </c>
      <c r="F629" s="18" t="str">
        <f>IF(装备表!$O774=0,"xxx",IFERROR(IF(INT(IF($D629=F$3,装备表!$E774,"xxx")/10000)=1,IF($D629=F$3,装备表!$E774,"xxx")&amp;":2,1,1,"&amp;装备表!$O774&amp;";","xxx"),"xxx"))</f>
        <v>xxx</v>
      </c>
      <c r="G629" s="18" t="str">
        <f>IF(装备表!$O774=0,"xxx",IFERROR(IF(INT(IF($D629=G$3,装备表!$E774,"xxx")/10000)=1,IF($D629=G$3,装备表!$E774,"xxx")&amp;":2,1,1,"&amp;装备表!$O774&amp;";","xxx"),"xxx"))</f>
        <v>xxx</v>
      </c>
      <c r="H629" s="18" t="str">
        <f>IF(装备表!$O774=0,"xxx",IFERROR(IF(INT(IF($D629=H$3,装备表!$E774,"xxx")/10000)=1,IF($D629=H$3,装备表!$E774,"xxx")&amp;":2,1,1,"&amp;装备表!$O774&amp;";","xxx"),"xxx"))</f>
        <v>xxx</v>
      </c>
      <c r="I629" s="18" t="str">
        <f>IF(装备表!$O774=0,"xxx",IFERROR(IF(INT(IF($D629=I$3,装备表!$E774,"xxx")/10000)=1,IF($D629=I$3,装备表!$E774,"xxx")&amp;":2,1,1,"&amp;装备表!$O774&amp;";","xxx"),"xxx"))</f>
        <v>xxx</v>
      </c>
      <c r="J629" s="18" t="str">
        <f>IF(装备表!$O774=0,"xxx",IFERROR(IF(INT(IF($D629=J$3,装备表!$E774,"xxx")/10000)=1,IF($D629=J$3,装备表!$E774,"xxx")&amp;":2,1,1,"&amp;装备表!$O774&amp;";","xxx"),"xxx"))</f>
        <v>xxx</v>
      </c>
    </row>
    <row r="630" spans="4:10" x14ac:dyDescent="0.2">
      <c r="D630" s="18">
        <f>装备表!L775</f>
        <v>0</v>
      </c>
      <c r="E630" s="18" t="str">
        <f>IF(装备表!$O775=0,"xxx",IFERROR(IF(INT(IF($D630=E$3,装备表!$E775,"xxx")/10000)=1,IF($D630=E$3,装备表!$E775,"xxx")&amp;":2,1,1,"&amp;装备表!$O775&amp;";","xxx"),"xxx"))</f>
        <v>xxx</v>
      </c>
      <c r="F630" s="18" t="str">
        <f>IF(装备表!$O775=0,"xxx",IFERROR(IF(INT(IF($D630=F$3,装备表!$E775,"xxx")/10000)=1,IF($D630=F$3,装备表!$E775,"xxx")&amp;":2,1,1,"&amp;装备表!$O775&amp;";","xxx"),"xxx"))</f>
        <v>xxx</v>
      </c>
      <c r="G630" s="18" t="str">
        <f>IF(装备表!$O775=0,"xxx",IFERROR(IF(INT(IF($D630=G$3,装备表!$E775,"xxx")/10000)=1,IF($D630=G$3,装备表!$E775,"xxx")&amp;":2,1,1,"&amp;装备表!$O775&amp;";","xxx"),"xxx"))</f>
        <v>xxx</v>
      </c>
      <c r="H630" s="18" t="str">
        <f>IF(装备表!$O775=0,"xxx",IFERROR(IF(INT(IF($D630=H$3,装备表!$E775,"xxx")/10000)=1,IF($D630=H$3,装备表!$E775,"xxx")&amp;":2,1,1,"&amp;装备表!$O775&amp;";","xxx"),"xxx"))</f>
        <v>xxx</v>
      </c>
      <c r="I630" s="18" t="str">
        <f>IF(装备表!$O775=0,"xxx",IFERROR(IF(INT(IF($D630=I$3,装备表!$E775,"xxx")/10000)=1,IF($D630=I$3,装备表!$E775,"xxx")&amp;":2,1,1,"&amp;装备表!$O775&amp;";","xxx"),"xxx"))</f>
        <v>xxx</v>
      </c>
      <c r="J630" s="18" t="str">
        <f>IF(装备表!$O775=0,"xxx",IFERROR(IF(INT(IF($D630=J$3,装备表!$E775,"xxx")/10000)=1,IF($D630=J$3,装备表!$E775,"xxx")&amp;":2,1,1,"&amp;装备表!$O775&amp;";","xxx"),"xxx"))</f>
        <v>xxx</v>
      </c>
    </row>
    <row r="631" spans="4:10" x14ac:dyDescent="0.2">
      <c r="D631" s="18">
        <f>装备表!L776</f>
        <v>0</v>
      </c>
      <c r="E631" s="18" t="str">
        <f>IF(装备表!$O776=0,"xxx",IFERROR(IF(INT(IF($D631=E$3,装备表!$E776,"xxx")/10000)=1,IF($D631=E$3,装备表!$E776,"xxx")&amp;":2,1,1,"&amp;装备表!$O776&amp;";","xxx"),"xxx"))</f>
        <v>xxx</v>
      </c>
      <c r="F631" s="18" t="str">
        <f>IF(装备表!$O776=0,"xxx",IFERROR(IF(INT(IF($D631=F$3,装备表!$E776,"xxx")/10000)=1,IF($D631=F$3,装备表!$E776,"xxx")&amp;":2,1,1,"&amp;装备表!$O776&amp;";","xxx"),"xxx"))</f>
        <v>xxx</v>
      </c>
      <c r="G631" s="18" t="str">
        <f>IF(装备表!$O776=0,"xxx",IFERROR(IF(INT(IF($D631=G$3,装备表!$E776,"xxx")/10000)=1,IF($D631=G$3,装备表!$E776,"xxx")&amp;":2,1,1,"&amp;装备表!$O776&amp;";","xxx"),"xxx"))</f>
        <v>xxx</v>
      </c>
      <c r="H631" s="18" t="str">
        <f>IF(装备表!$O776=0,"xxx",IFERROR(IF(INT(IF($D631=H$3,装备表!$E776,"xxx")/10000)=1,IF($D631=H$3,装备表!$E776,"xxx")&amp;":2,1,1,"&amp;装备表!$O776&amp;";","xxx"),"xxx"))</f>
        <v>xxx</v>
      </c>
      <c r="I631" s="18" t="str">
        <f>IF(装备表!$O776=0,"xxx",IFERROR(IF(INT(IF($D631=I$3,装备表!$E776,"xxx")/10000)=1,IF($D631=I$3,装备表!$E776,"xxx")&amp;":2,1,1,"&amp;装备表!$O776&amp;";","xxx"),"xxx"))</f>
        <v>xxx</v>
      </c>
      <c r="J631" s="18" t="str">
        <f>IF(装备表!$O776=0,"xxx",IFERROR(IF(INT(IF($D631=J$3,装备表!$E776,"xxx")/10000)=1,IF($D631=J$3,装备表!$E776,"xxx")&amp;":2,1,1,"&amp;装备表!$O776&amp;";","xxx"),"xxx"))</f>
        <v>xxx</v>
      </c>
    </row>
    <row r="632" spans="4:10" x14ac:dyDescent="0.2">
      <c r="D632" s="18">
        <f>装备表!L777</f>
        <v>0</v>
      </c>
      <c r="E632" s="18" t="str">
        <f>IF(装备表!$O777=0,"xxx",IFERROR(IF(INT(IF($D632=E$3,装备表!$E777,"xxx")/10000)=1,IF($D632=E$3,装备表!$E777,"xxx")&amp;":2,1,1,"&amp;装备表!$O777&amp;";","xxx"),"xxx"))</f>
        <v>xxx</v>
      </c>
      <c r="F632" s="18" t="str">
        <f>IF(装备表!$O777=0,"xxx",IFERROR(IF(INT(IF($D632=F$3,装备表!$E777,"xxx")/10000)=1,IF($D632=F$3,装备表!$E777,"xxx")&amp;":2,1,1,"&amp;装备表!$O777&amp;";","xxx"),"xxx"))</f>
        <v>xxx</v>
      </c>
      <c r="G632" s="18" t="str">
        <f>IF(装备表!$O777=0,"xxx",IFERROR(IF(INT(IF($D632=G$3,装备表!$E777,"xxx")/10000)=1,IF($D632=G$3,装备表!$E777,"xxx")&amp;":2,1,1,"&amp;装备表!$O777&amp;";","xxx"),"xxx"))</f>
        <v>xxx</v>
      </c>
      <c r="H632" s="18" t="str">
        <f>IF(装备表!$O777=0,"xxx",IFERROR(IF(INT(IF($D632=H$3,装备表!$E777,"xxx")/10000)=1,IF($D632=H$3,装备表!$E777,"xxx")&amp;":2,1,1,"&amp;装备表!$O777&amp;";","xxx"),"xxx"))</f>
        <v>xxx</v>
      </c>
      <c r="I632" s="18" t="str">
        <f>IF(装备表!$O777=0,"xxx",IFERROR(IF(INT(IF($D632=I$3,装备表!$E777,"xxx")/10000)=1,IF($D632=I$3,装备表!$E777,"xxx")&amp;":2,1,1,"&amp;装备表!$O777&amp;";","xxx"),"xxx"))</f>
        <v>xxx</v>
      </c>
      <c r="J632" s="18" t="str">
        <f>IF(装备表!$O777=0,"xxx",IFERROR(IF(INT(IF($D632=J$3,装备表!$E777,"xxx")/10000)=1,IF($D632=J$3,装备表!$E777,"xxx")&amp;":2,1,1,"&amp;装备表!$O777&amp;";","xxx"),"xxx"))</f>
        <v>xxx</v>
      </c>
    </row>
    <row r="633" spans="4:10" x14ac:dyDescent="0.2">
      <c r="D633" s="18">
        <f>装备表!L778</f>
        <v>0</v>
      </c>
      <c r="E633" s="18" t="str">
        <f>IF(装备表!$O778=0,"xxx",IFERROR(IF(INT(IF($D633=E$3,装备表!$E778,"xxx")/10000)=1,IF($D633=E$3,装备表!$E778,"xxx")&amp;":2,1,1,"&amp;装备表!$O778&amp;";","xxx"),"xxx"))</f>
        <v>xxx</v>
      </c>
      <c r="F633" s="18" t="str">
        <f>IF(装备表!$O778=0,"xxx",IFERROR(IF(INT(IF($D633=F$3,装备表!$E778,"xxx")/10000)=1,IF($D633=F$3,装备表!$E778,"xxx")&amp;":2,1,1,"&amp;装备表!$O778&amp;";","xxx"),"xxx"))</f>
        <v>xxx</v>
      </c>
      <c r="G633" s="18" t="str">
        <f>IF(装备表!$O778=0,"xxx",IFERROR(IF(INT(IF($D633=G$3,装备表!$E778,"xxx")/10000)=1,IF($D633=G$3,装备表!$E778,"xxx")&amp;":2,1,1,"&amp;装备表!$O778&amp;";","xxx"),"xxx"))</f>
        <v>xxx</v>
      </c>
      <c r="H633" s="18" t="str">
        <f>IF(装备表!$O778=0,"xxx",IFERROR(IF(INT(IF($D633=H$3,装备表!$E778,"xxx")/10000)=1,IF($D633=H$3,装备表!$E778,"xxx")&amp;":2,1,1,"&amp;装备表!$O778&amp;";","xxx"),"xxx"))</f>
        <v>xxx</v>
      </c>
      <c r="I633" s="18" t="str">
        <f>IF(装备表!$O778=0,"xxx",IFERROR(IF(INT(IF($D633=I$3,装备表!$E778,"xxx")/10000)=1,IF($D633=I$3,装备表!$E778,"xxx")&amp;":2,1,1,"&amp;装备表!$O778&amp;";","xxx"),"xxx"))</f>
        <v>xxx</v>
      </c>
      <c r="J633" s="18" t="str">
        <f>IF(装备表!$O778=0,"xxx",IFERROR(IF(INT(IF($D633=J$3,装备表!$E778,"xxx")/10000)=1,IF($D633=J$3,装备表!$E778,"xxx")&amp;":2,1,1,"&amp;装备表!$O778&amp;";","xxx"),"xxx"))</f>
        <v>xxx</v>
      </c>
    </row>
    <row r="634" spans="4:10" x14ac:dyDescent="0.2">
      <c r="D634" s="18">
        <f>装备表!L779</f>
        <v>0</v>
      </c>
      <c r="E634" s="18" t="str">
        <f>IF(装备表!$O779=0,"xxx",IFERROR(IF(INT(IF($D634=E$3,装备表!$E779,"xxx")/10000)=1,IF($D634=E$3,装备表!$E779,"xxx")&amp;":2,1,1,"&amp;装备表!$O779&amp;";","xxx"),"xxx"))</f>
        <v>xxx</v>
      </c>
      <c r="F634" s="18" t="str">
        <f>IF(装备表!$O779=0,"xxx",IFERROR(IF(INT(IF($D634=F$3,装备表!$E779,"xxx")/10000)=1,IF($D634=F$3,装备表!$E779,"xxx")&amp;":2,1,1,"&amp;装备表!$O779&amp;";","xxx"),"xxx"))</f>
        <v>xxx</v>
      </c>
      <c r="G634" s="18" t="str">
        <f>IF(装备表!$O779=0,"xxx",IFERROR(IF(INT(IF($D634=G$3,装备表!$E779,"xxx")/10000)=1,IF($D634=G$3,装备表!$E779,"xxx")&amp;":2,1,1,"&amp;装备表!$O779&amp;";","xxx"),"xxx"))</f>
        <v>xxx</v>
      </c>
      <c r="H634" s="18" t="str">
        <f>IF(装备表!$O779=0,"xxx",IFERROR(IF(INT(IF($D634=H$3,装备表!$E779,"xxx")/10000)=1,IF($D634=H$3,装备表!$E779,"xxx")&amp;":2,1,1,"&amp;装备表!$O779&amp;";","xxx"),"xxx"))</f>
        <v>xxx</v>
      </c>
      <c r="I634" s="18" t="str">
        <f>IF(装备表!$O779=0,"xxx",IFERROR(IF(INT(IF($D634=I$3,装备表!$E779,"xxx")/10000)=1,IF($D634=I$3,装备表!$E779,"xxx")&amp;":2,1,1,"&amp;装备表!$O779&amp;";","xxx"),"xxx"))</f>
        <v>xxx</v>
      </c>
      <c r="J634" s="18" t="str">
        <f>IF(装备表!$O779=0,"xxx",IFERROR(IF(INT(IF($D634=J$3,装备表!$E779,"xxx")/10000)=1,IF($D634=J$3,装备表!$E779,"xxx")&amp;":2,1,1,"&amp;装备表!$O779&amp;";","xxx"),"xxx"))</f>
        <v>xxx</v>
      </c>
    </row>
    <row r="635" spans="4:10" x14ac:dyDescent="0.2">
      <c r="D635" s="18">
        <f>装备表!L780</f>
        <v>0</v>
      </c>
      <c r="E635" s="18" t="str">
        <f>IF(装备表!$O780=0,"xxx",IFERROR(IF(INT(IF($D635=E$3,装备表!$E780,"xxx")/10000)=1,IF($D635=E$3,装备表!$E780,"xxx")&amp;":2,1,1,"&amp;装备表!$O780&amp;";","xxx"),"xxx"))</f>
        <v>xxx</v>
      </c>
      <c r="F635" s="18" t="str">
        <f>IF(装备表!$O780=0,"xxx",IFERROR(IF(INT(IF($D635=F$3,装备表!$E780,"xxx")/10000)=1,IF($D635=F$3,装备表!$E780,"xxx")&amp;":2,1,1,"&amp;装备表!$O780&amp;";","xxx"),"xxx"))</f>
        <v>xxx</v>
      </c>
      <c r="G635" s="18" t="str">
        <f>IF(装备表!$O780=0,"xxx",IFERROR(IF(INT(IF($D635=G$3,装备表!$E780,"xxx")/10000)=1,IF($D635=G$3,装备表!$E780,"xxx")&amp;":2,1,1,"&amp;装备表!$O780&amp;";","xxx"),"xxx"))</f>
        <v>xxx</v>
      </c>
      <c r="H635" s="18" t="str">
        <f>IF(装备表!$O780=0,"xxx",IFERROR(IF(INT(IF($D635=H$3,装备表!$E780,"xxx")/10000)=1,IF($D635=H$3,装备表!$E780,"xxx")&amp;":2,1,1,"&amp;装备表!$O780&amp;";","xxx"),"xxx"))</f>
        <v>xxx</v>
      </c>
      <c r="I635" s="18" t="str">
        <f>IF(装备表!$O780=0,"xxx",IFERROR(IF(INT(IF($D635=I$3,装备表!$E780,"xxx")/10000)=1,IF($D635=I$3,装备表!$E780,"xxx")&amp;":2,1,1,"&amp;装备表!$O780&amp;";","xxx"),"xxx"))</f>
        <v>xxx</v>
      </c>
      <c r="J635" s="18" t="str">
        <f>IF(装备表!$O780=0,"xxx",IFERROR(IF(INT(IF($D635=J$3,装备表!$E780,"xxx")/10000)=1,IF($D635=J$3,装备表!$E780,"xxx")&amp;":2,1,1,"&amp;装备表!$O780&amp;";","xxx"),"xxx"))</f>
        <v>xxx</v>
      </c>
    </row>
    <row r="636" spans="4:10" x14ac:dyDescent="0.2">
      <c r="D636" s="18">
        <f>装备表!L781</f>
        <v>0</v>
      </c>
      <c r="E636" s="18" t="str">
        <f>IF(装备表!$O781=0,"xxx",IFERROR(IF(INT(IF($D636=E$3,装备表!$E781,"xxx")/10000)=1,IF($D636=E$3,装备表!$E781,"xxx")&amp;":2,1,1,"&amp;装备表!$O781&amp;";","xxx"),"xxx"))</f>
        <v>xxx</v>
      </c>
      <c r="F636" s="18" t="str">
        <f>IF(装备表!$O781=0,"xxx",IFERROR(IF(INT(IF($D636=F$3,装备表!$E781,"xxx")/10000)=1,IF($D636=F$3,装备表!$E781,"xxx")&amp;":2,1,1,"&amp;装备表!$O781&amp;";","xxx"),"xxx"))</f>
        <v>xxx</v>
      </c>
      <c r="G636" s="18" t="str">
        <f>IF(装备表!$O781=0,"xxx",IFERROR(IF(INT(IF($D636=G$3,装备表!$E781,"xxx")/10000)=1,IF($D636=G$3,装备表!$E781,"xxx")&amp;":2,1,1,"&amp;装备表!$O781&amp;";","xxx"),"xxx"))</f>
        <v>xxx</v>
      </c>
      <c r="H636" s="18" t="str">
        <f>IF(装备表!$O781=0,"xxx",IFERROR(IF(INT(IF($D636=H$3,装备表!$E781,"xxx")/10000)=1,IF($D636=H$3,装备表!$E781,"xxx")&amp;":2,1,1,"&amp;装备表!$O781&amp;";","xxx"),"xxx"))</f>
        <v>xxx</v>
      </c>
      <c r="I636" s="18" t="str">
        <f>IF(装备表!$O781=0,"xxx",IFERROR(IF(INT(IF($D636=I$3,装备表!$E781,"xxx")/10000)=1,IF($D636=I$3,装备表!$E781,"xxx")&amp;":2,1,1,"&amp;装备表!$O781&amp;";","xxx"),"xxx"))</f>
        <v>xxx</v>
      </c>
      <c r="J636" s="18" t="str">
        <f>IF(装备表!$O781=0,"xxx",IFERROR(IF(INT(IF($D636=J$3,装备表!$E781,"xxx")/10000)=1,IF($D636=J$3,装备表!$E781,"xxx")&amp;":2,1,1,"&amp;装备表!$O781&amp;";","xxx"),"xxx"))</f>
        <v>xxx</v>
      </c>
    </row>
    <row r="637" spans="4:10" x14ac:dyDescent="0.2">
      <c r="D637" s="18">
        <f>装备表!L782</f>
        <v>0</v>
      </c>
      <c r="E637" s="18" t="str">
        <f>IF(装备表!$O782=0,"xxx",IFERROR(IF(INT(IF($D637=E$3,装备表!$E782,"xxx")/10000)=1,IF($D637=E$3,装备表!$E782,"xxx")&amp;":2,1,1,"&amp;装备表!$O782&amp;";","xxx"),"xxx"))</f>
        <v>xxx</v>
      </c>
      <c r="F637" s="18" t="str">
        <f>IF(装备表!$O782=0,"xxx",IFERROR(IF(INT(IF($D637=F$3,装备表!$E782,"xxx")/10000)=1,IF($D637=F$3,装备表!$E782,"xxx")&amp;":2,1,1,"&amp;装备表!$O782&amp;";","xxx"),"xxx"))</f>
        <v>xxx</v>
      </c>
      <c r="G637" s="18" t="str">
        <f>IF(装备表!$O782=0,"xxx",IFERROR(IF(INT(IF($D637=G$3,装备表!$E782,"xxx")/10000)=1,IF($D637=G$3,装备表!$E782,"xxx")&amp;":2,1,1,"&amp;装备表!$O782&amp;";","xxx"),"xxx"))</f>
        <v>xxx</v>
      </c>
      <c r="H637" s="18" t="str">
        <f>IF(装备表!$O782=0,"xxx",IFERROR(IF(INT(IF($D637=H$3,装备表!$E782,"xxx")/10000)=1,IF($D637=H$3,装备表!$E782,"xxx")&amp;":2,1,1,"&amp;装备表!$O782&amp;";","xxx"),"xxx"))</f>
        <v>xxx</v>
      </c>
      <c r="I637" s="18" t="str">
        <f>IF(装备表!$O782=0,"xxx",IFERROR(IF(INT(IF($D637=I$3,装备表!$E782,"xxx")/10000)=1,IF($D637=I$3,装备表!$E782,"xxx")&amp;":2,1,1,"&amp;装备表!$O782&amp;";","xxx"),"xxx"))</f>
        <v>xxx</v>
      </c>
      <c r="J637" s="18" t="str">
        <f>IF(装备表!$O782=0,"xxx",IFERROR(IF(INT(IF($D637=J$3,装备表!$E782,"xxx")/10000)=1,IF($D637=J$3,装备表!$E782,"xxx")&amp;":2,1,1,"&amp;装备表!$O782&amp;";","xxx"),"xxx"))</f>
        <v>xxx</v>
      </c>
    </row>
    <row r="638" spans="4:10" x14ac:dyDescent="0.2">
      <c r="D638" s="18">
        <f>装备表!L783</f>
        <v>0</v>
      </c>
      <c r="E638" s="18" t="str">
        <f>IF(装备表!$O783=0,"xxx",IFERROR(IF(INT(IF($D638=E$3,装备表!$E783,"xxx")/10000)=1,IF($D638=E$3,装备表!$E783,"xxx")&amp;":2,1,1,"&amp;装备表!$O783&amp;";","xxx"),"xxx"))</f>
        <v>xxx</v>
      </c>
      <c r="F638" s="18" t="str">
        <f>IF(装备表!$O783=0,"xxx",IFERROR(IF(INT(IF($D638=F$3,装备表!$E783,"xxx")/10000)=1,IF($D638=F$3,装备表!$E783,"xxx")&amp;":2,1,1,"&amp;装备表!$O783&amp;";","xxx"),"xxx"))</f>
        <v>xxx</v>
      </c>
      <c r="G638" s="18" t="str">
        <f>IF(装备表!$O783=0,"xxx",IFERROR(IF(INT(IF($D638=G$3,装备表!$E783,"xxx")/10000)=1,IF($D638=G$3,装备表!$E783,"xxx")&amp;":2,1,1,"&amp;装备表!$O783&amp;";","xxx"),"xxx"))</f>
        <v>xxx</v>
      </c>
      <c r="H638" s="18" t="str">
        <f>IF(装备表!$O783=0,"xxx",IFERROR(IF(INT(IF($D638=H$3,装备表!$E783,"xxx")/10000)=1,IF($D638=H$3,装备表!$E783,"xxx")&amp;":2,1,1,"&amp;装备表!$O783&amp;";","xxx"),"xxx"))</f>
        <v>xxx</v>
      </c>
      <c r="I638" s="18" t="str">
        <f>IF(装备表!$O783=0,"xxx",IFERROR(IF(INT(IF($D638=I$3,装备表!$E783,"xxx")/10000)=1,IF($D638=I$3,装备表!$E783,"xxx")&amp;":2,1,1,"&amp;装备表!$O783&amp;";","xxx"),"xxx"))</f>
        <v>xxx</v>
      </c>
      <c r="J638" s="18" t="str">
        <f>IF(装备表!$O783=0,"xxx",IFERROR(IF(INT(IF($D638=J$3,装备表!$E783,"xxx")/10000)=1,IF($D638=J$3,装备表!$E783,"xxx")&amp;":2,1,1,"&amp;装备表!$O783&amp;";","xxx"),"xxx"))</f>
        <v>xxx</v>
      </c>
    </row>
    <row r="639" spans="4:10" x14ac:dyDescent="0.2">
      <c r="D639" s="18">
        <f>装备表!L784</f>
        <v>0</v>
      </c>
      <c r="E639" s="18" t="str">
        <f>IF(装备表!$O784=0,"xxx",IFERROR(IF(INT(IF($D639=E$3,装备表!$E784,"xxx")/10000)=1,IF($D639=E$3,装备表!$E784,"xxx")&amp;":2,1,1,"&amp;装备表!$O784&amp;";","xxx"),"xxx"))</f>
        <v>xxx</v>
      </c>
      <c r="F639" s="18" t="str">
        <f>IF(装备表!$O784=0,"xxx",IFERROR(IF(INT(IF($D639=F$3,装备表!$E784,"xxx")/10000)=1,IF($D639=F$3,装备表!$E784,"xxx")&amp;":2,1,1,"&amp;装备表!$O784&amp;";","xxx"),"xxx"))</f>
        <v>xxx</v>
      </c>
      <c r="G639" s="18" t="str">
        <f>IF(装备表!$O784=0,"xxx",IFERROR(IF(INT(IF($D639=G$3,装备表!$E784,"xxx")/10000)=1,IF($D639=G$3,装备表!$E784,"xxx")&amp;":2,1,1,"&amp;装备表!$O784&amp;";","xxx"),"xxx"))</f>
        <v>xxx</v>
      </c>
      <c r="H639" s="18" t="str">
        <f>IF(装备表!$O784=0,"xxx",IFERROR(IF(INT(IF($D639=H$3,装备表!$E784,"xxx")/10000)=1,IF($D639=H$3,装备表!$E784,"xxx")&amp;":2,1,1,"&amp;装备表!$O784&amp;";","xxx"),"xxx"))</f>
        <v>xxx</v>
      </c>
      <c r="I639" s="18" t="str">
        <f>IF(装备表!$O784=0,"xxx",IFERROR(IF(INT(IF($D639=I$3,装备表!$E784,"xxx")/10000)=1,IF($D639=I$3,装备表!$E784,"xxx")&amp;":2,1,1,"&amp;装备表!$O784&amp;";","xxx"),"xxx"))</f>
        <v>xxx</v>
      </c>
      <c r="J639" s="18" t="str">
        <f>IF(装备表!$O784=0,"xxx",IFERROR(IF(INT(IF($D639=J$3,装备表!$E784,"xxx")/10000)=1,IF($D639=J$3,装备表!$E784,"xxx")&amp;":2,1,1,"&amp;装备表!$O784&amp;";","xxx"),"xxx"))</f>
        <v>xxx</v>
      </c>
    </row>
    <row r="640" spans="4:10" x14ac:dyDescent="0.2">
      <c r="D640" s="18">
        <f>装备表!L785</f>
        <v>0</v>
      </c>
      <c r="E640" s="18" t="str">
        <f>IF(装备表!$O785=0,"xxx",IFERROR(IF(INT(IF($D640=E$3,装备表!$E785,"xxx")/10000)=1,IF($D640=E$3,装备表!$E785,"xxx")&amp;":2,1,1,"&amp;装备表!$O785&amp;";","xxx"),"xxx"))</f>
        <v>xxx</v>
      </c>
      <c r="F640" s="18" t="str">
        <f>IF(装备表!$O785=0,"xxx",IFERROR(IF(INT(IF($D640=F$3,装备表!$E785,"xxx")/10000)=1,IF($D640=F$3,装备表!$E785,"xxx")&amp;":2,1,1,"&amp;装备表!$O785&amp;";","xxx"),"xxx"))</f>
        <v>xxx</v>
      </c>
      <c r="G640" s="18" t="str">
        <f>IF(装备表!$O785=0,"xxx",IFERROR(IF(INT(IF($D640=G$3,装备表!$E785,"xxx")/10000)=1,IF($D640=G$3,装备表!$E785,"xxx")&amp;":2,1,1,"&amp;装备表!$O785&amp;";","xxx"),"xxx"))</f>
        <v>xxx</v>
      </c>
      <c r="H640" s="18" t="str">
        <f>IF(装备表!$O785=0,"xxx",IFERROR(IF(INT(IF($D640=H$3,装备表!$E785,"xxx")/10000)=1,IF($D640=H$3,装备表!$E785,"xxx")&amp;":2,1,1,"&amp;装备表!$O785&amp;";","xxx"),"xxx"))</f>
        <v>xxx</v>
      </c>
      <c r="I640" s="18" t="str">
        <f>IF(装备表!$O785=0,"xxx",IFERROR(IF(INT(IF($D640=I$3,装备表!$E785,"xxx")/10000)=1,IF($D640=I$3,装备表!$E785,"xxx")&amp;":2,1,1,"&amp;装备表!$O785&amp;";","xxx"),"xxx"))</f>
        <v>xxx</v>
      </c>
      <c r="J640" s="18" t="str">
        <f>IF(装备表!$O785=0,"xxx",IFERROR(IF(INT(IF($D640=J$3,装备表!$E785,"xxx")/10000)=1,IF($D640=J$3,装备表!$E785,"xxx")&amp;":2,1,1,"&amp;装备表!$O785&amp;";","xxx"),"xxx"))</f>
        <v>xxx</v>
      </c>
    </row>
    <row r="641" spans="4:10" x14ac:dyDescent="0.2">
      <c r="D641" s="18">
        <f>装备表!L786</f>
        <v>0</v>
      </c>
      <c r="E641" s="18" t="str">
        <f>IF(装备表!$O786=0,"xxx",IFERROR(IF(INT(IF($D641=E$3,装备表!$E786,"xxx")/10000)=1,IF($D641=E$3,装备表!$E786,"xxx")&amp;":2,1,1,"&amp;装备表!$O786&amp;";","xxx"),"xxx"))</f>
        <v>xxx</v>
      </c>
      <c r="F641" s="18" t="str">
        <f>IF(装备表!$O786=0,"xxx",IFERROR(IF(INT(IF($D641=F$3,装备表!$E786,"xxx")/10000)=1,IF($D641=F$3,装备表!$E786,"xxx")&amp;":2,1,1,"&amp;装备表!$O786&amp;";","xxx"),"xxx"))</f>
        <v>xxx</v>
      </c>
      <c r="G641" s="18" t="str">
        <f>IF(装备表!$O786=0,"xxx",IFERROR(IF(INT(IF($D641=G$3,装备表!$E786,"xxx")/10000)=1,IF($D641=G$3,装备表!$E786,"xxx")&amp;":2,1,1,"&amp;装备表!$O786&amp;";","xxx"),"xxx"))</f>
        <v>xxx</v>
      </c>
      <c r="H641" s="18" t="str">
        <f>IF(装备表!$O786=0,"xxx",IFERROR(IF(INT(IF($D641=H$3,装备表!$E786,"xxx")/10000)=1,IF($D641=H$3,装备表!$E786,"xxx")&amp;":2,1,1,"&amp;装备表!$O786&amp;";","xxx"),"xxx"))</f>
        <v>xxx</v>
      </c>
      <c r="I641" s="18" t="str">
        <f>IF(装备表!$O786=0,"xxx",IFERROR(IF(INT(IF($D641=I$3,装备表!$E786,"xxx")/10000)=1,IF($D641=I$3,装备表!$E786,"xxx")&amp;":2,1,1,"&amp;装备表!$O786&amp;";","xxx"),"xxx"))</f>
        <v>xxx</v>
      </c>
      <c r="J641" s="18" t="str">
        <f>IF(装备表!$O786=0,"xxx",IFERROR(IF(INT(IF($D641=J$3,装备表!$E786,"xxx")/10000)=1,IF($D641=J$3,装备表!$E786,"xxx")&amp;":2,1,1,"&amp;装备表!$O786&amp;";","xxx"),"xxx"))</f>
        <v>xxx</v>
      </c>
    </row>
    <row r="642" spans="4:10" x14ac:dyDescent="0.2">
      <c r="D642" s="18">
        <f>装备表!L787</f>
        <v>0</v>
      </c>
      <c r="E642" s="18" t="str">
        <f>IF(装备表!$O787=0,"xxx",IFERROR(IF(INT(IF($D642=E$3,装备表!$E787,"xxx")/10000)=1,IF($D642=E$3,装备表!$E787,"xxx")&amp;":2,1,1,"&amp;装备表!$O787&amp;";","xxx"),"xxx"))</f>
        <v>xxx</v>
      </c>
      <c r="F642" s="18" t="str">
        <f>IF(装备表!$O787=0,"xxx",IFERROR(IF(INT(IF($D642=F$3,装备表!$E787,"xxx")/10000)=1,IF($D642=F$3,装备表!$E787,"xxx")&amp;":2,1,1,"&amp;装备表!$O787&amp;";","xxx"),"xxx"))</f>
        <v>xxx</v>
      </c>
      <c r="G642" s="18" t="str">
        <f>IF(装备表!$O787=0,"xxx",IFERROR(IF(INT(IF($D642=G$3,装备表!$E787,"xxx")/10000)=1,IF($D642=G$3,装备表!$E787,"xxx")&amp;":2,1,1,"&amp;装备表!$O787&amp;";","xxx"),"xxx"))</f>
        <v>xxx</v>
      </c>
      <c r="H642" s="18" t="str">
        <f>IF(装备表!$O787=0,"xxx",IFERROR(IF(INT(IF($D642=H$3,装备表!$E787,"xxx")/10000)=1,IF($D642=H$3,装备表!$E787,"xxx")&amp;":2,1,1,"&amp;装备表!$O787&amp;";","xxx"),"xxx"))</f>
        <v>xxx</v>
      </c>
      <c r="I642" s="18" t="str">
        <f>IF(装备表!$O787=0,"xxx",IFERROR(IF(INT(IF($D642=I$3,装备表!$E787,"xxx")/10000)=1,IF($D642=I$3,装备表!$E787,"xxx")&amp;":2,1,1,"&amp;装备表!$O787&amp;";","xxx"),"xxx"))</f>
        <v>xxx</v>
      </c>
      <c r="J642" s="18" t="str">
        <f>IF(装备表!$O787=0,"xxx",IFERROR(IF(INT(IF($D642=J$3,装备表!$E787,"xxx")/10000)=1,IF($D642=J$3,装备表!$E787,"xxx")&amp;":2,1,1,"&amp;装备表!$O787&amp;";","xxx"),"xxx"))</f>
        <v>xxx</v>
      </c>
    </row>
    <row r="643" spans="4:10" x14ac:dyDescent="0.2">
      <c r="D643" s="18">
        <f>装备表!L788</f>
        <v>0</v>
      </c>
      <c r="E643" s="18" t="str">
        <f>IF(装备表!$O788=0,"xxx",IFERROR(IF(INT(IF($D643=E$3,装备表!$E788,"xxx")/10000)=1,IF($D643=E$3,装备表!$E788,"xxx")&amp;":2,1,1,"&amp;装备表!$O788&amp;";","xxx"),"xxx"))</f>
        <v>xxx</v>
      </c>
      <c r="F643" s="18" t="str">
        <f>IF(装备表!$O788=0,"xxx",IFERROR(IF(INT(IF($D643=F$3,装备表!$E788,"xxx")/10000)=1,IF($D643=F$3,装备表!$E788,"xxx")&amp;":2,1,1,"&amp;装备表!$O788&amp;";","xxx"),"xxx"))</f>
        <v>xxx</v>
      </c>
      <c r="G643" s="18" t="str">
        <f>IF(装备表!$O788=0,"xxx",IFERROR(IF(INT(IF($D643=G$3,装备表!$E788,"xxx")/10000)=1,IF($D643=G$3,装备表!$E788,"xxx")&amp;":2,1,1,"&amp;装备表!$O788&amp;";","xxx"),"xxx"))</f>
        <v>xxx</v>
      </c>
      <c r="H643" s="18" t="str">
        <f>IF(装备表!$O788=0,"xxx",IFERROR(IF(INT(IF($D643=H$3,装备表!$E788,"xxx")/10000)=1,IF($D643=H$3,装备表!$E788,"xxx")&amp;":2,1,1,"&amp;装备表!$O788&amp;";","xxx"),"xxx"))</f>
        <v>xxx</v>
      </c>
      <c r="I643" s="18" t="str">
        <f>IF(装备表!$O788=0,"xxx",IFERROR(IF(INT(IF($D643=I$3,装备表!$E788,"xxx")/10000)=1,IF($D643=I$3,装备表!$E788,"xxx")&amp;":2,1,1,"&amp;装备表!$O788&amp;";","xxx"),"xxx"))</f>
        <v>xxx</v>
      </c>
      <c r="J643" s="18" t="str">
        <f>IF(装备表!$O788=0,"xxx",IFERROR(IF(INT(IF($D643=J$3,装备表!$E788,"xxx")/10000)=1,IF($D643=J$3,装备表!$E788,"xxx")&amp;":2,1,1,"&amp;装备表!$O788&amp;";","xxx"),"xxx"))</f>
        <v>xxx</v>
      </c>
    </row>
    <row r="644" spans="4:10" x14ac:dyDescent="0.2">
      <c r="D644" s="18">
        <f>装备表!L789</f>
        <v>0</v>
      </c>
      <c r="E644" s="18" t="str">
        <f>IF(装备表!$O789=0,"xxx",IFERROR(IF(INT(IF($D644=E$3,装备表!$E789,"xxx")/10000)=1,IF($D644=E$3,装备表!$E789,"xxx")&amp;":2,1,1,"&amp;装备表!$O789&amp;";","xxx"),"xxx"))</f>
        <v>xxx</v>
      </c>
      <c r="F644" s="18" t="str">
        <f>IF(装备表!$O789=0,"xxx",IFERROR(IF(INT(IF($D644=F$3,装备表!$E789,"xxx")/10000)=1,IF($D644=F$3,装备表!$E789,"xxx")&amp;":2,1,1,"&amp;装备表!$O789&amp;";","xxx"),"xxx"))</f>
        <v>xxx</v>
      </c>
      <c r="G644" s="18" t="str">
        <f>IF(装备表!$O789=0,"xxx",IFERROR(IF(INT(IF($D644=G$3,装备表!$E789,"xxx")/10000)=1,IF($D644=G$3,装备表!$E789,"xxx")&amp;":2,1,1,"&amp;装备表!$O789&amp;";","xxx"),"xxx"))</f>
        <v>xxx</v>
      </c>
      <c r="H644" s="18" t="str">
        <f>IF(装备表!$O789=0,"xxx",IFERROR(IF(INT(IF($D644=H$3,装备表!$E789,"xxx")/10000)=1,IF($D644=H$3,装备表!$E789,"xxx")&amp;":2,1,1,"&amp;装备表!$O789&amp;";","xxx"),"xxx"))</f>
        <v>xxx</v>
      </c>
      <c r="I644" s="18" t="str">
        <f>IF(装备表!$O789=0,"xxx",IFERROR(IF(INT(IF($D644=I$3,装备表!$E789,"xxx")/10000)=1,IF($D644=I$3,装备表!$E789,"xxx")&amp;":2,1,1,"&amp;装备表!$O789&amp;";","xxx"),"xxx"))</f>
        <v>xxx</v>
      </c>
      <c r="J644" s="18" t="str">
        <f>IF(装备表!$O789=0,"xxx",IFERROR(IF(INT(IF($D644=J$3,装备表!$E789,"xxx")/10000)=1,IF($D644=J$3,装备表!$E789,"xxx")&amp;":2,1,1,"&amp;装备表!$O789&amp;";","xxx"),"xxx"))</f>
        <v>xxx</v>
      </c>
    </row>
    <row r="645" spans="4:10" x14ac:dyDescent="0.2">
      <c r="D645" s="18">
        <f>装备表!L790</f>
        <v>0</v>
      </c>
      <c r="E645" s="18" t="str">
        <f>IF(装备表!$O790=0,"xxx",IFERROR(IF(INT(IF($D645=E$3,装备表!$E790,"xxx")/10000)=1,IF($D645=E$3,装备表!$E790,"xxx")&amp;":2,1,1,"&amp;装备表!$O790&amp;";","xxx"),"xxx"))</f>
        <v>xxx</v>
      </c>
      <c r="F645" s="18" t="str">
        <f>IF(装备表!$O790=0,"xxx",IFERROR(IF(INT(IF($D645=F$3,装备表!$E790,"xxx")/10000)=1,IF($D645=F$3,装备表!$E790,"xxx")&amp;":2,1,1,"&amp;装备表!$O790&amp;";","xxx"),"xxx"))</f>
        <v>xxx</v>
      </c>
      <c r="G645" s="18" t="str">
        <f>IF(装备表!$O790=0,"xxx",IFERROR(IF(INT(IF($D645=G$3,装备表!$E790,"xxx")/10000)=1,IF($D645=G$3,装备表!$E790,"xxx")&amp;":2,1,1,"&amp;装备表!$O790&amp;";","xxx"),"xxx"))</f>
        <v>xxx</v>
      </c>
      <c r="H645" s="18" t="str">
        <f>IF(装备表!$O790=0,"xxx",IFERROR(IF(INT(IF($D645=H$3,装备表!$E790,"xxx")/10000)=1,IF($D645=H$3,装备表!$E790,"xxx")&amp;":2,1,1,"&amp;装备表!$O790&amp;";","xxx"),"xxx"))</f>
        <v>xxx</v>
      </c>
      <c r="I645" s="18" t="str">
        <f>IF(装备表!$O790=0,"xxx",IFERROR(IF(INT(IF($D645=I$3,装备表!$E790,"xxx")/10000)=1,IF($D645=I$3,装备表!$E790,"xxx")&amp;":2,1,1,"&amp;装备表!$O790&amp;";","xxx"),"xxx"))</f>
        <v>xxx</v>
      </c>
      <c r="J645" s="18" t="str">
        <f>IF(装备表!$O790=0,"xxx",IFERROR(IF(INT(IF($D645=J$3,装备表!$E790,"xxx")/10000)=1,IF($D645=J$3,装备表!$E790,"xxx")&amp;":2,1,1,"&amp;装备表!$O790&amp;";","xxx"),"xxx"))</f>
        <v>xxx</v>
      </c>
    </row>
    <row r="646" spans="4:10" x14ac:dyDescent="0.2">
      <c r="D646" s="18">
        <f>装备表!L791</f>
        <v>0</v>
      </c>
      <c r="E646" s="18" t="str">
        <f>IF(装备表!$O791=0,"xxx",IFERROR(IF(INT(IF($D646=E$3,装备表!$E791,"xxx")/10000)=1,IF($D646=E$3,装备表!$E791,"xxx")&amp;":2,1,1,"&amp;装备表!$O791&amp;";","xxx"),"xxx"))</f>
        <v>xxx</v>
      </c>
      <c r="F646" s="18" t="str">
        <f>IF(装备表!$O791=0,"xxx",IFERROR(IF(INT(IF($D646=F$3,装备表!$E791,"xxx")/10000)=1,IF($D646=F$3,装备表!$E791,"xxx")&amp;":2,1,1,"&amp;装备表!$O791&amp;";","xxx"),"xxx"))</f>
        <v>xxx</v>
      </c>
      <c r="G646" s="18" t="str">
        <f>IF(装备表!$O791=0,"xxx",IFERROR(IF(INT(IF($D646=G$3,装备表!$E791,"xxx")/10000)=1,IF($D646=G$3,装备表!$E791,"xxx")&amp;":2,1,1,"&amp;装备表!$O791&amp;";","xxx"),"xxx"))</f>
        <v>xxx</v>
      </c>
      <c r="H646" s="18" t="str">
        <f>IF(装备表!$O791=0,"xxx",IFERROR(IF(INT(IF($D646=H$3,装备表!$E791,"xxx")/10000)=1,IF($D646=H$3,装备表!$E791,"xxx")&amp;":2,1,1,"&amp;装备表!$O791&amp;";","xxx"),"xxx"))</f>
        <v>xxx</v>
      </c>
      <c r="I646" s="18" t="str">
        <f>IF(装备表!$O791=0,"xxx",IFERROR(IF(INT(IF($D646=I$3,装备表!$E791,"xxx")/10000)=1,IF($D646=I$3,装备表!$E791,"xxx")&amp;":2,1,1,"&amp;装备表!$O791&amp;";","xxx"),"xxx"))</f>
        <v>xxx</v>
      </c>
      <c r="J646" s="18" t="str">
        <f>IF(装备表!$O791=0,"xxx",IFERROR(IF(INT(IF($D646=J$3,装备表!$E791,"xxx")/10000)=1,IF($D646=J$3,装备表!$E791,"xxx")&amp;":2,1,1,"&amp;装备表!$O791&amp;";","xxx"),"xxx"))</f>
        <v>xxx</v>
      </c>
    </row>
    <row r="647" spans="4:10" x14ac:dyDescent="0.2">
      <c r="D647" s="18">
        <f>装备表!L792</f>
        <v>0</v>
      </c>
      <c r="E647" s="18" t="str">
        <f>IF(装备表!$O792=0,"xxx",IFERROR(IF(INT(IF($D647=E$3,装备表!$E792,"xxx")/10000)=1,IF($D647=E$3,装备表!$E792,"xxx")&amp;":2,1,1,"&amp;装备表!$O792&amp;";","xxx"),"xxx"))</f>
        <v>xxx</v>
      </c>
      <c r="F647" s="18" t="str">
        <f>IF(装备表!$O792=0,"xxx",IFERROR(IF(INT(IF($D647=F$3,装备表!$E792,"xxx")/10000)=1,IF($D647=F$3,装备表!$E792,"xxx")&amp;":2,1,1,"&amp;装备表!$O792&amp;";","xxx"),"xxx"))</f>
        <v>xxx</v>
      </c>
      <c r="G647" s="18" t="str">
        <f>IF(装备表!$O792=0,"xxx",IFERROR(IF(INT(IF($D647=G$3,装备表!$E792,"xxx")/10000)=1,IF($D647=G$3,装备表!$E792,"xxx")&amp;":2,1,1,"&amp;装备表!$O792&amp;";","xxx"),"xxx"))</f>
        <v>xxx</v>
      </c>
      <c r="H647" s="18" t="str">
        <f>IF(装备表!$O792=0,"xxx",IFERROR(IF(INT(IF($D647=H$3,装备表!$E792,"xxx")/10000)=1,IF($D647=H$3,装备表!$E792,"xxx")&amp;":2,1,1,"&amp;装备表!$O792&amp;";","xxx"),"xxx"))</f>
        <v>xxx</v>
      </c>
      <c r="I647" s="18" t="str">
        <f>IF(装备表!$O792=0,"xxx",IFERROR(IF(INT(IF($D647=I$3,装备表!$E792,"xxx")/10000)=1,IF($D647=I$3,装备表!$E792,"xxx")&amp;":2,1,1,"&amp;装备表!$O792&amp;";","xxx"),"xxx"))</f>
        <v>xxx</v>
      </c>
      <c r="J647" s="18" t="str">
        <f>IF(装备表!$O792=0,"xxx",IFERROR(IF(INT(IF($D647=J$3,装备表!$E792,"xxx")/10000)=1,IF($D647=J$3,装备表!$E792,"xxx")&amp;":2,1,1,"&amp;装备表!$O792&amp;";","xxx"),"xxx"))</f>
        <v>xxx</v>
      </c>
    </row>
    <row r="648" spans="4:10" x14ac:dyDescent="0.2">
      <c r="D648" s="18">
        <f>装备表!L793</f>
        <v>0</v>
      </c>
      <c r="E648" s="18" t="str">
        <f>IF(装备表!$O793=0,"xxx",IFERROR(IF(INT(IF($D648=E$3,装备表!$E793,"xxx")/10000)=1,IF($D648=E$3,装备表!$E793,"xxx")&amp;":2,1,1,"&amp;装备表!$O793&amp;";","xxx"),"xxx"))</f>
        <v>xxx</v>
      </c>
      <c r="F648" s="18" t="str">
        <f>IF(装备表!$O793=0,"xxx",IFERROR(IF(INT(IF($D648=F$3,装备表!$E793,"xxx")/10000)=1,IF($D648=F$3,装备表!$E793,"xxx")&amp;":2,1,1,"&amp;装备表!$O793&amp;";","xxx"),"xxx"))</f>
        <v>xxx</v>
      </c>
      <c r="G648" s="18" t="str">
        <f>IF(装备表!$O793=0,"xxx",IFERROR(IF(INT(IF($D648=G$3,装备表!$E793,"xxx")/10000)=1,IF($D648=G$3,装备表!$E793,"xxx")&amp;":2,1,1,"&amp;装备表!$O793&amp;";","xxx"),"xxx"))</f>
        <v>xxx</v>
      </c>
      <c r="H648" s="18" t="str">
        <f>IF(装备表!$O793=0,"xxx",IFERROR(IF(INT(IF($D648=H$3,装备表!$E793,"xxx")/10000)=1,IF($D648=H$3,装备表!$E793,"xxx")&amp;":2,1,1,"&amp;装备表!$O793&amp;";","xxx"),"xxx"))</f>
        <v>xxx</v>
      </c>
      <c r="I648" s="18" t="str">
        <f>IF(装备表!$O793=0,"xxx",IFERROR(IF(INT(IF($D648=I$3,装备表!$E793,"xxx")/10000)=1,IF($D648=I$3,装备表!$E793,"xxx")&amp;":2,1,1,"&amp;装备表!$O793&amp;";","xxx"),"xxx"))</f>
        <v>xxx</v>
      </c>
      <c r="J648" s="18" t="str">
        <f>IF(装备表!$O793=0,"xxx",IFERROR(IF(INT(IF($D648=J$3,装备表!$E793,"xxx")/10000)=1,IF($D648=J$3,装备表!$E793,"xxx")&amp;":2,1,1,"&amp;装备表!$O793&amp;";","xxx"),"xxx"))</f>
        <v>xxx</v>
      </c>
    </row>
    <row r="649" spans="4:10" x14ac:dyDescent="0.2">
      <c r="D649" s="18">
        <f>装备表!L794</f>
        <v>0</v>
      </c>
      <c r="E649" s="18" t="str">
        <f>IF(装备表!$O794=0,"xxx",IFERROR(IF(INT(IF($D649=E$3,装备表!$E794,"xxx")/10000)=1,IF($D649=E$3,装备表!$E794,"xxx")&amp;":2,1,1,"&amp;装备表!$O794&amp;";","xxx"),"xxx"))</f>
        <v>xxx</v>
      </c>
      <c r="F649" s="18" t="str">
        <f>IF(装备表!$O794=0,"xxx",IFERROR(IF(INT(IF($D649=F$3,装备表!$E794,"xxx")/10000)=1,IF($D649=F$3,装备表!$E794,"xxx")&amp;":2,1,1,"&amp;装备表!$O794&amp;";","xxx"),"xxx"))</f>
        <v>xxx</v>
      </c>
      <c r="G649" s="18" t="str">
        <f>IF(装备表!$O794=0,"xxx",IFERROR(IF(INT(IF($D649=G$3,装备表!$E794,"xxx")/10000)=1,IF($D649=G$3,装备表!$E794,"xxx")&amp;":2,1,1,"&amp;装备表!$O794&amp;";","xxx"),"xxx"))</f>
        <v>xxx</v>
      </c>
      <c r="H649" s="18" t="str">
        <f>IF(装备表!$O794=0,"xxx",IFERROR(IF(INT(IF($D649=H$3,装备表!$E794,"xxx")/10000)=1,IF($D649=H$3,装备表!$E794,"xxx")&amp;":2,1,1,"&amp;装备表!$O794&amp;";","xxx"),"xxx"))</f>
        <v>xxx</v>
      </c>
      <c r="I649" s="18" t="str">
        <f>IF(装备表!$O794=0,"xxx",IFERROR(IF(INT(IF($D649=I$3,装备表!$E794,"xxx")/10000)=1,IF($D649=I$3,装备表!$E794,"xxx")&amp;":2,1,1,"&amp;装备表!$O794&amp;";","xxx"),"xxx"))</f>
        <v>xxx</v>
      </c>
      <c r="J649" s="18" t="str">
        <f>IF(装备表!$O794=0,"xxx",IFERROR(IF(INT(IF($D649=J$3,装备表!$E794,"xxx")/10000)=1,IF($D649=J$3,装备表!$E794,"xxx")&amp;":2,1,1,"&amp;装备表!$O794&amp;";","xxx"),"xxx"))</f>
        <v>xxx</v>
      </c>
    </row>
    <row r="650" spans="4:10" x14ac:dyDescent="0.2">
      <c r="D650" s="18">
        <f>装备表!L795</f>
        <v>0</v>
      </c>
      <c r="E650" s="18" t="str">
        <f>IF(装备表!$O795=0,"xxx",IFERROR(IF(INT(IF($D650=E$3,装备表!$E795,"xxx")/10000)=1,IF($D650=E$3,装备表!$E795,"xxx")&amp;":2,1,1,"&amp;装备表!$O795&amp;";","xxx"),"xxx"))</f>
        <v>xxx</v>
      </c>
      <c r="F650" s="18" t="str">
        <f>IF(装备表!$O795=0,"xxx",IFERROR(IF(INT(IF($D650=F$3,装备表!$E795,"xxx")/10000)=1,IF($D650=F$3,装备表!$E795,"xxx")&amp;":2,1,1,"&amp;装备表!$O795&amp;";","xxx"),"xxx"))</f>
        <v>xxx</v>
      </c>
      <c r="G650" s="18" t="str">
        <f>IF(装备表!$O795=0,"xxx",IFERROR(IF(INT(IF($D650=G$3,装备表!$E795,"xxx")/10000)=1,IF($D650=G$3,装备表!$E795,"xxx")&amp;":2,1,1,"&amp;装备表!$O795&amp;";","xxx"),"xxx"))</f>
        <v>xxx</v>
      </c>
      <c r="H650" s="18" t="str">
        <f>IF(装备表!$O795=0,"xxx",IFERROR(IF(INT(IF($D650=H$3,装备表!$E795,"xxx")/10000)=1,IF($D650=H$3,装备表!$E795,"xxx")&amp;":2,1,1,"&amp;装备表!$O795&amp;";","xxx"),"xxx"))</f>
        <v>xxx</v>
      </c>
      <c r="I650" s="18" t="str">
        <f>IF(装备表!$O795=0,"xxx",IFERROR(IF(INT(IF($D650=I$3,装备表!$E795,"xxx")/10000)=1,IF($D650=I$3,装备表!$E795,"xxx")&amp;":2,1,1,"&amp;装备表!$O795&amp;";","xxx"),"xxx"))</f>
        <v>xxx</v>
      </c>
      <c r="J650" s="18" t="str">
        <f>IF(装备表!$O795=0,"xxx",IFERROR(IF(INT(IF($D650=J$3,装备表!$E795,"xxx")/10000)=1,IF($D650=J$3,装备表!$E795,"xxx")&amp;":2,1,1,"&amp;装备表!$O795&amp;";","xxx"),"xxx"))</f>
        <v>xxx</v>
      </c>
    </row>
    <row r="651" spans="4:10" x14ac:dyDescent="0.2">
      <c r="D651" s="18">
        <f>装备表!L796</f>
        <v>0</v>
      </c>
      <c r="E651" s="18" t="str">
        <f>IF(装备表!$O796=0,"xxx",IFERROR(IF(INT(IF($D651=E$3,装备表!$E796,"xxx")/10000)=1,IF($D651=E$3,装备表!$E796,"xxx")&amp;":2,1,1,"&amp;装备表!$O796&amp;";","xxx"),"xxx"))</f>
        <v>xxx</v>
      </c>
      <c r="F651" s="18" t="str">
        <f>IF(装备表!$O796=0,"xxx",IFERROR(IF(INT(IF($D651=F$3,装备表!$E796,"xxx")/10000)=1,IF($D651=F$3,装备表!$E796,"xxx")&amp;":2,1,1,"&amp;装备表!$O796&amp;";","xxx"),"xxx"))</f>
        <v>xxx</v>
      </c>
      <c r="G651" s="18" t="str">
        <f>IF(装备表!$O796=0,"xxx",IFERROR(IF(INT(IF($D651=G$3,装备表!$E796,"xxx")/10000)=1,IF($D651=G$3,装备表!$E796,"xxx")&amp;":2,1,1,"&amp;装备表!$O796&amp;";","xxx"),"xxx"))</f>
        <v>xxx</v>
      </c>
      <c r="H651" s="18" t="str">
        <f>IF(装备表!$O796=0,"xxx",IFERROR(IF(INT(IF($D651=H$3,装备表!$E796,"xxx")/10000)=1,IF($D651=H$3,装备表!$E796,"xxx")&amp;":2,1,1,"&amp;装备表!$O796&amp;";","xxx"),"xxx"))</f>
        <v>xxx</v>
      </c>
      <c r="I651" s="18" t="str">
        <f>IF(装备表!$O796=0,"xxx",IFERROR(IF(INT(IF($D651=I$3,装备表!$E796,"xxx")/10000)=1,IF($D651=I$3,装备表!$E796,"xxx")&amp;":2,1,1,"&amp;装备表!$O796&amp;";","xxx"),"xxx"))</f>
        <v>xxx</v>
      </c>
      <c r="J651" s="18" t="str">
        <f>IF(装备表!$O796=0,"xxx",IFERROR(IF(INT(IF($D651=J$3,装备表!$E796,"xxx")/10000)=1,IF($D651=J$3,装备表!$E796,"xxx")&amp;":2,1,1,"&amp;装备表!$O796&amp;";","xxx"),"xxx"))</f>
        <v>xxx</v>
      </c>
    </row>
    <row r="652" spans="4:10" x14ac:dyDescent="0.2">
      <c r="D652" s="18">
        <f>装备表!L797</f>
        <v>0</v>
      </c>
      <c r="E652" s="18" t="str">
        <f>IF(装备表!$O797=0,"xxx",IFERROR(IF(INT(IF($D652=E$3,装备表!$E797,"xxx")/10000)=1,IF($D652=E$3,装备表!$E797,"xxx")&amp;":2,1,1,"&amp;装备表!$O797&amp;";","xxx"),"xxx"))</f>
        <v>xxx</v>
      </c>
      <c r="F652" s="18" t="str">
        <f>IF(装备表!$O797=0,"xxx",IFERROR(IF(INT(IF($D652=F$3,装备表!$E797,"xxx")/10000)=1,IF($D652=F$3,装备表!$E797,"xxx")&amp;":2,1,1,"&amp;装备表!$O797&amp;";","xxx"),"xxx"))</f>
        <v>xxx</v>
      </c>
      <c r="G652" s="18" t="str">
        <f>IF(装备表!$O797=0,"xxx",IFERROR(IF(INT(IF($D652=G$3,装备表!$E797,"xxx")/10000)=1,IF($D652=G$3,装备表!$E797,"xxx")&amp;":2,1,1,"&amp;装备表!$O797&amp;";","xxx"),"xxx"))</f>
        <v>xxx</v>
      </c>
      <c r="H652" s="18" t="str">
        <f>IF(装备表!$O797=0,"xxx",IFERROR(IF(INT(IF($D652=H$3,装备表!$E797,"xxx")/10000)=1,IF($D652=H$3,装备表!$E797,"xxx")&amp;":2,1,1,"&amp;装备表!$O797&amp;";","xxx"),"xxx"))</f>
        <v>xxx</v>
      </c>
      <c r="I652" s="18" t="str">
        <f>IF(装备表!$O797=0,"xxx",IFERROR(IF(INT(IF($D652=I$3,装备表!$E797,"xxx")/10000)=1,IF($D652=I$3,装备表!$E797,"xxx")&amp;":2,1,1,"&amp;装备表!$O797&amp;";","xxx"),"xxx"))</f>
        <v>xxx</v>
      </c>
      <c r="J652" s="18" t="str">
        <f>IF(装备表!$O797=0,"xxx",IFERROR(IF(INT(IF($D652=J$3,装备表!$E797,"xxx")/10000)=1,IF($D652=J$3,装备表!$E797,"xxx")&amp;":2,1,1,"&amp;装备表!$O797&amp;";","xxx"),"xxx"))</f>
        <v>xxx</v>
      </c>
    </row>
    <row r="653" spans="4:10" x14ac:dyDescent="0.2">
      <c r="D653" s="18">
        <f>装备表!L798</f>
        <v>0</v>
      </c>
      <c r="E653" s="18" t="str">
        <f>IF(装备表!$O798=0,"xxx",IFERROR(IF(INT(IF($D653=E$3,装备表!$E798,"xxx")/10000)=1,IF($D653=E$3,装备表!$E798,"xxx")&amp;":2,1,1,"&amp;装备表!$O798&amp;";","xxx"),"xxx"))</f>
        <v>xxx</v>
      </c>
      <c r="F653" s="18" t="str">
        <f>IF(装备表!$O798=0,"xxx",IFERROR(IF(INT(IF($D653=F$3,装备表!$E798,"xxx")/10000)=1,IF($D653=F$3,装备表!$E798,"xxx")&amp;":2,1,1,"&amp;装备表!$O798&amp;";","xxx"),"xxx"))</f>
        <v>xxx</v>
      </c>
      <c r="G653" s="18" t="str">
        <f>IF(装备表!$O798=0,"xxx",IFERROR(IF(INT(IF($D653=G$3,装备表!$E798,"xxx")/10000)=1,IF($D653=G$3,装备表!$E798,"xxx")&amp;":2,1,1,"&amp;装备表!$O798&amp;";","xxx"),"xxx"))</f>
        <v>xxx</v>
      </c>
      <c r="H653" s="18" t="str">
        <f>IF(装备表!$O798=0,"xxx",IFERROR(IF(INT(IF($D653=H$3,装备表!$E798,"xxx")/10000)=1,IF($D653=H$3,装备表!$E798,"xxx")&amp;":2,1,1,"&amp;装备表!$O798&amp;";","xxx"),"xxx"))</f>
        <v>xxx</v>
      </c>
      <c r="I653" s="18" t="str">
        <f>IF(装备表!$O798=0,"xxx",IFERROR(IF(INT(IF($D653=I$3,装备表!$E798,"xxx")/10000)=1,IF($D653=I$3,装备表!$E798,"xxx")&amp;":2,1,1,"&amp;装备表!$O798&amp;";","xxx"),"xxx"))</f>
        <v>xxx</v>
      </c>
      <c r="J653" s="18" t="str">
        <f>IF(装备表!$O798=0,"xxx",IFERROR(IF(INT(IF($D653=J$3,装备表!$E798,"xxx")/10000)=1,IF($D653=J$3,装备表!$E798,"xxx")&amp;":2,1,1,"&amp;装备表!$O798&amp;";","xxx"),"xxx"))</f>
        <v>xxx</v>
      </c>
    </row>
    <row r="654" spans="4:10" x14ac:dyDescent="0.2">
      <c r="D654" s="18">
        <f>装备表!L799</f>
        <v>0</v>
      </c>
      <c r="E654" s="18" t="str">
        <f>IF(装备表!$O799=0,"xxx",IFERROR(IF(INT(IF($D654=E$3,装备表!$E799,"xxx")/10000)=1,IF($D654=E$3,装备表!$E799,"xxx")&amp;":2,1,1,"&amp;装备表!$O799&amp;";","xxx"),"xxx"))</f>
        <v>xxx</v>
      </c>
      <c r="F654" s="18" t="str">
        <f>IF(装备表!$O799=0,"xxx",IFERROR(IF(INT(IF($D654=F$3,装备表!$E799,"xxx")/10000)=1,IF($D654=F$3,装备表!$E799,"xxx")&amp;":2,1,1,"&amp;装备表!$O799&amp;";","xxx"),"xxx"))</f>
        <v>xxx</v>
      </c>
      <c r="G654" s="18" t="str">
        <f>IF(装备表!$O799=0,"xxx",IFERROR(IF(INT(IF($D654=G$3,装备表!$E799,"xxx")/10000)=1,IF($D654=G$3,装备表!$E799,"xxx")&amp;":2,1,1,"&amp;装备表!$O799&amp;";","xxx"),"xxx"))</f>
        <v>xxx</v>
      </c>
      <c r="H654" s="18" t="str">
        <f>IF(装备表!$O799=0,"xxx",IFERROR(IF(INT(IF($D654=H$3,装备表!$E799,"xxx")/10000)=1,IF($D654=H$3,装备表!$E799,"xxx")&amp;":2,1,1,"&amp;装备表!$O799&amp;";","xxx"),"xxx"))</f>
        <v>xxx</v>
      </c>
      <c r="I654" s="18" t="str">
        <f>IF(装备表!$O799=0,"xxx",IFERROR(IF(INT(IF($D654=I$3,装备表!$E799,"xxx")/10000)=1,IF($D654=I$3,装备表!$E799,"xxx")&amp;":2,1,1,"&amp;装备表!$O799&amp;";","xxx"),"xxx"))</f>
        <v>xxx</v>
      </c>
      <c r="J654" s="18" t="str">
        <f>IF(装备表!$O799=0,"xxx",IFERROR(IF(INT(IF($D654=J$3,装备表!$E799,"xxx")/10000)=1,IF($D654=J$3,装备表!$E799,"xxx")&amp;":2,1,1,"&amp;装备表!$O799&amp;";","xxx"),"xxx"))</f>
        <v>xxx</v>
      </c>
    </row>
    <row r="655" spans="4:10" x14ac:dyDescent="0.2">
      <c r="D655" s="18">
        <f>装备表!L800</f>
        <v>0</v>
      </c>
      <c r="E655" s="18" t="str">
        <f>IF(装备表!$O800=0,"xxx",IFERROR(IF(INT(IF($D655=E$3,装备表!$E800,"xxx")/10000)=1,IF($D655=E$3,装备表!$E800,"xxx")&amp;":2,1,1,"&amp;装备表!$O800&amp;";","xxx"),"xxx"))</f>
        <v>xxx</v>
      </c>
      <c r="F655" s="18" t="str">
        <f>IF(装备表!$O800=0,"xxx",IFERROR(IF(INT(IF($D655=F$3,装备表!$E800,"xxx")/10000)=1,IF($D655=F$3,装备表!$E800,"xxx")&amp;":2,1,1,"&amp;装备表!$O800&amp;";","xxx"),"xxx"))</f>
        <v>xxx</v>
      </c>
      <c r="G655" s="18" t="str">
        <f>IF(装备表!$O800=0,"xxx",IFERROR(IF(INT(IF($D655=G$3,装备表!$E800,"xxx")/10000)=1,IF($D655=G$3,装备表!$E800,"xxx")&amp;":2,1,1,"&amp;装备表!$O800&amp;";","xxx"),"xxx"))</f>
        <v>xxx</v>
      </c>
      <c r="H655" s="18" t="str">
        <f>IF(装备表!$O800=0,"xxx",IFERROR(IF(INT(IF($D655=H$3,装备表!$E800,"xxx")/10000)=1,IF($D655=H$3,装备表!$E800,"xxx")&amp;":2,1,1,"&amp;装备表!$O800&amp;";","xxx"),"xxx"))</f>
        <v>xxx</v>
      </c>
      <c r="I655" s="18" t="str">
        <f>IF(装备表!$O800=0,"xxx",IFERROR(IF(INT(IF($D655=I$3,装备表!$E800,"xxx")/10000)=1,IF($D655=I$3,装备表!$E800,"xxx")&amp;":2,1,1,"&amp;装备表!$O800&amp;";","xxx"),"xxx"))</f>
        <v>xxx</v>
      </c>
      <c r="J655" s="18" t="str">
        <f>IF(装备表!$O800=0,"xxx",IFERROR(IF(INT(IF($D655=J$3,装备表!$E800,"xxx")/10000)=1,IF($D655=J$3,装备表!$E800,"xxx")&amp;":2,1,1,"&amp;装备表!$O800&amp;";","xxx"),"xxx"))</f>
        <v>xxx</v>
      </c>
    </row>
    <row r="656" spans="4:10" x14ac:dyDescent="0.2">
      <c r="D656" s="18">
        <f>装备表!L801</f>
        <v>0</v>
      </c>
      <c r="E656" s="18" t="str">
        <f>IF(装备表!$O801=0,"xxx",IFERROR(IF(INT(IF($D656=E$3,装备表!$E801,"xxx")/10000)=1,IF($D656=E$3,装备表!$E801,"xxx")&amp;":2,1,1,"&amp;装备表!$O801&amp;";","xxx"),"xxx"))</f>
        <v>xxx</v>
      </c>
      <c r="F656" s="18" t="str">
        <f>IF(装备表!$O801=0,"xxx",IFERROR(IF(INT(IF($D656=F$3,装备表!$E801,"xxx")/10000)=1,IF($D656=F$3,装备表!$E801,"xxx")&amp;":2,1,1,"&amp;装备表!$O801&amp;";","xxx"),"xxx"))</f>
        <v>xxx</v>
      </c>
      <c r="G656" s="18" t="str">
        <f>IF(装备表!$O801=0,"xxx",IFERROR(IF(INT(IF($D656=G$3,装备表!$E801,"xxx")/10000)=1,IF($D656=G$3,装备表!$E801,"xxx")&amp;":2,1,1,"&amp;装备表!$O801&amp;";","xxx"),"xxx"))</f>
        <v>xxx</v>
      </c>
      <c r="H656" s="18" t="str">
        <f>IF(装备表!$O801=0,"xxx",IFERROR(IF(INT(IF($D656=H$3,装备表!$E801,"xxx")/10000)=1,IF($D656=H$3,装备表!$E801,"xxx")&amp;":2,1,1,"&amp;装备表!$O801&amp;";","xxx"),"xxx"))</f>
        <v>xxx</v>
      </c>
      <c r="I656" s="18" t="str">
        <f>IF(装备表!$O801=0,"xxx",IFERROR(IF(INT(IF($D656=I$3,装备表!$E801,"xxx")/10000)=1,IF($D656=I$3,装备表!$E801,"xxx")&amp;":2,1,1,"&amp;装备表!$O801&amp;";","xxx"),"xxx"))</f>
        <v>xxx</v>
      </c>
      <c r="J656" s="18" t="str">
        <f>IF(装备表!$O801=0,"xxx",IFERROR(IF(INT(IF($D656=J$3,装备表!$E801,"xxx")/10000)=1,IF($D656=J$3,装备表!$E801,"xxx")&amp;":2,1,1,"&amp;装备表!$O801&amp;";","xxx"),"xxx"))</f>
        <v>xxx</v>
      </c>
    </row>
    <row r="657" spans="4:10" x14ac:dyDescent="0.2">
      <c r="D657" s="18">
        <f>装备表!L802</f>
        <v>0</v>
      </c>
      <c r="E657" s="18" t="str">
        <f>IF(装备表!$O802=0,"xxx",IFERROR(IF(INT(IF($D657=E$3,装备表!$E802,"xxx")/10000)=1,IF($D657=E$3,装备表!$E802,"xxx")&amp;":2,1,1,"&amp;装备表!$O802&amp;";","xxx"),"xxx"))</f>
        <v>xxx</v>
      </c>
      <c r="F657" s="18" t="str">
        <f>IF(装备表!$O802=0,"xxx",IFERROR(IF(INT(IF($D657=F$3,装备表!$E802,"xxx")/10000)=1,IF($D657=F$3,装备表!$E802,"xxx")&amp;":2,1,1,"&amp;装备表!$O802&amp;";","xxx"),"xxx"))</f>
        <v>xxx</v>
      </c>
      <c r="G657" s="18" t="str">
        <f>IF(装备表!$O802=0,"xxx",IFERROR(IF(INT(IF($D657=G$3,装备表!$E802,"xxx")/10000)=1,IF($D657=G$3,装备表!$E802,"xxx")&amp;":2,1,1,"&amp;装备表!$O802&amp;";","xxx"),"xxx"))</f>
        <v>xxx</v>
      </c>
      <c r="H657" s="18" t="str">
        <f>IF(装备表!$O802=0,"xxx",IFERROR(IF(INT(IF($D657=H$3,装备表!$E802,"xxx")/10000)=1,IF($D657=H$3,装备表!$E802,"xxx")&amp;":2,1,1,"&amp;装备表!$O802&amp;";","xxx"),"xxx"))</f>
        <v>xxx</v>
      </c>
      <c r="I657" s="18" t="str">
        <f>IF(装备表!$O802=0,"xxx",IFERROR(IF(INT(IF($D657=I$3,装备表!$E802,"xxx")/10000)=1,IF($D657=I$3,装备表!$E802,"xxx")&amp;":2,1,1,"&amp;装备表!$O802&amp;";","xxx"),"xxx"))</f>
        <v>xxx</v>
      </c>
      <c r="J657" s="18" t="str">
        <f>IF(装备表!$O802=0,"xxx",IFERROR(IF(INT(IF($D657=J$3,装备表!$E802,"xxx")/10000)=1,IF($D657=J$3,装备表!$E802,"xxx")&amp;":2,1,1,"&amp;装备表!$O802&amp;";","xxx"),"xxx"))</f>
        <v>xxx</v>
      </c>
    </row>
    <row r="658" spans="4:10" x14ac:dyDescent="0.2">
      <c r="D658" s="18">
        <f>装备表!L803</f>
        <v>0</v>
      </c>
      <c r="E658" s="18" t="str">
        <f>IF(装备表!$O803=0,"xxx",IFERROR(IF(INT(IF($D658=E$3,装备表!$E803,"xxx")/10000)=1,IF($D658=E$3,装备表!$E803,"xxx")&amp;":2,1,1,"&amp;装备表!$O803&amp;";","xxx"),"xxx"))</f>
        <v>xxx</v>
      </c>
      <c r="F658" s="18" t="str">
        <f>IF(装备表!$O803=0,"xxx",IFERROR(IF(INT(IF($D658=F$3,装备表!$E803,"xxx")/10000)=1,IF($D658=F$3,装备表!$E803,"xxx")&amp;":2,1,1,"&amp;装备表!$O803&amp;";","xxx"),"xxx"))</f>
        <v>xxx</v>
      </c>
      <c r="G658" s="18" t="str">
        <f>IF(装备表!$O803=0,"xxx",IFERROR(IF(INT(IF($D658=G$3,装备表!$E803,"xxx")/10000)=1,IF($D658=G$3,装备表!$E803,"xxx")&amp;":2,1,1,"&amp;装备表!$O803&amp;";","xxx"),"xxx"))</f>
        <v>xxx</v>
      </c>
      <c r="H658" s="18" t="str">
        <f>IF(装备表!$O803=0,"xxx",IFERROR(IF(INT(IF($D658=H$3,装备表!$E803,"xxx")/10000)=1,IF($D658=H$3,装备表!$E803,"xxx")&amp;":2,1,1,"&amp;装备表!$O803&amp;";","xxx"),"xxx"))</f>
        <v>xxx</v>
      </c>
      <c r="I658" s="18" t="str">
        <f>IF(装备表!$O803=0,"xxx",IFERROR(IF(INT(IF($D658=I$3,装备表!$E803,"xxx")/10000)=1,IF($D658=I$3,装备表!$E803,"xxx")&amp;":2,1,1,"&amp;装备表!$O803&amp;";","xxx"),"xxx"))</f>
        <v>xxx</v>
      </c>
      <c r="J658" s="18" t="str">
        <f>IF(装备表!$O803=0,"xxx",IFERROR(IF(INT(IF($D658=J$3,装备表!$E803,"xxx")/10000)=1,IF($D658=J$3,装备表!$E803,"xxx")&amp;":2,1,1,"&amp;装备表!$O803&amp;";","xxx"),"xxx"))</f>
        <v>xxx</v>
      </c>
    </row>
    <row r="659" spans="4:10" x14ac:dyDescent="0.2">
      <c r="D659" s="18">
        <f>装备表!L804</f>
        <v>0</v>
      </c>
      <c r="E659" s="18" t="str">
        <f>IF(装备表!$O804=0,"xxx",IFERROR(IF(INT(IF($D659=E$3,装备表!$E804,"xxx")/10000)=1,IF($D659=E$3,装备表!$E804,"xxx")&amp;":2,1,1,"&amp;装备表!$O804&amp;";","xxx"),"xxx"))</f>
        <v>xxx</v>
      </c>
      <c r="F659" s="18" t="str">
        <f>IF(装备表!$O804=0,"xxx",IFERROR(IF(INT(IF($D659=F$3,装备表!$E804,"xxx")/10000)=1,IF($D659=F$3,装备表!$E804,"xxx")&amp;":2,1,1,"&amp;装备表!$O804&amp;";","xxx"),"xxx"))</f>
        <v>xxx</v>
      </c>
      <c r="G659" s="18" t="str">
        <f>IF(装备表!$O804=0,"xxx",IFERROR(IF(INT(IF($D659=G$3,装备表!$E804,"xxx")/10000)=1,IF($D659=G$3,装备表!$E804,"xxx")&amp;":2,1,1,"&amp;装备表!$O804&amp;";","xxx"),"xxx"))</f>
        <v>xxx</v>
      </c>
      <c r="H659" s="18" t="str">
        <f>IF(装备表!$O804=0,"xxx",IFERROR(IF(INT(IF($D659=H$3,装备表!$E804,"xxx")/10000)=1,IF($D659=H$3,装备表!$E804,"xxx")&amp;":2,1,1,"&amp;装备表!$O804&amp;";","xxx"),"xxx"))</f>
        <v>xxx</v>
      </c>
      <c r="I659" s="18" t="str">
        <f>IF(装备表!$O804=0,"xxx",IFERROR(IF(INT(IF($D659=I$3,装备表!$E804,"xxx")/10000)=1,IF($D659=I$3,装备表!$E804,"xxx")&amp;":2,1,1,"&amp;装备表!$O804&amp;";","xxx"),"xxx"))</f>
        <v>xxx</v>
      </c>
      <c r="J659" s="18" t="str">
        <f>IF(装备表!$O804=0,"xxx",IFERROR(IF(INT(IF($D659=J$3,装备表!$E804,"xxx")/10000)=1,IF($D659=J$3,装备表!$E804,"xxx")&amp;":2,1,1,"&amp;装备表!$O804&amp;";","xxx"),"xxx"))</f>
        <v>xxx</v>
      </c>
    </row>
    <row r="660" spans="4:10" x14ac:dyDescent="0.2">
      <c r="D660" s="18">
        <f>装备表!L805</f>
        <v>0</v>
      </c>
      <c r="E660" s="18" t="str">
        <f>IF(装备表!$O805=0,"xxx",IFERROR(IF(INT(IF($D660=E$3,装备表!$E805,"xxx")/10000)=1,IF($D660=E$3,装备表!$E805,"xxx")&amp;":2,1,1,"&amp;装备表!$O805&amp;";","xxx"),"xxx"))</f>
        <v>xxx</v>
      </c>
      <c r="F660" s="18" t="str">
        <f>IF(装备表!$O805=0,"xxx",IFERROR(IF(INT(IF($D660=F$3,装备表!$E805,"xxx")/10000)=1,IF($D660=F$3,装备表!$E805,"xxx")&amp;":2,1,1,"&amp;装备表!$O805&amp;";","xxx"),"xxx"))</f>
        <v>xxx</v>
      </c>
      <c r="G660" s="18" t="str">
        <f>IF(装备表!$O805=0,"xxx",IFERROR(IF(INT(IF($D660=G$3,装备表!$E805,"xxx")/10000)=1,IF($D660=G$3,装备表!$E805,"xxx")&amp;":2,1,1,"&amp;装备表!$O805&amp;";","xxx"),"xxx"))</f>
        <v>xxx</v>
      </c>
      <c r="H660" s="18" t="str">
        <f>IF(装备表!$O805=0,"xxx",IFERROR(IF(INT(IF($D660=H$3,装备表!$E805,"xxx")/10000)=1,IF($D660=H$3,装备表!$E805,"xxx")&amp;":2,1,1,"&amp;装备表!$O805&amp;";","xxx"),"xxx"))</f>
        <v>xxx</v>
      </c>
      <c r="I660" s="18" t="str">
        <f>IF(装备表!$O805=0,"xxx",IFERROR(IF(INT(IF($D660=I$3,装备表!$E805,"xxx")/10000)=1,IF($D660=I$3,装备表!$E805,"xxx")&amp;":2,1,1,"&amp;装备表!$O805&amp;";","xxx"),"xxx"))</f>
        <v>xxx</v>
      </c>
      <c r="J660" s="18" t="str">
        <f>IF(装备表!$O805=0,"xxx",IFERROR(IF(INT(IF($D660=J$3,装备表!$E805,"xxx")/10000)=1,IF($D660=J$3,装备表!$E805,"xxx")&amp;":2,1,1,"&amp;装备表!$O805&amp;";","xxx"),"xxx"))</f>
        <v>xxx</v>
      </c>
    </row>
    <row r="661" spans="4:10" x14ac:dyDescent="0.2">
      <c r="D661" s="18">
        <f>装备表!L806</f>
        <v>0</v>
      </c>
      <c r="E661" s="18" t="str">
        <f>IF(装备表!$O806=0,"xxx",IFERROR(IF(INT(IF($D661=E$3,装备表!$E806,"xxx")/10000)=1,IF($D661=E$3,装备表!$E806,"xxx")&amp;":2,1,1,"&amp;装备表!$O806&amp;";","xxx"),"xxx"))</f>
        <v>xxx</v>
      </c>
      <c r="F661" s="18" t="str">
        <f>IF(装备表!$O806=0,"xxx",IFERROR(IF(INT(IF($D661=F$3,装备表!$E806,"xxx")/10000)=1,IF($D661=F$3,装备表!$E806,"xxx")&amp;":2,1,1,"&amp;装备表!$O806&amp;";","xxx"),"xxx"))</f>
        <v>xxx</v>
      </c>
      <c r="G661" s="18" t="str">
        <f>IF(装备表!$O806=0,"xxx",IFERROR(IF(INT(IF($D661=G$3,装备表!$E806,"xxx")/10000)=1,IF($D661=G$3,装备表!$E806,"xxx")&amp;":2,1,1,"&amp;装备表!$O806&amp;";","xxx"),"xxx"))</f>
        <v>xxx</v>
      </c>
      <c r="H661" s="18" t="str">
        <f>IF(装备表!$O806=0,"xxx",IFERROR(IF(INT(IF($D661=H$3,装备表!$E806,"xxx")/10000)=1,IF($D661=H$3,装备表!$E806,"xxx")&amp;":2,1,1,"&amp;装备表!$O806&amp;";","xxx"),"xxx"))</f>
        <v>xxx</v>
      </c>
      <c r="I661" s="18" t="str">
        <f>IF(装备表!$O806=0,"xxx",IFERROR(IF(INT(IF($D661=I$3,装备表!$E806,"xxx")/10000)=1,IF($D661=I$3,装备表!$E806,"xxx")&amp;":2,1,1,"&amp;装备表!$O806&amp;";","xxx"),"xxx"))</f>
        <v>xxx</v>
      </c>
      <c r="J661" s="18" t="str">
        <f>IF(装备表!$O806=0,"xxx",IFERROR(IF(INT(IF($D661=J$3,装备表!$E806,"xxx")/10000)=1,IF($D661=J$3,装备表!$E806,"xxx")&amp;":2,1,1,"&amp;装备表!$O806&amp;";","xxx"),"xxx"))</f>
        <v>xxx</v>
      </c>
    </row>
    <row r="662" spans="4:10" x14ac:dyDescent="0.2">
      <c r="D662" s="18">
        <f>装备表!L807</f>
        <v>0</v>
      </c>
      <c r="E662" s="18" t="str">
        <f>IF(装备表!$O807=0,"xxx",IFERROR(IF(INT(IF($D662=E$3,装备表!$E807,"xxx")/10000)=1,IF($D662=E$3,装备表!$E807,"xxx")&amp;":2,1,1,"&amp;装备表!$O807&amp;";","xxx"),"xxx"))</f>
        <v>xxx</v>
      </c>
      <c r="F662" s="18" t="str">
        <f>IF(装备表!$O807=0,"xxx",IFERROR(IF(INT(IF($D662=F$3,装备表!$E807,"xxx")/10000)=1,IF($D662=F$3,装备表!$E807,"xxx")&amp;":2,1,1,"&amp;装备表!$O807&amp;";","xxx"),"xxx"))</f>
        <v>xxx</v>
      </c>
      <c r="G662" s="18" t="str">
        <f>IF(装备表!$O807=0,"xxx",IFERROR(IF(INT(IF($D662=G$3,装备表!$E807,"xxx")/10000)=1,IF($D662=G$3,装备表!$E807,"xxx")&amp;":2,1,1,"&amp;装备表!$O807&amp;";","xxx"),"xxx"))</f>
        <v>xxx</v>
      </c>
      <c r="H662" s="18" t="str">
        <f>IF(装备表!$O807=0,"xxx",IFERROR(IF(INT(IF($D662=H$3,装备表!$E807,"xxx")/10000)=1,IF($D662=H$3,装备表!$E807,"xxx")&amp;":2,1,1,"&amp;装备表!$O807&amp;";","xxx"),"xxx"))</f>
        <v>xxx</v>
      </c>
      <c r="I662" s="18" t="str">
        <f>IF(装备表!$O807=0,"xxx",IFERROR(IF(INT(IF($D662=I$3,装备表!$E807,"xxx")/10000)=1,IF($D662=I$3,装备表!$E807,"xxx")&amp;":2,1,1,"&amp;装备表!$O807&amp;";","xxx"),"xxx"))</f>
        <v>xxx</v>
      </c>
      <c r="J662" s="18" t="str">
        <f>IF(装备表!$O807=0,"xxx",IFERROR(IF(INT(IF($D662=J$3,装备表!$E807,"xxx")/10000)=1,IF($D662=J$3,装备表!$E807,"xxx")&amp;":2,1,1,"&amp;装备表!$O807&amp;";","xxx"),"xxx"))</f>
        <v>xxx</v>
      </c>
    </row>
    <row r="663" spans="4:10" x14ac:dyDescent="0.2">
      <c r="D663" s="18">
        <f>装备表!L808</f>
        <v>0</v>
      </c>
      <c r="E663" s="18" t="str">
        <f>IF(装备表!$O808=0,"xxx",IFERROR(IF(INT(IF($D663=E$3,装备表!$E808,"xxx")/10000)=1,IF($D663=E$3,装备表!$E808,"xxx")&amp;":2,1,1,"&amp;装备表!$O808&amp;";","xxx"),"xxx"))</f>
        <v>xxx</v>
      </c>
      <c r="F663" s="18" t="str">
        <f>IF(装备表!$O808=0,"xxx",IFERROR(IF(INT(IF($D663=F$3,装备表!$E808,"xxx")/10000)=1,IF($D663=F$3,装备表!$E808,"xxx")&amp;":2,1,1,"&amp;装备表!$O808&amp;";","xxx"),"xxx"))</f>
        <v>xxx</v>
      </c>
      <c r="G663" s="18" t="str">
        <f>IF(装备表!$O808=0,"xxx",IFERROR(IF(INT(IF($D663=G$3,装备表!$E808,"xxx")/10000)=1,IF($D663=G$3,装备表!$E808,"xxx")&amp;":2,1,1,"&amp;装备表!$O808&amp;";","xxx"),"xxx"))</f>
        <v>xxx</v>
      </c>
      <c r="H663" s="18" t="str">
        <f>IF(装备表!$O808=0,"xxx",IFERROR(IF(INT(IF($D663=H$3,装备表!$E808,"xxx")/10000)=1,IF($D663=H$3,装备表!$E808,"xxx")&amp;":2,1,1,"&amp;装备表!$O808&amp;";","xxx"),"xxx"))</f>
        <v>xxx</v>
      </c>
      <c r="I663" s="18" t="str">
        <f>IF(装备表!$O808=0,"xxx",IFERROR(IF(INT(IF($D663=I$3,装备表!$E808,"xxx")/10000)=1,IF($D663=I$3,装备表!$E808,"xxx")&amp;":2,1,1,"&amp;装备表!$O808&amp;";","xxx"),"xxx"))</f>
        <v>xxx</v>
      </c>
      <c r="J663" s="18" t="str">
        <f>IF(装备表!$O808=0,"xxx",IFERROR(IF(INT(IF($D663=J$3,装备表!$E808,"xxx")/10000)=1,IF($D663=J$3,装备表!$E808,"xxx")&amp;":2,1,1,"&amp;装备表!$O808&amp;";","xxx"),"xxx"))</f>
        <v>xxx</v>
      </c>
    </row>
    <row r="664" spans="4:10" x14ac:dyDescent="0.2">
      <c r="D664" s="18">
        <f>装备表!L809</f>
        <v>0</v>
      </c>
      <c r="E664" s="18" t="str">
        <f>IF(装备表!$O809=0,"xxx",IFERROR(IF(INT(IF($D664=E$3,装备表!$E809,"xxx")/10000)=1,IF($D664=E$3,装备表!$E809,"xxx")&amp;":2,1,1,"&amp;装备表!$O809&amp;";","xxx"),"xxx"))</f>
        <v>xxx</v>
      </c>
      <c r="F664" s="18" t="str">
        <f>IF(装备表!$O809=0,"xxx",IFERROR(IF(INT(IF($D664=F$3,装备表!$E809,"xxx")/10000)=1,IF($D664=F$3,装备表!$E809,"xxx")&amp;":2,1,1,"&amp;装备表!$O809&amp;";","xxx"),"xxx"))</f>
        <v>xxx</v>
      </c>
      <c r="G664" s="18" t="str">
        <f>IF(装备表!$O809=0,"xxx",IFERROR(IF(INT(IF($D664=G$3,装备表!$E809,"xxx")/10000)=1,IF($D664=G$3,装备表!$E809,"xxx")&amp;":2,1,1,"&amp;装备表!$O809&amp;";","xxx"),"xxx"))</f>
        <v>xxx</v>
      </c>
      <c r="H664" s="18" t="str">
        <f>IF(装备表!$O809=0,"xxx",IFERROR(IF(INT(IF($D664=H$3,装备表!$E809,"xxx")/10000)=1,IF($D664=H$3,装备表!$E809,"xxx")&amp;":2,1,1,"&amp;装备表!$O809&amp;";","xxx"),"xxx"))</f>
        <v>xxx</v>
      </c>
      <c r="I664" s="18" t="str">
        <f>IF(装备表!$O809=0,"xxx",IFERROR(IF(INT(IF($D664=I$3,装备表!$E809,"xxx")/10000)=1,IF($D664=I$3,装备表!$E809,"xxx")&amp;":2,1,1,"&amp;装备表!$O809&amp;";","xxx"),"xxx"))</f>
        <v>xxx</v>
      </c>
      <c r="J664" s="18" t="str">
        <f>IF(装备表!$O809=0,"xxx",IFERROR(IF(INT(IF($D664=J$3,装备表!$E809,"xxx")/10000)=1,IF($D664=J$3,装备表!$E809,"xxx")&amp;":2,1,1,"&amp;装备表!$O809&amp;";","xxx"),"xxx"))</f>
        <v>xxx</v>
      </c>
    </row>
    <row r="665" spans="4:10" x14ac:dyDescent="0.2">
      <c r="D665" s="18">
        <f>装备表!L810</f>
        <v>0</v>
      </c>
      <c r="E665" s="18" t="str">
        <f>IF(装备表!$O810=0,"xxx",IFERROR(IF(INT(IF($D665=E$3,装备表!$E810,"xxx")/10000)=1,IF($D665=E$3,装备表!$E810,"xxx")&amp;":2,1,1,"&amp;装备表!$O810&amp;";","xxx"),"xxx"))</f>
        <v>xxx</v>
      </c>
      <c r="F665" s="18" t="str">
        <f>IF(装备表!$O810=0,"xxx",IFERROR(IF(INT(IF($D665=F$3,装备表!$E810,"xxx")/10000)=1,IF($D665=F$3,装备表!$E810,"xxx")&amp;":2,1,1,"&amp;装备表!$O810&amp;";","xxx"),"xxx"))</f>
        <v>xxx</v>
      </c>
      <c r="G665" s="18" t="str">
        <f>IF(装备表!$O810=0,"xxx",IFERROR(IF(INT(IF($D665=G$3,装备表!$E810,"xxx")/10000)=1,IF($D665=G$3,装备表!$E810,"xxx")&amp;":2,1,1,"&amp;装备表!$O810&amp;";","xxx"),"xxx"))</f>
        <v>xxx</v>
      </c>
      <c r="H665" s="18" t="str">
        <f>IF(装备表!$O810=0,"xxx",IFERROR(IF(INT(IF($D665=H$3,装备表!$E810,"xxx")/10000)=1,IF($D665=H$3,装备表!$E810,"xxx")&amp;":2,1,1,"&amp;装备表!$O810&amp;";","xxx"),"xxx"))</f>
        <v>xxx</v>
      </c>
      <c r="I665" s="18" t="str">
        <f>IF(装备表!$O810=0,"xxx",IFERROR(IF(INT(IF($D665=I$3,装备表!$E810,"xxx")/10000)=1,IF($D665=I$3,装备表!$E810,"xxx")&amp;":2,1,1,"&amp;装备表!$O810&amp;";","xxx"),"xxx"))</f>
        <v>xxx</v>
      </c>
      <c r="J665" s="18" t="str">
        <f>IF(装备表!$O810=0,"xxx",IFERROR(IF(INT(IF($D665=J$3,装备表!$E810,"xxx")/10000)=1,IF($D665=J$3,装备表!$E810,"xxx")&amp;":2,1,1,"&amp;装备表!$O810&amp;";","xxx"),"xxx"))</f>
        <v>xxx</v>
      </c>
    </row>
    <row r="666" spans="4:10" x14ac:dyDescent="0.2">
      <c r="D666" s="18">
        <f>装备表!L811</f>
        <v>0</v>
      </c>
      <c r="E666" s="18" t="str">
        <f>IF(装备表!$O811=0,"xxx",IFERROR(IF(INT(IF($D666=E$3,装备表!$E811,"xxx")/10000)=1,IF($D666=E$3,装备表!$E811,"xxx")&amp;":2,1,1,"&amp;装备表!$O811&amp;";","xxx"),"xxx"))</f>
        <v>xxx</v>
      </c>
      <c r="F666" s="18" t="str">
        <f>IF(装备表!$O811=0,"xxx",IFERROR(IF(INT(IF($D666=F$3,装备表!$E811,"xxx")/10000)=1,IF($D666=F$3,装备表!$E811,"xxx")&amp;":2,1,1,"&amp;装备表!$O811&amp;";","xxx"),"xxx"))</f>
        <v>xxx</v>
      </c>
      <c r="G666" s="18" t="str">
        <f>IF(装备表!$O811=0,"xxx",IFERROR(IF(INT(IF($D666=G$3,装备表!$E811,"xxx")/10000)=1,IF($D666=G$3,装备表!$E811,"xxx")&amp;":2,1,1,"&amp;装备表!$O811&amp;";","xxx"),"xxx"))</f>
        <v>xxx</v>
      </c>
      <c r="H666" s="18" t="str">
        <f>IF(装备表!$O811=0,"xxx",IFERROR(IF(INT(IF($D666=H$3,装备表!$E811,"xxx")/10000)=1,IF($D666=H$3,装备表!$E811,"xxx")&amp;":2,1,1,"&amp;装备表!$O811&amp;";","xxx"),"xxx"))</f>
        <v>xxx</v>
      </c>
      <c r="I666" s="18" t="str">
        <f>IF(装备表!$O811=0,"xxx",IFERROR(IF(INT(IF($D666=I$3,装备表!$E811,"xxx")/10000)=1,IF($D666=I$3,装备表!$E811,"xxx")&amp;":2,1,1,"&amp;装备表!$O811&amp;";","xxx"),"xxx"))</f>
        <v>xxx</v>
      </c>
      <c r="J666" s="18" t="str">
        <f>IF(装备表!$O811=0,"xxx",IFERROR(IF(INT(IF($D666=J$3,装备表!$E811,"xxx")/10000)=1,IF($D666=J$3,装备表!$E811,"xxx")&amp;":2,1,1,"&amp;装备表!$O811&amp;";","xxx"),"xxx"))</f>
        <v>xxx</v>
      </c>
    </row>
    <row r="667" spans="4:10" x14ac:dyDescent="0.2">
      <c r="D667" s="18">
        <f>装备表!L812</f>
        <v>0</v>
      </c>
      <c r="E667" s="18" t="str">
        <f>IF(装备表!$O812=0,"xxx",IFERROR(IF(INT(IF($D667=E$3,装备表!$E812,"xxx")/10000)=1,IF($D667=E$3,装备表!$E812,"xxx")&amp;":2,1,1,"&amp;装备表!$O812&amp;";","xxx"),"xxx"))</f>
        <v>xxx</v>
      </c>
      <c r="F667" s="18" t="str">
        <f>IF(装备表!$O812=0,"xxx",IFERROR(IF(INT(IF($D667=F$3,装备表!$E812,"xxx")/10000)=1,IF($D667=F$3,装备表!$E812,"xxx")&amp;":2,1,1,"&amp;装备表!$O812&amp;";","xxx"),"xxx"))</f>
        <v>xxx</v>
      </c>
      <c r="G667" s="18" t="str">
        <f>IF(装备表!$O812=0,"xxx",IFERROR(IF(INT(IF($D667=G$3,装备表!$E812,"xxx")/10000)=1,IF($D667=G$3,装备表!$E812,"xxx")&amp;":2,1,1,"&amp;装备表!$O812&amp;";","xxx"),"xxx"))</f>
        <v>xxx</v>
      </c>
      <c r="H667" s="18" t="str">
        <f>IF(装备表!$O812=0,"xxx",IFERROR(IF(INT(IF($D667=H$3,装备表!$E812,"xxx")/10000)=1,IF($D667=H$3,装备表!$E812,"xxx")&amp;":2,1,1,"&amp;装备表!$O812&amp;";","xxx"),"xxx"))</f>
        <v>xxx</v>
      </c>
      <c r="I667" s="18" t="str">
        <f>IF(装备表!$O812=0,"xxx",IFERROR(IF(INT(IF($D667=I$3,装备表!$E812,"xxx")/10000)=1,IF($D667=I$3,装备表!$E812,"xxx")&amp;":2,1,1,"&amp;装备表!$O812&amp;";","xxx"),"xxx"))</f>
        <v>xxx</v>
      </c>
      <c r="J667" s="18" t="str">
        <f>IF(装备表!$O812=0,"xxx",IFERROR(IF(INT(IF($D667=J$3,装备表!$E812,"xxx")/10000)=1,IF($D667=J$3,装备表!$E812,"xxx")&amp;":2,1,1,"&amp;装备表!$O812&amp;";","xxx"),"xxx"))</f>
        <v>xxx</v>
      </c>
    </row>
    <row r="668" spans="4:10" x14ac:dyDescent="0.2">
      <c r="D668" s="18">
        <f>装备表!L813</f>
        <v>0</v>
      </c>
      <c r="E668" s="18" t="str">
        <f>IF(装备表!$O813=0,"xxx",IFERROR(IF(INT(IF($D668=E$3,装备表!$E813,"xxx")/10000)=1,IF($D668=E$3,装备表!$E813,"xxx")&amp;":2,1,1,"&amp;装备表!$O813&amp;";","xxx"),"xxx"))</f>
        <v>xxx</v>
      </c>
      <c r="F668" s="18" t="str">
        <f>IF(装备表!$O813=0,"xxx",IFERROR(IF(INT(IF($D668=F$3,装备表!$E813,"xxx")/10000)=1,IF($D668=F$3,装备表!$E813,"xxx")&amp;":2,1,1,"&amp;装备表!$O813&amp;";","xxx"),"xxx"))</f>
        <v>xxx</v>
      </c>
      <c r="G668" s="18" t="str">
        <f>IF(装备表!$O813=0,"xxx",IFERROR(IF(INT(IF($D668=G$3,装备表!$E813,"xxx")/10000)=1,IF($D668=G$3,装备表!$E813,"xxx")&amp;":2,1,1,"&amp;装备表!$O813&amp;";","xxx"),"xxx"))</f>
        <v>xxx</v>
      </c>
      <c r="H668" s="18" t="str">
        <f>IF(装备表!$O813=0,"xxx",IFERROR(IF(INT(IF($D668=H$3,装备表!$E813,"xxx")/10000)=1,IF($D668=H$3,装备表!$E813,"xxx")&amp;":2,1,1,"&amp;装备表!$O813&amp;";","xxx"),"xxx"))</f>
        <v>xxx</v>
      </c>
      <c r="I668" s="18" t="str">
        <f>IF(装备表!$O813=0,"xxx",IFERROR(IF(INT(IF($D668=I$3,装备表!$E813,"xxx")/10000)=1,IF($D668=I$3,装备表!$E813,"xxx")&amp;":2,1,1,"&amp;装备表!$O813&amp;";","xxx"),"xxx"))</f>
        <v>xxx</v>
      </c>
      <c r="J668" s="18" t="str">
        <f>IF(装备表!$O813=0,"xxx",IFERROR(IF(INT(IF($D668=J$3,装备表!$E813,"xxx")/10000)=1,IF($D668=J$3,装备表!$E813,"xxx")&amp;":2,1,1,"&amp;装备表!$O813&amp;";","xxx"),"xxx"))</f>
        <v>xxx</v>
      </c>
    </row>
    <row r="669" spans="4:10" x14ac:dyDescent="0.2">
      <c r="D669" s="18">
        <f>装备表!L814</f>
        <v>0</v>
      </c>
      <c r="E669" s="18" t="str">
        <f>IF(装备表!$O814=0,"xxx",IFERROR(IF(INT(IF($D669=E$3,装备表!$E814,"xxx")/10000)=1,IF($D669=E$3,装备表!$E814,"xxx")&amp;":2,1,1,"&amp;装备表!$O814&amp;";","xxx"),"xxx"))</f>
        <v>xxx</v>
      </c>
      <c r="F669" s="18" t="str">
        <f>IF(装备表!$O814=0,"xxx",IFERROR(IF(INT(IF($D669=F$3,装备表!$E814,"xxx")/10000)=1,IF($D669=F$3,装备表!$E814,"xxx")&amp;":2,1,1,"&amp;装备表!$O814&amp;";","xxx"),"xxx"))</f>
        <v>xxx</v>
      </c>
      <c r="G669" s="18" t="str">
        <f>IF(装备表!$O814=0,"xxx",IFERROR(IF(INT(IF($D669=G$3,装备表!$E814,"xxx")/10000)=1,IF($D669=G$3,装备表!$E814,"xxx")&amp;":2,1,1,"&amp;装备表!$O814&amp;";","xxx"),"xxx"))</f>
        <v>xxx</v>
      </c>
      <c r="H669" s="18" t="str">
        <f>IF(装备表!$O814=0,"xxx",IFERROR(IF(INT(IF($D669=H$3,装备表!$E814,"xxx")/10000)=1,IF($D669=H$3,装备表!$E814,"xxx")&amp;":2,1,1,"&amp;装备表!$O814&amp;";","xxx"),"xxx"))</f>
        <v>xxx</v>
      </c>
      <c r="I669" s="18" t="str">
        <f>IF(装备表!$O814=0,"xxx",IFERROR(IF(INT(IF($D669=I$3,装备表!$E814,"xxx")/10000)=1,IF($D669=I$3,装备表!$E814,"xxx")&amp;":2,1,1,"&amp;装备表!$O814&amp;";","xxx"),"xxx"))</f>
        <v>xxx</v>
      </c>
      <c r="J669" s="18" t="str">
        <f>IF(装备表!$O814=0,"xxx",IFERROR(IF(INT(IF($D669=J$3,装备表!$E814,"xxx")/10000)=1,IF($D669=J$3,装备表!$E814,"xxx")&amp;":2,1,1,"&amp;装备表!$O814&amp;";","xxx"),"xxx"))</f>
        <v>xxx</v>
      </c>
    </row>
    <row r="670" spans="4:10" x14ac:dyDescent="0.2">
      <c r="D670" s="18">
        <f>装备表!L815</f>
        <v>0</v>
      </c>
      <c r="E670" s="18" t="str">
        <f>IF(装备表!$O815=0,"xxx",IFERROR(IF(INT(IF($D670=E$3,装备表!$E815,"xxx")/10000)=1,IF($D670=E$3,装备表!$E815,"xxx")&amp;":2,1,1,"&amp;装备表!$O815&amp;";","xxx"),"xxx"))</f>
        <v>xxx</v>
      </c>
      <c r="F670" s="18" t="str">
        <f>IF(装备表!$O815=0,"xxx",IFERROR(IF(INT(IF($D670=F$3,装备表!$E815,"xxx")/10000)=1,IF($D670=F$3,装备表!$E815,"xxx")&amp;":2,1,1,"&amp;装备表!$O815&amp;";","xxx"),"xxx"))</f>
        <v>xxx</v>
      </c>
      <c r="G670" s="18" t="str">
        <f>IF(装备表!$O815=0,"xxx",IFERROR(IF(INT(IF($D670=G$3,装备表!$E815,"xxx")/10000)=1,IF($D670=G$3,装备表!$E815,"xxx")&amp;":2,1,1,"&amp;装备表!$O815&amp;";","xxx"),"xxx"))</f>
        <v>xxx</v>
      </c>
      <c r="H670" s="18" t="str">
        <f>IF(装备表!$O815=0,"xxx",IFERROR(IF(INT(IF($D670=H$3,装备表!$E815,"xxx")/10000)=1,IF($D670=H$3,装备表!$E815,"xxx")&amp;":2,1,1,"&amp;装备表!$O815&amp;";","xxx"),"xxx"))</f>
        <v>xxx</v>
      </c>
      <c r="I670" s="18" t="str">
        <f>IF(装备表!$O815=0,"xxx",IFERROR(IF(INT(IF($D670=I$3,装备表!$E815,"xxx")/10000)=1,IF($D670=I$3,装备表!$E815,"xxx")&amp;":2,1,1,"&amp;装备表!$O815&amp;";","xxx"),"xxx"))</f>
        <v>xxx</v>
      </c>
      <c r="J670" s="18" t="str">
        <f>IF(装备表!$O815=0,"xxx",IFERROR(IF(INT(IF($D670=J$3,装备表!$E815,"xxx")/10000)=1,IF($D670=J$3,装备表!$E815,"xxx")&amp;":2,1,1,"&amp;装备表!$O815&amp;";","xxx"),"xxx"))</f>
        <v>xxx</v>
      </c>
    </row>
    <row r="671" spans="4:10" x14ac:dyDescent="0.2">
      <c r="D671" s="18">
        <f>装备表!L816</f>
        <v>0</v>
      </c>
      <c r="E671" s="18" t="str">
        <f>IF(装备表!$O816=0,"xxx",IFERROR(IF(INT(IF($D671=E$3,装备表!$E816,"xxx")/10000)=1,IF($D671=E$3,装备表!$E816,"xxx")&amp;":2,1,1,"&amp;装备表!$O816&amp;";","xxx"),"xxx"))</f>
        <v>xxx</v>
      </c>
      <c r="F671" s="18" t="str">
        <f>IF(装备表!$O816=0,"xxx",IFERROR(IF(INT(IF($D671=F$3,装备表!$E816,"xxx")/10000)=1,IF($D671=F$3,装备表!$E816,"xxx")&amp;":2,1,1,"&amp;装备表!$O816&amp;";","xxx"),"xxx"))</f>
        <v>xxx</v>
      </c>
      <c r="G671" s="18" t="str">
        <f>IF(装备表!$O816=0,"xxx",IFERROR(IF(INT(IF($D671=G$3,装备表!$E816,"xxx")/10000)=1,IF($D671=G$3,装备表!$E816,"xxx")&amp;":2,1,1,"&amp;装备表!$O816&amp;";","xxx"),"xxx"))</f>
        <v>xxx</v>
      </c>
      <c r="H671" s="18" t="str">
        <f>IF(装备表!$O816=0,"xxx",IFERROR(IF(INT(IF($D671=H$3,装备表!$E816,"xxx")/10000)=1,IF($D671=H$3,装备表!$E816,"xxx")&amp;":2,1,1,"&amp;装备表!$O816&amp;";","xxx"),"xxx"))</f>
        <v>xxx</v>
      </c>
      <c r="I671" s="18" t="str">
        <f>IF(装备表!$O816=0,"xxx",IFERROR(IF(INT(IF($D671=I$3,装备表!$E816,"xxx")/10000)=1,IF($D671=I$3,装备表!$E816,"xxx")&amp;":2,1,1,"&amp;装备表!$O816&amp;";","xxx"),"xxx"))</f>
        <v>xxx</v>
      </c>
      <c r="J671" s="18" t="str">
        <f>IF(装备表!$O816=0,"xxx",IFERROR(IF(INT(IF($D671=J$3,装备表!$E816,"xxx")/10000)=1,IF($D671=J$3,装备表!$E816,"xxx")&amp;":2,1,1,"&amp;装备表!$O816&amp;";","xxx"),"xxx"))</f>
        <v>xxx</v>
      </c>
    </row>
    <row r="672" spans="4:10" x14ac:dyDescent="0.2">
      <c r="D672" s="18">
        <f>装备表!L817</f>
        <v>0</v>
      </c>
      <c r="E672" s="18" t="str">
        <f>IF(装备表!$O817=0,"xxx",IFERROR(IF(INT(IF($D672=E$3,装备表!$E817,"xxx")/10000)=1,IF($D672=E$3,装备表!$E817,"xxx")&amp;":2,1,1,"&amp;装备表!$O817&amp;";","xxx"),"xxx"))</f>
        <v>xxx</v>
      </c>
      <c r="F672" s="18" t="str">
        <f>IF(装备表!$O817=0,"xxx",IFERROR(IF(INT(IF($D672=F$3,装备表!$E817,"xxx")/10000)=1,IF($D672=F$3,装备表!$E817,"xxx")&amp;":2,1,1,"&amp;装备表!$O817&amp;";","xxx"),"xxx"))</f>
        <v>xxx</v>
      </c>
      <c r="G672" s="18" t="str">
        <f>IF(装备表!$O817=0,"xxx",IFERROR(IF(INT(IF($D672=G$3,装备表!$E817,"xxx")/10000)=1,IF($D672=G$3,装备表!$E817,"xxx")&amp;":2,1,1,"&amp;装备表!$O817&amp;";","xxx"),"xxx"))</f>
        <v>xxx</v>
      </c>
      <c r="H672" s="18" t="str">
        <f>IF(装备表!$O817=0,"xxx",IFERROR(IF(INT(IF($D672=H$3,装备表!$E817,"xxx")/10000)=1,IF($D672=H$3,装备表!$E817,"xxx")&amp;":2,1,1,"&amp;装备表!$O817&amp;";","xxx"),"xxx"))</f>
        <v>xxx</v>
      </c>
      <c r="I672" s="18" t="str">
        <f>IF(装备表!$O817=0,"xxx",IFERROR(IF(INT(IF($D672=I$3,装备表!$E817,"xxx")/10000)=1,IF($D672=I$3,装备表!$E817,"xxx")&amp;":2,1,1,"&amp;装备表!$O817&amp;";","xxx"),"xxx"))</f>
        <v>xxx</v>
      </c>
      <c r="J672" s="18" t="str">
        <f>IF(装备表!$O817=0,"xxx",IFERROR(IF(INT(IF($D672=J$3,装备表!$E817,"xxx")/10000)=1,IF($D672=J$3,装备表!$E817,"xxx")&amp;":2,1,1,"&amp;装备表!$O817&amp;";","xxx"),"xxx"))</f>
        <v>xxx</v>
      </c>
    </row>
    <row r="673" spans="4:10" x14ac:dyDescent="0.2">
      <c r="D673" s="18">
        <f>装备表!L818</f>
        <v>0</v>
      </c>
      <c r="E673" s="18" t="str">
        <f>IF(装备表!$O818=0,"xxx",IFERROR(IF(INT(IF($D673=E$3,装备表!$E818,"xxx")/10000)=1,IF($D673=E$3,装备表!$E818,"xxx")&amp;":2,1,1,"&amp;装备表!$O818&amp;";","xxx"),"xxx"))</f>
        <v>xxx</v>
      </c>
      <c r="F673" s="18" t="str">
        <f>IF(装备表!$O818=0,"xxx",IFERROR(IF(INT(IF($D673=F$3,装备表!$E818,"xxx")/10000)=1,IF($D673=F$3,装备表!$E818,"xxx")&amp;":2,1,1,"&amp;装备表!$O818&amp;";","xxx"),"xxx"))</f>
        <v>xxx</v>
      </c>
      <c r="G673" s="18" t="str">
        <f>IF(装备表!$O818=0,"xxx",IFERROR(IF(INT(IF($D673=G$3,装备表!$E818,"xxx")/10000)=1,IF($D673=G$3,装备表!$E818,"xxx")&amp;":2,1,1,"&amp;装备表!$O818&amp;";","xxx"),"xxx"))</f>
        <v>xxx</v>
      </c>
      <c r="H673" s="18" t="str">
        <f>IF(装备表!$O818=0,"xxx",IFERROR(IF(INT(IF($D673=H$3,装备表!$E818,"xxx")/10000)=1,IF($D673=H$3,装备表!$E818,"xxx")&amp;":2,1,1,"&amp;装备表!$O818&amp;";","xxx"),"xxx"))</f>
        <v>xxx</v>
      </c>
      <c r="I673" s="18" t="str">
        <f>IF(装备表!$O818=0,"xxx",IFERROR(IF(INT(IF($D673=I$3,装备表!$E818,"xxx")/10000)=1,IF($D673=I$3,装备表!$E818,"xxx")&amp;":2,1,1,"&amp;装备表!$O818&amp;";","xxx"),"xxx"))</f>
        <v>xxx</v>
      </c>
      <c r="J673" s="18" t="str">
        <f>IF(装备表!$O818=0,"xxx",IFERROR(IF(INT(IF($D673=J$3,装备表!$E818,"xxx")/10000)=1,IF($D673=J$3,装备表!$E818,"xxx")&amp;":2,1,1,"&amp;装备表!$O818&amp;";","xxx"),"xxx"))</f>
        <v>xxx</v>
      </c>
    </row>
    <row r="674" spans="4:10" x14ac:dyDescent="0.2">
      <c r="D674" s="18">
        <f>装备表!L819</f>
        <v>0</v>
      </c>
      <c r="E674" s="18" t="str">
        <f>IF(装备表!$O819=0,"xxx",IFERROR(IF(INT(IF($D674=E$3,装备表!$E819,"xxx")/10000)=1,IF($D674=E$3,装备表!$E819,"xxx")&amp;":2,1,1,"&amp;装备表!$O819&amp;";","xxx"),"xxx"))</f>
        <v>xxx</v>
      </c>
      <c r="F674" s="18" t="str">
        <f>IF(装备表!$O819=0,"xxx",IFERROR(IF(INT(IF($D674=F$3,装备表!$E819,"xxx")/10000)=1,IF($D674=F$3,装备表!$E819,"xxx")&amp;":2,1,1,"&amp;装备表!$O819&amp;";","xxx"),"xxx"))</f>
        <v>xxx</v>
      </c>
      <c r="G674" s="18" t="str">
        <f>IF(装备表!$O819=0,"xxx",IFERROR(IF(INT(IF($D674=G$3,装备表!$E819,"xxx")/10000)=1,IF($D674=G$3,装备表!$E819,"xxx")&amp;":2,1,1,"&amp;装备表!$O819&amp;";","xxx"),"xxx"))</f>
        <v>xxx</v>
      </c>
      <c r="H674" s="18" t="str">
        <f>IF(装备表!$O819=0,"xxx",IFERROR(IF(INT(IF($D674=H$3,装备表!$E819,"xxx")/10000)=1,IF($D674=H$3,装备表!$E819,"xxx")&amp;":2,1,1,"&amp;装备表!$O819&amp;";","xxx"),"xxx"))</f>
        <v>xxx</v>
      </c>
      <c r="I674" s="18" t="str">
        <f>IF(装备表!$O819=0,"xxx",IFERROR(IF(INT(IF($D674=I$3,装备表!$E819,"xxx")/10000)=1,IF($D674=I$3,装备表!$E819,"xxx")&amp;":2,1,1,"&amp;装备表!$O819&amp;";","xxx"),"xxx"))</f>
        <v>xxx</v>
      </c>
      <c r="J674" s="18" t="str">
        <f>IF(装备表!$O819=0,"xxx",IFERROR(IF(INT(IF($D674=J$3,装备表!$E819,"xxx")/10000)=1,IF($D674=J$3,装备表!$E819,"xxx")&amp;":2,1,1,"&amp;装备表!$O819&amp;";","xxx"),"xxx"))</f>
        <v>xxx</v>
      </c>
    </row>
    <row r="675" spans="4:10" x14ac:dyDescent="0.2">
      <c r="D675" s="18">
        <f>装备表!L820</f>
        <v>0</v>
      </c>
      <c r="E675" s="18" t="str">
        <f>IF(装备表!$O820=0,"xxx",IFERROR(IF(INT(IF($D675=E$3,装备表!$E820,"xxx")/10000)=1,IF($D675=E$3,装备表!$E820,"xxx")&amp;":2,1,1,"&amp;装备表!$O820&amp;";","xxx"),"xxx"))</f>
        <v>xxx</v>
      </c>
      <c r="F675" s="18" t="str">
        <f>IF(装备表!$O820=0,"xxx",IFERROR(IF(INT(IF($D675=F$3,装备表!$E820,"xxx")/10000)=1,IF($D675=F$3,装备表!$E820,"xxx")&amp;":2,1,1,"&amp;装备表!$O820&amp;";","xxx"),"xxx"))</f>
        <v>xxx</v>
      </c>
      <c r="G675" s="18" t="str">
        <f>IF(装备表!$O820=0,"xxx",IFERROR(IF(INT(IF($D675=G$3,装备表!$E820,"xxx")/10000)=1,IF($D675=G$3,装备表!$E820,"xxx")&amp;":2,1,1,"&amp;装备表!$O820&amp;";","xxx"),"xxx"))</f>
        <v>xxx</v>
      </c>
      <c r="H675" s="18" t="str">
        <f>IF(装备表!$O820=0,"xxx",IFERROR(IF(INT(IF($D675=H$3,装备表!$E820,"xxx")/10000)=1,IF($D675=H$3,装备表!$E820,"xxx")&amp;":2,1,1,"&amp;装备表!$O820&amp;";","xxx"),"xxx"))</f>
        <v>xxx</v>
      </c>
      <c r="I675" s="18" t="str">
        <f>IF(装备表!$O820=0,"xxx",IFERROR(IF(INT(IF($D675=I$3,装备表!$E820,"xxx")/10000)=1,IF($D675=I$3,装备表!$E820,"xxx")&amp;":2,1,1,"&amp;装备表!$O820&amp;";","xxx"),"xxx"))</f>
        <v>xxx</v>
      </c>
      <c r="J675" s="18" t="str">
        <f>IF(装备表!$O820=0,"xxx",IFERROR(IF(INT(IF($D675=J$3,装备表!$E820,"xxx")/10000)=1,IF($D675=J$3,装备表!$E820,"xxx")&amp;":2,1,1,"&amp;装备表!$O820&amp;";","xxx"),"xxx"))</f>
        <v>xxx</v>
      </c>
    </row>
    <row r="676" spans="4:10" x14ac:dyDescent="0.2">
      <c r="D676" s="18">
        <f>装备表!L821</f>
        <v>0</v>
      </c>
      <c r="E676" s="18" t="str">
        <f>IF(装备表!$O821=0,"xxx",IFERROR(IF(INT(IF($D676=E$3,装备表!$E821,"xxx")/10000)=1,IF($D676=E$3,装备表!$E821,"xxx")&amp;":2,1,1,"&amp;装备表!$O821&amp;";","xxx"),"xxx"))</f>
        <v>xxx</v>
      </c>
      <c r="F676" s="18" t="str">
        <f>IF(装备表!$O821=0,"xxx",IFERROR(IF(INT(IF($D676=F$3,装备表!$E821,"xxx")/10000)=1,IF($D676=F$3,装备表!$E821,"xxx")&amp;":2,1,1,"&amp;装备表!$O821&amp;";","xxx"),"xxx"))</f>
        <v>xxx</v>
      </c>
      <c r="G676" s="18" t="str">
        <f>IF(装备表!$O821=0,"xxx",IFERROR(IF(INT(IF($D676=G$3,装备表!$E821,"xxx")/10000)=1,IF($D676=G$3,装备表!$E821,"xxx")&amp;":2,1,1,"&amp;装备表!$O821&amp;";","xxx"),"xxx"))</f>
        <v>xxx</v>
      </c>
      <c r="H676" s="18" t="str">
        <f>IF(装备表!$O821=0,"xxx",IFERROR(IF(INT(IF($D676=H$3,装备表!$E821,"xxx")/10000)=1,IF($D676=H$3,装备表!$E821,"xxx")&amp;":2,1,1,"&amp;装备表!$O821&amp;";","xxx"),"xxx"))</f>
        <v>xxx</v>
      </c>
      <c r="I676" s="18" t="str">
        <f>IF(装备表!$O821=0,"xxx",IFERROR(IF(INT(IF($D676=I$3,装备表!$E821,"xxx")/10000)=1,IF($D676=I$3,装备表!$E821,"xxx")&amp;":2,1,1,"&amp;装备表!$O821&amp;";","xxx"),"xxx"))</f>
        <v>xxx</v>
      </c>
      <c r="J676" s="18" t="str">
        <f>IF(装备表!$O821=0,"xxx",IFERROR(IF(INT(IF($D676=J$3,装备表!$E821,"xxx")/10000)=1,IF($D676=J$3,装备表!$E821,"xxx")&amp;":2,1,1,"&amp;装备表!$O821&amp;";","xxx"),"xxx"))</f>
        <v>xxx</v>
      </c>
    </row>
    <row r="677" spans="4:10" x14ac:dyDescent="0.2">
      <c r="D677" s="18">
        <f>装备表!L822</f>
        <v>0</v>
      </c>
      <c r="E677" s="18" t="str">
        <f>IF(装备表!$O822=0,"xxx",IFERROR(IF(INT(IF($D677=E$3,装备表!$E822,"xxx")/10000)=1,IF($D677=E$3,装备表!$E822,"xxx")&amp;":2,1,1,"&amp;装备表!$O822&amp;";","xxx"),"xxx"))</f>
        <v>xxx</v>
      </c>
      <c r="F677" s="18" t="str">
        <f>IF(装备表!$O822=0,"xxx",IFERROR(IF(INT(IF($D677=F$3,装备表!$E822,"xxx")/10000)=1,IF($D677=F$3,装备表!$E822,"xxx")&amp;":2,1,1,"&amp;装备表!$O822&amp;";","xxx"),"xxx"))</f>
        <v>xxx</v>
      </c>
      <c r="G677" s="18" t="str">
        <f>IF(装备表!$O822=0,"xxx",IFERROR(IF(INT(IF($D677=G$3,装备表!$E822,"xxx")/10000)=1,IF($D677=G$3,装备表!$E822,"xxx")&amp;":2,1,1,"&amp;装备表!$O822&amp;";","xxx"),"xxx"))</f>
        <v>xxx</v>
      </c>
      <c r="H677" s="18" t="str">
        <f>IF(装备表!$O822=0,"xxx",IFERROR(IF(INT(IF($D677=H$3,装备表!$E822,"xxx")/10000)=1,IF($D677=H$3,装备表!$E822,"xxx")&amp;":2,1,1,"&amp;装备表!$O822&amp;";","xxx"),"xxx"))</f>
        <v>xxx</v>
      </c>
      <c r="I677" s="18" t="str">
        <f>IF(装备表!$O822=0,"xxx",IFERROR(IF(INT(IF($D677=I$3,装备表!$E822,"xxx")/10000)=1,IF($D677=I$3,装备表!$E822,"xxx")&amp;":2,1,1,"&amp;装备表!$O822&amp;";","xxx"),"xxx"))</f>
        <v>xxx</v>
      </c>
      <c r="J677" s="18" t="str">
        <f>IF(装备表!$O822=0,"xxx",IFERROR(IF(INT(IF($D677=J$3,装备表!$E822,"xxx")/10000)=1,IF($D677=J$3,装备表!$E822,"xxx")&amp;":2,1,1,"&amp;装备表!$O822&amp;";","xxx"),"xxx"))</f>
        <v>xxx</v>
      </c>
    </row>
    <row r="678" spans="4:10" x14ac:dyDescent="0.2">
      <c r="D678" s="18">
        <f>装备表!L823</f>
        <v>0</v>
      </c>
      <c r="E678" s="18" t="str">
        <f>IF(装备表!$O823=0,"xxx",IFERROR(IF(INT(IF($D678=E$3,装备表!$E823,"xxx")/10000)=1,IF($D678=E$3,装备表!$E823,"xxx")&amp;":2,1,1,"&amp;装备表!$O823&amp;";","xxx"),"xxx"))</f>
        <v>xxx</v>
      </c>
      <c r="F678" s="18" t="str">
        <f>IF(装备表!$O823=0,"xxx",IFERROR(IF(INT(IF($D678=F$3,装备表!$E823,"xxx")/10000)=1,IF($D678=F$3,装备表!$E823,"xxx")&amp;":2,1,1,"&amp;装备表!$O823&amp;";","xxx"),"xxx"))</f>
        <v>xxx</v>
      </c>
      <c r="G678" s="18" t="str">
        <f>IF(装备表!$O823=0,"xxx",IFERROR(IF(INT(IF($D678=G$3,装备表!$E823,"xxx")/10000)=1,IF($D678=G$3,装备表!$E823,"xxx")&amp;":2,1,1,"&amp;装备表!$O823&amp;";","xxx"),"xxx"))</f>
        <v>xxx</v>
      </c>
      <c r="H678" s="18" t="str">
        <f>IF(装备表!$O823=0,"xxx",IFERROR(IF(INT(IF($D678=H$3,装备表!$E823,"xxx")/10000)=1,IF($D678=H$3,装备表!$E823,"xxx")&amp;":2,1,1,"&amp;装备表!$O823&amp;";","xxx"),"xxx"))</f>
        <v>xxx</v>
      </c>
      <c r="I678" s="18" t="str">
        <f>IF(装备表!$O823=0,"xxx",IFERROR(IF(INT(IF($D678=I$3,装备表!$E823,"xxx")/10000)=1,IF($D678=I$3,装备表!$E823,"xxx")&amp;":2,1,1,"&amp;装备表!$O823&amp;";","xxx"),"xxx"))</f>
        <v>xxx</v>
      </c>
      <c r="J678" s="18" t="str">
        <f>IF(装备表!$O823=0,"xxx",IFERROR(IF(INT(IF($D678=J$3,装备表!$E823,"xxx")/10000)=1,IF($D678=J$3,装备表!$E823,"xxx")&amp;":2,1,1,"&amp;装备表!$O823&amp;";","xxx"),"xxx"))</f>
        <v>xxx</v>
      </c>
    </row>
    <row r="679" spans="4:10" x14ac:dyDescent="0.2">
      <c r="D679" s="18">
        <f>装备表!L824</f>
        <v>0</v>
      </c>
      <c r="E679" s="18" t="str">
        <f>IF(装备表!$O824=0,"xxx",IFERROR(IF(INT(IF($D679=E$3,装备表!$E824,"xxx")/10000)=1,IF($D679=E$3,装备表!$E824,"xxx")&amp;":2,1,1,"&amp;装备表!$O824&amp;";","xxx"),"xxx"))</f>
        <v>xxx</v>
      </c>
      <c r="F679" s="18" t="str">
        <f>IF(装备表!$O824=0,"xxx",IFERROR(IF(INT(IF($D679=F$3,装备表!$E824,"xxx")/10000)=1,IF($D679=F$3,装备表!$E824,"xxx")&amp;":2,1,1,"&amp;装备表!$O824&amp;";","xxx"),"xxx"))</f>
        <v>xxx</v>
      </c>
      <c r="G679" s="18" t="str">
        <f>IF(装备表!$O824=0,"xxx",IFERROR(IF(INT(IF($D679=G$3,装备表!$E824,"xxx")/10000)=1,IF($D679=G$3,装备表!$E824,"xxx")&amp;":2,1,1,"&amp;装备表!$O824&amp;";","xxx"),"xxx"))</f>
        <v>xxx</v>
      </c>
      <c r="H679" s="18" t="str">
        <f>IF(装备表!$O824=0,"xxx",IFERROR(IF(INT(IF($D679=H$3,装备表!$E824,"xxx")/10000)=1,IF($D679=H$3,装备表!$E824,"xxx")&amp;":2,1,1,"&amp;装备表!$O824&amp;";","xxx"),"xxx"))</f>
        <v>xxx</v>
      </c>
      <c r="I679" s="18" t="str">
        <f>IF(装备表!$O824=0,"xxx",IFERROR(IF(INT(IF($D679=I$3,装备表!$E824,"xxx")/10000)=1,IF($D679=I$3,装备表!$E824,"xxx")&amp;":2,1,1,"&amp;装备表!$O824&amp;";","xxx"),"xxx"))</f>
        <v>xxx</v>
      </c>
      <c r="J679" s="18" t="str">
        <f>IF(装备表!$O824=0,"xxx",IFERROR(IF(INT(IF($D679=J$3,装备表!$E824,"xxx")/10000)=1,IF($D679=J$3,装备表!$E824,"xxx")&amp;":2,1,1,"&amp;装备表!$O824&amp;";","xxx"),"xxx"))</f>
        <v>xxx</v>
      </c>
    </row>
    <row r="680" spans="4:10" x14ac:dyDescent="0.2">
      <c r="D680" s="18">
        <f>装备表!L825</f>
        <v>0</v>
      </c>
      <c r="E680" s="18" t="str">
        <f>IF(装备表!$O825=0,"xxx",IFERROR(IF(INT(IF($D680=E$3,装备表!$E825,"xxx")/10000)=1,IF($D680=E$3,装备表!$E825,"xxx")&amp;":2,1,1,"&amp;装备表!$O825&amp;";","xxx"),"xxx"))</f>
        <v>xxx</v>
      </c>
      <c r="F680" s="18" t="str">
        <f>IF(装备表!$O825=0,"xxx",IFERROR(IF(INT(IF($D680=F$3,装备表!$E825,"xxx")/10000)=1,IF($D680=F$3,装备表!$E825,"xxx")&amp;":2,1,1,"&amp;装备表!$O825&amp;";","xxx"),"xxx"))</f>
        <v>xxx</v>
      </c>
      <c r="G680" s="18" t="str">
        <f>IF(装备表!$O825=0,"xxx",IFERROR(IF(INT(IF($D680=G$3,装备表!$E825,"xxx")/10000)=1,IF($D680=G$3,装备表!$E825,"xxx")&amp;":2,1,1,"&amp;装备表!$O825&amp;";","xxx"),"xxx"))</f>
        <v>xxx</v>
      </c>
      <c r="H680" s="18" t="str">
        <f>IF(装备表!$O825=0,"xxx",IFERROR(IF(INT(IF($D680=H$3,装备表!$E825,"xxx")/10000)=1,IF($D680=H$3,装备表!$E825,"xxx")&amp;":2,1,1,"&amp;装备表!$O825&amp;";","xxx"),"xxx"))</f>
        <v>xxx</v>
      </c>
      <c r="I680" s="18" t="str">
        <f>IF(装备表!$O825=0,"xxx",IFERROR(IF(INT(IF($D680=I$3,装备表!$E825,"xxx")/10000)=1,IF($D680=I$3,装备表!$E825,"xxx")&amp;":2,1,1,"&amp;装备表!$O825&amp;";","xxx"),"xxx"))</f>
        <v>xxx</v>
      </c>
      <c r="J680" s="18" t="str">
        <f>IF(装备表!$O825=0,"xxx",IFERROR(IF(INT(IF($D680=J$3,装备表!$E825,"xxx")/10000)=1,IF($D680=J$3,装备表!$E825,"xxx")&amp;":2,1,1,"&amp;装备表!$O825&amp;";","xxx"),"xxx"))</f>
        <v>xxx</v>
      </c>
    </row>
    <row r="681" spans="4:10" x14ac:dyDescent="0.2">
      <c r="D681" s="18">
        <f>装备表!L826</f>
        <v>0</v>
      </c>
      <c r="E681" s="18" t="str">
        <f>IF(装备表!$O826=0,"xxx",IFERROR(IF(INT(IF($D681=E$3,装备表!$E826,"xxx")/10000)=1,IF($D681=E$3,装备表!$E826,"xxx")&amp;":2,1,1,"&amp;装备表!$O826&amp;";","xxx"),"xxx"))</f>
        <v>xxx</v>
      </c>
      <c r="F681" s="18" t="str">
        <f>IF(装备表!$O826=0,"xxx",IFERROR(IF(INT(IF($D681=F$3,装备表!$E826,"xxx")/10000)=1,IF($D681=F$3,装备表!$E826,"xxx")&amp;":2,1,1,"&amp;装备表!$O826&amp;";","xxx"),"xxx"))</f>
        <v>xxx</v>
      </c>
      <c r="G681" s="18" t="str">
        <f>IF(装备表!$O826=0,"xxx",IFERROR(IF(INT(IF($D681=G$3,装备表!$E826,"xxx")/10000)=1,IF($D681=G$3,装备表!$E826,"xxx")&amp;":2,1,1,"&amp;装备表!$O826&amp;";","xxx"),"xxx"))</f>
        <v>xxx</v>
      </c>
      <c r="H681" s="18" t="str">
        <f>IF(装备表!$O826=0,"xxx",IFERROR(IF(INT(IF($D681=H$3,装备表!$E826,"xxx")/10000)=1,IF($D681=H$3,装备表!$E826,"xxx")&amp;":2,1,1,"&amp;装备表!$O826&amp;";","xxx"),"xxx"))</f>
        <v>xxx</v>
      </c>
      <c r="I681" s="18" t="str">
        <f>IF(装备表!$O826=0,"xxx",IFERROR(IF(INT(IF($D681=I$3,装备表!$E826,"xxx")/10000)=1,IF($D681=I$3,装备表!$E826,"xxx")&amp;":2,1,1,"&amp;装备表!$O826&amp;";","xxx"),"xxx"))</f>
        <v>xxx</v>
      </c>
      <c r="J681" s="18" t="str">
        <f>IF(装备表!$O826=0,"xxx",IFERROR(IF(INT(IF($D681=J$3,装备表!$E826,"xxx")/10000)=1,IF($D681=J$3,装备表!$E826,"xxx")&amp;":2,1,1,"&amp;装备表!$O826&amp;";","xxx"),"xxx"))</f>
        <v>xxx</v>
      </c>
    </row>
    <row r="682" spans="4:10" x14ac:dyDescent="0.2">
      <c r="D682" s="18">
        <f>装备表!L827</f>
        <v>0</v>
      </c>
      <c r="E682" s="18" t="str">
        <f>IF(装备表!$O827=0,"xxx",IFERROR(IF(INT(IF($D682=E$3,装备表!$E827,"xxx")/10000)=1,IF($D682=E$3,装备表!$E827,"xxx")&amp;":2,1,1,"&amp;装备表!$O827&amp;";","xxx"),"xxx"))</f>
        <v>xxx</v>
      </c>
      <c r="F682" s="18" t="str">
        <f>IF(装备表!$O827=0,"xxx",IFERROR(IF(INT(IF($D682=F$3,装备表!$E827,"xxx")/10000)=1,IF($D682=F$3,装备表!$E827,"xxx")&amp;":2,1,1,"&amp;装备表!$O827&amp;";","xxx"),"xxx"))</f>
        <v>xxx</v>
      </c>
      <c r="G682" s="18" t="str">
        <f>IF(装备表!$O827=0,"xxx",IFERROR(IF(INT(IF($D682=G$3,装备表!$E827,"xxx")/10000)=1,IF($D682=G$3,装备表!$E827,"xxx")&amp;":2,1,1,"&amp;装备表!$O827&amp;";","xxx"),"xxx"))</f>
        <v>xxx</v>
      </c>
      <c r="H682" s="18" t="str">
        <f>IF(装备表!$O827=0,"xxx",IFERROR(IF(INT(IF($D682=H$3,装备表!$E827,"xxx")/10000)=1,IF($D682=H$3,装备表!$E827,"xxx")&amp;":2,1,1,"&amp;装备表!$O827&amp;";","xxx"),"xxx"))</f>
        <v>xxx</v>
      </c>
      <c r="I682" s="18" t="str">
        <f>IF(装备表!$O827=0,"xxx",IFERROR(IF(INT(IF($D682=I$3,装备表!$E827,"xxx")/10000)=1,IF($D682=I$3,装备表!$E827,"xxx")&amp;":2,1,1,"&amp;装备表!$O827&amp;";","xxx"),"xxx"))</f>
        <v>xxx</v>
      </c>
      <c r="J682" s="18" t="str">
        <f>IF(装备表!$O827=0,"xxx",IFERROR(IF(INT(IF($D682=J$3,装备表!$E827,"xxx")/10000)=1,IF($D682=J$3,装备表!$E827,"xxx")&amp;":2,1,1,"&amp;装备表!$O827&amp;";","xxx"),"xxx"))</f>
        <v>xxx</v>
      </c>
    </row>
    <row r="683" spans="4:10" x14ac:dyDescent="0.2">
      <c r="D683" s="18">
        <f>装备表!L828</f>
        <v>0</v>
      </c>
      <c r="E683" s="18" t="str">
        <f>IF(装备表!$O828=0,"xxx",IFERROR(IF(INT(IF($D683=E$3,装备表!$E828,"xxx")/10000)=1,IF($D683=E$3,装备表!$E828,"xxx")&amp;":2,1,1,"&amp;装备表!$O828&amp;";","xxx"),"xxx"))</f>
        <v>xxx</v>
      </c>
      <c r="F683" s="18" t="str">
        <f>IF(装备表!$O828=0,"xxx",IFERROR(IF(INT(IF($D683=F$3,装备表!$E828,"xxx")/10000)=1,IF($D683=F$3,装备表!$E828,"xxx")&amp;":2,1,1,"&amp;装备表!$O828&amp;";","xxx"),"xxx"))</f>
        <v>xxx</v>
      </c>
      <c r="G683" s="18" t="str">
        <f>IF(装备表!$O828=0,"xxx",IFERROR(IF(INT(IF($D683=G$3,装备表!$E828,"xxx")/10000)=1,IF($D683=G$3,装备表!$E828,"xxx")&amp;":2,1,1,"&amp;装备表!$O828&amp;";","xxx"),"xxx"))</f>
        <v>xxx</v>
      </c>
      <c r="H683" s="18" t="str">
        <f>IF(装备表!$O828=0,"xxx",IFERROR(IF(INT(IF($D683=H$3,装备表!$E828,"xxx")/10000)=1,IF($D683=H$3,装备表!$E828,"xxx")&amp;":2,1,1,"&amp;装备表!$O828&amp;";","xxx"),"xxx"))</f>
        <v>xxx</v>
      </c>
      <c r="I683" s="18" t="str">
        <f>IF(装备表!$O828=0,"xxx",IFERROR(IF(INT(IF($D683=I$3,装备表!$E828,"xxx")/10000)=1,IF($D683=I$3,装备表!$E828,"xxx")&amp;":2,1,1,"&amp;装备表!$O828&amp;";","xxx"),"xxx"))</f>
        <v>xxx</v>
      </c>
      <c r="J683" s="18" t="str">
        <f>IF(装备表!$O828=0,"xxx",IFERROR(IF(INT(IF($D683=J$3,装备表!$E828,"xxx")/10000)=1,IF($D683=J$3,装备表!$E828,"xxx")&amp;":2,1,1,"&amp;装备表!$O828&amp;";","xxx"),"xxx"))</f>
        <v>xxx</v>
      </c>
    </row>
    <row r="684" spans="4:10" x14ac:dyDescent="0.2">
      <c r="D684" s="18">
        <f>装备表!L829</f>
        <v>0</v>
      </c>
      <c r="E684" s="18" t="str">
        <f>IF(装备表!$O829=0,"xxx",IFERROR(IF(INT(IF($D684=E$3,装备表!$E829,"xxx")/10000)=1,IF($D684=E$3,装备表!$E829,"xxx")&amp;":2,1,1,"&amp;装备表!$O829&amp;";","xxx"),"xxx"))</f>
        <v>xxx</v>
      </c>
      <c r="F684" s="18" t="str">
        <f>IF(装备表!$O829=0,"xxx",IFERROR(IF(INT(IF($D684=F$3,装备表!$E829,"xxx")/10000)=1,IF($D684=F$3,装备表!$E829,"xxx")&amp;":2,1,1,"&amp;装备表!$O829&amp;";","xxx"),"xxx"))</f>
        <v>xxx</v>
      </c>
      <c r="G684" s="18" t="str">
        <f>IF(装备表!$O829=0,"xxx",IFERROR(IF(INT(IF($D684=G$3,装备表!$E829,"xxx")/10000)=1,IF($D684=G$3,装备表!$E829,"xxx")&amp;":2,1,1,"&amp;装备表!$O829&amp;";","xxx"),"xxx"))</f>
        <v>xxx</v>
      </c>
      <c r="H684" s="18" t="str">
        <f>IF(装备表!$O829=0,"xxx",IFERROR(IF(INT(IF($D684=H$3,装备表!$E829,"xxx")/10000)=1,IF($D684=H$3,装备表!$E829,"xxx")&amp;":2,1,1,"&amp;装备表!$O829&amp;";","xxx"),"xxx"))</f>
        <v>xxx</v>
      </c>
      <c r="I684" s="18" t="str">
        <f>IF(装备表!$O829=0,"xxx",IFERROR(IF(INT(IF($D684=I$3,装备表!$E829,"xxx")/10000)=1,IF($D684=I$3,装备表!$E829,"xxx")&amp;":2,1,1,"&amp;装备表!$O829&amp;";","xxx"),"xxx"))</f>
        <v>xxx</v>
      </c>
      <c r="J684" s="18" t="str">
        <f>IF(装备表!$O829=0,"xxx",IFERROR(IF(INT(IF($D684=J$3,装备表!$E829,"xxx")/10000)=1,IF($D684=J$3,装备表!$E829,"xxx")&amp;":2,1,1,"&amp;装备表!$O829&amp;";","xxx"),"xxx"))</f>
        <v>xxx</v>
      </c>
    </row>
    <row r="685" spans="4:10" x14ac:dyDescent="0.2">
      <c r="D685" s="18">
        <f>装备表!L830</f>
        <v>0</v>
      </c>
      <c r="E685" s="18" t="str">
        <f>IF(装备表!$O830=0,"xxx",IFERROR(IF(INT(IF($D685=E$3,装备表!$E830,"xxx")/10000)=1,IF($D685=E$3,装备表!$E830,"xxx")&amp;":2,1,1,"&amp;装备表!$O830&amp;";","xxx"),"xxx"))</f>
        <v>xxx</v>
      </c>
      <c r="F685" s="18" t="str">
        <f>IF(装备表!$O830=0,"xxx",IFERROR(IF(INT(IF($D685=F$3,装备表!$E830,"xxx")/10000)=1,IF($D685=F$3,装备表!$E830,"xxx")&amp;":2,1,1,"&amp;装备表!$O830&amp;";","xxx"),"xxx"))</f>
        <v>xxx</v>
      </c>
      <c r="G685" s="18" t="str">
        <f>IF(装备表!$O830=0,"xxx",IFERROR(IF(INT(IF($D685=G$3,装备表!$E830,"xxx")/10000)=1,IF($D685=G$3,装备表!$E830,"xxx")&amp;":2,1,1,"&amp;装备表!$O830&amp;";","xxx"),"xxx"))</f>
        <v>xxx</v>
      </c>
      <c r="H685" s="18" t="str">
        <f>IF(装备表!$O830=0,"xxx",IFERROR(IF(INT(IF($D685=H$3,装备表!$E830,"xxx")/10000)=1,IF($D685=H$3,装备表!$E830,"xxx")&amp;":2,1,1,"&amp;装备表!$O830&amp;";","xxx"),"xxx"))</f>
        <v>xxx</v>
      </c>
      <c r="I685" s="18" t="str">
        <f>IF(装备表!$O830=0,"xxx",IFERROR(IF(INT(IF($D685=I$3,装备表!$E830,"xxx")/10000)=1,IF($D685=I$3,装备表!$E830,"xxx")&amp;":2,1,1,"&amp;装备表!$O830&amp;";","xxx"),"xxx"))</f>
        <v>xxx</v>
      </c>
      <c r="J685" s="18" t="str">
        <f>IF(装备表!$O830=0,"xxx",IFERROR(IF(INT(IF($D685=J$3,装备表!$E830,"xxx")/10000)=1,IF($D685=J$3,装备表!$E830,"xxx")&amp;":2,1,1,"&amp;装备表!$O830&amp;";","xxx"),"xxx"))</f>
        <v>xxx</v>
      </c>
    </row>
    <row r="686" spans="4:10" x14ac:dyDescent="0.2">
      <c r="D686" s="18">
        <f>装备表!L831</f>
        <v>0</v>
      </c>
      <c r="E686" s="18" t="str">
        <f>IF(装备表!$O831=0,"xxx",IFERROR(IF(INT(IF($D686=E$3,装备表!$E831,"xxx")/10000)=1,IF($D686=E$3,装备表!$E831,"xxx")&amp;":2,1,1,"&amp;装备表!$O831&amp;";","xxx"),"xxx"))</f>
        <v>xxx</v>
      </c>
      <c r="F686" s="18" t="str">
        <f>IF(装备表!$O831=0,"xxx",IFERROR(IF(INT(IF($D686=F$3,装备表!$E831,"xxx")/10000)=1,IF($D686=F$3,装备表!$E831,"xxx")&amp;":2,1,1,"&amp;装备表!$O831&amp;";","xxx"),"xxx"))</f>
        <v>xxx</v>
      </c>
      <c r="G686" s="18" t="str">
        <f>IF(装备表!$O831=0,"xxx",IFERROR(IF(INT(IF($D686=G$3,装备表!$E831,"xxx")/10000)=1,IF($D686=G$3,装备表!$E831,"xxx")&amp;":2,1,1,"&amp;装备表!$O831&amp;";","xxx"),"xxx"))</f>
        <v>xxx</v>
      </c>
      <c r="H686" s="18" t="str">
        <f>IF(装备表!$O831=0,"xxx",IFERROR(IF(INT(IF($D686=H$3,装备表!$E831,"xxx")/10000)=1,IF($D686=H$3,装备表!$E831,"xxx")&amp;":2,1,1,"&amp;装备表!$O831&amp;";","xxx"),"xxx"))</f>
        <v>xxx</v>
      </c>
      <c r="I686" s="18" t="str">
        <f>IF(装备表!$O831=0,"xxx",IFERROR(IF(INT(IF($D686=I$3,装备表!$E831,"xxx")/10000)=1,IF($D686=I$3,装备表!$E831,"xxx")&amp;":2,1,1,"&amp;装备表!$O831&amp;";","xxx"),"xxx"))</f>
        <v>xxx</v>
      </c>
      <c r="J686" s="18" t="str">
        <f>IF(装备表!$O831=0,"xxx",IFERROR(IF(INT(IF($D686=J$3,装备表!$E831,"xxx")/10000)=1,IF($D686=J$3,装备表!$E831,"xxx")&amp;":2,1,1,"&amp;装备表!$O831&amp;";","xxx"),"xxx"))</f>
        <v>xxx</v>
      </c>
    </row>
    <row r="687" spans="4:10" x14ac:dyDescent="0.2">
      <c r="D687" s="18">
        <f>装备表!L832</f>
        <v>0</v>
      </c>
      <c r="E687" s="18" t="str">
        <f>IF(装备表!$O832=0,"xxx",IFERROR(IF(INT(IF($D687=E$3,装备表!$E832,"xxx")/10000)=1,IF($D687=E$3,装备表!$E832,"xxx")&amp;":2,1,1,"&amp;装备表!$O832&amp;";","xxx"),"xxx"))</f>
        <v>xxx</v>
      </c>
      <c r="F687" s="18" t="str">
        <f>IF(装备表!$O832=0,"xxx",IFERROR(IF(INT(IF($D687=F$3,装备表!$E832,"xxx")/10000)=1,IF($D687=F$3,装备表!$E832,"xxx")&amp;":2,1,1,"&amp;装备表!$O832&amp;";","xxx"),"xxx"))</f>
        <v>xxx</v>
      </c>
      <c r="G687" s="18" t="str">
        <f>IF(装备表!$O832=0,"xxx",IFERROR(IF(INT(IF($D687=G$3,装备表!$E832,"xxx")/10000)=1,IF($D687=G$3,装备表!$E832,"xxx")&amp;":2,1,1,"&amp;装备表!$O832&amp;";","xxx"),"xxx"))</f>
        <v>xxx</v>
      </c>
      <c r="H687" s="18" t="str">
        <f>IF(装备表!$O832=0,"xxx",IFERROR(IF(INT(IF($D687=H$3,装备表!$E832,"xxx")/10000)=1,IF($D687=H$3,装备表!$E832,"xxx")&amp;":2,1,1,"&amp;装备表!$O832&amp;";","xxx"),"xxx"))</f>
        <v>xxx</v>
      </c>
      <c r="I687" s="18" t="str">
        <f>IF(装备表!$O832=0,"xxx",IFERROR(IF(INT(IF($D687=I$3,装备表!$E832,"xxx")/10000)=1,IF($D687=I$3,装备表!$E832,"xxx")&amp;":2,1,1,"&amp;装备表!$O832&amp;";","xxx"),"xxx"))</f>
        <v>xxx</v>
      </c>
      <c r="J687" s="18" t="str">
        <f>IF(装备表!$O832=0,"xxx",IFERROR(IF(INT(IF($D687=J$3,装备表!$E832,"xxx")/10000)=1,IF($D687=J$3,装备表!$E832,"xxx")&amp;":2,1,1,"&amp;装备表!$O832&amp;";","xxx"),"xxx"))</f>
        <v>xxx</v>
      </c>
    </row>
    <row r="688" spans="4:10" x14ac:dyDescent="0.2">
      <c r="D688" s="18">
        <f>装备表!L833</f>
        <v>0</v>
      </c>
      <c r="E688" s="18" t="str">
        <f>IF(装备表!$O833=0,"xxx",IFERROR(IF(INT(IF($D688=E$3,装备表!$E833,"xxx")/10000)=1,IF($D688=E$3,装备表!$E833,"xxx")&amp;":2,1,1,"&amp;装备表!$O833&amp;";","xxx"),"xxx"))</f>
        <v>xxx</v>
      </c>
      <c r="F688" s="18" t="str">
        <f>IF(装备表!$O833=0,"xxx",IFERROR(IF(INT(IF($D688=F$3,装备表!$E833,"xxx")/10000)=1,IF($D688=F$3,装备表!$E833,"xxx")&amp;":2,1,1,"&amp;装备表!$O833&amp;";","xxx"),"xxx"))</f>
        <v>xxx</v>
      </c>
      <c r="G688" s="18" t="str">
        <f>IF(装备表!$O833=0,"xxx",IFERROR(IF(INT(IF($D688=G$3,装备表!$E833,"xxx")/10000)=1,IF($D688=G$3,装备表!$E833,"xxx")&amp;":2,1,1,"&amp;装备表!$O833&amp;";","xxx"),"xxx"))</f>
        <v>xxx</v>
      </c>
      <c r="H688" s="18" t="str">
        <f>IF(装备表!$O833=0,"xxx",IFERROR(IF(INT(IF($D688=H$3,装备表!$E833,"xxx")/10000)=1,IF($D688=H$3,装备表!$E833,"xxx")&amp;":2,1,1,"&amp;装备表!$O833&amp;";","xxx"),"xxx"))</f>
        <v>xxx</v>
      </c>
      <c r="I688" s="18" t="str">
        <f>IF(装备表!$O833=0,"xxx",IFERROR(IF(INT(IF($D688=I$3,装备表!$E833,"xxx")/10000)=1,IF($D688=I$3,装备表!$E833,"xxx")&amp;":2,1,1,"&amp;装备表!$O833&amp;";","xxx"),"xxx"))</f>
        <v>xxx</v>
      </c>
      <c r="J688" s="18" t="str">
        <f>IF(装备表!$O833=0,"xxx",IFERROR(IF(INT(IF($D688=J$3,装备表!$E833,"xxx")/10000)=1,IF($D688=J$3,装备表!$E833,"xxx")&amp;":2,1,1,"&amp;装备表!$O833&amp;";","xxx"),"xxx"))</f>
        <v>xxx</v>
      </c>
    </row>
    <row r="689" spans="4:10" x14ac:dyDescent="0.2">
      <c r="D689" s="18">
        <f>装备表!L834</f>
        <v>0</v>
      </c>
      <c r="E689" s="18" t="str">
        <f>IF(装备表!$O834=0,"xxx",IFERROR(IF(INT(IF($D689=E$3,装备表!$E834,"xxx")/10000)=1,IF($D689=E$3,装备表!$E834,"xxx")&amp;":2,1,1,"&amp;装备表!$O834&amp;";","xxx"),"xxx"))</f>
        <v>xxx</v>
      </c>
      <c r="F689" s="18" t="str">
        <f>IF(装备表!$O834=0,"xxx",IFERROR(IF(INT(IF($D689=F$3,装备表!$E834,"xxx")/10000)=1,IF($D689=F$3,装备表!$E834,"xxx")&amp;":2,1,1,"&amp;装备表!$O834&amp;";","xxx"),"xxx"))</f>
        <v>xxx</v>
      </c>
      <c r="G689" s="18" t="str">
        <f>IF(装备表!$O834=0,"xxx",IFERROR(IF(INT(IF($D689=G$3,装备表!$E834,"xxx")/10000)=1,IF($D689=G$3,装备表!$E834,"xxx")&amp;":2,1,1,"&amp;装备表!$O834&amp;";","xxx"),"xxx"))</f>
        <v>xxx</v>
      </c>
      <c r="H689" s="18" t="str">
        <f>IF(装备表!$O834=0,"xxx",IFERROR(IF(INT(IF($D689=H$3,装备表!$E834,"xxx")/10000)=1,IF($D689=H$3,装备表!$E834,"xxx")&amp;":2,1,1,"&amp;装备表!$O834&amp;";","xxx"),"xxx"))</f>
        <v>xxx</v>
      </c>
      <c r="I689" s="18" t="str">
        <f>IF(装备表!$O834=0,"xxx",IFERROR(IF(INT(IF($D689=I$3,装备表!$E834,"xxx")/10000)=1,IF($D689=I$3,装备表!$E834,"xxx")&amp;":2,1,1,"&amp;装备表!$O834&amp;";","xxx"),"xxx"))</f>
        <v>xxx</v>
      </c>
      <c r="J689" s="18" t="str">
        <f>IF(装备表!$O834=0,"xxx",IFERROR(IF(INT(IF($D689=J$3,装备表!$E834,"xxx")/10000)=1,IF($D689=J$3,装备表!$E834,"xxx")&amp;":2,1,1,"&amp;装备表!$O834&amp;";","xxx"),"xxx"))</f>
        <v>xxx</v>
      </c>
    </row>
    <row r="690" spans="4:10" x14ac:dyDescent="0.2">
      <c r="D690" s="18">
        <f>装备表!L835</f>
        <v>0</v>
      </c>
      <c r="E690" s="18" t="str">
        <f>IF(装备表!$O835=0,"xxx",IFERROR(IF(INT(IF($D690=E$3,装备表!$E835,"xxx")/10000)=1,IF($D690=E$3,装备表!$E835,"xxx")&amp;":2,1,1,"&amp;装备表!$O835&amp;";","xxx"),"xxx"))</f>
        <v>xxx</v>
      </c>
      <c r="F690" s="18" t="str">
        <f>IF(装备表!$O835=0,"xxx",IFERROR(IF(INT(IF($D690=F$3,装备表!$E835,"xxx")/10000)=1,IF($D690=F$3,装备表!$E835,"xxx")&amp;":2,1,1,"&amp;装备表!$O835&amp;";","xxx"),"xxx"))</f>
        <v>xxx</v>
      </c>
      <c r="G690" s="18" t="str">
        <f>IF(装备表!$O835=0,"xxx",IFERROR(IF(INT(IF($D690=G$3,装备表!$E835,"xxx")/10000)=1,IF($D690=G$3,装备表!$E835,"xxx")&amp;":2,1,1,"&amp;装备表!$O835&amp;";","xxx"),"xxx"))</f>
        <v>xxx</v>
      </c>
      <c r="H690" s="18" t="str">
        <f>IF(装备表!$O835=0,"xxx",IFERROR(IF(INT(IF($D690=H$3,装备表!$E835,"xxx")/10000)=1,IF($D690=H$3,装备表!$E835,"xxx")&amp;":2,1,1,"&amp;装备表!$O835&amp;";","xxx"),"xxx"))</f>
        <v>xxx</v>
      </c>
      <c r="I690" s="18" t="str">
        <f>IF(装备表!$O835=0,"xxx",IFERROR(IF(INT(IF($D690=I$3,装备表!$E835,"xxx")/10000)=1,IF($D690=I$3,装备表!$E835,"xxx")&amp;":2,1,1,"&amp;装备表!$O835&amp;";","xxx"),"xxx"))</f>
        <v>xxx</v>
      </c>
      <c r="J690" s="18" t="str">
        <f>IF(装备表!$O835=0,"xxx",IFERROR(IF(INT(IF($D690=J$3,装备表!$E835,"xxx")/10000)=1,IF($D690=J$3,装备表!$E835,"xxx")&amp;":2,1,1,"&amp;装备表!$O835&amp;";","xxx"),"xxx"))</f>
        <v>xxx</v>
      </c>
    </row>
    <row r="691" spans="4:10" x14ac:dyDescent="0.2">
      <c r="D691" s="18">
        <f>装备表!L836</f>
        <v>0</v>
      </c>
      <c r="E691" s="18" t="str">
        <f>IF(装备表!$O836=0,"xxx",IFERROR(IF(INT(IF($D691=E$3,装备表!$E836,"xxx")/10000)=1,IF($D691=E$3,装备表!$E836,"xxx")&amp;":2,1,1,"&amp;装备表!$O836&amp;";","xxx"),"xxx"))</f>
        <v>xxx</v>
      </c>
      <c r="F691" s="18" t="str">
        <f>IF(装备表!$O836=0,"xxx",IFERROR(IF(INT(IF($D691=F$3,装备表!$E836,"xxx")/10000)=1,IF($D691=F$3,装备表!$E836,"xxx")&amp;":2,1,1,"&amp;装备表!$O836&amp;";","xxx"),"xxx"))</f>
        <v>xxx</v>
      </c>
      <c r="G691" s="18" t="str">
        <f>IF(装备表!$O836=0,"xxx",IFERROR(IF(INT(IF($D691=G$3,装备表!$E836,"xxx")/10000)=1,IF($D691=G$3,装备表!$E836,"xxx")&amp;":2,1,1,"&amp;装备表!$O836&amp;";","xxx"),"xxx"))</f>
        <v>xxx</v>
      </c>
      <c r="H691" s="18" t="str">
        <f>IF(装备表!$O836=0,"xxx",IFERROR(IF(INT(IF($D691=H$3,装备表!$E836,"xxx")/10000)=1,IF($D691=H$3,装备表!$E836,"xxx")&amp;":2,1,1,"&amp;装备表!$O836&amp;";","xxx"),"xxx"))</f>
        <v>xxx</v>
      </c>
      <c r="I691" s="18" t="str">
        <f>IF(装备表!$O836=0,"xxx",IFERROR(IF(INT(IF($D691=I$3,装备表!$E836,"xxx")/10000)=1,IF($D691=I$3,装备表!$E836,"xxx")&amp;":2,1,1,"&amp;装备表!$O836&amp;";","xxx"),"xxx"))</f>
        <v>xxx</v>
      </c>
      <c r="J691" s="18" t="str">
        <f>IF(装备表!$O836=0,"xxx",IFERROR(IF(INT(IF($D691=J$3,装备表!$E836,"xxx")/10000)=1,IF($D691=J$3,装备表!$E836,"xxx")&amp;":2,1,1,"&amp;装备表!$O836&amp;";","xxx"),"xxx"))</f>
        <v>xxx</v>
      </c>
    </row>
    <row r="692" spans="4:10" x14ac:dyDescent="0.2">
      <c r="D692" s="18">
        <f>装备表!L837</f>
        <v>0</v>
      </c>
      <c r="E692" s="18" t="str">
        <f>IF(装备表!$O837=0,"xxx",IFERROR(IF(INT(IF($D692=E$3,装备表!$E837,"xxx")/10000)=1,IF($D692=E$3,装备表!$E837,"xxx")&amp;":2,1,1,"&amp;装备表!$O837&amp;";","xxx"),"xxx"))</f>
        <v>xxx</v>
      </c>
      <c r="F692" s="18" t="str">
        <f>IF(装备表!$O837=0,"xxx",IFERROR(IF(INT(IF($D692=F$3,装备表!$E837,"xxx")/10000)=1,IF($D692=F$3,装备表!$E837,"xxx")&amp;":2,1,1,"&amp;装备表!$O837&amp;";","xxx"),"xxx"))</f>
        <v>xxx</v>
      </c>
      <c r="G692" s="18" t="str">
        <f>IF(装备表!$O837=0,"xxx",IFERROR(IF(INT(IF($D692=G$3,装备表!$E837,"xxx")/10000)=1,IF($D692=G$3,装备表!$E837,"xxx")&amp;":2,1,1,"&amp;装备表!$O837&amp;";","xxx"),"xxx"))</f>
        <v>xxx</v>
      </c>
      <c r="H692" s="18" t="str">
        <f>IF(装备表!$O837=0,"xxx",IFERROR(IF(INT(IF($D692=H$3,装备表!$E837,"xxx")/10000)=1,IF($D692=H$3,装备表!$E837,"xxx")&amp;":2,1,1,"&amp;装备表!$O837&amp;";","xxx"),"xxx"))</f>
        <v>xxx</v>
      </c>
      <c r="I692" s="18" t="str">
        <f>IF(装备表!$O837=0,"xxx",IFERROR(IF(INT(IF($D692=I$3,装备表!$E837,"xxx")/10000)=1,IF($D692=I$3,装备表!$E837,"xxx")&amp;":2,1,1,"&amp;装备表!$O837&amp;";","xxx"),"xxx"))</f>
        <v>xxx</v>
      </c>
      <c r="J692" s="18" t="str">
        <f>IF(装备表!$O837=0,"xxx",IFERROR(IF(INT(IF($D692=J$3,装备表!$E837,"xxx")/10000)=1,IF($D692=J$3,装备表!$E837,"xxx")&amp;":2,1,1,"&amp;装备表!$O837&amp;";","xxx"),"xxx"))</f>
        <v>xxx</v>
      </c>
    </row>
    <row r="693" spans="4:10" x14ac:dyDescent="0.2">
      <c r="D693" s="18">
        <f>装备表!L838</f>
        <v>0</v>
      </c>
      <c r="E693" s="18" t="str">
        <f>IF(装备表!$O838=0,"xxx",IFERROR(IF(INT(IF($D693=E$3,装备表!$E838,"xxx")/10000)=1,IF($D693=E$3,装备表!$E838,"xxx")&amp;":2,1,1,"&amp;装备表!$O838&amp;";","xxx"),"xxx"))</f>
        <v>xxx</v>
      </c>
      <c r="F693" s="18" t="str">
        <f>IF(装备表!$O838=0,"xxx",IFERROR(IF(INT(IF($D693=F$3,装备表!$E838,"xxx")/10000)=1,IF($D693=F$3,装备表!$E838,"xxx")&amp;":2,1,1,"&amp;装备表!$O838&amp;";","xxx"),"xxx"))</f>
        <v>xxx</v>
      </c>
      <c r="G693" s="18" t="str">
        <f>IF(装备表!$O838=0,"xxx",IFERROR(IF(INT(IF($D693=G$3,装备表!$E838,"xxx")/10000)=1,IF($D693=G$3,装备表!$E838,"xxx")&amp;":2,1,1,"&amp;装备表!$O838&amp;";","xxx"),"xxx"))</f>
        <v>xxx</v>
      </c>
      <c r="H693" s="18" t="str">
        <f>IF(装备表!$O838=0,"xxx",IFERROR(IF(INT(IF($D693=H$3,装备表!$E838,"xxx")/10000)=1,IF($D693=H$3,装备表!$E838,"xxx")&amp;":2,1,1,"&amp;装备表!$O838&amp;";","xxx"),"xxx"))</f>
        <v>xxx</v>
      </c>
      <c r="I693" s="18" t="str">
        <f>IF(装备表!$O838=0,"xxx",IFERROR(IF(INT(IF($D693=I$3,装备表!$E838,"xxx")/10000)=1,IF($D693=I$3,装备表!$E838,"xxx")&amp;":2,1,1,"&amp;装备表!$O838&amp;";","xxx"),"xxx"))</f>
        <v>xxx</v>
      </c>
      <c r="J693" s="18" t="str">
        <f>IF(装备表!$O838=0,"xxx",IFERROR(IF(INT(IF($D693=J$3,装备表!$E838,"xxx")/10000)=1,IF($D693=J$3,装备表!$E838,"xxx")&amp;":2,1,1,"&amp;装备表!$O838&amp;";","xxx"),"xxx"))</f>
        <v>xxx</v>
      </c>
    </row>
    <row r="694" spans="4:10" x14ac:dyDescent="0.2">
      <c r="D694" s="18">
        <f>装备表!L839</f>
        <v>0</v>
      </c>
      <c r="E694" s="18" t="str">
        <f>IF(装备表!$O839=0,"xxx",IFERROR(IF(INT(IF($D694=E$3,装备表!$E839,"xxx")/10000)=1,IF($D694=E$3,装备表!$E839,"xxx")&amp;":2,1,1,"&amp;装备表!$O839&amp;";","xxx"),"xxx"))</f>
        <v>xxx</v>
      </c>
      <c r="F694" s="18" t="str">
        <f>IF(装备表!$O839=0,"xxx",IFERROR(IF(INT(IF($D694=F$3,装备表!$E839,"xxx")/10000)=1,IF($D694=F$3,装备表!$E839,"xxx")&amp;":2,1,1,"&amp;装备表!$O839&amp;";","xxx"),"xxx"))</f>
        <v>xxx</v>
      </c>
      <c r="G694" s="18" t="str">
        <f>IF(装备表!$O839=0,"xxx",IFERROR(IF(INT(IF($D694=G$3,装备表!$E839,"xxx")/10000)=1,IF($D694=G$3,装备表!$E839,"xxx")&amp;":2,1,1,"&amp;装备表!$O839&amp;";","xxx"),"xxx"))</f>
        <v>xxx</v>
      </c>
      <c r="H694" s="18" t="str">
        <f>IF(装备表!$O839=0,"xxx",IFERROR(IF(INT(IF($D694=H$3,装备表!$E839,"xxx")/10000)=1,IF($D694=H$3,装备表!$E839,"xxx")&amp;":2,1,1,"&amp;装备表!$O839&amp;";","xxx"),"xxx"))</f>
        <v>xxx</v>
      </c>
      <c r="I694" s="18" t="str">
        <f>IF(装备表!$O839=0,"xxx",IFERROR(IF(INT(IF($D694=I$3,装备表!$E839,"xxx")/10000)=1,IF($D694=I$3,装备表!$E839,"xxx")&amp;":2,1,1,"&amp;装备表!$O839&amp;";","xxx"),"xxx"))</f>
        <v>xxx</v>
      </c>
      <c r="J694" s="18" t="str">
        <f>IF(装备表!$O839=0,"xxx",IFERROR(IF(INT(IF($D694=J$3,装备表!$E839,"xxx")/10000)=1,IF($D694=J$3,装备表!$E839,"xxx")&amp;":2,1,1,"&amp;装备表!$O839&amp;";","xxx"),"xxx"))</f>
        <v>xxx</v>
      </c>
    </row>
    <row r="695" spans="4:10" x14ac:dyDescent="0.2">
      <c r="D695" s="18">
        <f>装备表!L840</f>
        <v>0</v>
      </c>
      <c r="E695" s="18" t="str">
        <f>IF(装备表!$O840=0,"xxx",IFERROR(IF(INT(IF($D695=E$3,装备表!$E840,"xxx")/10000)=1,IF($D695=E$3,装备表!$E840,"xxx")&amp;":2,1,1,"&amp;装备表!$O840&amp;";","xxx"),"xxx"))</f>
        <v>xxx</v>
      </c>
      <c r="F695" s="18" t="str">
        <f>IF(装备表!$O840=0,"xxx",IFERROR(IF(INT(IF($D695=F$3,装备表!$E840,"xxx")/10000)=1,IF($D695=F$3,装备表!$E840,"xxx")&amp;":2,1,1,"&amp;装备表!$O840&amp;";","xxx"),"xxx"))</f>
        <v>xxx</v>
      </c>
      <c r="G695" s="18" t="str">
        <f>IF(装备表!$O840=0,"xxx",IFERROR(IF(INT(IF($D695=G$3,装备表!$E840,"xxx")/10000)=1,IF($D695=G$3,装备表!$E840,"xxx")&amp;":2,1,1,"&amp;装备表!$O840&amp;";","xxx"),"xxx"))</f>
        <v>xxx</v>
      </c>
      <c r="H695" s="18" t="str">
        <f>IF(装备表!$O840=0,"xxx",IFERROR(IF(INT(IF($D695=H$3,装备表!$E840,"xxx")/10000)=1,IF($D695=H$3,装备表!$E840,"xxx")&amp;":2,1,1,"&amp;装备表!$O840&amp;";","xxx"),"xxx"))</f>
        <v>xxx</v>
      </c>
      <c r="I695" s="18" t="str">
        <f>IF(装备表!$O840=0,"xxx",IFERROR(IF(INT(IF($D695=I$3,装备表!$E840,"xxx")/10000)=1,IF($D695=I$3,装备表!$E840,"xxx")&amp;":2,1,1,"&amp;装备表!$O840&amp;";","xxx"),"xxx"))</f>
        <v>xxx</v>
      </c>
      <c r="J695" s="18" t="str">
        <f>IF(装备表!$O840=0,"xxx",IFERROR(IF(INT(IF($D695=J$3,装备表!$E840,"xxx")/10000)=1,IF($D695=J$3,装备表!$E840,"xxx")&amp;":2,1,1,"&amp;装备表!$O840&amp;";","xxx"),"xxx"))</f>
        <v>xxx</v>
      </c>
    </row>
    <row r="696" spans="4:10" x14ac:dyDescent="0.2">
      <c r="D696" s="18">
        <f>装备表!L841</f>
        <v>0</v>
      </c>
      <c r="E696" s="18" t="str">
        <f>IF(装备表!$O841=0,"xxx",IFERROR(IF(INT(IF($D696=E$3,装备表!$E841,"xxx")/10000)=1,IF($D696=E$3,装备表!$E841,"xxx")&amp;":2,1,1,"&amp;装备表!$O841&amp;";","xxx"),"xxx"))</f>
        <v>xxx</v>
      </c>
      <c r="F696" s="18" t="str">
        <f>IF(装备表!$O841=0,"xxx",IFERROR(IF(INT(IF($D696=F$3,装备表!$E841,"xxx")/10000)=1,IF($D696=F$3,装备表!$E841,"xxx")&amp;":2,1,1,"&amp;装备表!$O841&amp;";","xxx"),"xxx"))</f>
        <v>xxx</v>
      </c>
      <c r="G696" s="18" t="str">
        <f>IF(装备表!$O841=0,"xxx",IFERROR(IF(INT(IF($D696=G$3,装备表!$E841,"xxx")/10000)=1,IF($D696=G$3,装备表!$E841,"xxx")&amp;":2,1,1,"&amp;装备表!$O841&amp;";","xxx"),"xxx"))</f>
        <v>xxx</v>
      </c>
      <c r="H696" s="18" t="str">
        <f>IF(装备表!$O841=0,"xxx",IFERROR(IF(INT(IF($D696=H$3,装备表!$E841,"xxx")/10000)=1,IF($D696=H$3,装备表!$E841,"xxx")&amp;":2,1,1,"&amp;装备表!$O841&amp;";","xxx"),"xxx"))</f>
        <v>xxx</v>
      </c>
      <c r="I696" s="18" t="str">
        <f>IF(装备表!$O841=0,"xxx",IFERROR(IF(INT(IF($D696=I$3,装备表!$E841,"xxx")/10000)=1,IF($D696=I$3,装备表!$E841,"xxx")&amp;":2,1,1,"&amp;装备表!$O841&amp;";","xxx"),"xxx"))</f>
        <v>xxx</v>
      </c>
      <c r="J696" s="18" t="str">
        <f>IF(装备表!$O841=0,"xxx",IFERROR(IF(INT(IF($D696=J$3,装备表!$E841,"xxx")/10000)=1,IF($D696=J$3,装备表!$E841,"xxx")&amp;":2,1,1,"&amp;装备表!$O841&amp;";","xxx"),"xxx"))</f>
        <v>xxx</v>
      </c>
    </row>
    <row r="697" spans="4:10" x14ac:dyDescent="0.2">
      <c r="D697" s="18">
        <f>装备表!L842</f>
        <v>0</v>
      </c>
      <c r="E697" s="18" t="str">
        <f>IF(装备表!$O842=0,"xxx",IFERROR(IF(INT(IF($D697=E$3,装备表!$E842,"xxx")/10000)=1,IF($D697=E$3,装备表!$E842,"xxx")&amp;":2,1,1,"&amp;装备表!$O842&amp;";","xxx"),"xxx"))</f>
        <v>xxx</v>
      </c>
      <c r="F697" s="18" t="str">
        <f>IF(装备表!$O842=0,"xxx",IFERROR(IF(INT(IF($D697=F$3,装备表!$E842,"xxx")/10000)=1,IF($D697=F$3,装备表!$E842,"xxx")&amp;":2,1,1,"&amp;装备表!$O842&amp;";","xxx"),"xxx"))</f>
        <v>xxx</v>
      </c>
      <c r="G697" s="18" t="str">
        <f>IF(装备表!$O842=0,"xxx",IFERROR(IF(INT(IF($D697=G$3,装备表!$E842,"xxx")/10000)=1,IF($D697=G$3,装备表!$E842,"xxx")&amp;":2,1,1,"&amp;装备表!$O842&amp;";","xxx"),"xxx"))</f>
        <v>xxx</v>
      </c>
      <c r="H697" s="18" t="str">
        <f>IF(装备表!$O842=0,"xxx",IFERROR(IF(INT(IF($D697=H$3,装备表!$E842,"xxx")/10000)=1,IF($D697=H$3,装备表!$E842,"xxx")&amp;":2,1,1,"&amp;装备表!$O842&amp;";","xxx"),"xxx"))</f>
        <v>xxx</v>
      </c>
      <c r="I697" s="18" t="str">
        <f>IF(装备表!$O842=0,"xxx",IFERROR(IF(INT(IF($D697=I$3,装备表!$E842,"xxx")/10000)=1,IF($D697=I$3,装备表!$E842,"xxx")&amp;":2,1,1,"&amp;装备表!$O842&amp;";","xxx"),"xxx"))</f>
        <v>xxx</v>
      </c>
      <c r="J697" s="18" t="str">
        <f>IF(装备表!$O842=0,"xxx",IFERROR(IF(INT(IF($D697=J$3,装备表!$E842,"xxx")/10000)=1,IF($D697=J$3,装备表!$E842,"xxx")&amp;":2,1,1,"&amp;装备表!$O842&amp;";","xxx"),"xxx"))</f>
        <v>xxx</v>
      </c>
    </row>
    <row r="698" spans="4:10" x14ac:dyDescent="0.2">
      <c r="D698" s="18">
        <f>装备表!L843</f>
        <v>0</v>
      </c>
      <c r="E698" s="18" t="str">
        <f>IF(装备表!$O843=0,"xxx",IFERROR(IF(INT(IF($D698=E$3,装备表!$E843,"xxx")/10000)=1,IF($D698=E$3,装备表!$E843,"xxx")&amp;":2,1,1,"&amp;装备表!$O843&amp;";","xxx"),"xxx"))</f>
        <v>xxx</v>
      </c>
      <c r="F698" s="18" t="str">
        <f>IF(装备表!$O843=0,"xxx",IFERROR(IF(INT(IF($D698=F$3,装备表!$E843,"xxx")/10000)=1,IF($D698=F$3,装备表!$E843,"xxx")&amp;":2,1,1,"&amp;装备表!$O843&amp;";","xxx"),"xxx"))</f>
        <v>xxx</v>
      </c>
      <c r="G698" s="18" t="str">
        <f>IF(装备表!$O843=0,"xxx",IFERROR(IF(INT(IF($D698=G$3,装备表!$E843,"xxx")/10000)=1,IF($D698=G$3,装备表!$E843,"xxx")&amp;":2,1,1,"&amp;装备表!$O843&amp;";","xxx"),"xxx"))</f>
        <v>xxx</v>
      </c>
      <c r="H698" s="18" t="str">
        <f>IF(装备表!$O843=0,"xxx",IFERROR(IF(INT(IF($D698=H$3,装备表!$E843,"xxx")/10000)=1,IF($D698=H$3,装备表!$E843,"xxx")&amp;":2,1,1,"&amp;装备表!$O843&amp;";","xxx"),"xxx"))</f>
        <v>xxx</v>
      </c>
      <c r="I698" s="18" t="str">
        <f>IF(装备表!$O843=0,"xxx",IFERROR(IF(INT(IF($D698=I$3,装备表!$E843,"xxx")/10000)=1,IF($D698=I$3,装备表!$E843,"xxx")&amp;":2,1,1,"&amp;装备表!$O843&amp;";","xxx"),"xxx"))</f>
        <v>xxx</v>
      </c>
      <c r="J698" s="18" t="str">
        <f>IF(装备表!$O843=0,"xxx",IFERROR(IF(INT(IF($D698=J$3,装备表!$E843,"xxx")/10000)=1,IF($D698=J$3,装备表!$E843,"xxx")&amp;":2,1,1,"&amp;装备表!$O843&amp;";","xxx"),"xxx"))</f>
        <v>xxx</v>
      </c>
    </row>
    <row r="699" spans="4:10" x14ac:dyDescent="0.2">
      <c r="D699" s="18">
        <f>装备表!L844</f>
        <v>0</v>
      </c>
      <c r="E699" s="18" t="str">
        <f>IF(装备表!$O844=0,"xxx",IFERROR(IF(INT(IF($D699=E$3,装备表!$E844,"xxx")/10000)=1,IF($D699=E$3,装备表!$E844,"xxx")&amp;":2,1,1,"&amp;装备表!$O844&amp;";","xxx"),"xxx"))</f>
        <v>xxx</v>
      </c>
      <c r="F699" s="18" t="str">
        <f>IF(装备表!$O844=0,"xxx",IFERROR(IF(INT(IF($D699=F$3,装备表!$E844,"xxx")/10000)=1,IF($D699=F$3,装备表!$E844,"xxx")&amp;":2,1,1,"&amp;装备表!$O844&amp;";","xxx"),"xxx"))</f>
        <v>xxx</v>
      </c>
      <c r="G699" s="18" t="str">
        <f>IF(装备表!$O844=0,"xxx",IFERROR(IF(INT(IF($D699=G$3,装备表!$E844,"xxx")/10000)=1,IF($D699=G$3,装备表!$E844,"xxx")&amp;":2,1,1,"&amp;装备表!$O844&amp;";","xxx"),"xxx"))</f>
        <v>xxx</v>
      </c>
      <c r="H699" s="18" t="str">
        <f>IF(装备表!$O844=0,"xxx",IFERROR(IF(INT(IF($D699=H$3,装备表!$E844,"xxx")/10000)=1,IF($D699=H$3,装备表!$E844,"xxx")&amp;":2,1,1,"&amp;装备表!$O844&amp;";","xxx"),"xxx"))</f>
        <v>xxx</v>
      </c>
      <c r="I699" s="18" t="str">
        <f>IF(装备表!$O844=0,"xxx",IFERROR(IF(INT(IF($D699=I$3,装备表!$E844,"xxx")/10000)=1,IF($D699=I$3,装备表!$E844,"xxx")&amp;":2,1,1,"&amp;装备表!$O844&amp;";","xxx"),"xxx"))</f>
        <v>xxx</v>
      </c>
      <c r="J699" s="18" t="str">
        <f>IF(装备表!$O844=0,"xxx",IFERROR(IF(INT(IF($D699=J$3,装备表!$E844,"xxx")/10000)=1,IF($D699=J$3,装备表!$E844,"xxx")&amp;":2,1,1,"&amp;装备表!$O844&amp;";","xxx"),"xxx"))</f>
        <v>xxx</v>
      </c>
    </row>
    <row r="700" spans="4:10" x14ac:dyDescent="0.2">
      <c r="D700" s="18">
        <f>装备表!L845</f>
        <v>0</v>
      </c>
      <c r="E700" s="18" t="str">
        <f>IF(装备表!$O845=0,"xxx",IFERROR(IF(INT(IF($D700=E$3,装备表!$E845,"xxx")/10000)=1,IF($D700=E$3,装备表!$E845,"xxx")&amp;":2,1,1,"&amp;装备表!$O845&amp;";","xxx"),"xxx"))</f>
        <v>xxx</v>
      </c>
      <c r="F700" s="18" t="str">
        <f>IF(装备表!$O845=0,"xxx",IFERROR(IF(INT(IF($D700=F$3,装备表!$E845,"xxx")/10000)=1,IF($D700=F$3,装备表!$E845,"xxx")&amp;":2,1,1,"&amp;装备表!$O845&amp;";","xxx"),"xxx"))</f>
        <v>xxx</v>
      </c>
      <c r="G700" s="18" t="str">
        <f>IF(装备表!$O845=0,"xxx",IFERROR(IF(INT(IF($D700=G$3,装备表!$E845,"xxx")/10000)=1,IF($D700=G$3,装备表!$E845,"xxx")&amp;":2,1,1,"&amp;装备表!$O845&amp;";","xxx"),"xxx"))</f>
        <v>xxx</v>
      </c>
      <c r="H700" s="18" t="str">
        <f>IF(装备表!$O845=0,"xxx",IFERROR(IF(INT(IF($D700=H$3,装备表!$E845,"xxx")/10000)=1,IF($D700=H$3,装备表!$E845,"xxx")&amp;":2,1,1,"&amp;装备表!$O845&amp;";","xxx"),"xxx"))</f>
        <v>xxx</v>
      </c>
      <c r="I700" s="18" t="str">
        <f>IF(装备表!$O845=0,"xxx",IFERROR(IF(INT(IF($D700=I$3,装备表!$E845,"xxx")/10000)=1,IF($D700=I$3,装备表!$E845,"xxx")&amp;":2,1,1,"&amp;装备表!$O845&amp;";","xxx"),"xxx"))</f>
        <v>xxx</v>
      </c>
      <c r="J700" s="18" t="str">
        <f>IF(装备表!$O845=0,"xxx",IFERROR(IF(INT(IF($D700=J$3,装备表!$E845,"xxx")/10000)=1,IF($D700=J$3,装备表!$E845,"xxx")&amp;":2,1,1,"&amp;装备表!$O845&amp;";","xxx"),"xxx"))</f>
        <v>xxx</v>
      </c>
    </row>
    <row r="701" spans="4:10" x14ac:dyDescent="0.2">
      <c r="D701" s="18">
        <f>装备表!L846</f>
        <v>0</v>
      </c>
      <c r="E701" s="18" t="str">
        <f>IF(装备表!$O846=0,"xxx",IFERROR(IF(INT(IF($D701=E$3,装备表!$E846,"xxx")/10000)=1,IF($D701=E$3,装备表!$E846,"xxx")&amp;":2,1,1,"&amp;装备表!$O846&amp;";","xxx"),"xxx"))</f>
        <v>xxx</v>
      </c>
      <c r="F701" s="18" t="str">
        <f>IF(装备表!$O846=0,"xxx",IFERROR(IF(INT(IF($D701=F$3,装备表!$E846,"xxx")/10000)=1,IF($D701=F$3,装备表!$E846,"xxx")&amp;":2,1,1,"&amp;装备表!$O846&amp;";","xxx"),"xxx"))</f>
        <v>xxx</v>
      </c>
      <c r="G701" s="18" t="str">
        <f>IF(装备表!$O846=0,"xxx",IFERROR(IF(INT(IF($D701=G$3,装备表!$E846,"xxx")/10000)=1,IF($D701=G$3,装备表!$E846,"xxx")&amp;":2,1,1,"&amp;装备表!$O846&amp;";","xxx"),"xxx"))</f>
        <v>xxx</v>
      </c>
      <c r="H701" s="18" t="str">
        <f>IF(装备表!$O846=0,"xxx",IFERROR(IF(INT(IF($D701=H$3,装备表!$E846,"xxx")/10000)=1,IF($D701=H$3,装备表!$E846,"xxx")&amp;":2,1,1,"&amp;装备表!$O846&amp;";","xxx"),"xxx"))</f>
        <v>xxx</v>
      </c>
      <c r="I701" s="18" t="str">
        <f>IF(装备表!$O846=0,"xxx",IFERROR(IF(INT(IF($D701=I$3,装备表!$E846,"xxx")/10000)=1,IF($D701=I$3,装备表!$E846,"xxx")&amp;":2,1,1,"&amp;装备表!$O846&amp;";","xxx"),"xxx"))</f>
        <v>xxx</v>
      </c>
      <c r="J701" s="18" t="str">
        <f>IF(装备表!$O846=0,"xxx",IFERROR(IF(INT(IF($D701=J$3,装备表!$E846,"xxx")/10000)=1,IF($D701=J$3,装备表!$E846,"xxx")&amp;":2,1,1,"&amp;装备表!$O846&amp;";","xxx"),"xxx"))</f>
        <v>xxx</v>
      </c>
    </row>
    <row r="702" spans="4:10" x14ac:dyDescent="0.2">
      <c r="D702" s="18">
        <f>装备表!L847</f>
        <v>0</v>
      </c>
      <c r="E702" s="18" t="str">
        <f>IF(装备表!$O847=0,"xxx",IFERROR(IF(INT(IF($D702=E$3,装备表!$E847,"xxx")/10000)=1,IF($D702=E$3,装备表!$E847,"xxx")&amp;":2,1,1,"&amp;装备表!$O847&amp;";","xxx"),"xxx"))</f>
        <v>xxx</v>
      </c>
      <c r="F702" s="18" t="str">
        <f>IF(装备表!$O847=0,"xxx",IFERROR(IF(INT(IF($D702=F$3,装备表!$E847,"xxx")/10000)=1,IF($D702=F$3,装备表!$E847,"xxx")&amp;":2,1,1,"&amp;装备表!$O847&amp;";","xxx"),"xxx"))</f>
        <v>xxx</v>
      </c>
      <c r="G702" s="18" t="str">
        <f>IF(装备表!$O847=0,"xxx",IFERROR(IF(INT(IF($D702=G$3,装备表!$E847,"xxx")/10000)=1,IF($D702=G$3,装备表!$E847,"xxx")&amp;":2,1,1,"&amp;装备表!$O847&amp;";","xxx"),"xxx"))</f>
        <v>xxx</v>
      </c>
      <c r="H702" s="18" t="str">
        <f>IF(装备表!$O847=0,"xxx",IFERROR(IF(INT(IF($D702=H$3,装备表!$E847,"xxx")/10000)=1,IF($D702=H$3,装备表!$E847,"xxx")&amp;":2,1,1,"&amp;装备表!$O847&amp;";","xxx"),"xxx"))</f>
        <v>xxx</v>
      </c>
      <c r="I702" s="18" t="str">
        <f>IF(装备表!$O847=0,"xxx",IFERROR(IF(INT(IF($D702=I$3,装备表!$E847,"xxx")/10000)=1,IF($D702=I$3,装备表!$E847,"xxx")&amp;":2,1,1,"&amp;装备表!$O847&amp;";","xxx"),"xxx"))</f>
        <v>xxx</v>
      </c>
      <c r="J702" s="18" t="str">
        <f>IF(装备表!$O847=0,"xxx",IFERROR(IF(INT(IF($D702=J$3,装备表!$E847,"xxx")/10000)=1,IF($D702=J$3,装备表!$E847,"xxx")&amp;":2,1,1,"&amp;装备表!$O847&amp;";","xxx"),"xxx"))</f>
        <v>xxx</v>
      </c>
    </row>
    <row r="703" spans="4:10" x14ac:dyDescent="0.2">
      <c r="D703" s="18">
        <f>装备表!L848</f>
        <v>0</v>
      </c>
      <c r="E703" s="18" t="str">
        <f>IF(装备表!$O848=0,"xxx",IFERROR(IF(INT(IF($D703=E$3,装备表!$E848,"xxx")/10000)=1,IF($D703=E$3,装备表!$E848,"xxx")&amp;":2,1,1,"&amp;装备表!$O848&amp;";","xxx"),"xxx"))</f>
        <v>xxx</v>
      </c>
      <c r="F703" s="18" t="str">
        <f>IF(装备表!$O848=0,"xxx",IFERROR(IF(INT(IF($D703=F$3,装备表!$E848,"xxx")/10000)=1,IF($D703=F$3,装备表!$E848,"xxx")&amp;":2,1,1,"&amp;装备表!$O848&amp;";","xxx"),"xxx"))</f>
        <v>xxx</v>
      </c>
      <c r="G703" s="18" t="str">
        <f>IF(装备表!$O848=0,"xxx",IFERROR(IF(INT(IF($D703=G$3,装备表!$E848,"xxx")/10000)=1,IF($D703=G$3,装备表!$E848,"xxx")&amp;":2,1,1,"&amp;装备表!$O848&amp;";","xxx"),"xxx"))</f>
        <v>xxx</v>
      </c>
      <c r="H703" s="18" t="str">
        <f>IF(装备表!$O848=0,"xxx",IFERROR(IF(INT(IF($D703=H$3,装备表!$E848,"xxx")/10000)=1,IF($D703=H$3,装备表!$E848,"xxx")&amp;":2,1,1,"&amp;装备表!$O848&amp;";","xxx"),"xxx"))</f>
        <v>xxx</v>
      </c>
      <c r="I703" s="18" t="str">
        <f>IF(装备表!$O848=0,"xxx",IFERROR(IF(INT(IF($D703=I$3,装备表!$E848,"xxx")/10000)=1,IF($D703=I$3,装备表!$E848,"xxx")&amp;":2,1,1,"&amp;装备表!$O848&amp;";","xxx"),"xxx"))</f>
        <v>xxx</v>
      </c>
      <c r="J703" s="18" t="str">
        <f>IF(装备表!$O848=0,"xxx",IFERROR(IF(INT(IF($D703=J$3,装备表!$E848,"xxx")/10000)=1,IF($D703=J$3,装备表!$E848,"xxx")&amp;":2,1,1,"&amp;装备表!$O848&amp;";","xxx"),"xxx"))</f>
        <v>xxx</v>
      </c>
    </row>
    <row r="704" spans="4:10" x14ac:dyDescent="0.2">
      <c r="D704" s="18">
        <f>装备表!L849</f>
        <v>0</v>
      </c>
      <c r="E704" s="18" t="str">
        <f>IF(装备表!$O849=0,"xxx",IFERROR(IF(INT(IF($D704=E$3,装备表!$E849,"xxx")/10000)=1,IF($D704=E$3,装备表!$E849,"xxx")&amp;":2,1,1,"&amp;装备表!$O849&amp;";","xxx"),"xxx"))</f>
        <v>xxx</v>
      </c>
      <c r="F704" s="18" t="str">
        <f>IF(装备表!$O849=0,"xxx",IFERROR(IF(INT(IF($D704=F$3,装备表!$E849,"xxx")/10000)=1,IF($D704=F$3,装备表!$E849,"xxx")&amp;":2,1,1,"&amp;装备表!$O849&amp;";","xxx"),"xxx"))</f>
        <v>xxx</v>
      </c>
      <c r="G704" s="18" t="str">
        <f>IF(装备表!$O849=0,"xxx",IFERROR(IF(INT(IF($D704=G$3,装备表!$E849,"xxx")/10000)=1,IF($D704=G$3,装备表!$E849,"xxx")&amp;":2,1,1,"&amp;装备表!$O849&amp;";","xxx"),"xxx"))</f>
        <v>xxx</v>
      </c>
      <c r="H704" s="18" t="str">
        <f>IF(装备表!$O849=0,"xxx",IFERROR(IF(INT(IF($D704=H$3,装备表!$E849,"xxx")/10000)=1,IF($D704=H$3,装备表!$E849,"xxx")&amp;":2,1,1,"&amp;装备表!$O849&amp;";","xxx"),"xxx"))</f>
        <v>xxx</v>
      </c>
      <c r="I704" s="18" t="str">
        <f>IF(装备表!$O849=0,"xxx",IFERROR(IF(INT(IF($D704=I$3,装备表!$E849,"xxx")/10000)=1,IF($D704=I$3,装备表!$E849,"xxx")&amp;":2,1,1,"&amp;装备表!$O849&amp;";","xxx"),"xxx"))</f>
        <v>xxx</v>
      </c>
      <c r="J704" s="18" t="str">
        <f>IF(装备表!$O849=0,"xxx",IFERROR(IF(INT(IF($D704=J$3,装备表!$E849,"xxx")/10000)=1,IF($D704=J$3,装备表!$E849,"xxx")&amp;":2,1,1,"&amp;装备表!$O849&amp;";","xxx"),"xxx"))</f>
        <v>xxx</v>
      </c>
    </row>
    <row r="705" spans="4:10" x14ac:dyDescent="0.2">
      <c r="D705" s="18">
        <f>装备表!L850</f>
        <v>0</v>
      </c>
      <c r="E705" s="18" t="str">
        <f>IF(装备表!$O850=0,"xxx",IFERROR(IF(INT(IF($D705=E$3,装备表!$E850,"xxx")/10000)=1,IF($D705=E$3,装备表!$E850,"xxx")&amp;":2,1,1,"&amp;装备表!$O850&amp;";","xxx"),"xxx"))</f>
        <v>xxx</v>
      </c>
      <c r="F705" s="18" t="str">
        <f>IF(装备表!$O850=0,"xxx",IFERROR(IF(INT(IF($D705=F$3,装备表!$E850,"xxx")/10000)=1,IF($D705=F$3,装备表!$E850,"xxx")&amp;":2,1,1,"&amp;装备表!$O850&amp;";","xxx"),"xxx"))</f>
        <v>xxx</v>
      </c>
      <c r="G705" s="18" t="str">
        <f>IF(装备表!$O850=0,"xxx",IFERROR(IF(INT(IF($D705=G$3,装备表!$E850,"xxx")/10000)=1,IF($D705=G$3,装备表!$E850,"xxx")&amp;":2,1,1,"&amp;装备表!$O850&amp;";","xxx"),"xxx"))</f>
        <v>xxx</v>
      </c>
      <c r="H705" s="18" t="str">
        <f>IF(装备表!$O850=0,"xxx",IFERROR(IF(INT(IF($D705=H$3,装备表!$E850,"xxx")/10000)=1,IF($D705=H$3,装备表!$E850,"xxx")&amp;":2,1,1,"&amp;装备表!$O850&amp;";","xxx"),"xxx"))</f>
        <v>xxx</v>
      </c>
      <c r="I705" s="18" t="str">
        <f>IF(装备表!$O850=0,"xxx",IFERROR(IF(INT(IF($D705=I$3,装备表!$E850,"xxx")/10000)=1,IF($D705=I$3,装备表!$E850,"xxx")&amp;":2,1,1,"&amp;装备表!$O850&amp;";","xxx"),"xxx"))</f>
        <v>xxx</v>
      </c>
      <c r="J705" s="18" t="str">
        <f>IF(装备表!$O850=0,"xxx",IFERROR(IF(INT(IF($D705=J$3,装备表!$E850,"xxx")/10000)=1,IF($D705=J$3,装备表!$E850,"xxx")&amp;":2,1,1,"&amp;装备表!$O850&amp;";","xxx"),"xxx"))</f>
        <v>xxx</v>
      </c>
    </row>
    <row r="706" spans="4:10" x14ac:dyDescent="0.2">
      <c r="D706" s="18">
        <f>装备表!L851</f>
        <v>0</v>
      </c>
      <c r="E706" s="18" t="str">
        <f>IF(装备表!$O851=0,"xxx",IFERROR(IF(INT(IF($D706=E$3,装备表!$E851,"xxx")/10000)=1,IF($D706=E$3,装备表!$E851,"xxx")&amp;":2,1,1,"&amp;装备表!$O851&amp;";","xxx"),"xxx"))</f>
        <v>xxx</v>
      </c>
      <c r="F706" s="18" t="str">
        <f>IF(装备表!$O851=0,"xxx",IFERROR(IF(INT(IF($D706=F$3,装备表!$E851,"xxx")/10000)=1,IF($D706=F$3,装备表!$E851,"xxx")&amp;":2,1,1,"&amp;装备表!$O851&amp;";","xxx"),"xxx"))</f>
        <v>xxx</v>
      </c>
      <c r="G706" s="18" t="str">
        <f>IF(装备表!$O851=0,"xxx",IFERROR(IF(INT(IF($D706=G$3,装备表!$E851,"xxx")/10000)=1,IF($D706=G$3,装备表!$E851,"xxx")&amp;":2,1,1,"&amp;装备表!$O851&amp;";","xxx"),"xxx"))</f>
        <v>xxx</v>
      </c>
      <c r="H706" s="18" t="str">
        <f>IF(装备表!$O851=0,"xxx",IFERROR(IF(INT(IF($D706=H$3,装备表!$E851,"xxx")/10000)=1,IF($D706=H$3,装备表!$E851,"xxx")&amp;":2,1,1,"&amp;装备表!$O851&amp;";","xxx"),"xxx"))</f>
        <v>xxx</v>
      </c>
      <c r="I706" s="18" t="str">
        <f>IF(装备表!$O851=0,"xxx",IFERROR(IF(INT(IF($D706=I$3,装备表!$E851,"xxx")/10000)=1,IF($D706=I$3,装备表!$E851,"xxx")&amp;":2,1,1,"&amp;装备表!$O851&amp;";","xxx"),"xxx"))</f>
        <v>xxx</v>
      </c>
      <c r="J706" s="18" t="str">
        <f>IF(装备表!$O851=0,"xxx",IFERROR(IF(INT(IF($D706=J$3,装备表!$E851,"xxx")/10000)=1,IF($D706=J$3,装备表!$E851,"xxx")&amp;":2,1,1,"&amp;装备表!$O851&amp;";","xxx"),"xxx"))</f>
        <v>xxx</v>
      </c>
    </row>
    <row r="707" spans="4:10" x14ac:dyDescent="0.2">
      <c r="D707" s="18">
        <f>装备表!L852</f>
        <v>0</v>
      </c>
      <c r="E707" s="18" t="str">
        <f>IF(装备表!$O852=0,"xxx",IFERROR(IF(INT(IF($D707=E$3,装备表!$E852,"xxx")/10000)=1,IF($D707=E$3,装备表!$E852,"xxx")&amp;":2,1,1,"&amp;装备表!$O852&amp;";","xxx"),"xxx"))</f>
        <v>xxx</v>
      </c>
      <c r="F707" s="18" t="str">
        <f>IF(装备表!$O852=0,"xxx",IFERROR(IF(INT(IF($D707=F$3,装备表!$E852,"xxx")/10000)=1,IF($D707=F$3,装备表!$E852,"xxx")&amp;":2,1,1,"&amp;装备表!$O852&amp;";","xxx"),"xxx"))</f>
        <v>xxx</v>
      </c>
      <c r="G707" s="18" t="str">
        <f>IF(装备表!$O852=0,"xxx",IFERROR(IF(INT(IF($D707=G$3,装备表!$E852,"xxx")/10000)=1,IF($D707=G$3,装备表!$E852,"xxx")&amp;":2,1,1,"&amp;装备表!$O852&amp;";","xxx"),"xxx"))</f>
        <v>xxx</v>
      </c>
      <c r="H707" s="18" t="str">
        <f>IF(装备表!$O852=0,"xxx",IFERROR(IF(INT(IF($D707=H$3,装备表!$E852,"xxx")/10000)=1,IF($D707=H$3,装备表!$E852,"xxx")&amp;":2,1,1,"&amp;装备表!$O852&amp;";","xxx"),"xxx"))</f>
        <v>xxx</v>
      </c>
      <c r="I707" s="18" t="str">
        <f>IF(装备表!$O852=0,"xxx",IFERROR(IF(INT(IF($D707=I$3,装备表!$E852,"xxx")/10000)=1,IF($D707=I$3,装备表!$E852,"xxx")&amp;":2,1,1,"&amp;装备表!$O852&amp;";","xxx"),"xxx"))</f>
        <v>xxx</v>
      </c>
      <c r="J707" s="18" t="str">
        <f>IF(装备表!$O852=0,"xxx",IFERROR(IF(INT(IF($D707=J$3,装备表!$E852,"xxx")/10000)=1,IF($D707=J$3,装备表!$E852,"xxx")&amp;":2,1,1,"&amp;装备表!$O852&amp;";","xxx"),"xxx"))</f>
        <v>xxx</v>
      </c>
    </row>
    <row r="708" spans="4:10" x14ac:dyDescent="0.2">
      <c r="D708" s="18">
        <f>装备表!L853</f>
        <v>0</v>
      </c>
      <c r="E708" s="18" t="str">
        <f>IF(装备表!$O853=0,"xxx",IFERROR(IF(INT(IF($D708=E$3,装备表!$E853,"xxx")/10000)=1,IF($D708=E$3,装备表!$E853,"xxx")&amp;":2,1,1,"&amp;装备表!$O853&amp;";","xxx"),"xxx"))</f>
        <v>xxx</v>
      </c>
      <c r="F708" s="18" t="str">
        <f>IF(装备表!$O853=0,"xxx",IFERROR(IF(INT(IF($D708=F$3,装备表!$E853,"xxx")/10000)=1,IF($D708=F$3,装备表!$E853,"xxx")&amp;":2,1,1,"&amp;装备表!$O853&amp;";","xxx"),"xxx"))</f>
        <v>xxx</v>
      </c>
      <c r="G708" s="18" t="str">
        <f>IF(装备表!$O853=0,"xxx",IFERROR(IF(INT(IF($D708=G$3,装备表!$E853,"xxx")/10000)=1,IF($D708=G$3,装备表!$E853,"xxx")&amp;":2,1,1,"&amp;装备表!$O853&amp;";","xxx"),"xxx"))</f>
        <v>xxx</v>
      </c>
      <c r="H708" s="18" t="str">
        <f>IF(装备表!$O853=0,"xxx",IFERROR(IF(INT(IF($D708=H$3,装备表!$E853,"xxx")/10000)=1,IF($D708=H$3,装备表!$E853,"xxx")&amp;":2,1,1,"&amp;装备表!$O853&amp;";","xxx"),"xxx"))</f>
        <v>xxx</v>
      </c>
      <c r="I708" s="18" t="str">
        <f>IF(装备表!$O853=0,"xxx",IFERROR(IF(INT(IF($D708=I$3,装备表!$E853,"xxx")/10000)=1,IF($D708=I$3,装备表!$E853,"xxx")&amp;":2,1,1,"&amp;装备表!$O853&amp;";","xxx"),"xxx"))</f>
        <v>xxx</v>
      </c>
      <c r="J708" s="18" t="str">
        <f>IF(装备表!$O853=0,"xxx",IFERROR(IF(INT(IF($D708=J$3,装备表!$E853,"xxx")/10000)=1,IF($D708=J$3,装备表!$E853,"xxx")&amp;":2,1,1,"&amp;装备表!$O853&amp;";","xxx"),"xxx"))</f>
        <v>xxx</v>
      </c>
    </row>
    <row r="709" spans="4:10" x14ac:dyDescent="0.2">
      <c r="D709" s="18">
        <f>装备表!L854</f>
        <v>0</v>
      </c>
      <c r="E709" s="18" t="str">
        <f>IF(装备表!$O854=0,"xxx",IFERROR(IF(INT(IF($D709=E$3,装备表!$E854,"xxx")/10000)=1,IF($D709=E$3,装备表!$E854,"xxx")&amp;":2,1,1,"&amp;装备表!$O854&amp;";","xxx"),"xxx"))</f>
        <v>xxx</v>
      </c>
      <c r="F709" s="18" t="str">
        <f>IF(装备表!$O854=0,"xxx",IFERROR(IF(INT(IF($D709=F$3,装备表!$E854,"xxx")/10000)=1,IF($D709=F$3,装备表!$E854,"xxx")&amp;":2,1,1,"&amp;装备表!$O854&amp;";","xxx"),"xxx"))</f>
        <v>xxx</v>
      </c>
      <c r="G709" s="18" t="str">
        <f>IF(装备表!$O854=0,"xxx",IFERROR(IF(INT(IF($D709=G$3,装备表!$E854,"xxx")/10000)=1,IF($D709=G$3,装备表!$E854,"xxx")&amp;":2,1,1,"&amp;装备表!$O854&amp;";","xxx"),"xxx"))</f>
        <v>xxx</v>
      </c>
      <c r="H709" s="18" t="str">
        <f>IF(装备表!$O854=0,"xxx",IFERROR(IF(INT(IF($D709=H$3,装备表!$E854,"xxx")/10000)=1,IF($D709=H$3,装备表!$E854,"xxx")&amp;":2,1,1,"&amp;装备表!$O854&amp;";","xxx"),"xxx"))</f>
        <v>xxx</v>
      </c>
      <c r="I709" s="18" t="str">
        <f>IF(装备表!$O854=0,"xxx",IFERROR(IF(INT(IF($D709=I$3,装备表!$E854,"xxx")/10000)=1,IF($D709=I$3,装备表!$E854,"xxx")&amp;":2,1,1,"&amp;装备表!$O854&amp;";","xxx"),"xxx"))</f>
        <v>xxx</v>
      </c>
      <c r="J709" s="18" t="str">
        <f>IF(装备表!$O854=0,"xxx",IFERROR(IF(INT(IF($D709=J$3,装备表!$E854,"xxx")/10000)=1,IF($D709=J$3,装备表!$E854,"xxx")&amp;":2,1,1,"&amp;装备表!$O854&amp;";","xxx"),"xxx"))</f>
        <v>xxx</v>
      </c>
    </row>
    <row r="710" spans="4:10" x14ac:dyDescent="0.2">
      <c r="D710" s="18">
        <f>装备表!L855</f>
        <v>0</v>
      </c>
      <c r="E710" s="18" t="str">
        <f>IF(装备表!$O855=0,"xxx",IFERROR(IF(INT(IF($D710=E$3,装备表!$E855,"xxx")/10000)=1,IF($D710=E$3,装备表!$E855,"xxx")&amp;":2,1,1,"&amp;装备表!$O855&amp;";","xxx"),"xxx"))</f>
        <v>xxx</v>
      </c>
      <c r="F710" s="18" t="str">
        <f>IF(装备表!$O855=0,"xxx",IFERROR(IF(INT(IF($D710=F$3,装备表!$E855,"xxx")/10000)=1,IF($D710=F$3,装备表!$E855,"xxx")&amp;":2,1,1,"&amp;装备表!$O855&amp;";","xxx"),"xxx"))</f>
        <v>xxx</v>
      </c>
      <c r="G710" s="18" t="str">
        <f>IF(装备表!$O855=0,"xxx",IFERROR(IF(INT(IF($D710=G$3,装备表!$E855,"xxx")/10000)=1,IF($D710=G$3,装备表!$E855,"xxx")&amp;":2,1,1,"&amp;装备表!$O855&amp;";","xxx"),"xxx"))</f>
        <v>xxx</v>
      </c>
      <c r="H710" s="18" t="str">
        <f>IF(装备表!$O855=0,"xxx",IFERROR(IF(INT(IF($D710=H$3,装备表!$E855,"xxx")/10000)=1,IF($D710=H$3,装备表!$E855,"xxx")&amp;":2,1,1,"&amp;装备表!$O855&amp;";","xxx"),"xxx"))</f>
        <v>xxx</v>
      </c>
      <c r="I710" s="18" t="str">
        <f>IF(装备表!$O855=0,"xxx",IFERROR(IF(INT(IF($D710=I$3,装备表!$E855,"xxx")/10000)=1,IF($D710=I$3,装备表!$E855,"xxx")&amp;":2,1,1,"&amp;装备表!$O855&amp;";","xxx"),"xxx"))</f>
        <v>xxx</v>
      </c>
      <c r="J710" s="18" t="str">
        <f>IF(装备表!$O855=0,"xxx",IFERROR(IF(INT(IF($D710=J$3,装备表!$E855,"xxx")/10000)=1,IF($D710=J$3,装备表!$E855,"xxx")&amp;":2,1,1,"&amp;装备表!$O855&amp;";","xxx"),"xxx"))</f>
        <v>xxx</v>
      </c>
    </row>
    <row r="711" spans="4:10" x14ac:dyDescent="0.2">
      <c r="D711" s="18">
        <f>装备表!L856</f>
        <v>0</v>
      </c>
      <c r="E711" s="18" t="str">
        <f>IF(装备表!$O856=0,"xxx",IFERROR(IF(INT(IF($D711=E$3,装备表!$E856,"xxx")/10000)=1,IF($D711=E$3,装备表!$E856,"xxx")&amp;":2,1,1,"&amp;装备表!$O856&amp;";","xxx"),"xxx"))</f>
        <v>xxx</v>
      </c>
      <c r="F711" s="18" t="str">
        <f>IF(装备表!$O856=0,"xxx",IFERROR(IF(INT(IF($D711=F$3,装备表!$E856,"xxx")/10000)=1,IF($D711=F$3,装备表!$E856,"xxx")&amp;":2,1,1,"&amp;装备表!$O856&amp;";","xxx"),"xxx"))</f>
        <v>xxx</v>
      </c>
      <c r="G711" s="18" t="str">
        <f>IF(装备表!$O856=0,"xxx",IFERROR(IF(INT(IF($D711=G$3,装备表!$E856,"xxx")/10000)=1,IF($D711=G$3,装备表!$E856,"xxx")&amp;":2,1,1,"&amp;装备表!$O856&amp;";","xxx"),"xxx"))</f>
        <v>xxx</v>
      </c>
      <c r="H711" s="18" t="str">
        <f>IF(装备表!$O856=0,"xxx",IFERROR(IF(INT(IF($D711=H$3,装备表!$E856,"xxx")/10000)=1,IF($D711=H$3,装备表!$E856,"xxx")&amp;":2,1,1,"&amp;装备表!$O856&amp;";","xxx"),"xxx"))</f>
        <v>xxx</v>
      </c>
      <c r="I711" s="18" t="str">
        <f>IF(装备表!$O856=0,"xxx",IFERROR(IF(INT(IF($D711=I$3,装备表!$E856,"xxx")/10000)=1,IF($D711=I$3,装备表!$E856,"xxx")&amp;":2,1,1,"&amp;装备表!$O856&amp;";","xxx"),"xxx"))</f>
        <v>xxx</v>
      </c>
      <c r="J711" s="18" t="str">
        <f>IF(装备表!$O856=0,"xxx",IFERROR(IF(INT(IF($D711=J$3,装备表!$E856,"xxx")/10000)=1,IF($D711=J$3,装备表!$E856,"xxx")&amp;":2,1,1,"&amp;装备表!$O856&amp;";","xxx"),"xxx"))</f>
        <v>xxx</v>
      </c>
    </row>
    <row r="712" spans="4:10" x14ac:dyDescent="0.2">
      <c r="D712" s="18">
        <f>装备表!L857</f>
        <v>0</v>
      </c>
      <c r="E712" s="18" t="str">
        <f>IF(装备表!$O857=0,"xxx",IFERROR(IF(INT(IF($D712=E$3,装备表!$E857,"xxx")/10000)=1,IF($D712=E$3,装备表!$E857,"xxx")&amp;":2,1,1,"&amp;装备表!$O857&amp;";","xxx"),"xxx"))</f>
        <v>xxx</v>
      </c>
      <c r="F712" s="18" t="str">
        <f>IF(装备表!$O857=0,"xxx",IFERROR(IF(INT(IF($D712=F$3,装备表!$E857,"xxx")/10000)=1,IF($D712=F$3,装备表!$E857,"xxx")&amp;":2,1,1,"&amp;装备表!$O857&amp;";","xxx"),"xxx"))</f>
        <v>xxx</v>
      </c>
      <c r="G712" s="18" t="str">
        <f>IF(装备表!$O857=0,"xxx",IFERROR(IF(INT(IF($D712=G$3,装备表!$E857,"xxx")/10000)=1,IF($D712=G$3,装备表!$E857,"xxx")&amp;":2,1,1,"&amp;装备表!$O857&amp;";","xxx"),"xxx"))</f>
        <v>xxx</v>
      </c>
      <c r="H712" s="18" t="str">
        <f>IF(装备表!$O857=0,"xxx",IFERROR(IF(INT(IF($D712=H$3,装备表!$E857,"xxx")/10000)=1,IF($D712=H$3,装备表!$E857,"xxx")&amp;":2,1,1,"&amp;装备表!$O857&amp;";","xxx"),"xxx"))</f>
        <v>xxx</v>
      </c>
      <c r="I712" s="18" t="str">
        <f>IF(装备表!$O857=0,"xxx",IFERROR(IF(INT(IF($D712=I$3,装备表!$E857,"xxx")/10000)=1,IF($D712=I$3,装备表!$E857,"xxx")&amp;":2,1,1,"&amp;装备表!$O857&amp;";","xxx"),"xxx"))</f>
        <v>xxx</v>
      </c>
      <c r="J712" s="18" t="str">
        <f>IF(装备表!$O857=0,"xxx",IFERROR(IF(INT(IF($D712=J$3,装备表!$E857,"xxx")/10000)=1,IF($D712=J$3,装备表!$E857,"xxx")&amp;":2,1,1,"&amp;装备表!$O857&amp;";","xxx"),"xxx"))</f>
        <v>xxx</v>
      </c>
    </row>
    <row r="713" spans="4:10" x14ac:dyDescent="0.2">
      <c r="D713" s="18">
        <f>装备表!L858</f>
        <v>0</v>
      </c>
      <c r="E713" s="18" t="str">
        <f>IF(装备表!$O858=0,"xxx",IFERROR(IF(INT(IF($D713=E$3,装备表!$E858,"xxx")/10000)=1,IF($D713=E$3,装备表!$E858,"xxx")&amp;":2,1,1,"&amp;装备表!$O858&amp;";","xxx"),"xxx"))</f>
        <v>xxx</v>
      </c>
      <c r="F713" s="18" t="str">
        <f>IF(装备表!$O858=0,"xxx",IFERROR(IF(INT(IF($D713=F$3,装备表!$E858,"xxx")/10000)=1,IF($D713=F$3,装备表!$E858,"xxx")&amp;":2,1,1,"&amp;装备表!$O858&amp;";","xxx"),"xxx"))</f>
        <v>xxx</v>
      </c>
      <c r="G713" s="18" t="str">
        <f>IF(装备表!$O858=0,"xxx",IFERROR(IF(INT(IF($D713=G$3,装备表!$E858,"xxx")/10000)=1,IF($D713=G$3,装备表!$E858,"xxx")&amp;":2,1,1,"&amp;装备表!$O858&amp;";","xxx"),"xxx"))</f>
        <v>xxx</v>
      </c>
      <c r="H713" s="18" t="str">
        <f>IF(装备表!$O858=0,"xxx",IFERROR(IF(INT(IF($D713=H$3,装备表!$E858,"xxx")/10000)=1,IF($D713=H$3,装备表!$E858,"xxx")&amp;":2,1,1,"&amp;装备表!$O858&amp;";","xxx"),"xxx"))</f>
        <v>xxx</v>
      </c>
      <c r="I713" s="18" t="str">
        <f>IF(装备表!$O858=0,"xxx",IFERROR(IF(INT(IF($D713=I$3,装备表!$E858,"xxx")/10000)=1,IF($D713=I$3,装备表!$E858,"xxx")&amp;":2,1,1,"&amp;装备表!$O858&amp;";","xxx"),"xxx"))</f>
        <v>xxx</v>
      </c>
      <c r="J713" s="18" t="str">
        <f>IF(装备表!$O858=0,"xxx",IFERROR(IF(INT(IF($D713=J$3,装备表!$E858,"xxx")/10000)=1,IF($D713=J$3,装备表!$E858,"xxx")&amp;":2,1,1,"&amp;装备表!$O858&amp;";","xxx"),"xxx"))</f>
        <v>xxx</v>
      </c>
    </row>
    <row r="714" spans="4:10" x14ac:dyDescent="0.2">
      <c r="D714" s="18">
        <f>装备表!L859</f>
        <v>0</v>
      </c>
      <c r="E714" s="18" t="str">
        <f>IF(装备表!$O859=0,"xxx",IFERROR(IF(INT(IF($D714=E$3,装备表!$E859,"xxx")/10000)=1,IF($D714=E$3,装备表!$E859,"xxx")&amp;":2,1,1,"&amp;装备表!$O859&amp;";","xxx"),"xxx"))</f>
        <v>xxx</v>
      </c>
      <c r="F714" s="18" t="str">
        <f>IF(装备表!$O859=0,"xxx",IFERROR(IF(INT(IF($D714=F$3,装备表!$E859,"xxx")/10000)=1,IF($D714=F$3,装备表!$E859,"xxx")&amp;":2,1,1,"&amp;装备表!$O859&amp;";","xxx"),"xxx"))</f>
        <v>xxx</v>
      </c>
      <c r="G714" s="18" t="str">
        <f>IF(装备表!$O859=0,"xxx",IFERROR(IF(INT(IF($D714=G$3,装备表!$E859,"xxx")/10000)=1,IF($D714=G$3,装备表!$E859,"xxx")&amp;":2,1,1,"&amp;装备表!$O859&amp;";","xxx"),"xxx"))</f>
        <v>xxx</v>
      </c>
      <c r="H714" s="18" t="str">
        <f>IF(装备表!$O859=0,"xxx",IFERROR(IF(INT(IF($D714=H$3,装备表!$E859,"xxx")/10000)=1,IF($D714=H$3,装备表!$E859,"xxx")&amp;":2,1,1,"&amp;装备表!$O859&amp;";","xxx"),"xxx"))</f>
        <v>xxx</v>
      </c>
      <c r="I714" s="18" t="str">
        <f>IF(装备表!$O859=0,"xxx",IFERROR(IF(INT(IF($D714=I$3,装备表!$E859,"xxx")/10000)=1,IF($D714=I$3,装备表!$E859,"xxx")&amp;":2,1,1,"&amp;装备表!$O859&amp;";","xxx"),"xxx"))</f>
        <v>xxx</v>
      </c>
      <c r="J714" s="18" t="str">
        <f>IF(装备表!$O859=0,"xxx",IFERROR(IF(INT(IF($D714=J$3,装备表!$E859,"xxx")/10000)=1,IF($D714=J$3,装备表!$E859,"xxx")&amp;":2,1,1,"&amp;装备表!$O859&amp;";","xxx"),"xxx"))</f>
        <v>xxx</v>
      </c>
    </row>
    <row r="715" spans="4:10" x14ac:dyDescent="0.2">
      <c r="D715" s="18">
        <f>装备表!L860</f>
        <v>0</v>
      </c>
      <c r="E715" s="18" t="str">
        <f>IF(装备表!$O860=0,"xxx",IFERROR(IF(INT(IF($D715=E$3,装备表!$E860,"xxx")/10000)=1,IF($D715=E$3,装备表!$E860,"xxx")&amp;":2,1,1,"&amp;装备表!$O860&amp;";","xxx"),"xxx"))</f>
        <v>xxx</v>
      </c>
      <c r="F715" s="18" t="str">
        <f>IF(装备表!$O860=0,"xxx",IFERROR(IF(INT(IF($D715=F$3,装备表!$E860,"xxx")/10000)=1,IF($D715=F$3,装备表!$E860,"xxx")&amp;":2,1,1,"&amp;装备表!$O860&amp;";","xxx"),"xxx"))</f>
        <v>xxx</v>
      </c>
      <c r="G715" s="18" t="str">
        <f>IF(装备表!$O860=0,"xxx",IFERROR(IF(INT(IF($D715=G$3,装备表!$E860,"xxx")/10000)=1,IF($D715=G$3,装备表!$E860,"xxx")&amp;":2,1,1,"&amp;装备表!$O860&amp;";","xxx"),"xxx"))</f>
        <v>xxx</v>
      </c>
      <c r="H715" s="18" t="str">
        <f>IF(装备表!$O860=0,"xxx",IFERROR(IF(INT(IF($D715=H$3,装备表!$E860,"xxx")/10000)=1,IF($D715=H$3,装备表!$E860,"xxx")&amp;":2,1,1,"&amp;装备表!$O860&amp;";","xxx"),"xxx"))</f>
        <v>xxx</v>
      </c>
      <c r="I715" s="18" t="str">
        <f>IF(装备表!$O860=0,"xxx",IFERROR(IF(INT(IF($D715=I$3,装备表!$E860,"xxx")/10000)=1,IF($D715=I$3,装备表!$E860,"xxx")&amp;":2,1,1,"&amp;装备表!$O860&amp;";","xxx"),"xxx"))</f>
        <v>xxx</v>
      </c>
      <c r="J715" s="18" t="str">
        <f>IF(装备表!$O860=0,"xxx",IFERROR(IF(INT(IF($D715=J$3,装备表!$E860,"xxx")/10000)=1,IF($D715=J$3,装备表!$E860,"xxx")&amp;":2,1,1,"&amp;装备表!$O860&amp;";","xxx"),"xxx"))</f>
        <v>xxx</v>
      </c>
    </row>
    <row r="716" spans="4:10" x14ac:dyDescent="0.2">
      <c r="D716" s="18">
        <f>装备表!L861</f>
        <v>0</v>
      </c>
      <c r="E716" s="18" t="str">
        <f>IF(装备表!$O861=0,"xxx",IFERROR(IF(INT(IF($D716=E$3,装备表!$E861,"xxx")/10000)=1,IF($D716=E$3,装备表!$E861,"xxx")&amp;":2,1,1,"&amp;装备表!$O861&amp;";","xxx"),"xxx"))</f>
        <v>xxx</v>
      </c>
      <c r="F716" s="18" t="str">
        <f>IF(装备表!$O861=0,"xxx",IFERROR(IF(INT(IF($D716=F$3,装备表!$E861,"xxx")/10000)=1,IF($D716=F$3,装备表!$E861,"xxx")&amp;":2,1,1,"&amp;装备表!$O861&amp;";","xxx"),"xxx"))</f>
        <v>xxx</v>
      </c>
      <c r="G716" s="18" t="str">
        <f>IF(装备表!$O861=0,"xxx",IFERROR(IF(INT(IF($D716=G$3,装备表!$E861,"xxx")/10000)=1,IF($D716=G$3,装备表!$E861,"xxx")&amp;":2,1,1,"&amp;装备表!$O861&amp;";","xxx"),"xxx"))</f>
        <v>xxx</v>
      </c>
      <c r="H716" s="18" t="str">
        <f>IF(装备表!$O861=0,"xxx",IFERROR(IF(INT(IF($D716=H$3,装备表!$E861,"xxx")/10000)=1,IF($D716=H$3,装备表!$E861,"xxx")&amp;":2,1,1,"&amp;装备表!$O861&amp;";","xxx"),"xxx"))</f>
        <v>xxx</v>
      </c>
      <c r="I716" s="18" t="str">
        <f>IF(装备表!$O861=0,"xxx",IFERROR(IF(INT(IF($D716=I$3,装备表!$E861,"xxx")/10000)=1,IF($D716=I$3,装备表!$E861,"xxx")&amp;":2,1,1,"&amp;装备表!$O861&amp;";","xxx"),"xxx"))</f>
        <v>xxx</v>
      </c>
      <c r="J716" s="18" t="str">
        <f>IF(装备表!$O861=0,"xxx",IFERROR(IF(INT(IF($D716=J$3,装备表!$E861,"xxx")/10000)=1,IF($D716=J$3,装备表!$E861,"xxx")&amp;":2,1,1,"&amp;装备表!$O861&amp;";","xxx"),"xxx"))</f>
        <v>xxx</v>
      </c>
    </row>
    <row r="717" spans="4:10" x14ac:dyDescent="0.2">
      <c r="D717" s="18">
        <f>装备表!L862</f>
        <v>0</v>
      </c>
      <c r="E717" s="18" t="str">
        <f>IF(装备表!$O862=0,"xxx",IFERROR(IF(INT(IF($D717=E$3,装备表!$E862,"xxx")/10000)=1,IF($D717=E$3,装备表!$E862,"xxx")&amp;":2,1,1,"&amp;装备表!$O862&amp;";","xxx"),"xxx"))</f>
        <v>xxx</v>
      </c>
      <c r="F717" s="18" t="str">
        <f>IF(装备表!$O862=0,"xxx",IFERROR(IF(INT(IF($D717=F$3,装备表!$E862,"xxx")/10000)=1,IF($D717=F$3,装备表!$E862,"xxx")&amp;":2,1,1,"&amp;装备表!$O862&amp;";","xxx"),"xxx"))</f>
        <v>xxx</v>
      </c>
      <c r="G717" s="18" t="str">
        <f>IF(装备表!$O862=0,"xxx",IFERROR(IF(INT(IF($D717=G$3,装备表!$E862,"xxx")/10000)=1,IF($D717=G$3,装备表!$E862,"xxx")&amp;":2,1,1,"&amp;装备表!$O862&amp;";","xxx"),"xxx"))</f>
        <v>xxx</v>
      </c>
      <c r="H717" s="18" t="str">
        <f>IF(装备表!$O862=0,"xxx",IFERROR(IF(INT(IF($D717=H$3,装备表!$E862,"xxx")/10000)=1,IF($D717=H$3,装备表!$E862,"xxx")&amp;":2,1,1,"&amp;装备表!$O862&amp;";","xxx"),"xxx"))</f>
        <v>xxx</v>
      </c>
      <c r="I717" s="18" t="str">
        <f>IF(装备表!$O862=0,"xxx",IFERROR(IF(INT(IF($D717=I$3,装备表!$E862,"xxx")/10000)=1,IF($D717=I$3,装备表!$E862,"xxx")&amp;":2,1,1,"&amp;装备表!$O862&amp;";","xxx"),"xxx"))</f>
        <v>xxx</v>
      </c>
      <c r="J717" s="18" t="str">
        <f>IF(装备表!$O862=0,"xxx",IFERROR(IF(INT(IF($D717=J$3,装备表!$E862,"xxx")/10000)=1,IF($D717=J$3,装备表!$E862,"xxx")&amp;":2,1,1,"&amp;装备表!$O862&amp;";","xxx"),"xxx"))</f>
        <v>xxx</v>
      </c>
    </row>
    <row r="718" spans="4:10" x14ac:dyDescent="0.2">
      <c r="D718" s="18">
        <f>装备表!L863</f>
        <v>0</v>
      </c>
      <c r="E718" s="18" t="str">
        <f>IF(装备表!$O863=0,"xxx",IFERROR(IF(INT(IF($D718=E$3,装备表!$E863,"xxx")/10000)=1,IF($D718=E$3,装备表!$E863,"xxx")&amp;":2,1,1,"&amp;装备表!$O863&amp;";","xxx"),"xxx"))</f>
        <v>xxx</v>
      </c>
      <c r="F718" s="18" t="str">
        <f>IF(装备表!$O863=0,"xxx",IFERROR(IF(INT(IF($D718=F$3,装备表!$E863,"xxx")/10000)=1,IF($D718=F$3,装备表!$E863,"xxx")&amp;":2,1,1,"&amp;装备表!$O863&amp;";","xxx"),"xxx"))</f>
        <v>xxx</v>
      </c>
      <c r="G718" s="18" t="str">
        <f>IF(装备表!$O863=0,"xxx",IFERROR(IF(INT(IF($D718=G$3,装备表!$E863,"xxx")/10000)=1,IF($D718=G$3,装备表!$E863,"xxx")&amp;":2,1,1,"&amp;装备表!$O863&amp;";","xxx"),"xxx"))</f>
        <v>xxx</v>
      </c>
      <c r="H718" s="18" t="str">
        <f>IF(装备表!$O863=0,"xxx",IFERROR(IF(INT(IF($D718=H$3,装备表!$E863,"xxx")/10000)=1,IF($D718=H$3,装备表!$E863,"xxx")&amp;":2,1,1,"&amp;装备表!$O863&amp;";","xxx"),"xxx"))</f>
        <v>xxx</v>
      </c>
      <c r="I718" s="18" t="str">
        <f>IF(装备表!$O863=0,"xxx",IFERROR(IF(INT(IF($D718=I$3,装备表!$E863,"xxx")/10000)=1,IF($D718=I$3,装备表!$E863,"xxx")&amp;":2,1,1,"&amp;装备表!$O863&amp;";","xxx"),"xxx"))</f>
        <v>xxx</v>
      </c>
      <c r="J718" s="18" t="str">
        <f>IF(装备表!$O863=0,"xxx",IFERROR(IF(INT(IF($D718=J$3,装备表!$E863,"xxx")/10000)=1,IF($D718=J$3,装备表!$E863,"xxx")&amp;":2,1,1,"&amp;装备表!$O863&amp;";","xxx"),"xxx"))</f>
        <v>xxx</v>
      </c>
    </row>
    <row r="719" spans="4:10" x14ac:dyDescent="0.2">
      <c r="D719" s="18">
        <f>装备表!L864</f>
        <v>0</v>
      </c>
      <c r="E719" s="18" t="str">
        <f>IF(装备表!$O864=0,"xxx",IFERROR(IF(INT(IF($D719=E$3,装备表!$E864,"xxx")/10000)=1,IF($D719=E$3,装备表!$E864,"xxx")&amp;":2,1,1,"&amp;装备表!$O864&amp;";","xxx"),"xxx"))</f>
        <v>xxx</v>
      </c>
      <c r="F719" s="18" t="str">
        <f>IF(装备表!$O864=0,"xxx",IFERROR(IF(INT(IF($D719=F$3,装备表!$E864,"xxx")/10000)=1,IF($D719=F$3,装备表!$E864,"xxx")&amp;":2,1,1,"&amp;装备表!$O864&amp;";","xxx"),"xxx"))</f>
        <v>xxx</v>
      </c>
      <c r="G719" s="18" t="str">
        <f>IF(装备表!$O864=0,"xxx",IFERROR(IF(INT(IF($D719=G$3,装备表!$E864,"xxx")/10000)=1,IF($D719=G$3,装备表!$E864,"xxx")&amp;":2,1,1,"&amp;装备表!$O864&amp;";","xxx"),"xxx"))</f>
        <v>xxx</v>
      </c>
      <c r="H719" s="18" t="str">
        <f>IF(装备表!$O864=0,"xxx",IFERROR(IF(INT(IF($D719=H$3,装备表!$E864,"xxx")/10000)=1,IF($D719=H$3,装备表!$E864,"xxx")&amp;":2,1,1,"&amp;装备表!$O864&amp;";","xxx"),"xxx"))</f>
        <v>xxx</v>
      </c>
      <c r="I719" s="18" t="str">
        <f>IF(装备表!$O864=0,"xxx",IFERROR(IF(INT(IF($D719=I$3,装备表!$E864,"xxx")/10000)=1,IF($D719=I$3,装备表!$E864,"xxx")&amp;":2,1,1,"&amp;装备表!$O864&amp;";","xxx"),"xxx"))</f>
        <v>xxx</v>
      </c>
      <c r="J719" s="18" t="str">
        <f>IF(装备表!$O864=0,"xxx",IFERROR(IF(INT(IF($D719=J$3,装备表!$E864,"xxx")/10000)=1,IF($D719=J$3,装备表!$E864,"xxx")&amp;":2,1,1,"&amp;装备表!$O864&amp;";","xxx"),"xxx"))</f>
        <v>xxx</v>
      </c>
    </row>
    <row r="720" spans="4:10" x14ac:dyDescent="0.2">
      <c r="D720" s="18">
        <f>装备表!L865</f>
        <v>0</v>
      </c>
      <c r="E720" s="18" t="str">
        <f>IF(装备表!$O865=0,"xxx",IFERROR(IF(INT(IF($D720=E$3,装备表!$E865,"xxx")/10000)=1,IF($D720=E$3,装备表!$E865,"xxx")&amp;":2,1,1,"&amp;装备表!$O865&amp;";","xxx"),"xxx"))</f>
        <v>xxx</v>
      </c>
      <c r="F720" s="18" t="str">
        <f>IF(装备表!$O865=0,"xxx",IFERROR(IF(INT(IF($D720=F$3,装备表!$E865,"xxx")/10000)=1,IF($D720=F$3,装备表!$E865,"xxx")&amp;":2,1,1,"&amp;装备表!$O865&amp;";","xxx"),"xxx"))</f>
        <v>xxx</v>
      </c>
      <c r="G720" s="18" t="str">
        <f>IF(装备表!$O865=0,"xxx",IFERROR(IF(INT(IF($D720=G$3,装备表!$E865,"xxx")/10000)=1,IF($D720=G$3,装备表!$E865,"xxx")&amp;":2,1,1,"&amp;装备表!$O865&amp;";","xxx"),"xxx"))</f>
        <v>xxx</v>
      </c>
      <c r="H720" s="18" t="str">
        <f>IF(装备表!$O865=0,"xxx",IFERROR(IF(INT(IF($D720=H$3,装备表!$E865,"xxx")/10000)=1,IF($D720=H$3,装备表!$E865,"xxx")&amp;":2,1,1,"&amp;装备表!$O865&amp;";","xxx"),"xxx"))</f>
        <v>xxx</v>
      </c>
      <c r="I720" s="18" t="str">
        <f>IF(装备表!$O865=0,"xxx",IFERROR(IF(INT(IF($D720=I$3,装备表!$E865,"xxx")/10000)=1,IF($D720=I$3,装备表!$E865,"xxx")&amp;":2,1,1,"&amp;装备表!$O865&amp;";","xxx"),"xxx"))</f>
        <v>xxx</v>
      </c>
      <c r="J720" s="18" t="str">
        <f>IF(装备表!$O865=0,"xxx",IFERROR(IF(INT(IF($D720=J$3,装备表!$E865,"xxx")/10000)=1,IF($D720=J$3,装备表!$E865,"xxx")&amp;":2,1,1,"&amp;装备表!$O865&amp;";","xxx"),"xxx"))</f>
        <v>xxx</v>
      </c>
    </row>
    <row r="721" spans="4:10" x14ac:dyDescent="0.2">
      <c r="D721" s="18">
        <f>装备表!L866</f>
        <v>0</v>
      </c>
      <c r="E721" s="18" t="str">
        <f>IF(装备表!$O866=0,"xxx",IFERROR(IF(INT(IF($D721=E$3,装备表!$E866,"xxx")/10000)=1,IF($D721=E$3,装备表!$E866,"xxx")&amp;":2,1,1,"&amp;装备表!$O866&amp;";","xxx"),"xxx"))</f>
        <v>xxx</v>
      </c>
      <c r="F721" s="18" t="str">
        <f>IF(装备表!$O866=0,"xxx",IFERROR(IF(INT(IF($D721=F$3,装备表!$E866,"xxx")/10000)=1,IF($D721=F$3,装备表!$E866,"xxx")&amp;":2,1,1,"&amp;装备表!$O866&amp;";","xxx"),"xxx"))</f>
        <v>xxx</v>
      </c>
      <c r="G721" s="18" t="str">
        <f>IF(装备表!$O866=0,"xxx",IFERROR(IF(INT(IF($D721=G$3,装备表!$E866,"xxx")/10000)=1,IF($D721=G$3,装备表!$E866,"xxx")&amp;":2,1,1,"&amp;装备表!$O866&amp;";","xxx"),"xxx"))</f>
        <v>xxx</v>
      </c>
      <c r="H721" s="18" t="str">
        <f>IF(装备表!$O866=0,"xxx",IFERROR(IF(INT(IF($D721=H$3,装备表!$E866,"xxx")/10000)=1,IF($D721=H$3,装备表!$E866,"xxx")&amp;":2,1,1,"&amp;装备表!$O866&amp;";","xxx"),"xxx"))</f>
        <v>xxx</v>
      </c>
      <c r="I721" s="18" t="str">
        <f>IF(装备表!$O866=0,"xxx",IFERROR(IF(INT(IF($D721=I$3,装备表!$E866,"xxx")/10000)=1,IF($D721=I$3,装备表!$E866,"xxx")&amp;":2,1,1,"&amp;装备表!$O866&amp;";","xxx"),"xxx"))</f>
        <v>xxx</v>
      </c>
      <c r="J721" s="18" t="str">
        <f>IF(装备表!$O866=0,"xxx",IFERROR(IF(INT(IF($D721=J$3,装备表!$E866,"xxx")/10000)=1,IF($D721=J$3,装备表!$E866,"xxx")&amp;":2,1,1,"&amp;装备表!$O866&amp;";","xxx"),"xxx"))</f>
        <v>xxx</v>
      </c>
    </row>
    <row r="722" spans="4:10" x14ac:dyDescent="0.2">
      <c r="D722" s="18">
        <f>装备表!L867</f>
        <v>0</v>
      </c>
      <c r="E722" s="18" t="str">
        <f>IF(装备表!$O867=0,"xxx",IFERROR(IF(INT(IF($D722=E$3,装备表!$E867,"xxx")/10000)=1,IF($D722=E$3,装备表!$E867,"xxx")&amp;":2,1,1,"&amp;装备表!$O867&amp;";","xxx"),"xxx"))</f>
        <v>xxx</v>
      </c>
      <c r="F722" s="18" t="str">
        <f>IF(装备表!$O867=0,"xxx",IFERROR(IF(INT(IF($D722=F$3,装备表!$E867,"xxx")/10000)=1,IF($D722=F$3,装备表!$E867,"xxx")&amp;":2,1,1,"&amp;装备表!$O867&amp;";","xxx"),"xxx"))</f>
        <v>xxx</v>
      </c>
      <c r="G722" s="18" t="str">
        <f>IF(装备表!$O867=0,"xxx",IFERROR(IF(INT(IF($D722=G$3,装备表!$E867,"xxx")/10000)=1,IF($D722=G$3,装备表!$E867,"xxx")&amp;":2,1,1,"&amp;装备表!$O867&amp;";","xxx"),"xxx"))</f>
        <v>xxx</v>
      </c>
      <c r="H722" s="18" t="str">
        <f>IF(装备表!$O867=0,"xxx",IFERROR(IF(INT(IF($D722=H$3,装备表!$E867,"xxx")/10000)=1,IF($D722=H$3,装备表!$E867,"xxx")&amp;":2,1,1,"&amp;装备表!$O867&amp;";","xxx"),"xxx"))</f>
        <v>xxx</v>
      </c>
      <c r="I722" s="18" t="str">
        <f>IF(装备表!$O867=0,"xxx",IFERROR(IF(INT(IF($D722=I$3,装备表!$E867,"xxx")/10000)=1,IF($D722=I$3,装备表!$E867,"xxx")&amp;":2,1,1,"&amp;装备表!$O867&amp;";","xxx"),"xxx"))</f>
        <v>xxx</v>
      </c>
      <c r="J722" s="18" t="str">
        <f>IF(装备表!$O867=0,"xxx",IFERROR(IF(INT(IF($D722=J$3,装备表!$E867,"xxx")/10000)=1,IF($D722=J$3,装备表!$E867,"xxx")&amp;":2,1,1,"&amp;装备表!$O867&amp;";","xxx"),"xxx"))</f>
        <v>xxx</v>
      </c>
    </row>
    <row r="723" spans="4:10" x14ac:dyDescent="0.2">
      <c r="D723" s="18">
        <f>装备表!L868</f>
        <v>0</v>
      </c>
      <c r="E723" s="18" t="str">
        <f>IF(装备表!$O868=0,"xxx",IFERROR(IF(INT(IF($D723=E$3,装备表!$E868,"xxx")/10000)=1,IF($D723=E$3,装备表!$E868,"xxx")&amp;":2,1,1,"&amp;装备表!$O868&amp;";","xxx"),"xxx"))</f>
        <v>xxx</v>
      </c>
      <c r="F723" s="18" t="str">
        <f>IF(装备表!$O868=0,"xxx",IFERROR(IF(INT(IF($D723=F$3,装备表!$E868,"xxx")/10000)=1,IF($D723=F$3,装备表!$E868,"xxx")&amp;":2,1,1,"&amp;装备表!$O868&amp;";","xxx"),"xxx"))</f>
        <v>xxx</v>
      </c>
      <c r="G723" s="18" t="str">
        <f>IF(装备表!$O868=0,"xxx",IFERROR(IF(INT(IF($D723=G$3,装备表!$E868,"xxx")/10000)=1,IF($D723=G$3,装备表!$E868,"xxx")&amp;":2,1,1,"&amp;装备表!$O868&amp;";","xxx"),"xxx"))</f>
        <v>xxx</v>
      </c>
      <c r="H723" s="18" t="str">
        <f>IF(装备表!$O868=0,"xxx",IFERROR(IF(INT(IF($D723=H$3,装备表!$E868,"xxx")/10000)=1,IF($D723=H$3,装备表!$E868,"xxx")&amp;":2,1,1,"&amp;装备表!$O868&amp;";","xxx"),"xxx"))</f>
        <v>xxx</v>
      </c>
      <c r="I723" s="18" t="str">
        <f>IF(装备表!$O868=0,"xxx",IFERROR(IF(INT(IF($D723=I$3,装备表!$E868,"xxx")/10000)=1,IF($D723=I$3,装备表!$E868,"xxx")&amp;":2,1,1,"&amp;装备表!$O868&amp;";","xxx"),"xxx"))</f>
        <v>xxx</v>
      </c>
      <c r="J723" s="18" t="str">
        <f>IF(装备表!$O868=0,"xxx",IFERROR(IF(INT(IF($D723=J$3,装备表!$E868,"xxx")/10000)=1,IF($D723=J$3,装备表!$E868,"xxx")&amp;":2,1,1,"&amp;装备表!$O868&amp;";","xxx"),"xxx"))</f>
        <v>xxx</v>
      </c>
    </row>
    <row r="724" spans="4:10" x14ac:dyDescent="0.2">
      <c r="D724" s="18">
        <f>装备表!L869</f>
        <v>0</v>
      </c>
      <c r="E724" s="18" t="str">
        <f>IF(装备表!$O869=0,"xxx",IFERROR(IF(INT(IF($D724=E$3,装备表!$E869,"xxx")/10000)=1,IF($D724=E$3,装备表!$E869,"xxx")&amp;":2,1,1,"&amp;装备表!$O869&amp;";","xxx"),"xxx"))</f>
        <v>xxx</v>
      </c>
      <c r="F724" s="18" t="str">
        <f>IF(装备表!$O869=0,"xxx",IFERROR(IF(INT(IF($D724=F$3,装备表!$E869,"xxx")/10000)=1,IF($D724=F$3,装备表!$E869,"xxx")&amp;":2,1,1,"&amp;装备表!$O869&amp;";","xxx"),"xxx"))</f>
        <v>xxx</v>
      </c>
      <c r="G724" s="18" t="str">
        <f>IF(装备表!$O869=0,"xxx",IFERROR(IF(INT(IF($D724=G$3,装备表!$E869,"xxx")/10000)=1,IF($D724=G$3,装备表!$E869,"xxx")&amp;":2,1,1,"&amp;装备表!$O869&amp;";","xxx"),"xxx"))</f>
        <v>xxx</v>
      </c>
      <c r="H724" s="18" t="str">
        <f>IF(装备表!$O869=0,"xxx",IFERROR(IF(INT(IF($D724=H$3,装备表!$E869,"xxx")/10000)=1,IF($D724=H$3,装备表!$E869,"xxx")&amp;":2,1,1,"&amp;装备表!$O869&amp;";","xxx"),"xxx"))</f>
        <v>xxx</v>
      </c>
      <c r="I724" s="18" t="str">
        <f>IF(装备表!$O869=0,"xxx",IFERROR(IF(INT(IF($D724=I$3,装备表!$E869,"xxx")/10000)=1,IF($D724=I$3,装备表!$E869,"xxx")&amp;":2,1,1,"&amp;装备表!$O869&amp;";","xxx"),"xxx"))</f>
        <v>xxx</v>
      </c>
      <c r="J724" s="18" t="str">
        <f>IF(装备表!$O869=0,"xxx",IFERROR(IF(INT(IF($D724=J$3,装备表!$E869,"xxx")/10000)=1,IF($D724=J$3,装备表!$E869,"xxx")&amp;":2,1,1,"&amp;装备表!$O869&amp;";","xxx"),"xxx"))</f>
        <v>xxx</v>
      </c>
    </row>
    <row r="725" spans="4:10" x14ac:dyDescent="0.2">
      <c r="D725" s="18">
        <f>装备表!L870</f>
        <v>0</v>
      </c>
      <c r="E725" s="18" t="str">
        <f>IF(装备表!$O870=0,"xxx",IFERROR(IF(INT(IF($D725=E$3,装备表!$E870,"xxx")/10000)=1,IF($D725=E$3,装备表!$E870,"xxx")&amp;":2,1,1,"&amp;装备表!$O870&amp;";","xxx"),"xxx"))</f>
        <v>xxx</v>
      </c>
      <c r="F725" s="18" t="str">
        <f>IF(装备表!$O870=0,"xxx",IFERROR(IF(INT(IF($D725=F$3,装备表!$E870,"xxx")/10000)=1,IF($D725=F$3,装备表!$E870,"xxx")&amp;":2,1,1,"&amp;装备表!$O870&amp;";","xxx"),"xxx"))</f>
        <v>xxx</v>
      </c>
      <c r="G725" s="18" t="str">
        <f>IF(装备表!$O870=0,"xxx",IFERROR(IF(INT(IF($D725=G$3,装备表!$E870,"xxx")/10000)=1,IF($D725=G$3,装备表!$E870,"xxx")&amp;":2,1,1,"&amp;装备表!$O870&amp;";","xxx"),"xxx"))</f>
        <v>xxx</v>
      </c>
      <c r="H725" s="18" t="str">
        <f>IF(装备表!$O870=0,"xxx",IFERROR(IF(INT(IF($D725=H$3,装备表!$E870,"xxx")/10000)=1,IF($D725=H$3,装备表!$E870,"xxx")&amp;":2,1,1,"&amp;装备表!$O870&amp;";","xxx"),"xxx"))</f>
        <v>xxx</v>
      </c>
      <c r="I725" s="18" t="str">
        <f>IF(装备表!$O870=0,"xxx",IFERROR(IF(INT(IF($D725=I$3,装备表!$E870,"xxx")/10000)=1,IF($D725=I$3,装备表!$E870,"xxx")&amp;":2,1,1,"&amp;装备表!$O870&amp;";","xxx"),"xxx"))</f>
        <v>xxx</v>
      </c>
      <c r="J725" s="18" t="str">
        <f>IF(装备表!$O870=0,"xxx",IFERROR(IF(INT(IF($D725=J$3,装备表!$E870,"xxx")/10000)=1,IF($D725=J$3,装备表!$E870,"xxx")&amp;":2,1,1,"&amp;装备表!$O870&amp;";","xxx"),"xxx"))</f>
        <v>xxx</v>
      </c>
    </row>
    <row r="726" spans="4:10" x14ac:dyDescent="0.2">
      <c r="D726" s="18">
        <f>装备表!L871</f>
        <v>0</v>
      </c>
      <c r="E726" s="18" t="str">
        <f>IF(装备表!$O871=0,"xxx",IFERROR(IF(INT(IF($D726=E$3,装备表!$E871,"xxx")/10000)=1,IF($D726=E$3,装备表!$E871,"xxx")&amp;":2,1,1,"&amp;装备表!$O871&amp;";","xxx"),"xxx"))</f>
        <v>xxx</v>
      </c>
      <c r="F726" s="18" t="str">
        <f>IF(装备表!$O871=0,"xxx",IFERROR(IF(INT(IF($D726=F$3,装备表!$E871,"xxx")/10000)=1,IF($D726=F$3,装备表!$E871,"xxx")&amp;":2,1,1,"&amp;装备表!$O871&amp;";","xxx"),"xxx"))</f>
        <v>xxx</v>
      </c>
      <c r="G726" s="18" t="str">
        <f>IF(装备表!$O871=0,"xxx",IFERROR(IF(INT(IF($D726=G$3,装备表!$E871,"xxx")/10000)=1,IF($D726=G$3,装备表!$E871,"xxx")&amp;":2,1,1,"&amp;装备表!$O871&amp;";","xxx"),"xxx"))</f>
        <v>xxx</v>
      </c>
      <c r="H726" s="18" t="str">
        <f>IF(装备表!$O871=0,"xxx",IFERROR(IF(INT(IF($D726=H$3,装备表!$E871,"xxx")/10000)=1,IF($D726=H$3,装备表!$E871,"xxx")&amp;":2,1,1,"&amp;装备表!$O871&amp;";","xxx"),"xxx"))</f>
        <v>xxx</v>
      </c>
      <c r="I726" s="18" t="str">
        <f>IF(装备表!$O871=0,"xxx",IFERROR(IF(INT(IF($D726=I$3,装备表!$E871,"xxx")/10000)=1,IF($D726=I$3,装备表!$E871,"xxx")&amp;":2,1,1,"&amp;装备表!$O871&amp;";","xxx"),"xxx"))</f>
        <v>xxx</v>
      </c>
      <c r="J726" s="18" t="str">
        <f>IF(装备表!$O871=0,"xxx",IFERROR(IF(INT(IF($D726=J$3,装备表!$E871,"xxx")/10000)=1,IF($D726=J$3,装备表!$E871,"xxx")&amp;":2,1,1,"&amp;装备表!$O871&amp;";","xxx"),"xxx"))</f>
        <v>xxx</v>
      </c>
    </row>
    <row r="727" spans="4:10" x14ac:dyDescent="0.2">
      <c r="D727" s="18">
        <f>装备表!L872</f>
        <v>0</v>
      </c>
      <c r="E727" s="18" t="str">
        <f>IF(装备表!$O872=0,"xxx",IFERROR(IF(INT(IF($D727=E$3,装备表!$E872,"xxx")/10000)=1,IF($D727=E$3,装备表!$E872,"xxx")&amp;":2,1,1,"&amp;装备表!$O872&amp;";","xxx"),"xxx"))</f>
        <v>xxx</v>
      </c>
      <c r="F727" s="18" t="str">
        <f>IF(装备表!$O872=0,"xxx",IFERROR(IF(INT(IF($D727=F$3,装备表!$E872,"xxx")/10000)=1,IF($D727=F$3,装备表!$E872,"xxx")&amp;":2,1,1,"&amp;装备表!$O872&amp;";","xxx"),"xxx"))</f>
        <v>xxx</v>
      </c>
      <c r="G727" s="18" t="str">
        <f>IF(装备表!$O872=0,"xxx",IFERROR(IF(INT(IF($D727=G$3,装备表!$E872,"xxx")/10000)=1,IF($D727=G$3,装备表!$E872,"xxx")&amp;":2,1,1,"&amp;装备表!$O872&amp;";","xxx"),"xxx"))</f>
        <v>xxx</v>
      </c>
      <c r="H727" s="18" t="str">
        <f>IF(装备表!$O872=0,"xxx",IFERROR(IF(INT(IF($D727=H$3,装备表!$E872,"xxx")/10000)=1,IF($D727=H$3,装备表!$E872,"xxx")&amp;":2,1,1,"&amp;装备表!$O872&amp;";","xxx"),"xxx"))</f>
        <v>xxx</v>
      </c>
      <c r="I727" s="18" t="str">
        <f>IF(装备表!$O872=0,"xxx",IFERROR(IF(INT(IF($D727=I$3,装备表!$E872,"xxx")/10000)=1,IF($D727=I$3,装备表!$E872,"xxx")&amp;":2,1,1,"&amp;装备表!$O872&amp;";","xxx"),"xxx"))</f>
        <v>xxx</v>
      </c>
      <c r="J727" s="18" t="str">
        <f>IF(装备表!$O872=0,"xxx",IFERROR(IF(INT(IF($D727=J$3,装备表!$E872,"xxx")/10000)=1,IF($D727=J$3,装备表!$E872,"xxx")&amp;":2,1,1,"&amp;装备表!$O872&amp;";","xxx"),"xxx"))</f>
        <v>xxx</v>
      </c>
    </row>
    <row r="728" spans="4:10" x14ac:dyDescent="0.2">
      <c r="D728" s="18">
        <f>装备表!L873</f>
        <v>0</v>
      </c>
      <c r="E728" s="18" t="str">
        <f>IF(装备表!$O873=0,"xxx",IFERROR(IF(INT(IF($D728=E$3,装备表!$E873,"xxx")/10000)=1,IF($D728=E$3,装备表!$E873,"xxx")&amp;":2,1,1,"&amp;装备表!$O873&amp;";","xxx"),"xxx"))</f>
        <v>xxx</v>
      </c>
      <c r="F728" s="18" t="str">
        <f>IF(装备表!$O873=0,"xxx",IFERROR(IF(INT(IF($D728=F$3,装备表!$E873,"xxx")/10000)=1,IF($D728=F$3,装备表!$E873,"xxx")&amp;":2,1,1,"&amp;装备表!$O873&amp;";","xxx"),"xxx"))</f>
        <v>xxx</v>
      </c>
      <c r="G728" s="18" t="str">
        <f>IF(装备表!$O873=0,"xxx",IFERROR(IF(INT(IF($D728=G$3,装备表!$E873,"xxx")/10000)=1,IF($D728=G$3,装备表!$E873,"xxx")&amp;":2,1,1,"&amp;装备表!$O873&amp;";","xxx"),"xxx"))</f>
        <v>xxx</v>
      </c>
      <c r="H728" s="18" t="str">
        <f>IF(装备表!$O873=0,"xxx",IFERROR(IF(INT(IF($D728=H$3,装备表!$E873,"xxx")/10000)=1,IF($D728=H$3,装备表!$E873,"xxx")&amp;":2,1,1,"&amp;装备表!$O873&amp;";","xxx"),"xxx"))</f>
        <v>xxx</v>
      </c>
      <c r="I728" s="18" t="str">
        <f>IF(装备表!$O873=0,"xxx",IFERROR(IF(INT(IF($D728=I$3,装备表!$E873,"xxx")/10000)=1,IF($D728=I$3,装备表!$E873,"xxx")&amp;":2,1,1,"&amp;装备表!$O873&amp;";","xxx"),"xxx"))</f>
        <v>xxx</v>
      </c>
      <c r="J728" s="18" t="str">
        <f>IF(装备表!$O873=0,"xxx",IFERROR(IF(INT(IF($D728=J$3,装备表!$E873,"xxx")/10000)=1,IF($D728=J$3,装备表!$E873,"xxx")&amp;":2,1,1,"&amp;装备表!$O873&amp;";","xxx"),"xxx"))</f>
        <v>xxx</v>
      </c>
    </row>
    <row r="729" spans="4:10" x14ac:dyDescent="0.2">
      <c r="D729" s="18">
        <f>装备表!L874</f>
        <v>0</v>
      </c>
      <c r="E729" s="18" t="str">
        <f>IF(装备表!$O874=0,"xxx",IFERROR(IF(INT(IF($D729=E$3,装备表!$E874,"xxx")/10000)=1,IF($D729=E$3,装备表!$E874,"xxx")&amp;":2,1,1,"&amp;装备表!$O874&amp;";","xxx"),"xxx"))</f>
        <v>xxx</v>
      </c>
      <c r="F729" s="18" t="str">
        <f>IF(装备表!$O874=0,"xxx",IFERROR(IF(INT(IF($D729=F$3,装备表!$E874,"xxx")/10000)=1,IF($D729=F$3,装备表!$E874,"xxx")&amp;":2,1,1,"&amp;装备表!$O874&amp;";","xxx"),"xxx"))</f>
        <v>xxx</v>
      </c>
      <c r="G729" s="18" t="str">
        <f>IF(装备表!$O874=0,"xxx",IFERROR(IF(INT(IF($D729=G$3,装备表!$E874,"xxx")/10000)=1,IF($D729=G$3,装备表!$E874,"xxx")&amp;":2,1,1,"&amp;装备表!$O874&amp;";","xxx"),"xxx"))</f>
        <v>xxx</v>
      </c>
      <c r="H729" s="18" t="str">
        <f>IF(装备表!$O874=0,"xxx",IFERROR(IF(INT(IF($D729=H$3,装备表!$E874,"xxx")/10000)=1,IF($D729=H$3,装备表!$E874,"xxx")&amp;":2,1,1,"&amp;装备表!$O874&amp;";","xxx"),"xxx"))</f>
        <v>xxx</v>
      </c>
      <c r="I729" s="18" t="str">
        <f>IF(装备表!$O874=0,"xxx",IFERROR(IF(INT(IF($D729=I$3,装备表!$E874,"xxx")/10000)=1,IF($D729=I$3,装备表!$E874,"xxx")&amp;":2,1,1,"&amp;装备表!$O874&amp;";","xxx"),"xxx"))</f>
        <v>xxx</v>
      </c>
      <c r="J729" s="18" t="str">
        <f>IF(装备表!$O874=0,"xxx",IFERROR(IF(INT(IF($D729=J$3,装备表!$E874,"xxx")/10000)=1,IF($D729=J$3,装备表!$E874,"xxx")&amp;":2,1,1,"&amp;装备表!$O874&amp;";","xxx"),"xxx"))</f>
        <v>xxx</v>
      </c>
    </row>
    <row r="730" spans="4:10" x14ac:dyDescent="0.2">
      <c r="D730" s="18">
        <f>装备表!L875</f>
        <v>0</v>
      </c>
      <c r="E730" s="18" t="str">
        <f>IF(装备表!$O875=0,"xxx",IFERROR(IF(INT(IF($D730=E$3,装备表!$E875,"xxx")/10000)=1,IF($D730=E$3,装备表!$E875,"xxx")&amp;":2,1,1,"&amp;装备表!$O875&amp;";","xxx"),"xxx"))</f>
        <v>xxx</v>
      </c>
      <c r="F730" s="18" t="str">
        <f>IF(装备表!$O875=0,"xxx",IFERROR(IF(INT(IF($D730=F$3,装备表!$E875,"xxx")/10000)=1,IF($D730=F$3,装备表!$E875,"xxx")&amp;":2,1,1,"&amp;装备表!$O875&amp;";","xxx"),"xxx"))</f>
        <v>xxx</v>
      </c>
      <c r="G730" s="18" t="str">
        <f>IF(装备表!$O875=0,"xxx",IFERROR(IF(INT(IF($D730=G$3,装备表!$E875,"xxx")/10000)=1,IF($D730=G$3,装备表!$E875,"xxx")&amp;":2,1,1,"&amp;装备表!$O875&amp;";","xxx"),"xxx"))</f>
        <v>xxx</v>
      </c>
      <c r="H730" s="18" t="str">
        <f>IF(装备表!$O875=0,"xxx",IFERROR(IF(INT(IF($D730=H$3,装备表!$E875,"xxx")/10000)=1,IF($D730=H$3,装备表!$E875,"xxx")&amp;":2,1,1,"&amp;装备表!$O875&amp;";","xxx"),"xxx"))</f>
        <v>xxx</v>
      </c>
      <c r="I730" s="18" t="str">
        <f>IF(装备表!$O875=0,"xxx",IFERROR(IF(INT(IF($D730=I$3,装备表!$E875,"xxx")/10000)=1,IF($D730=I$3,装备表!$E875,"xxx")&amp;":2,1,1,"&amp;装备表!$O875&amp;";","xxx"),"xxx"))</f>
        <v>xxx</v>
      </c>
      <c r="J730" s="18" t="str">
        <f>IF(装备表!$O875=0,"xxx",IFERROR(IF(INT(IF($D730=J$3,装备表!$E875,"xxx")/10000)=1,IF($D730=J$3,装备表!$E875,"xxx")&amp;":2,1,1,"&amp;装备表!$O875&amp;";","xxx"),"xxx"))</f>
        <v>xxx</v>
      </c>
    </row>
    <row r="731" spans="4:10" x14ac:dyDescent="0.2">
      <c r="D731" s="18">
        <f>装备表!L876</f>
        <v>0</v>
      </c>
      <c r="E731" s="18" t="str">
        <f>IF(装备表!$O876=0,"xxx",IFERROR(IF(INT(IF($D731=E$3,装备表!$E876,"xxx")/10000)=1,IF($D731=E$3,装备表!$E876,"xxx")&amp;":2,1,1,"&amp;装备表!$O876&amp;";","xxx"),"xxx"))</f>
        <v>xxx</v>
      </c>
      <c r="F731" s="18" t="str">
        <f>IF(装备表!$O876=0,"xxx",IFERROR(IF(INT(IF($D731=F$3,装备表!$E876,"xxx")/10000)=1,IF($D731=F$3,装备表!$E876,"xxx")&amp;":2,1,1,"&amp;装备表!$O876&amp;";","xxx"),"xxx"))</f>
        <v>xxx</v>
      </c>
      <c r="G731" s="18" t="str">
        <f>IF(装备表!$O876=0,"xxx",IFERROR(IF(INT(IF($D731=G$3,装备表!$E876,"xxx")/10000)=1,IF($D731=G$3,装备表!$E876,"xxx")&amp;":2,1,1,"&amp;装备表!$O876&amp;";","xxx"),"xxx"))</f>
        <v>xxx</v>
      </c>
      <c r="H731" s="18" t="str">
        <f>IF(装备表!$O876=0,"xxx",IFERROR(IF(INT(IF($D731=H$3,装备表!$E876,"xxx")/10000)=1,IF($D731=H$3,装备表!$E876,"xxx")&amp;":2,1,1,"&amp;装备表!$O876&amp;";","xxx"),"xxx"))</f>
        <v>xxx</v>
      </c>
      <c r="I731" s="18" t="str">
        <f>IF(装备表!$O876=0,"xxx",IFERROR(IF(INT(IF($D731=I$3,装备表!$E876,"xxx")/10000)=1,IF($D731=I$3,装备表!$E876,"xxx")&amp;":2,1,1,"&amp;装备表!$O876&amp;";","xxx"),"xxx"))</f>
        <v>xxx</v>
      </c>
      <c r="J731" s="18" t="str">
        <f>IF(装备表!$O876=0,"xxx",IFERROR(IF(INT(IF($D731=J$3,装备表!$E876,"xxx")/10000)=1,IF($D731=J$3,装备表!$E876,"xxx")&amp;":2,1,1,"&amp;装备表!$O876&amp;";","xxx"),"xxx"))</f>
        <v>xxx</v>
      </c>
    </row>
    <row r="732" spans="4:10" x14ac:dyDescent="0.2">
      <c r="D732" s="18">
        <f>装备表!L877</f>
        <v>0</v>
      </c>
      <c r="E732" s="18" t="str">
        <f>IF(装备表!$O877=0,"xxx",IFERROR(IF(INT(IF($D732=E$3,装备表!$E877,"xxx")/10000)=1,IF($D732=E$3,装备表!$E877,"xxx")&amp;":2,1,1,"&amp;装备表!$O877&amp;";","xxx"),"xxx"))</f>
        <v>xxx</v>
      </c>
      <c r="F732" s="18" t="str">
        <f>IF(装备表!$O877=0,"xxx",IFERROR(IF(INT(IF($D732=F$3,装备表!$E877,"xxx")/10000)=1,IF($D732=F$3,装备表!$E877,"xxx")&amp;":2,1,1,"&amp;装备表!$O877&amp;";","xxx"),"xxx"))</f>
        <v>xxx</v>
      </c>
      <c r="G732" s="18" t="str">
        <f>IF(装备表!$O877=0,"xxx",IFERROR(IF(INT(IF($D732=G$3,装备表!$E877,"xxx")/10000)=1,IF($D732=G$3,装备表!$E877,"xxx")&amp;":2,1,1,"&amp;装备表!$O877&amp;";","xxx"),"xxx"))</f>
        <v>xxx</v>
      </c>
      <c r="H732" s="18" t="str">
        <f>IF(装备表!$O877=0,"xxx",IFERROR(IF(INT(IF($D732=H$3,装备表!$E877,"xxx")/10000)=1,IF($D732=H$3,装备表!$E877,"xxx")&amp;":2,1,1,"&amp;装备表!$O877&amp;";","xxx"),"xxx"))</f>
        <v>xxx</v>
      </c>
      <c r="I732" s="18" t="str">
        <f>IF(装备表!$O877=0,"xxx",IFERROR(IF(INT(IF($D732=I$3,装备表!$E877,"xxx")/10000)=1,IF($D732=I$3,装备表!$E877,"xxx")&amp;":2,1,1,"&amp;装备表!$O877&amp;";","xxx"),"xxx"))</f>
        <v>xxx</v>
      </c>
      <c r="J732" s="18" t="str">
        <f>IF(装备表!$O877=0,"xxx",IFERROR(IF(INT(IF($D732=J$3,装备表!$E877,"xxx")/10000)=1,IF($D732=J$3,装备表!$E877,"xxx")&amp;":2,1,1,"&amp;装备表!$O877&amp;";","xxx"),"xxx"))</f>
        <v>xxx</v>
      </c>
    </row>
    <row r="733" spans="4:10" x14ac:dyDescent="0.2">
      <c r="D733" s="18">
        <f>装备表!L878</f>
        <v>0</v>
      </c>
      <c r="E733" s="18" t="str">
        <f>IF(装备表!$O878=0,"xxx",IFERROR(IF(INT(IF($D733=E$3,装备表!$E878,"xxx")/10000)=1,IF($D733=E$3,装备表!$E878,"xxx")&amp;":2,1,1,"&amp;装备表!$O878&amp;";","xxx"),"xxx"))</f>
        <v>xxx</v>
      </c>
      <c r="F733" s="18" t="str">
        <f>IF(装备表!$O878=0,"xxx",IFERROR(IF(INT(IF($D733=F$3,装备表!$E878,"xxx")/10000)=1,IF($D733=F$3,装备表!$E878,"xxx")&amp;":2,1,1,"&amp;装备表!$O878&amp;";","xxx"),"xxx"))</f>
        <v>xxx</v>
      </c>
      <c r="G733" s="18" t="str">
        <f>IF(装备表!$O878=0,"xxx",IFERROR(IF(INT(IF($D733=G$3,装备表!$E878,"xxx")/10000)=1,IF($D733=G$3,装备表!$E878,"xxx")&amp;":2,1,1,"&amp;装备表!$O878&amp;";","xxx"),"xxx"))</f>
        <v>xxx</v>
      </c>
      <c r="H733" s="18" t="str">
        <f>IF(装备表!$O878=0,"xxx",IFERROR(IF(INT(IF($D733=H$3,装备表!$E878,"xxx")/10000)=1,IF($D733=H$3,装备表!$E878,"xxx")&amp;":2,1,1,"&amp;装备表!$O878&amp;";","xxx"),"xxx"))</f>
        <v>xxx</v>
      </c>
      <c r="I733" s="18" t="str">
        <f>IF(装备表!$O878=0,"xxx",IFERROR(IF(INT(IF($D733=I$3,装备表!$E878,"xxx")/10000)=1,IF($D733=I$3,装备表!$E878,"xxx")&amp;":2,1,1,"&amp;装备表!$O878&amp;";","xxx"),"xxx"))</f>
        <v>xxx</v>
      </c>
      <c r="J733" s="18" t="str">
        <f>IF(装备表!$O878=0,"xxx",IFERROR(IF(INT(IF($D733=J$3,装备表!$E878,"xxx")/10000)=1,IF($D733=J$3,装备表!$E878,"xxx")&amp;":2,1,1,"&amp;装备表!$O878&amp;";","xxx"),"xxx"))</f>
        <v>xxx</v>
      </c>
    </row>
    <row r="734" spans="4:10" x14ac:dyDescent="0.2">
      <c r="D734" s="18">
        <f>装备表!L879</f>
        <v>0</v>
      </c>
      <c r="E734" s="18" t="str">
        <f>IF(装备表!$O879=0,"xxx",IFERROR(IF(INT(IF($D734=E$3,装备表!$E879,"xxx")/10000)=1,IF($D734=E$3,装备表!$E879,"xxx")&amp;":2,1,1,"&amp;装备表!$O879&amp;";","xxx"),"xxx"))</f>
        <v>xxx</v>
      </c>
      <c r="F734" s="18" t="str">
        <f>IF(装备表!$O879=0,"xxx",IFERROR(IF(INT(IF($D734=F$3,装备表!$E879,"xxx")/10000)=1,IF($D734=F$3,装备表!$E879,"xxx")&amp;":2,1,1,"&amp;装备表!$O879&amp;";","xxx"),"xxx"))</f>
        <v>xxx</v>
      </c>
      <c r="G734" s="18" t="str">
        <f>IF(装备表!$O879=0,"xxx",IFERROR(IF(INT(IF($D734=G$3,装备表!$E879,"xxx")/10000)=1,IF($D734=G$3,装备表!$E879,"xxx")&amp;":2,1,1,"&amp;装备表!$O879&amp;";","xxx"),"xxx"))</f>
        <v>xxx</v>
      </c>
      <c r="H734" s="18" t="str">
        <f>IF(装备表!$O879=0,"xxx",IFERROR(IF(INT(IF($D734=H$3,装备表!$E879,"xxx")/10000)=1,IF($D734=H$3,装备表!$E879,"xxx")&amp;":2,1,1,"&amp;装备表!$O879&amp;";","xxx"),"xxx"))</f>
        <v>xxx</v>
      </c>
      <c r="I734" s="18" t="str">
        <f>IF(装备表!$O879=0,"xxx",IFERROR(IF(INT(IF($D734=I$3,装备表!$E879,"xxx")/10000)=1,IF($D734=I$3,装备表!$E879,"xxx")&amp;":2,1,1,"&amp;装备表!$O879&amp;";","xxx"),"xxx"))</f>
        <v>xxx</v>
      </c>
      <c r="J734" s="18" t="str">
        <f>IF(装备表!$O879=0,"xxx",IFERROR(IF(INT(IF($D734=J$3,装备表!$E879,"xxx")/10000)=1,IF($D734=J$3,装备表!$E879,"xxx")&amp;":2,1,1,"&amp;装备表!$O879&amp;";","xxx"),"xxx"))</f>
        <v>xxx</v>
      </c>
    </row>
    <row r="735" spans="4:10" x14ac:dyDescent="0.2">
      <c r="D735" s="18">
        <f>装备表!L880</f>
        <v>0</v>
      </c>
      <c r="E735" s="18" t="str">
        <f>IF(装备表!$O880=0,"xxx",IFERROR(IF(INT(IF($D735=E$3,装备表!$E880,"xxx")/10000)=1,IF($D735=E$3,装备表!$E880,"xxx")&amp;":2,1,1,"&amp;装备表!$O880&amp;";","xxx"),"xxx"))</f>
        <v>xxx</v>
      </c>
      <c r="F735" s="18" t="str">
        <f>IF(装备表!$O880=0,"xxx",IFERROR(IF(INT(IF($D735=F$3,装备表!$E880,"xxx")/10000)=1,IF($D735=F$3,装备表!$E880,"xxx")&amp;":2,1,1,"&amp;装备表!$O880&amp;";","xxx"),"xxx"))</f>
        <v>xxx</v>
      </c>
      <c r="G735" s="18" t="str">
        <f>IF(装备表!$O880=0,"xxx",IFERROR(IF(INT(IF($D735=G$3,装备表!$E880,"xxx")/10000)=1,IF($D735=G$3,装备表!$E880,"xxx")&amp;":2,1,1,"&amp;装备表!$O880&amp;";","xxx"),"xxx"))</f>
        <v>xxx</v>
      </c>
      <c r="H735" s="18" t="str">
        <f>IF(装备表!$O880=0,"xxx",IFERROR(IF(INT(IF($D735=H$3,装备表!$E880,"xxx")/10000)=1,IF($D735=H$3,装备表!$E880,"xxx")&amp;":2,1,1,"&amp;装备表!$O880&amp;";","xxx"),"xxx"))</f>
        <v>xxx</v>
      </c>
      <c r="I735" s="18" t="str">
        <f>IF(装备表!$O880=0,"xxx",IFERROR(IF(INT(IF($D735=I$3,装备表!$E880,"xxx")/10000)=1,IF($D735=I$3,装备表!$E880,"xxx")&amp;":2,1,1,"&amp;装备表!$O880&amp;";","xxx"),"xxx"))</f>
        <v>xxx</v>
      </c>
      <c r="J735" s="18" t="str">
        <f>IF(装备表!$O880=0,"xxx",IFERROR(IF(INT(IF($D735=J$3,装备表!$E880,"xxx")/10000)=1,IF($D735=J$3,装备表!$E880,"xxx")&amp;":2,1,1,"&amp;装备表!$O880&amp;";","xxx"),"xxx"))</f>
        <v>xxx</v>
      </c>
    </row>
    <row r="736" spans="4:10" x14ac:dyDescent="0.2">
      <c r="D736" s="18">
        <f>装备表!L881</f>
        <v>0</v>
      </c>
      <c r="E736" s="18" t="str">
        <f>IF(装备表!$O881=0,"xxx",IFERROR(IF(INT(IF($D736=E$3,装备表!$E881,"xxx")/10000)=1,IF($D736=E$3,装备表!$E881,"xxx")&amp;":2,1,1,"&amp;装备表!$O881&amp;";","xxx"),"xxx"))</f>
        <v>xxx</v>
      </c>
      <c r="F736" s="18" t="str">
        <f>IF(装备表!$O881=0,"xxx",IFERROR(IF(INT(IF($D736=F$3,装备表!$E881,"xxx")/10000)=1,IF($D736=F$3,装备表!$E881,"xxx")&amp;":2,1,1,"&amp;装备表!$O881&amp;";","xxx"),"xxx"))</f>
        <v>xxx</v>
      </c>
      <c r="G736" s="18" t="str">
        <f>IF(装备表!$O881=0,"xxx",IFERROR(IF(INT(IF($D736=G$3,装备表!$E881,"xxx")/10000)=1,IF($D736=G$3,装备表!$E881,"xxx")&amp;":2,1,1,"&amp;装备表!$O881&amp;";","xxx"),"xxx"))</f>
        <v>xxx</v>
      </c>
      <c r="H736" s="18" t="str">
        <f>IF(装备表!$O881=0,"xxx",IFERROR(IF(INT(IF($D736=H$3,装备表!$E881,"xxx")/10000)=1,IF($D736=H$3,装备表!$E881,"xxx")&amp;":2,1,1,"&amp;装备表!$O881&amp;";","xxx"),"xxx"))</f>
        <v>xxx</v>
      </c>
      <c r="I736" s="18" t="str">
        <f>IF(装备表!$O881=0,"xxx",IFERROR(IF(INT(IF($D736=I$3,装备表!$E881,"xxx")/10000)=1,IF($D736=I$3,装备表!$E881,"xxx")&amp;":2,1,1,"&amp;装备表!$O881&amp;";","xxx"),"xxx"))</f>
        <v>xxx</v>
      </c>
      <c r="J736" s="18" t="str">
        <f>IF(装备表!$O881=0,"xxx",IFERROR(IF(INT(IF($D736=J$3,装备表!$E881,"xxx")/10000)=1,IF($D736=J$3,装备表!$E881,"xxx")&amp;":2,1,1,"&amp;装备表!$O881&amp;";","xxx"),"xxx"))</f>
        <v>xxx</v>
      </c>
    </row>
    <row r="737" spans="4:10" x14ac:dyDescent="0.2">
      <c r="D737" s="18">
        <f>装备表!L882</f>
        <v>0</v>
      </c>
      <c r="E737" s="18" t="str">
        <f>IF(装备表!$O882=0,"xxx",IFERROR(IF(INT(IF($D737=E$3,装备表!$E882,"xxx")/10000)=1,IF($D737=E$3,装备表!$E882,"xxx")&amp;":2,1,1,"&amp;装备表!$O882&amp;";","xxx"),"xxx"))</f>
        <v>xxx</v>
      </c>
      <c r="F737" s="18" t="str">
        <f>IF(装备表!$O882=0,"xxx",IFERROR(IF(INT(IF($D737=F$3,装备表!$E882,"xxx")/10000)=1,IF($D737=F$3,装备表!$E882,"xxx")&amp;":2,1,1,"&amp;装备表!$O882&amp;";","xxx"),"xxx"))</f>
        <v>xxx</v>
      </c>
      <c r="G737" s="18" t="str">
        <f>IF(装备表!$O882=0,"xxx",IFERROR(IF(INT(IF($D737=G$3,装备表!$E882,"xxx")/10000)=1,IF($D737=G$3,装备表!$E882,"xxx")&amp;":2,1,1,"&amp;装备表!$O882&amp;";","xxx"),"xxx"))</f>
        <v>xxx</v>
      </c>
      <c r="H737" s="18" t="str">
        <f>IF(装备表!$O882=0,"xxx",IFERROR(IF(INT(IF($D737=H$3,装备表!$E882,"xxx")/10000)=1,IF($D737=H$3,装备表!$E882,"xxx")&amp;":2,1,1,"&amp;装备表!$O882&amp;";","xxx"),"xxx"))</f>
        <v>xxx</v>
      </c>
      <c r="I737" s="18" t="str">
        <f>IF(装备表!$O882=0,"xxx",IFERROR(IF(INT(IF($D737=I$3,装备表!$E882,"xxx")/10000)=1,IF($D737=I$3,装备表!$E882,"xxx")&amp;":2,1,1,"&amp;装备表!$O882&amp;";","xxx"),"xxx"))</f>
        <v>xxx</v>
      </c>
      <c r="J737" s="18" t="str">
        <f>IF(装备表!$O882=0,"xxx",IFERROR(IF(INT(IF($D737=J$3,装备表!$E882,"xxx")/10000)=1,IF($D737=J$3,装备表!$E882,"xxx")&amp;":2,1,1,"&amp;装备表!$O882&amp;";","xxx"),"xxx"))</f>
        <v>xxx</v>
      </c>
    </row>
    <row r="738" spans="4:10" x14ac:dyDescent="0.2">
      <c r="D738" s="18">
        <f>装备表!L883</f>
        <v>0</v>
      </c>
      <c r="E738" s="18" t="str">
        <f>IF(装备表!$O883=0,"xxx",IFERROR(IF(INT(IF($D738=E$3,装备表!$E883,"xxx")/10000)=1,IF($D738=E$3,装备表!$E883,"xxx")&amp;":2,1,1,"&amp;装备表!$O883&amp;";","xxx"),"xxx"))</f>
        <v>xxx</v>
      </c>
      <c r="F738" s="18" t="str">
        <f>IF(装备表!$O883=0,"xxx",IFERROR(IF(INT(IF($D738=F$3,装备表!$E883,"xxx")/10000)=1,IF($D738=F$3,装备表!$E883,"xxx")&amp;":2,1,1,"&amp;装备表!$O883&amp;";","xxx"),"xxx"))</f>
        <v>xxx</v>
      </c>
      <c r="G738" s="18" t="str">
        <f>IF(装备表!$O883=0,"xxx",IFERROR(IF(INT(IF($D738=G$3,装备表!$E883,"xxx")/10000)=1,IF($D738=G$3,装备表!$E883,"xxx")&amp;":2,1,1,"&amp;装备表!$O883&amp;";","xxx"),"xxx"))</f>
        <v>xxx</v>
      </c>
      <c r="H738" s="18" t="str">
        <f>IF(装备表!$O883=0,"xxx",IFERROR(IF(INT(IF($D738=H$3,装备表!$E883,"xxx")/10000)=1,IF($D738=H$3,装备表!$E883,"xxx")&amp;":2,1,1,"&amp;装备表!$O883&amp;";","xxx"),"xxx"))</f>
        <v>xxx</v>
      </c>
      <c r="I738" s="18" t="str">
        <f>IF(装备表!$O883=0,"xxx",IFERROR(IF(INT(IF($D738=I$3,装备表!$E883,"xxx")/10000)=1,IF($D738=I$3,装备表!$E883,"xxx")&amp;":2,1,1,"&amp;装备表!$O883&amp;";","xxx"),"xxx"))</f>
        <v>xxx</v>
      </c>
      <c r="J738" s="18" t="str">
        <f>IF(装备表!$O883=0,"xxx",IFERROR(IF(INT(IF($D738=J$3,装备表!$E883,"xxx")/10000)=1,IF($D738=J$3,装备表!$E883,"xxx")&amp;":2,1,1,"&amp;装备表!$O883&amp;";","xxx"),"xxx"))</f>
        <v>xxx</v>
      </c>
    </row>
    <row r="739" spans="4:10" x14ac:dyDescent="0.2">
      <c r="D739" s="18">
        <f>装备表!L884</f>
        <v>0</v>
      </c>
      <c r="E739" s="18" t="str">
        <f>IF(装备表!$O884=0,"xxx",IFERROR(IF(INT(IF($D739=E$3,装备表!$E884,"xxx")/10000)=1,IF($D739=E$3,装备表!$E884,"xxx")&amp;":2,1,1,"&amp;装备表!$O884&amp;";","xxx"),"xxx"))</f>
        <v>xxx</v>
      </c>
      <c r="F739" s="18" t="str">
        <f>IF(装备表!$O884=0,"xxx",IFERROR(IF(INT(IF($D739=F$3,装备表!$E884,"xxx")/10000)=1,IF($D739=F$3,装备表!$E884,"xxx")&amp;":2,1,1,"&amp;装备表!$O884&amp;";","xxx"),"xxx"))</f>
        <v>xxx</v>
      </c>
      <c r="G739" s="18" t="str">
        <f>IF(装备表!$O884=0,"xxx",IFERROR(IF(INT(IF($D739=G$3,装备表!$E884,"xxx")/10000)=1,IF($D739=G$3,装备表!$E884,"xxx")&amp;":2,1,1,"&amp;装备表!$O884&amp;";","xxx"),"xxx"))</f>
        <v>xxx</v>
      </c>
      <c r="H739" s="18" t="str">
        <f>IF(装备表!$O884=0,"xxx",IFERROR(IF(INT(IF($D739=H$3,装备表!$E884,"xxx")/10000)=1,IF($D739=H$3,装备表!$E884,"xxx")&amp;":2,1,1,"&amp;装备表!$O884&amp;";","xxx"),"xxx"))</f>
        <v>xxx</v>
      </c>
      <c r="I739" s="18" t="str">
        <f>IF(装备表!$O884=0,"xxx",IFERROR(IF(INT(IF($D739=I$3,装备表!$E884,"xxx")/10000)=1,IF($D739=I$3,装备表!$E884,"xxx")&amp;":2,1,1,"&amp;装备表!$O884&amp;";","xxx"),"xxx"))</f>
        <v>xxx</v>
      </c>
      <c r="J739" s="18" t="str">
        <f>IF(装备表!$O884=0,"xxx",IFERROR(IF(INT(IF($D739=J$3,装备表!$E884,"xxx")/10000)=1,IF($D739=J$3,装备表!$E884,"xxx")&amp;":2,1,1,"&amp;装备表!$O884&amp;";","xxx"),"xxx"))</f>
        <v>xxx</v>
      </c>
    </row>
    <row r="740" spans="4:10" x14ac:dyDescent="0.2">
      <c r="D740" s="18">
        <f>装备表!L885</f>
        <v>0</v>
      </c>
      <c r="E740" s="18" t="str">
        <f>IF(装备表!$O885=0,"xxx",IFERROR(IF(INT(IF($D740=E$3,装备表!$E885,"xxx")/10000)=1,IF($D740=E$3,装备表!$E885,"xxx")&amp;":2,1,1,"&amp;装备表!$O885&amp;";","xxx"),"xxx"))</f>
        <v>xxx</v>
      </c>
      <c r="F740" s="18" t="str">
        <f>IF(装备表!$O885=0,"xxx",IFERROR(IF(INT(IF($D740=F$3,装备表!$E885,"xxx")/10000)=1,IF($D740=F$3,装备表!$E885,"xxx")&amp;":2,1,1,"&amp;装备表!$O885&amp;";","xxx"),"xxx"))</f>
        <v>xxx</v>
      </c>
      <c r="G740" s="18" t="str">
        <f>IF(装备表!$O885=0,"xxx",IFERROR(IF(INT(IF($D740=G$3,装备表!$E885,"xxx")/10000)=1,IF($D740=G$3,装备表!$E885,"xxx")&amp;":2,1,1,"&amp;装备表!$O885&amp;";","xxx"),"xxx"))</f>
        <v>xxx</v>
      </c>
      <c r="H740" s="18" t="str">
        <f>IF(装备表!$O885=0,"xxx",IFERROR(IF(INT(IF($D740=H$3,装备表!$E885,"xxx")/10000)=1,IF($D740=H$3,装备表!$E885,"xxx")&amp;":2,1,1,"&amp;装备表!$O885&amp;";","xxx"),"xxx"))</f>
        <v>xxx</v>
      </c>
      <c r="I740" s="18" t="str">
        <f>IF(装备表!$O885=0,"xxx",IFERROR(IF(INT(IF($D740=I$3,装备表!$E885,"xxx")/10000)=1,IF($D740=I$3,装备表!$E885,"xxx")&amp;":2,1,1,"&amp;装备表!$O885&amp;";","xxx"),"xxx"))</f>
        <v>xxx</v>
      </c>
      <c r="J740" s="18" t="str">
        <f>IF(装备表!$O885=0,"xxx",IFERROR(IF(INT(IF($D740=J$3,装备表!$E885,"xxx")/10000)=1,IF($D740=J$3,装备表!$E885,"xxx")&amp;":2,1,1,"&amp;装备表!$O885&amp;";","xxx"),"xxx"))</f>
        <v>xxx</v>
      </c>
    </row>
    <row r="741" spans="4:10" x14ac:dyDescent="0.2">
      <c r="D741" s="18">
        <f>装备表!L886</f>
        <v>0</v>
      </c>
      <c r="E741" s="18" t="str">
        <f>IF(装备表!$O886=0,"xxx",IFERROR(IF(INT(IF($D741=E$3,装备表!$E886,"xxx")/10000)=1,IF($D741=E$3,装备表!$E886,"xxx")&amp;":2,1,1,"&amp;装备表!$O886&amp;";","xxx"),"xxx"))</f>
        <v>xxx</v>
      </c>
      <c r="F741" s="18" t="str">
        <f>IF(装备表!$O886=0,"xxx",IFERROR(IF(INT(IF($D741=F$3,装备表!$E886,"xxx")/10000)=1,IF($D741=F$3,装备表!$E886,"xxx")&amp;":2,1,1,"&amp;装备表!$O886&amp;";","xxx"),"xxx"))</f>
        <v>xxx</v>
      </c>
      <c r="G741" s="18" t="str">
        <f>IF(装备表!$O886=0,"xxx",IFERROR(IF(INT(IF($D741=G$3,装备表!$E886,"xxx")/10000)=1,IF($D741=G$3,装备表!$E886,"xxx")&amp;":2,1,1,"&amp;装备表!$O886&amp;";","xxx"),"xxx"))</f>
        <v>xxx</v>
      </c>
      <c r="H741" s="18" t="str">
        <f>IF(装备表!$O886=0,"xxx",IFERROR(IF(INT(IF($D741=H$3,装备表!$E886,"xxx")/10000)=1,IF($D741=H$3,装备表!$E886,"xxx")&amp;":2,1,1,"&amp;装备表!$O886&amp;";","xxx"),"xxx"))</f>
        <v>xxx</v>
      </c>
      <c r="I741" s="18" t="str">
        <f>IF(装备表!$O886=0,"xxx",IFERROR(IF(INT(IF($D741=I$3,装备表!$E886,"xxx")/10000)=1,IF($D741=I$3,装备表!$E886,"xxx")&amp;":2,1,1,"&amp;装备表!$O886&amp;";","xxx"),"xxx"))</f>
        <v>xxx</v>
      </c>
      <c r="J741" s="18" t="str">
        <f>IF(装备表!$O886=0,"xxx",IFERROR(IF(INT(IF($D741=J$3,装备表!$E886,"xxx")/10000)=1,IF($D741=J$3,装备表!$E886,"xxx")&amp;":2,1,1,"&amp;装备表!$O886&amp;";","xxx"),"xxx"))</f>
        <v>xxx</v>
      </c>
    </row>
    <row r="742" spans="4:10" x14ac:dyDescent="0.2">
      <c r="D742" s="18">
        <f>装备表!L887</f>
        <v>0</v>
      </c>
      <c r="E742" s="18" t="str">
        <f>IF(装备表!$O887=0,"xxx",IFERROR(IF(INT(IF($D742=E$3,装备表!$E887,"xxx")/10000)=1,IF($D742=E$3,装备表!$E887,"xxx")&amp;":2,1,1,"&amp;装备表!$O887&amp;";","xxx"),"xxx"))</f>
        <v>xxx</v>
      </c>
      <c r="F742" s="18" t="str">
        <f>IF(装备表!$O887=0,"xxx",IFERROR(IF(INT(IF($D742=F$3,装备表!$E887,"xxx")/10000)=1,IF($D742=F$3,装备表!$E887,"xxx")&amp;":2,1,1,"&amp;装备表!$O887&amp;";","xxx"),"xxx"))</f>
        <v>xxx</v>
      </c>
      <c r="G742" s="18" t="str">
        <f>IF(装备表!$O887=0,"xxx",IFERROR(IF(INT(IF($D742=G$3,装备表!$E887,"xxx")/10000)=1,IF($D742=G$3,装备表!$E887,"xxx")&amp;":2,1,1,"&amp;装备表!$O887&amp;";","xxx"),"xxx"))</f>
        <v>xxx</v>
      </c>
      <c r="H742" s="18" t="str">
        <f>IF(装备表!$O887=0,"xxx",IFERROR(IF(INT(IF($D742=H$3,装备表!$E887,"xxx")/10000)=1,IF($D742=H$3,装备表!$E887,"xxx")&amp;":2,1,1,"&amp;装备表!$O887&amp;";","xxx"),"xxx"))</f>
        <v>xxx</v>
      </c>
      <c r="I742" s="18" t="str">
        <f>IF(装备表!$O887=0,"xxx",IFERROR(IF(INT(IF($D742=I$3,装备表!$E887,"xxx")/10000)=1,IF($D742=I$3,装备表!$E887,"xxx")&amp;":2,1,1,"&amp;装备表!$O887&amp;";","xxx"),"xxx"))</f>
        <v>xxx</v>
      </c>
      <c r="J742" s="18" t="str">
        <f>IF(装备表!$O887=0,"xxx",IFERROR(IF(INT(IF($D742=J$3,装备表!$E887,"xxx")/10000)=1,IF($D742=J$3,装备表!$E887,"xxx")&amp;":2,1,1,"&amp;装备表!$O887&amp;";","xxx"),"xxx"))</f>
        <v>xxx</v>
      </c>
    </row>
    <row r="743" spans="4:10" x14ac:dyDescent="0.2">
      <c r="D743" s="18">
        <f>装备表!L888</f>
        <v>0</v>
      </c>
      <c r="E743" s="18" t="str">
        <f>IF(装备表!$O888=0,"xxx",IFERROR(IF(INT(IF($D743=E$3,装备表!$E888,"xxx")/10000)=1,IF($D743=E$3,装备表!$E888,"xxx")&amp;":2,1,1,"&amp;装备表!$O888&amp;";","xxx"),"xxx"))</f>
        <v>xxx</v>
      </c>
      <c r="F743" s="18" t="str">
        <f>IF(装备表!$O888=0,"xxx",IFERROR(IF(INT(IF($D743=F$3,装备表!$E888,"xxx")/10000)=1,IF($D743=F$3,装备表!$E888,"xxx")&amp;":2,1,1,"&amp;装备表!$O888&amp;";","xxx"),"xxx"))</f>
        <v>xxx</v>
      </c>
      <c r="G743" s="18" t="str">
        <f>IF(装备表!$O888=0,"xxx",IFERROR(IF(INT(IF($D743=G$3,装备表!$E888,"xxx")/10000)=1,IF($D743=G$3,装备表!$E888,"xxx")&amp;":2,1,1,"&amp;装备表!$O888&amp;";","xxx"),"xxx"))</f>
        <v>xxx</v>
      </c>
      <c r="H743" s="18" t="str">
        <f>IF(装备表!$O888=0,"xxx",IFERROR(IF(INT(IF($D743=H$3,装备表!$E888,"xxx")/10000)=1,IF($D743=H$3,装备表!$E888,"xxx")&amp;":2,1,1,"&amp;装备表!$O888&amp;";","xxx"),"xxx"))</f>
        <v>xxx</v>
      </c>
      <c r="I743" s="18" t="str">
        <f>IF(装备表!$O888=0,"xxx",IFERROR(IF(INT(IF($D743=I$3,装备表!$E888,"xxx")/10000)=1,IF($D743=I$3,装备表!$E888,"xxx")&amp;":2,1,1,"&amp;装备表!$O888&amp;";","xxx"),"xxx"))</f>
        <v>xxx</v>
      </c>
      <c r="J743" s="18" t="str">
        <f>IF(装备表!$O888=0,"xxx",IFERROR(IF(INT(IF($D743=J$3,装备表!$E888,"xxx")/10000)=1,IF($D743=J$3,装备表!$E888,"xxx")&amp;":2,1,1,"&amp;装备表!$O888&amp;";","xxx"),"xxx"))</f>
        <v>xxx</v>
      </c>
    </row>
    <row r="744" spans="4:10" x14ac:dyDescent="0.2">
      <c r="D744" s="18">
        <f>装备表!L889</f>
        <v>0</v>
      </c>
      <c r="E744" s="18" t="str">
        <f>IF(装备表!$O889=0,"xxx",IFERROR(IF(INT(IF($D744=E$3,装备表!$E889,"xxx")/10000)=1,IF($D744=E$3,装备表!$E889,"xxx")&amp;":2,1,1,"&amp;装备表!$O889&amp;";","xxx"),"xxx"))</f>
        <v>xxx</v>
      </c>
      <c r="F744" s="18" t="str">
        <f>IF(装备表!$O889=0,"xxx",IFERROR(IF(INT(IF($D744=F$3,装备表!$E889,"xxx")/10000)=1,IF($D744=F$3,装备表!$E889,"xxx")&amp;":2,1,1,"&amp;装备表!$O889&amp;";","xxx"),"xxx"))</f>
        <v>xxx</v>
      </c>
      <c r="G744" s="18" t="str">
        <f>IF(装备表!$O889=0,"xxx",IFERROR(IF(INT(IF($D744=G$3,装备表!$E889,"xxx")/10000)=1,IF($D744=G$3,装备表!$E889,"xxx")&amp;":2,1,1,"&amp;装备表!$O889&amp;";","xxx"),"xxx"))</f>
        <v>xxx</v>
      </c>
      <c r="H744" s="18" t="str">
        <f>IF(装备表!$O889=0,"xxx",IFERROR(IF(INT(IF($D744=H$3,装备表!$E889,"xxx")/10000)=1,IF($D744=H$3,装备表!$E889,"xxx")&amp;":2,1,1,"&amp;装备表!$O889&amp;";","xxx"),"xxx"))</f>
        <v>xxx</v>
      </c>
      <c r="I744" s="18" t="str">
        <f>IF(装备表!$O889=0,"xxx",IFERROR(IF(INT(IF($D744=I$3,装备表!$E889,"xxx")/10000)=1,IF($D744=I$3,装备表!$E889,"xxx")&amp;":2,1,1,"&amp;装备表!$O889&amp;";","xxx"),"xxx"))</f>
        <v>xxx</v>
      </c>
      <c r="J744" s="18" t="str">
        <f>IF(装备表!$O889=0,"xxx",IFERROR(IF(INT(IF($D744=J$3,装备表!$E889,"xxx")/10000)=1,IF($D744=J$3,装备表!$E889,"xxx")&amp;":2,1,1,"&amp;装备表!$O889&amp;";","xxx"),"xxx"))</f>
        <v>xxx</v>
      </c>
    </row>
    <row r="745" spans="4:10" x14ac:dyDescent="0.2">
      <c r="D745" s="18">
        <f>装备表!L890</f>
        <v>0</v>
      </c>
      <c r="E745" s="18" t="str">
        <f>IF(装备表!$O890=0,"xxx",IFERROR(IF(INT(IF($D745=E$3,装备表!$E890,"xxx")/10000)=1,IF($D745=E$3,装备表!$E890,"xxx")&amp;":2,1,1,"&amp;装备表!$O890&amp;";","xxx"),"xxx"))</f>
        <v>xxx</v>
      </c>
      <c r="F745" s="18" t="str">
        <f>IF(装备表!$O890=0,"xxx",IFERROR(IF(INT(IF($D745=F$3,装备表!$E890,"xxx")/10000)=1,IF($D745=F$3,装备表!$E890,"xxx")&amp;":2,1,1,"&amp;装备表!$O890&amp;";","xxx"),"xxx"))</f>
        <v>xxx</v>
      </c>
      <c r="G745" s="18" t="str">
        <f>IF(装备表!$O890=0,"xxx",IFERROR(IF(INT(IF($D745=G$3,装备表!$E890,"xxx")/10000)=1,IF($D745=G$3,装备表!$E890,"xxx")&amp;":2,1,1,"&amp;装备表!$O890&amp;";","xxx"),"xxx"))</f>
        <v>xxx</v>
      </c>
      <c r="H745" s="18" t="str">
        <f>IF(装备表!$O890=0,"xxx",IFERROR(IF(INT(IF($D745=H$3,装备表!$E890,"xxx")/10000)=1,IF($D745=H$3,装备表!$E890,"xxx")&amp;":2,1,1,"&amp;装备表!$O890&amp;";","xxx"),"xxx"))</f>
        <v>xxx</v>
      </c>
      <c r="I745" s="18" t="str">
        <f>IF(装备表!$O890=0,"xxx",IFERROR(IF(INT(IF($D745=I$3,装备表!$E890,"xxx")/10000)=1,IF($D745=I$3,装备表!$E890,"xxx")&amp;":2,1,1,"&amp;装备表!$O890&amp;";","xxx"),"xxx"))</f>
        <v>xxx</v>
      </c>
      <c r="J745" s="18" t="str">
        <f>IF(装备表!$O890=0,"xxx",IFERROR(IF(INT(IF($D745=J$3,装备表!$E890,"xxx")/10000)=1,IF($D745=J$3,装备表!$E890,"xxx")&amp;":2,1,1,"&amp;装备表!$O890&amp;";","xxx"),"xxx"))</f>
        <v>xxx</v>
      </c>
    </row>
    <row r="746" spans="4:10" x14ac:dyDescent="0.2">
      <c r="D746" s="18">
        <f>装备表!L891</f>
        <v>0</v>
      </c>
      <c r="E746" s="18" t="str">
        <f>IF(装备表!$O891=0,"xxx",IFERROR(IF(INT(IF($D746=E$3,装备表!$E891,"xxx")/10000)=1,IF($D746=E$3,装备表!$E891,"xxx")&amp;":2,1,1,"&amp;装备表!$O891&amp;";","xxx"),"xxx"))</f>
        <v>xxx</v>
      </c>
      <c r="F746" s="18" t="str">
        <f>IF(装备表!$O891=0,"xxx",IFERROR(IF(INT(IF($D746=F$3,装备表!$E891,"xxx")/10000)=1,IF($D746=F$3,装备表!$E891,"xxx")&amp;":2,1,1,"&amp;装备表!$O891&amp;";","xxx"),"xxx"))</f>
        <v>xxx</v>
      </c>
      <c r="G746" s="18" t="str">
        <f>IF(装备表!$O891=0,"xxx",IFERROR(IF(INT(IF($D746=G$3,装备表!$E891,"xxx")/10000)=1,IF($D746=G$3,装备表!$E891,"xxx")&amp;":2,1,1,"&amp;装备表!$O891&amp;";","xxx"),"xxx"))</f>
        <v>xxx</v>
      </c>
      <c r="H746" s="18" t="str">
        <f>IF(装备表!$O891=0,"xxx",IFERROR(IF(INT(IF($D746=H$3,装备表!$E891,"xxx")/10000)=1,IF($D746=H$3,装备表!$E891,"xxx")&amp;":2,1,1,"&amp;装备表!$O891&amp;";","xxx"),"xxx"))</f>
        <v>xxx</v>
      </c>
      <c r="I746" s="18" t="str">
        <f>IF(装备表!$O891=0,"xxx",IFERROR(IF(INT(IF($D746=I$3,装备表!$E891,"xxx")/10000)=1,IF($D746=I$3,装备表!$E891,"xxx")&amp;":2,1,1,"&amp;装备表!$O891&amp;";","xxx"),"xxx"))</f>
        <v>xxx</v>
      </c>
      <c r="J746" s="18" t="str">
        <f>IF(装备表!$O891=0,"xxx",IFERROR(IF(INT(IF($D746=J$3,装备表!$E891,"xxx")/10000)=1,IF($D746=J$3,装备表!$E891,"xxx")&amp;":2,1,1,"&amp;装备表!$O891&amp;";","xxx"),"xxx"))</f>
        <v>xxx</v>
      </c>
    </row>
    <row r="747" spans="4:10" x14ac:dyDescent="0.2">
      <c r="D747" s="18">
        <f>装备表!L892</f>
        <v>0</v>
      </c>
      <c r="E747" s="18" t="str">
        <f>IF(装备表!$O892=0,"xxx",IFERROR(IF(INT(IF($D747=E$3,装备表!$E892,"xxx")/10000)=1,IF($D747=E$3,装备表!$E892,"xxx")&amp;":2,1,1,"&amp;装备表!$O892&amp;";","xxx"),"xxx"))</f>
        <v>xxx</v>
      </c>
      <c r="F747" s="18" t="str">
        <f>IF(装备表!$O892=0,"xxx",IFERROR(IF(INT(IF($D747=F$3,装备表!$E892,"xxx")/10000)=1,IF($D747=F$3,装备表!$E892,"xxx")&amp;":2,1,1,"&amp;装备表!$O892&amp;";","xxx"),"xxx"))</f>
        <v>xxx</v>
      </c>
      <c r="G747" s="18" t="str">
        <f>IF(装备表!$O892=0,"xxx",IFERROR(IF(INT(IF($D747=G$3,装备表!$E892,"xxx")/10000)=1,IF($D747=G$3,装备表!$E892,"xxx")&amp;":2,1,1,"&amp;装备表!$O892&amp;";","xxx"),"xxx"))</f>
        <v>xxx</v>
      </c>
      <c r="H747" s="18" t="str">
        <f>IF(装备表!$O892=0,"xxx",IFERROR(IF(INT(IF($D747=H$3,装备表!$E892,"xxx")/10000)=1,IF($D747=H$3,装备表!$E892,"xxx")&amp;":2,1,1,"&amp;装备表!$O892&amp;";","xxx"),"xxx"))</f>
        <v>xxx</v>
      </c>
      <c r="I747" s="18" t="str">
        <f>IF(装备表!$O892=0,"xxx",IFERROR(IF(INT(IF($D747=I$3,装备表!$E892,"xxx")/10000)=1,IF($D747=I$3,装备表!$E892,"xxx")&amp;":2,1,1,"&amp;装备表!$O892&amp;";","xxx"),"xxx"))</f>
        <v>xxx</v>
      </c>
      <c r="J747" s="18" t="str">
        <f>IF(装备表!$O892=0,"xxx",IFERROR(IF(INT(IF($D747=J$3,装备表!$E892,"xxx")/10000)=1,IF($D747=J$3,装备表!$E892,"xxx")&amp;":2,1,1,"&amp;装备表!$O892&amp;";","xxx"),"xxx"))</f>
        <v>xxx</v>
      </c>
    </row>
    <row r="748" spans="4:10" x14ac:dyDescent="0.2">
      <c r="D748" s="18">
        <f>装备表!L893</f>
        <v>0</v>
      </c>
      <c r="E748" s="18" t="str">
        <f>IF(装备表!$O893=0,"xxx",IFERROR(IF(INT(IF($D748=E$3,装备表!$E893,"xxx")/10000)=1,IF($D748=E$3,装备表!$E893,"xxx")&amp;":2,1,1,"&amp;装备表!$O893&amp;";","xxx"),"xxx"))</f>
        <v>xxx</v>
      </c>
      <c r="F748" s="18" t="str">
        <f>IF(装备表!$O893=0,"xxx",IFERROR(IF(INT(IF($D748=F$3,装备表!$E893,"xxx")/10000)=1,IF($D748=F$3,装备表!$E893,"xxx")&amp;":2,1,1,"&amp;装备表!$O893&amp;";","xxx"),"xxx"))</f>
        <v>xxx</v>
      </c>
      <c r="G748" s="18" t="str">
        <f>IF(装备表!$O893=0,"xxx",IFERROR(IF(INT(IF($D748=G$3,装备表!$E893,"xxx")/10000)=1,IF($D748=G$3,装备表!$E893,"xxx")&amp;":2,1,1,"&amp;装备表!$O893&amp;";","xxx"),"xxx"))</f>
        <v>xxx</v>
      </c>
      <c r="H748" s="18" t="str">
        <f>IF(装备表!$O893=0,"xxx",IFERROR(IF(INT(IF($D748=H$3,装备表!$E893,"xxx")/10000)=1,IF($D748=H$3,装备表!$E893,"xxx")&amp;":2,1,1,"&amp;装备表!$O893&amp;";","xxx"),"xxx"))</f>
        <v>xxx</v>
      </c>
      <c r="I748" s="18" t="str">
        <f>IF(装备表!$O893=0,"xxx",IFERROR(IF(INT(IF($D748=I$3,装备表!$E893,"xxx")/10000)=1,IF($D748=I$3,装备表!$E893,"xxx")&amp;":2,1,1,"&amp;装备表!$O893&amp;";","xxx"),"xxx"))</f>
        <v>xxx</v>
      </c>
      <c r="J748" s="18" t="str">
        <f>IF(装备表!$O893=0,"xxx",IFERROR(IF(INT(IF($D748=J$3,装备表!$E893,"xxx")/10000)=1,IF($D748=J$3,装备表!$E893,"xxx")&amp;":2,1,1,"&amp;装备表!$O893&amp;";","xxx"),"xxx"))</f>
        <v>xxx</v>
      </c>
    </row>
    <row r="749" spans="4:10" x14ac:dyDescent="0.2">
      <c r="D749" s="18">
        <f>装备表!L894</f>
        <v>0</v>
      </c>
      <c r="E749" s="18" t="str">
        <f>IF(装备表!$O894=0,"xxx",IFERROR(IF(INT(IF($D749=E$3,装备表!$E894,"xxx")/10000)=1,IF($D749=E$3,装备表!$E894,"xxx")&amp;":2,1,1,"&amp;装备表!$O894&amp;";","xxx"),"xxx"))</f>
        <v>xxx</v>
      </c>
      <c r="F749" s="18" t="str">
        <f>IF(装备表!$O894=0,"xxx",IFERROR(IF(INT(IF($D749=F$3,装备表!$E894,"xxx")/10000)=1,IF($D749=F$3,装备表!$E894,"xxx")&amp;":2,1,1,"&amp;装备表!$O894&amp;";","xxx"),"xxx"))</f>
        <v>xxx</v>
      </c>
      <c r="G749" s="18" t="str">
        <f>IF(装备表!$O894=0,"xxx",IFERROR(IF(INT(IF($D749=G$3,装备表!$E894,"xxx")/10000)=1,IF($D749=G$3,装备表!$E894,"xxx")&amp;":2,1,1,"&amp;装备表!$O894&amp;";","xxx"),"xxx"))</f>
        <v>xxx</v>
      </c>
      <c r="H749" s="18" t="str">
        <f>IF(装备表!$O894=0,"xxx",IFERROR(IF(INT(IF($D749=H$3,装备表!$E894,"xxx")/10000)=1,IF($D749=H$3,装备表!$E894,"xxx")&amp;":2,1,1,"&amp;装备表!$O894&amp;";","xxx"),"xxx"))</f>
        <v>xxx</v>
      </c>
      <c r="I749" s="18" t="str">
        <f>IF(装备表!$O894=0,"xxx",IFERROR(IF(INT(IF($D749=I$3,装备表!$E894,"xxx")/10000)=1,IF($D749=I$3,装备表!$E894,"xxx")&amp;":2,1,1,"&amp;装备表!$O894&amp;";","xxx"),"xxx"))</f>
        <v>xxx</v>
      </c>
      <c r="J749" s="18" t="str">
        <f>IF(装备表!$O894=0,"xxx",IFERROR(IF(INT(IF($D749=J$3,装备表!$E894,"xxx")/10000)=1,IF($D749=J$3,装备表!$E894,"xxx")&amp;":2,1,1,"&amp;装备表!$O894&amp;";","xxx"),"xxx"))</f>
        <v>xxx</v>
      </c>
    </row>
    <row r="750" spans="4:10" x14ac:dyDescent="0.2">
      <c r="D750" s="18">
        <f>装备表!L895</f>
        <v>0</v>
      </c>
      <c r="E750" s="18" t="str">
        <f>IF(装备表!$O895=0,"xxx",IFERROR(IF(INT(IF($D750=E$3,装备表!$E895,"xxx")/10000)=1,IF($D750=E$3,装备表!$E895,"xxx")&amp;":2,1,1,"&amp;装备表!$O895&amp;";","xxx"),"xxx"))</f>
        <v>xxx</v>
      </c>
      <c r="F750" s="18" t="str">
        <f>IF(装备表!$O895=0,"xxx",IFERROR(IF(INT(IF($D750=F$3,装备表!$E895,"xxx")/10000)=1,IF($D750=F$3,装备表!$E895,"xxx")&amp;":2,1,1,"&amp;装备表!$O895&amp;";","xxx"),"xxx"))</f>
        <v>xxx</v>
      </c>
      <c r="G750" s="18" t="str">
        <f>IF(装备表!$O895=0,"xxx",IFERROR(IF(INT(IF($D750=G$3,装备表!$E895,"xxx")/10000)=1,IF($D750=G$3,装备表!$E895,"xxx")&amp;":2,1,1,"&amp;装备表!$O895&amp;";","xxx"),"xxx"))</f>
        <v>xxx</v>
      </c>
      <c r="H750" s="18" t="str">
        <f>IF(装备表!$O895=0,"xxx",IFERROR(IF(INT(IF($D750=H$3,装备表!$E895,"xxx")/10000)=1,IF($D750=H$3,装备表!$E895,"xxx")&amp;":2,1,1,"&amp;装备表!$O895&amp;";","xxx"),"xxx"))</f>
        <v>xxx</v>
      </c>
      <c r="I750" s="18" t="str">
        <f>IF(装备表!$O895=0,"xxx",IFERROR(IF(INT(IF($D750=I$3,装备表!$E895,"xxx")/10000)=1,IF($D750=I$3,装备表!$E895,"xxx")&amp;":2,1,1,"&amp;装备表!$O895&amp;";","xxx"),"xxx"))</f>
        <v>xxx</v>
      </c>
      <c r="J750" s="18" t="str">
        <f>IF(装备表!$O895=0,"xxx",IFERROR(IF(INT(IF($D750=J$3,装备表!$E895,"xxx")/10000)=1,IF($D750=J$3,装备表!$E895,"xxx")&amp;":2,1,1,"&amp;装备表!$O895&amp;";","xxx"),"xxx"))</f>
        <v>xxx</v>
      </c>
    </row>
    <row r="751" spans="4:10" x14ac:dyDescent="0.2">
      <c r="D751" s="18">
        <f>装备表!L896</f>
        <v>0</v>
      </c>
      <c r="E751" s="18" t="str">
        <f>IF(装备表!$O896=0,"xxx",IFERROR(IF(INT(IF($D751=E$3,装备表!$E896,"xxx")/10000)=1,IF($D751=E$3,装备表!$E896,"xxx")&amp;":2,1,1,"&amp;装备表!$O896&amp;";","xxx"),"xxx"))</f>
        <v>xxx</v>
      </c>
      <c r="F751" s="18" t="str">
        <f>IF(装备表!$O896=0,"xxx",IFERROR(IF(INT(IF($D751=F$3,装备表!$E896,"xxx")/10000)=1,IF($D751=F$3,装备表!$E896,"xxx")&amp;":2,1,1,"&amp;装备表!$O896&amp;";","xxx"),"xxx"))</f>
        <v>xxx</v>
      </c>
      <c r="G751" s="18" t="str">
        <f>IF(装备表!$O896=0,"xxx",IFERROR(IF(INT(IF($D751=G$3,装备表!$E896,"xxx")/10000)=1,IF($D751=G$3,装备表!$E896,"xxx")&amp;":2,1,1,"&amp;装备表!$O896&amp;";","xxx"),"xxx"))</f>
        <v>xxx</v>
      </c>
      <c r="H751" s="18" t="str">
        <f>IF(装备表!$O896=0,"xxx",IFERROR(IF(INT(IF($D751=H$3,装备表!$E896,"xxx")/10000)=1,IF($D751=H$3,装备表!$E896,"xxx")&amp;":2,1,1,"&amp;装备表!$O896&amp;";","xxx"),"xxx"))</f>
        <v>xxx</v>
      </c>
      <c r="I751" s="18" t="str">
        <f>IF(装备表!$O896=0,"xxx",IFERROR(IF(INT(IF($D751=I$3,装备表!$E896,"xxx")/10000)=1,IF($D751=I$3,装备表!$E896,"xxx")&amp;":2,1,1,"&amp;装备表!$O896&amp;";","xxx"),"xxx"))</f>
        <v>xxx</v>
      </c>
      <c r="J751" s="18" t="str">
        <f>IF(装备表!$O896=0,"xxx",IFERROR(IF(INT(IF($D751=J$3,装备表!$E896,"xxx")/10000)=1,IF($D751=J$3,装备表!$E896,"xxx")&amp;":2,1,1,"&amp;装备表!$O896&amp;";","xxx"),"xxx"))</f>
        <v>xxx</v>
      </c>
    </row>
    <row r="752" spans="4:10" x14ac:dyDescent="0.2">
      <c r="D752" s="18">
        <f>装备表!L897</f>
        <v>0</v>
      </c>
      <c r="E752" s="18" t="str">
        <f>IF(装备表!$O897=0,"xxx",IFERROR(IF(INT(IF($D752=E$3,装备表!$E897,"xxx")/10000)=1,IF($D752=E$3,装备表!$E897,"xxx")&amp;":2,1,1,"&amp;装备表!$O897&amp;";","xxx"),"xxx"))</f>
        <v>xxx</v>
      </c>
      <c r="F752" s="18" t="str">
        <f>IF(装备表!$O897=0,"xxx",IFERROR(IF(INT(IF($D752=F$3,装备表!$E897,"xxx")/10000)=1,IF($D752=F$3,装备表!$E897,"xxx")&amp;":2,1,1,"&amp;装备表!$O897&amp;";","xxx"),"xxx"))</f>
        <v>xxx</v>
      </c>
      <c r="G752" s="18" t="str">
        <f>IF(装备表!$O897=0,"xxx",IFERROR(IF(INT(IF($D752=G$3,装备表!$E897,"xxx")/10000)=1,IF($D752=G$3,装备表!$E897,"xxx")&amp;":2,1,1,"&amp;装备表!$O897&amp;";","xxx"),"xxx"))</f>
        <v>xxx</v>
      </c>
      <c r="H752" s="18" t="str">
        <f>IF(装备表!$O897=0,"xxx",IFERROR(IF(INT(IF($D752=H$3,装备表!$E897,"xxx")/10000)=1,IF($D752=H$3,装备表!$E897,"xxx")&amp;":2,1,1,"&amp;装备表!$O897&amp;";","xxx"),"xxx"))</f>
        <v>xxx</v>
      </c>
      <c r="I752" s="18" t="str">
        <f>IF(装备表!$O897=0,"xxx",IFERROR(IF(INT(IF($D752=I$3,装备表!$E897,"xxx")/10000)=1,IF($D752=I$3,装备表!$E897,"xxx")&amp;":2,1,1,"&amp;装备表!$O897&amp;";","xxx"),"xxx"))</f>
        <v>xxx</v>
      </c>
      <c r="J752" s="18" t="str">
        <f>IF(装备表!$O897=0,"xxx",IFERROR(IF(INT(IF($D752=J$3,装备表!$E897,"xxx")/10000)=1,IF($D752=J$3,装备表!$E897,"xxx")&amp;":2,1,1,"&amp;装备表!$O897&amp;";","xxx"),"xxx"))</f>
        <v>xxx</v>
      </c>
    </row>
    <row r="753" spans="4:10" x14ac:dyDescent="0.2">
      <c r="D753" s="18">
        <f>装备表!L898</f>
        <v>0</v>
      </c>
      <c r="E753" s="18" t="str">
        <f>IF(装备表!$O898=0,"xxx",IFERROR(IF(INT(IF($D753=E$3,装备表!$E898,"xxx")/10000)=1,IF($D753=E$3,装备表!$E898,"xxx")&amp;":2,1,1,"&amp;装备表!$O898&amp;";","xxx"),"xxx"))</f>
        <v>xxx</v>
      </c>
      <c r="F753" s="18" t="str">
        <f>IF(装备表!$O898=0,"xxx",IFERROR(IF(INT(IF($D753=F$3,装备表!$E898,"xxx")/10000)=1,IF($D753=F$3,装备表!$E898,"xxx")&amp;":2,1,1,"&amp;装备表!$O898&amp;";","xxx"),"xxx"))</f>
        <v>xxx</v>
      </c>
      <c r="G753" s="18" t="str">
        <f>IF(装备表!$O898=0,"xxx",IFERROR(IF(INT(IF($D753=G$3,装备表!$E898,"xxx")/10000)=1,IF($D753=G$3,装备表!$E898,"xxx")&amp;":2,1,1,"&amp;装备表!$O898&amp;";","xxx"),"xxx"))</f>
        <v>xxx</v>
      </c>
      <c r="H753" s="18" t="str">
        <f>IF(装备表!$O898=0,"xxx",IFERROR(IF(INT(IF($D753=H$3,装备表!$E898,"xxx")/10000)=1,IF($D753=H$3,装备表!$E898,"xxx")&amp;":2,1,1,"&amp;装备表!$O898&amp;";","xxx"),"xxx"))</f>
        <v>xxx</v>
      </c>
      <c r="I753" s="18" t="str">
        <f>IF(装备表!$O898=0,"xxx",IFERROR(IF(INT(IF($D753=I$3,装备表!$E898,"xxx")/10000)=1,IF($D753=I$3,装备表!$E898,"xxx")&amp;":2,1,1,"&amp;装备表!$O898&amp;";","xxx"),"xxx"))</f>
        <v>xxx</v>
      </c>
      <c r="J753" s="18" t="str">
        <f>IF(装备表!$O898=0,"xxx",IFERROR(IF(INT(IF($D753=J$3,装备表!$E898,"xxx")/10000)=1,IF($D753=J$3,装备表!$E898,"xxx")&amp;":2,1,1,"&amp;装备表!$O898&amp;";","xxx"),"xxx"))</f>
        <v>xxx</v>
      </c>
    </row>
    <row r="754" spans="4:10" x14ac:dyDescent="0.2">
      <c r="D754" s="18">
        <f>装备表!L899</f>
        <v>0</v>
      </c>
      <c r="E754" s="18" t="str">
        <f>IF(装备表!$O899=0,"xxx",IFERROR(IF(INT(IF($D754=E$3,装备表!$E899,"xxx")/10000)=1,IF($D754=E$3,装备表!$E899,"xxx")&amp;":2,1,1,"&amp;装备表!$O899&amp;";","xxx"),"xxx"))</f>
        <v>xxx</v>
      </c>
      <c r="F754" s="18" t="str">
        <f>IF(装备表!$O899=0,"xxx",IFERROR(IF(INT(IF($D754=F$3,装备表!$E899,"xxx")/10000)=1,IF($D754=F$3,装备表!$E899,"xxx")&amp;":2,1,1,"&amp;装备表!$O899&amp;";","xxx"),"xxx"))</f>
        <v>xxx</v>
      </c>
      <c r="G754" s="18" t="str">
        <f>IF(装备表!$O899=0,"xxx",IFERROR(IF(INT(IF($D754=G$3,装备表!$E899,"xxx")/10000)=1,IF($D754=G$3,装备表!$E899,"xxx")&amp;":2,1,1,"&amp;装备表!$O899&amp;";","xxx"),"xxx"))</f>
        <v>xxx</v>
      </c>
      <c r="H754" s="18" t="str">
        <f>IF(装备表!$O899=0,"xxx",IFERROR(IF(INT(IF($D754=H$3,装备表!$E899,"xxx")/10000)=1,IF($D754=H$3,装备表!$E899,"xxx")&amp;":2,1,1,"&amp;装备表!$O899&amp;";","xxx"),"xxx"))</f>
        <v>xxx</v>
      </c>
      <c r="I754" s="18" t="str">
        <f>IF(装备表!$O899=0,"xxx",IFERROR(IF(INT(IF($D754=I$3,装备表!$E899,"xxx")/10000)=1,IF($D754=I$3,装备表!$E899,"xxx")&amp;":2,1,1,"&amp;装备表!$O899&amp;";","xxx"),"xxx"))</f>
        <v>xxx</v>
      </c>
      <c r="J754" s="18" t="str">
        <f>IF(装备表!$O899=0,"xxx",IFERROR(IF(INT(IF($D754=J$3,装备表!$E899,"xxx")/10000)=1,IF($D754=J$3,装备表!$E899,"xxx")&amp;":2,1,1,"&amp;装备表!$O899&amp;";","xxx"),"xxx"))</f>
        <v>xxx</v>
      </c>
    </row>
    <row r="755" spans="4:10" x14ac:dyDescent="0.2">
      <c r="D755" s="18">
        <f>装备表!L900</f>
        <v>0</v>
      </c>
      <c r="E755" s="18" t="str">
        <f>IF(装备表!$O900=0,"xxx",IFERROR(IF(INT(IF($D755=E$3,装备表!$E900,"xxx")/10000)=1,IF($D755=E$3,装备表!$E900,"xxx")&amp;":2,1,1,"&amp;装备表!$O900&amp;";","xxx"),"xxx"))</f>
        <v>xxx</v>
      </c>
      <c r="F755" s="18" t="str">
        <f>IF(装备表!$O900=0,"xxx",IFERROR(IF(INT(IF($D755=F$3,装备表!$E900,"xxx")/10000)=1,IF($D755=F$3,装备表!$E900,"xxx")&amp;":2,1,1,"&amp;装备表!$O900&amp;";","xxx"),"xxx"))</f>
        <v>xxx</v>
      </c>
      <c r="G755" s="18" t="str">
        <f>IF(装备表!$O900=0,"xxx",IFERROR(IF(INT(IF($D755=G$3,装备表!$E900,"xxx")/10000)=1,IF($D755=G$3,装备表!$E900,"xxx")&amp;":2,1,1,"&amp;装备表!$O900&amp;";","xxx"),"xxx"))</f>
        <v>xxx</v>
      </c>
      <c r="H755" s="18" t="str">
        <f>IF(装备表!$O900=0,"xxx",IFERROR(IF(INT(IF($D755=H$3,装备表!$E900,"xxx")/10000)=1,IF($D755=H$3,装备表!$E900,"xxx")&amp;":2,1,1,"&amp;装备表!$O900&amp;";","xxx"),"xxx"))</f>
        <v>xxx</v>
      </c>
      <c r="I755" s="18" t="str">
        <f>IF(装备表!$O900=0,"xxx",IFERROR(IF(INT(IF($D755=I$3,装备表!$E900,"xxx")/10000)=1,IF($D755=I$3,装备表!$E900,"xxx")&amp;":2,1,1,"&amp;装备表!$O900&amp;";","xxx"),"xxx"))</f>
        <v>xxx</v>
      </c>
      <c r="J755" s="18" t="str">
        <f>IF(装备表!$O900=0,"xxx",IFERROR(IF(INT(IF($D755=J$3,装备表!$E900,"xxx")/10000)=1,IF($D755=J$3,装备表!$E900,"xxx")&amp;":2,1,1,"&amp;装备表!$O900&amp;";","xxx"),"xxx"))</f>
        <v>xxx</v>
      </c>
    </row>
    <row r="756" spans="4:10" x14ac:dyDescent="0.2">
      <c r="D756" s="18">
        <f>装备表!L901</f>
        <v>0</v>
      </c>
      <c r="E756" s="18" t="str">
        <f>IF(装备表!$O901=0,"xxx",IFERROR(IF(INT(IF($D756=E$3,装备表!$E901,"xxx")/10000)=1,IF($D756=E$3,装备表!$E901,"xxx")&amp;":2,1,1,"&amp;装备表!$O901&amp;";","xxx"),"xxx"))</f>
        <v>xxx</v>
      </c>
      <c r="F756" s="18" t="str">
        <f>IF(装备表!$O901=0,"xxx",IFERROR(IF(INT(IF($D756=F$3,装备表!$E901,"xxx")/10000)=1,IF($D756=F$3,装备表!$E901,"xxx")&amp;":2,1,1,"&amp;装备表!$O901&amp;";","xxx"),"xxx"))</f>
        <v>xxx</v>
      </c>
      <c r="G756" s="18" t="str">
        <f>IF(装备表!$O901=0,"xxx",IFERROR(IF(INT(IF($D756=G$3,装备表!$E901,"xxx")/10000)=1,IF($D756=G$3,装备表!$E901,"xxx")&amp;":2,1,1,"&amp;装备表!$O901&amp;";","xxx"),"xxx"))</f>
        <v>xxx</v>
      </c>
      <c r="H756" s="18" t="str">
        <f>IF(装备表!$O901=0,"xxx",IFERROR(IF(INT(IF($D756=H$3,装备表!$E901,"xxx")/10000)=1,IF($D756=H$3,装备表!$E901,"xxx")&amp;":2,1,1,"&amp;装备表!$O901&amp;";","xxx"),"xxx"))</f>
        <v>xxx</v>
      </c>
      <c r="I756" s="18" t="str">
        <f>IF(装备表!$O901=0,"xxx",IFERROR(IF(INT(IF($D756=I$3,装备表!$E901,"xxx")/10000)=1,IF($D756=I$3,装备表!$E901,"xxx")&amp;":2,1,1,"&amp;装备表!$O901&amp;";","xxx"),"xxx"))</f>
        <v>xxx</v>
      </c>
      <c r="J756" s="18" t="str">
        <f>IF(装备表!$O901=0,"xxx",IFERROR(IF(INT(IF($D756=J$3,装备表!$E901,"xxx")/10000)=1,IF($D756=J$3,装备表!$E901,"xxx")&amp;":2,1,1,"&amp;装备表!$O901&amp;";","xxx"),"xxx"))</f>
        <v>xxx</v>
      </c>
    </row>
    <row r="757" spans="4:10" x14ac:dyDescent="0.2">
      <c r="D757" s="18">
        <f>装备表!L902</f>
        <v>0</v>
      </c>
      <c r="E757" s="18" t="str">
        <f>IF(装备表!$O902=0,"xxx",IFERROR(IF(INT(IF($D757=E$3,装备表!$E902,"xxx")/10000)=1,IF($D757=E$3,装备表!$E902,"xxx")&amp;":2,1,1,"&amp;装备表!$O902&amp;";","xxx"),"xxx"))</f>
        <v>xxx</v>
      </c>
      <c r="F757" s="18" t="str">
        <f>IF(装备表!$O902=0,"xxx",IFERROR(IF(INT(IF($D757=F$3,装备表!$E902,"xxx")/10000)=1,IF($D757=F$3,装备表!$E902,"xxx")&amp;":2,1,1,"&amp;装备表!$O902&amp;";","xxx"),"xxx"))</f>
        <v>xxx</v>
      </c>
      <c r="G757" s="18" t="str">
        <f>IF(装备表!$O902=0,"xxx",IFERROR(IF(INT(IF($D757=G$3,装备表!$E902,"xxx")/10000)=1,IF($D757=G$3,装备表!$E902,"xxx")&amp;":2,1,1,"&amp;装备表!$O902&amp;";","xxx"),"xxx"))</f>
        <v>xxx</v>
      </c>
      <c r="H757" s="18" t="str">
        <f>IF(装备表!$O902=0,"xxx",IFERROR(IF(INT(IF($D757=H$3,装备表!$E902,"xxx")/10000)=1,IF($D757=H$3,装备表!$E902,"xxx")&amp;":2,1,1,"&amp;装备表!$O902&amp;";","xxx"),"xxx"))</f>
        <v>xxx</v>
      </c>
      <c r="I757" s="18" t="str">
        <f>IF(装备表!$O902=0,"xxx",IFERROR(IF(INT(IF($D757=I$3,装备表!$E902,"xxx")/10000)=1,IF($D757=I$3,装备表!$E902,"xxx")&amp;":2,1,1,"&amp;装备表!$O902&amp;";","xxx"),"xxx"))</f>
        <v>xxx</v>
      </c>
      <c r="J757" s="18" t="str">
        <f>IF(装备表!$O902=0,"xxx",IFERROR(IF(INT(IF($D757=J$3,装备表!$E902,"xxx")/10000)=1,IF($D757=J$3,装备表!$E902,"xxx")&amp;":2,1,1,"&amp;装备表!$O902&amp;";","xxx"),"xxx"))</f>
        <v>xxx</v>
      </c>
    </row>
    <row r="758" spans="4:10" x14ac:dyDescent="0.2">
      <c r="D758" s="18">
        <f>装备表!L903</f>
        <v>0</v>
      </c>
      <c r="E758" s="18" t="str">
        <f>IF(装备表!$O903=0,"xxx",IFERROR(IF(INT(IF($D758=E$3,装备表!$E903,"xxx")/10000)=1,IF($D758=E$3,装备表!$E903,"xxx")&amp;":2,1,1,"&amp;装备表!$O903&amp;";","xxx"),"xxx"))</f>
        <v>xxx</v>
      </c>
      <c r="F758" s="18" t="str">
        <f>IF(装备表!$O903=0,"xxx",IFERROR(IF(INT(IF($D758=F$3,装备表!$E903,"xxx")/10000)=1,IF($D758=F$3,装备表!$E903,"xxx")&amp;":2,1,1,"&amp;装备表!$O903&amp;";","xxx"),"xxx"))</f>
        <v>xxx</v>
      </c>
      <c r="G758" s="18" t="str">
        <f>IF(装备表!$O903=0,"xxx",IFERROR(IF(INT(IF($D758=G$3,装备表!$E903,"xxx")/10000)=1,IF($D758=G$3,装备表!$E903,"xxx")&amp;":2,1,1,"&amp;装备表!$O903&amp;";","xxx"),"xxx"))</f>
        <v>xxx</v>
      </c>
      <c r="H758" s="18" t="str">
        <f>IF(装备表!$O903=0,"xxx",IFERROR(IF(INT(IF($D758=H$3,装备表!$E903,"xxx")/10000)=1,IF($D758=H$3,装备表!$E903,"xxx")&amp;":2,1,1,"&amp;装备表!$O903&amp;";","xxx"),"xxx"))</f>
        <v>xxx</v>
      </c>
      <c r="I758" s="18" t="str">
        <f>IF(装备表!$O903=0,"xxx",IFERROR(IF(INT(IF($D758=I$3,装备表!$E903,"xxx")/10000)=1,IF($D758=I$3,装备表!$E903,"xxx")&amp;":2,1,1,"&amp;装备表!$O903&amp;";","xxx"),"xxx"))</f>
        <v>xxx</v>
      </c>
      <c r="J758" s="18" t="str">
        <f>IF(装备表!$O903=0,"xxx",IFERROR(IF(INT(IF($D758=J$3,装备表!$E903,"xxx")/10000)=1,IF($D758=J$3,装备表!$E903,"xxx")&amp;":2,1,1,"&amp;装备表!$O903&amp;";","xxx"),"xxx"))</f>
        <v>xxx</v>
      </c>
    </row>
    <row r="759" spans="4:10" x14ac:dyDescent="0.2">
      <c r="D759" s="18">
        <f>装备表!L904</f>
        <v>0</v>
      </c>
      <c r="E759" s="18" t="str">
        <f>IF(装备表!$O904=0,"xxx",IFERROR(IF(INT(IF($D759=E$3,装备表!$E904,"xxx")/10000)=1,IF($D759=E$3,装备表!$E904,"xxx")&amp;":2,1,1,"&amp;装备表!$O904&amp;";","xxx"),"xxx"))</f>
        <v>xxx</v>
      </c>
      <c r="F759" s="18" t="str">
        <f>IF(装备表!$O904=0,"xxx",IFERROR(IF(INT(IF($D759=F$3,装备表!$E904,"xxx")/10000)=1,IF($D759=F$3,装备表!$E904,"xxx")&amp;":2,1,1,"&amp;装备表!$O904&amp;";","xxx"),"xxx"))</f>
        <v>xxx</v>
      </c>
      <c r="G759" s="18" t="str">
        <f>IF(装备表!$O904=0,"xxx",IFERROR(IF(INT(IF($D759=G$3,装备表!$E904,"xxx")/10000)=1,IF($D759=G$3,装备表!$E904,"xxx")&amp;":2,1,1,"&amp;装备表!$O904&amp;";","xxx"),"xxx"))</f>
        <v>xxx</v>
      </c>
      <c r="H759" s="18" t="str">
        <f>IF(装备表!$O904=0,"xxx",IFERROR(IF(INT(IF($D759=H$3,装备表!$E904,"xxx")/10000)=1,IF($D759=H$3,装备表!$E904,"xxx")&amp;":2,1,1,"&amp;装备表!$O904&amp;";","xxx"),"xxx"))</f>
        <v>xxx</v>
      </c>
      <c r="I759" s="18" t="str">
        <f>IF(装备表!$O904=0,"xxx",IFERROR(IF(INT(IF($D759=I$3,装备表!$E904,"xxx")/10000)=1,IF($D759=I$3,装备表!$E904,"xxx")&amp;":2,1,1,"&amp;装备表!$O904&amp;";","xxx"),"xxx"))</f>
        <v>xxx</v>
      </c>
      <c r="J759" s="18" t="str">
        <f>IF(装备表!$O904=0,"xxx",IFERROR(IF(INT(IF($D759=J$3,装备表!$E904,"xxx")/10000)=1,IF($D759=J$3,装备表!$E904,"xxx")&amp;":2,1,1,"&amp;装备表!$O904&amp;";","xxx"),"xxx"))</f>
        <v>xxx</v>
      </c>
    </row>
    <row r="760" spans="4:10" x14ac:dyDescent="0.2">
      <c r="D760" s="18">
        <f>装备表!L905</f>
        <v>0</v>
      </c>
      <c r="E760" s="18" t="str">
        <f>IF(装备表!$O905=0,"xxx",IFERROR(IF(INT(IF($D760=E$3,装备表!$E905,"xxx")/10000)=1,IF($D760=E$3,装备表!$E905,"xxx")&amp;":2,1,1,"&amp;装备表!$O905&amp;";","xxx"),"xxx"))</f>
        <v>xxx</v>
      </c>
      <c r="F760" s="18" t="str">
        <f>IF(装备表!$O905=0,"xxx",IFERROR(IF(INT(IF($D760=F$3,装备表!$E905,"xxx")/10000)=1,IF($D760=F$3,装备表!$E905,"xxx")&amp;":2,1,1,"&amp;装备表!$O905&amp;";","xxx"),"xxx"))</f>
        <v>xxx</v>
      </c>
      <c r="G760" s="18" t="str">
        <f>IF(装备表!$O905=0,"xxx",IFERROR(IF(INT(IF($D760=G$3,装备表!$E905,"xxx")/10000)=1,IF($D760=G$3,装备表!$E905,"xxx")&amp;":2,1,1,"&amp;装备表!$O905&amp;";","xxx"),"xxx"))</f>
        <v>xxx</v>
      </c>
      <c r="H760" s="18" t="str">
        <f>IF(装备表!$O905=0,"xxx",IFERROR(IF(INT(IF($D760=H$3,装备表!$E905,"xxx")/10000)=1,IF($D760=H$3,装备表!$E905,"xxx")&amp;":2,1,1,"&amp;装备表!$O905&amp;";","xxx"),"xxx"))</f>
        <v>xxx</v>
      </c>
      <c r="I760" s="18" t="str">
        <f>IF(装备表!$O905=0,"xxx",IFERROR(IF(INT(IF($D760=I$3,装备表!$E905,"xxx")/10000)=1,IF($D760=I$3,装备表!$E905,"xxx")&amp;":2,1,1,"&amp;装备表!$O905&amp;";","xxx"),"xxx"))</f>
        <v>xxx</v>
      </c>
      <c r="J760" s="18" t="str">
        <f>IF(装备表!$O905=0,"xxx",IFERROR(IF(INT(IF($D760=J$3,装备表!$E905,"xxx")/10000)=1,IF($D760=J$3,装备表!$E905,"xxx")&amp;":2,1,1,"&amp;装备表!$O905&amp;";","xxx"),"xxx"))</f>
        <v>xxx</v>
      </c>
    </row>
    <row r="761" spans="4:10" x14ac:dyDescent="0.2">
      <c r="D761" s="18">
        <f>装备表!L906</f>
        <v>0</v>
      </c>
      <c r="E761" s="18" t="str">
        <f>IF(装备表!$O906=0,"xxx",IFERROR(IF(INT(IF($D761=E$3,装备表!$E906,"xxx")/10000)=1,IF($D761=E$3,装备表!$E906,"xxx")&amp;":2,1,1,"&amp;装备表!$O906&amp;";","xxx"),"xxx"))</f>
        <v>xxx</v>
      </c>
      <c r="F761" s="18" t="str">
        <f>IF(装备表!$O906=0,"xxx",IFERROR(IF(INT(IF($D761=F$3,装备表!$E906,"xxx")/10000)=1,IF($D761=F$3,装备表!$E906,"xxx")&amp;":2,1,1,"&amp;装备表!$O906&amp;";","xxx"),"xxx"))</f>
        <v>xxx</v>
      </c>
      <c r="G761" s="18" t="str">
        <f>IF(装备表!$O906=0,"xxx",IFERROR(IF(INT(IF($D761=G$3,装备表!$E906,"xxx")/10000)=1,IF($D761=G$3,装备表!$E906,"xxx")&amp;":2,1,1,"&amp;装备表!$O906&amp;";","xxx"),"xxx"))</f>
        <v>xxx</v>
      </c>
      <c r="H761" s="18" t="str">
        <f>IF(装备表!$O906=0,"xxx",IFERROR(IF(INT(IF($D761=H$3,装备表!$E906,"xxx")/10000)=1,IF($D761=H$3,装备表!$E906,"xxx")&amp;":2,1,1,"&amp;装备表!$O906&amp;";","xxx"),"xxx"))</f>
        <v>xxx</v>
      </c>
      <c r="I761" s="18" t="str">
        <f>IF(装备表!$O906=0,"xxx",IFERROR(IF(INT(IF($D761=I$3,装备表!$E906,"xxx")/10000)=1,IF($D761=I$3,装备表!$E906,"xxx")&amp;":2,1,1,"&amp;装备表!$O906&amp;";","xxx"),"xxx"))</f>
        <v>xxx</v>
      </c>
      <c r="J761" s="18" t="str">
        <f>IF(装备表!$O906=0,"xxx",IFERROR(IF(INT(IF($D761=J$3,装备表!$E906,"xxx")/10000)=1,IF($D761=J$3,装备表!$E906,"xxx")&amp;":2,1,1,"&amp;装备表!$O906&amp;";","xxx"),"xxx"))</f>
        <v>xxx</v>
      </c>
    </row>
    <row r="762" spans="4:10" x14ac:dyDescent="0.2">
      <c r="D762" s="18">
        <f>装备表!L907</f>
        <v>0</v>
      </c>
      <c r="E762" s="18" t="str">
        <f>IF(装备表!$O907=0,"xxx",IFERROR(IF(INT(IF($D762=E$3,装备表!$E907,"xxx")/10000)=1,IF($D762=E$3,装备表!$E907,"xxx")&amp;":2,1,1,"&amp;装备表!$O907&amp;";","xxx"),"xxx"))</f>
        <v>xxx</v>
      </c>
      <c r="F762" s="18" t="str">
        <f>IF(装备表!$O907=0,"xxx",IFERROR(IF(INT(IF($D762=F$3,装备表!$E907,"xxx")/10000)=1,IF($D762=F$3,装备表!$E907,"xxx")&amp;":2,1,1,"&amp;装备表!$O907&amp;";","xxx"),"xxx"))</f>
        <v>xxx</v>
      </c>
      <c r="G762" s="18" t="str">
        <f>IF(装备表!$O907=0,"xxx",IFERROR(IF(INT(IF($D762=G$3,装备表!$E907,"xxx")/10000)=1,IF($D762=G$3,装备表!$E907,"xxx")&amp;":2,1,1,"&amp;装备表!$O907&amp;";","xxx"),"xxx"))</f>
        <v>xxx</v>
      </c>
      <c r="H762" s="18" t="str">
        <f>IF(装备表!$O907=0,"xxx",IFERROR(IF(INT(IF($D762=H$3,装备表!$E907,"xxx")/10000)=1,IF($D762=H$3,装备表!$E907,"xxx")&amp;":2,1,1,"&amp;装备表!$O907&amp;";","xxx"),"xxx"))</f>
        <v>xxx</v>
      </c>
      <c r="I762" s="18" t="str">
        <f>IF(装备表!$O907=0,"xxx",IFERROR(IF(INT(IF($D762=I$3,装备表!$E907,"xxx")/10000)=1,IF($D762=I$3,装备表!$E907,"xxx")&amp;":2,1,1,"&amp;装备表!$O907&amp;";","xxx"),"xxx"))</f>
        <v>xxx</v>
      </c>
      <c r="J762" s="18" t="str">
        <f>IF(装备表!$O907=0,"xxx",IFERROR(IF(INT(IF($D762=J$3,装备表!$E907,"xxx")/10000)=1,IF($D762=J$3,装备表!$E907,"xxx")&amp;":2,1,1,"&amp;装备表!$O907&amp;";","xxx"),"xxx"))</f>
        <v>xxx</v>
      </c>
    </row>
    <row r="763" spans="4:10" x14ac:dyDescent="0.2">
      <c r="D763" s="18">
        <f>装备表!L908</f>
        <v>0</v>
      </c>
      <c r="E763" s="18" t="str">
        <f>IF(装备表!$O908=0,"xxx",IFERROR(IF(INT(IF($D763=E$3,装备表!$E908,"xxx")/10000)=1,IF($D763=E$3,装备表!$E908,"xxx")&amp;":2,1,1,"&amp;装备表!$O908&amp;";","xxx"),"xxx"))</f>
        <v>xxx</v>
      </c>
      <c r="F763" s="18" t="str">
        <f>IF(装备表!$O908=0,"xxx",IFERROR(IF(INT(IF($D763=F$3,装备表!$E908,"xxx")/10000)=1,IF($D763=F$3,装备表!$E908,"xxx")&amp;":2,1,1,"&amp;装备表!$O908&amp;";","xxx"),"xxx"))</f>
        <v>xxx</v>
      </c>
      <c r="G763" s="18" t="str">
        <f>IF(装备表!$O908=0,"xxx",IFERROR(IF(INT(IF($D763=G$3,装备表!$E908,"xxx")/10000)=1,IF($D763=G$3,装备表!$E908,"xxx")&amp;":2,1,1,"&amp;装备表!$O908&amp;";","xxx"),"xxx"))</f>
        <v>xxx</v>
      </c>
      <c r="H763" s="18" t="str">
        <f>IF(装备表!$O908=0,"xxx",IFERROR(IF(INT(IF($D763=H$3,装备表!$E908,"xxx")/10000)=1,IF($D763=H$3,装备表!$E908,"xxx")&amp;":2,1,1,"&amp;装备表!$O908&amp;";","xxx"),"xxx"))</f>
        <v>xxx</v>
      </c>
      <c r="I763" s="18" t="str">
        <f>IF(装备表!$O908=0,"xxx",IFERROR(IF(INT(IF($D763=I$3,装备表!$E908,"xxx")/10000)=1,IF($D763=I$3,装备表!$E908,"xxx")&amp;":2,1,1,"&amp;装备表!$O908&amp;";","xxx"),"xxx"))</f>
        <v>xxx</v>
      </c>
      <c r="J763" s="18" t="str">
        <f>IF(装备表!$O908=0,"xxx",IFERROR(IF(INT(IF($D763=J$3,装备表!$E908,"xxx")/10000)=1,IF($D763=J$3,装备表!$E908,"xxx")&amp;":2,1,1,"&amp;装备表!$O908&amp;";","xxx"),"xxx"))</f>
        <v>xxx</v>
      </c>
    </row>
    <row r="764" spans="4:10" x14ac:dyDescent="0.2">
      <c r="D764" s="18">
        <f>装备表!L909</f>
        <v>0</v>
      </c>
      <c r="E764" s="18" t="str">
        <f>IF(装备表!$O909=0,"xxx",IFERROR(IF(INT(IF($D764=E$3,装备表!$E909,"xxx")/10000)=1,IF($D764=E$3,装备表!$E909,"xxx")&amp;":2,1,1,"&amp;装备表!$O909&amp;";","xxx"),"xxx"))</f>
        <v>xxx</v>
      </c>
      <c r="F764" s="18" t="str">
        <f>IF(装备表!$O909=0,"xxx",IFERROR(IF(INT(IF($D764=F$3,装备表!$E909,"xxx")/10000)=1,IF($D764=F$3,装备表!$E909,"xxx")&amp;":2,1,1,"&amp;装备表!$O909&amp;";","xxx"),"xxx"))</f>
        <v>xxx</v>
      </c>
      <c r="G764" s="18" t="str">
        <f>IF(装备表!$O909=0,"xxx",IFERROR(IF(INT(IF($D764=G$3,装备表!$E909,"xxx")/10000)=1,IF($D764=G$3,装备表!$E909,"xxx")&amp;":2,1,1,"&amp;装备表!$O909&amp;";","xxx"),"xxx"))</f>
        <v>xxx</v>
      </c>
      <c r="H764" s="18" t="str">
        <f>IF(装备表!$O909=0,"xxx",IFERROR(IF(INT(IF($D764=H$3,装备表!$E909,"xxx")/10000)=1,IF($D764=H$3,装备表!$E909,"xxx")&amp;":2,1,1,"&amp;装备表!$O909&amp;";","xxx"),"xxx"))</f>
        <v>xxx</v>
      </c>
      <c r="I764" s="18" t="str">
        <f>IF(装备表!$O909=0,"xxx",IFERROR(IF(INT(IF($D764=I$3,装备表!$E909,"xxx")/10000)=1,IF($D764=I$3,装备表!$E909,"xxx")&amp;":2,1,1,"&amp;装备表!$O909&amp;";","xxx"),"xxx"))</f>
        <v>xxx</v>
      </c>
      <c r="J764" s="18" t="str">
        <f>IF(装备表!$O909=0,"xxx",IFERROR(IF(INT(IF($D764=J$3,装备表!$E909,"xxx")/10000)=1,IF($D764=J$3,装备表!$E909,"xxx")&amp;":2,1,1,"&amp;装备表!$O909&amp;";","xxx"),"xxx"))</f>
        <v>xxx</v>
      </c>
    </row>
    <row r="765" spans="4:10" x14ac:dyDescent="0.2">
      <c r="D765" s="18">
        <f>装备表!L910</f>
        <v>0</v>
      </c>
      <c r="E765" s="18" t="str">
        <f>IF(装备表!$O910=0,"xxx",IFERROR(IF(INT(IF($D765=E$3,装备表!$E910,"xxx")/10000)=1,IF($D765=E$3,装备表!$E910,"xxx")&amp;":2,1,1,"&amp;装备表!$O910&amp;";","xxx"),"xxx"))</f>
        <v>xxx</v>
      </c>
      <c r="F765" s="18" t="str">
        <f>IF(装备表!$O910=0,"xxx",IFERROR(IF(INT(IF($D765=F$3,装备表!$E910,"xxx")/10000)=1,IF($D765=F$3,装备表!$E910,"xxx")&amp;":2,1,1,"&amp;装备表!$O910&amp;";","xxx"),"xxx"))</f>
        <v>xxx</v>
      </c>
      <c r="G765" s="18" t="str">
        <f>IF(装备表!$O910=0,"xxx",IFERROR(IF(INT(IF($D765=G$3,装备表!$E910,"xxx")/10000)=1,IF($D765=G$3,装备表!$E910,"xxx")&amp;":2,1,1,"&amp;装备表!$O910&amp;";","xxx"),"xxx"))</f>
        <v>xxx</v>
      </c>
      <c r="H765" s="18" t="str">
        <f>IF(装备表!$O910=0,"xxx",IFERROR(IF(INT(IF($D765=H$3,装备表!$E910,"xxx")/10000)=1,IF($D765=H$3,装备表!$E910,"xxx")&amp;":2,1,1,"&amp;装备表!$O910&amp;";","xxx"),"xxx"))</f>
        <v>xxx</v>
      </c>
      <c r="I765" s="18" t="str">
        <f>IF(装备表!$O910=0,"xxx",IFERROR(IF(INT(IF($D765=I$3,装备表!$E910,"xxx")/10000)=1,IF($D765=I$3,装备表!$E910,"xxx")&amp;":2,1,1,"&amp;装备表!$O910&amp;";","xxx"),"xxx"))</f>
        <v>xxx</v>
      </c>
      <c r="J765" s="18" t="str">
        <f>IF(装备表!$O910=0,"xxx",IFERROR(IF(INT(IF($D765=J$3,装备表!$E910,"xxx")/10000)=1,IF($D765=J$3,装备表!$E910,"xxx")&amp;":2,1,1,"&amp;装备表!$O910&amp;";","xxx"),"xxx"))</f>
        <v>xxx</v>
      </c>
    </row>
    <row r="766" spans="4:10" x14ac:dyDescent="0.2">
      <c r="D766" s="18">
        <f>装备表!L911</f>
        <v>0</v>
      </c>
      <c r="E766" s="18" t="str">
        <f>IF(装备表!$O911=0,"xxx",IFERROR(IF(INT(IF($D766=E$3,装备表!$E911,"xxx")/10000)=1,IF($D766=E$3,装备表!$E911,"xxx")&amp;":2,1,1,"&amp;装备表!$O911&amp;";","xxx"),"xxx"))</f>
        <v>xxx</v>
      </c>
      <c r="F766" s="18" t="str">
        <f>IF(装备表!$O911=0,"xxx",IFERROR(IF(INT(IF($D766=F$3,装备表!$E911,"xxx")/10000)=1,IF($D766=F$3,装备表!$E911,"xxx")&amp;":2,1,1,"&amp;装备表!$O911&amp;";","xxx"),"xxx"))</f>
        <v>xxx</v>
      </c>
      <c r="G766" s="18" t="str">
        <f>IF(装备表!$O911=0,"xxx",IFERROR(IF(INT(IF($D766=G$3,装备表!$E911,"xxx")/10000)=1,IF($D766=G$3,装备表!$E911,"xxx")&amp;":2,1,1,"&amp;装备表!$O911&amp;";","xxx"),"xxx"))</f>
        <v>xxx</v>
      </c>
      <c r="H766" s="18" t="str">
        <f>IF(装备表!$O911=0,"xxx",IFERROR(IF(INT(IF($D766=H$3,装备表!$E911,"xxx")/10000)=1,IF($D766=H$3,装备表!$E911,"xxx")&amp;":2,1,1,"&amp;装备表!$O911&amp;";","xxx"),"xxx"))</f>
        <v>xxx</v>
      </c>
      <c r="I766" s="18" t="str">
        <f>IF(装备表!$O911=0,"xxx",IFERROR(IF(INT(IF($D766=I$3,装备表!$E911,"xxx")/10000)=1,IF($D766=I$3,装备表!$E911,"xxx")&amp;":2,1,1,"&amp;装备表!$O911&amp;";","xxx"),"xxx"))</f>
        <v>xxx</v>
      </c>
      <c r="J766" s="18" t="str">
        <f>IF(装备表!$O911=0,"xxx",IFERROR(IF(INT(IF($D766=J$3,装备表!$E911,"xxx")/10000)=1,IF($D766=J$3,装备表!$E911,"xxx")&amp;":2,1,1,"&amp;装备表!$O911&amp;";","xxx"),"xxx"))</f>
        <v>xxx</v>
      </c>
    </row>
    <row r="767" spans="4:10" x14ac:dyDescent="0.2">
      <c r="D767" s="18">
        <f>装备表!L912</f>
        <v>0</v>
      </c>
      <c r="E767" s="18" t="str">
        <f>IF(装备表!$O912=0,"xxx",IFERROR(IF(INT(IF($D767=E$3,装备表!$E912,"xxx")/10000)=1,IF($D767=E$3,装备表!$E912,"xxx")&amp;":2,1,1,"&amp;装备表!$O912&amp;";","xxx"),"xxx"))</f>
        <v>xxx</v>
      </c>
      <c r="F767" s="18" t="str">
        <f>IF(装备表!$O912=0,"xxx",IFERROR(IF(INT(IF($D767=F$3,装备表!$E912,"xxx")/10000)=1,IF($D767=F$3,装备表!$E912,"xxx")&amp;":2,1,1,"&amp;装备表!$O912&amp;";","xxx"),"xxx"))</f>
        <v>xxx</v>
      </c>
      <c r="G767" s="18" t="str">
        <f>IF(装备表!$O912=0,"xxx",IFERROR(IF(INT(IF($D767=G$3,装备表!$E912,"xxx")/10000)=1,IF($D767=G$3,装备表!$E912,"xxx")&amp;":2,1,1,"&amp;装备表!$O912&amp;";","xxx"),"xxx"))</f>
        <v>xxx</v>
      </c>
      <c r="H767" s="18" t="str">
        <f>IF(装备表!$O912=0,"xxx",IFERROR(IF(INT(IF($D767=H$3,装备表!$E912,"xxx")/10000)=1,IF($D767=H$3,装备表!$E912,"xxx")&amp;":2,1,1,"&amp;装备表!$O912&amp;";","xxx"),"xxx"))</f>
        <v>xxx</v>
      </c>
      <c r="I767" s="18" t="str">
        <f>IF(装备表!$O912=0,"xxx",IFERROR(IF(INT(IF($D767=I$3,装备表!$E912,"xxx")/10000)=1,IF($D767=I$3,装备表!$E912,"xxx")&amp;":2,1,1,"&amp;装备表!$O912&amp;";","xxx"),"xxx"))</f>
        <v>xxx</v>
      </c>
      <c r="J767" s="18" t="str">
        <f>IF(装备表!$O912=0,"xxx",IFERROR(IF(INT(IF($D767=J$3,装备表!$E912,"xxx")/10000)=1,IF($D767=J$3,装备表!$E912,"xxx")&amp;":2,1,1,"&amp;装备表!$O912&amp;";","xxx"),"xxx"))</f>
        <v>xxx</v>
      </c>
    </row>
    <row r="768" spans="4:10" x14ac:dyDescent="0.2">
      <c r="D768" s="18">
        <f>装备表!L913</f>
        <v>0</v>
      </c>
      <c r="E768" s="18" t="str">
        <f>IF(装备表!$O913=0,"xxx",IFERROR(IF(INT(IF($D768=E$3,装备表!$E913,"xxx")/10000)=1,IF($D768=E$3,装备表!$E913,"xxx")&amp;":2,1,1,"&amp;装备表!$O913&amp;";","xxx"),"xxx"))</f>
        <v>xxx</v>
      </c>
      <c r="F768" s="18" t="str">
        <f>IF(装备表!$O913=0,"xxx",IFERROR(IF(INT(IF($D768=F$3,装备表!$E913,"xxx")/10000)=1,IF($D768=F$3,装备表!$E913,"xxx")&amp;":2,1,1,"&amp;装备表!$O913&amp;";","xxx"),"xxx"))</f>
        <v>xxx</v>
      </c>
      <c r="G768" s="18" t="str">
        <f>IF(装备表!$O913=0,"xxx",IFERROR(IF(INT(IF($D768=G$3,装备表!$E913,"xxx")/10000)=1,IF($D768=G$3,装备表!$E913,"xxx")&amp;":2,1,1,"&amp;装备表!$O913&amp;";","xxx"),"xxx"))</f>
        <v>xxx</v>
      </c>
      <c r="H768" s="18" t="str">
        <f>IF(装备表!$O913=0,"xxx",IFERROR(IF(INT(IF($D768=H$3,装备表!$E913,"xxx")/10000)=1,IF($D768=H$3,装备表!$E913,"xxx")&amp;":2,1,1,"&amp;装备表!$O913&amp;";","xxx"),"xxx"))</f>
        <v>xxx</v>
      </c>
      <c r="I768" s="18" t="str">
        <f>IF(装备表!$O913=0,"xxx",IFERROR(IF(INT(IF($D768=I$3,装备表!$E913,"xxx")/10000)=1,IF($D768=I$3,装备表!$E913,"xxx")&amp;":2,1,1,"&amp;装备表!$O913&amp;";","xxx"),"xxx"))</f>
        <v>xxx</v>
      </c>
      <c r="J768" s="18" t="str">
        <f>IF(装备表!$O913=0,"xxx",IFERROR(IF(INT(IF($D768=J$3,装备表!$E913,"xxx")/10000)=1,IF($D768=J$3,装备表!$E913,"xxx")&amp;":2,1,1,"&amp;装备表!$O913&amp;";","xxx"),"xxx"))</f>
        <v>xxx</v>
      </c>
    </row>
    <row r="769" spans="4:10" x14ac:dyDescent="0.2">
      <c r="D769" s="18">
        <f>装备表!L914</f>
        <v>0</v>
      </c>
      <c r="E769" s="18" t="str">
        <f>IF(装备表!$O914=0,"xxx",IFERROR(IF(INT(IF($D769=E$3,装备表!$E914,"xxx")/10000)=1,IF($D769=E$3,装备表!$E914,"xxx")&amp;":2,1,1,"&amp;装备表!$O914&amp;";","xxx"),"xxx"))</f>
        <v>xxx</v>
      </c>
      <c r="F769" s="18" t="str">
        <f>IF(装备表!$O914=0,"xxx",IFERROR(IF(INT(IF($D769=F$3,装备表!$E914,"xxx")/10000)=1,IF($D769=F$3,装备表!$E914,"xxx")&amp;":2,1,1,"&amp;装备表!$O914&amp;";","xxx"),"xxx"))</f>
        <v>xxx</v>
      </c>
      <c r="G769" s="18" t="str">
        <f>IF(装备表!$O914=0,"xxx",IFERROR(IF(INT(IF($D769=G$3,装备表!$E914,"xxx")/10000)=1,IF($D769=G$3,装备表!$E914,"xxx")&amp;":2,1,1,"&amp;装备表!$O914&amp;";","xxx"),"xxx"))</f>
        <v>xxx</v>
      </c>
      <c r="H769" s="18" t="str">
        <f>IF(装备表!$O914=0,"xxx",IFERROR(IF(INT(IF($D769=H$3,装备表!$E914,"xxx")/10000)=1,IF($D769=H$3,装备表!$E914,"xxx")&amp;":2,1,1,"&amp;装备表!$O914&amp;";","xxx"),"xxx"))</f>
        <v>xxx</v>
      </c>
      <c r="I769" s="18" t="str">
        <f>IF(装备表!$O914=0,"xxx",IFERROR(IF(INT(IF($D769=I$3,装备表!$E914,"xxx")/10000)=1,IF($D769=I$3,装备表!$E914,"xxx")&amp;":2,1,1,"&amp;装备表!$O914&amp;";","xxx"),"xxx"))</f>
        <v>xxx</v>
      </c>
      <c r="J769" s="18" t="str">
        <f>IF(装备表!$O914=0,"xxx",IFERROR(IF(INT(IF($D769=J$3,装备表!$E914,"xxx")/10000)=1,IF($D769=J$3,装备表!$E914,"xxx")&amp;":2,1,1,"&amp;装备表!$O914&amp;";","xxx"),"xxx"))</f>
        <v>xxx</v>
      </c>
    </row>
    <row r="770" spans="4:10" x14ac:dyDescent="0.2">
      <c r="D770" s="18">
        <f>装备表!L915</f>
        <v>0</v>
      </c>
      <c r="E770" s="18" t="str">
        <f>IF(装备表!$O915=0,"xxx",IFERROR(IF(INT(IF($D770=E$3,装备表!$E915,"xxx")/10000)=1,IF($D770=E$3,装备表!$E915,"xxx")&amp;":2,1,1,"&amp;装备表!$O915&amp;";","xxx"),"xxx"))</f>
        <v>xxx</v>
      </c>
      <c r="F770" s="18" t="str">
        <f>IF(装备表!$O915=0,"xxx",IFERROR(IF(INT(IF($D770=F$3,装备表!$E915,"xxx")/10000)=1,IF($D770=F$3,装备表!$E915,"xxx")&amp;":2,1,1,"&amp;装备表!$O915&amp;";","xxx"),"xxx"))</f>
        <v>xxx</v>
      </c>
      <c r="G770" s="18" t="str">
        <f>IF(装备表!$O915=0,"xxx",IFERROR(IF(INT(IF($D770=G$3,装备表!$E915,"xxx")/10000)=1,IF($D770=G$3,装备表!$E915,"xxx")&amp;":2,1,1,"&amp;装备表!$O915&amp;";","xxx"),"xxx"))</f>
        <v>xxx</v>
      </c>
      <c r="H770" s="18" t="str">
        <f>IF(装备表!$O915=0,"xxx",IFERROR(IF(INT(IF($D770=H$3,装备表!$E915,"xxx")/10000)=1,IF($D770=H$3,装备表!$E915,"xxx")&amp;":2,1,1,"&amp;装备表!$O915&amp;";","xxx"),"xxx"))</f>
        <v>xxx</v>
      </c>
      <c r="I770" s="18" t="str">
        <f>IF(装备表!$O915=0,"xxx",IFERROR(IF(INT(IF($D770=I$3,装备表!$E915,"xxx")/10000)=1,IF($D770=I$3,装备表!$E915,"xxx")&amp;":2,1,1,"&amp;装备表!$O915&amp;";","xxx"),"xxx"))</f>
        <v>xxx</v>
      </c>
      <c r="J770" s="18" t="str">
        <f>IF(装备表!$O915=0,"xxx",IFERROR(IF(INT(IF($D770=J$3,装备表!$E915,"xxx")/10000)=1,IF($D770=J$3,装备表!$E915,"xxx")&amp;":2,1,1,"&amp;装备表!$O915&amp;";","xxx"),"xxx"))</f>
        <v>xxx</v>
      </c>
    </row>
    <row r="771" spans="4:10" x14ac:dyDescent="0.2">
      <c r="D771" s="18">
        <f>装备表!L916</f>
        <v>0</v>
      </c>
      <c r="E771" s="18" t="str">
        <f>IF(装备表!$O916=0,"xxx",IFERROR(IF(INT(IF($D771=E$3,装备表!$E916,"xxx")/10000)=1,IF($D771=E$3,装备表!$E916,"xxx")&amp;":2,1,1,"&amp;装备表!$O916&amp;";","xxx"),"xxx"))</f>
        <v>xxx</v>
      </c>
      <c r="F771" s="18" t="str">
        <f>IF(装备表!$O916=0,"xxx",IFERROR(IF(INT(IF($D771=F$3,装备表!$E916,"xxx")/10000)=1,IF($D771=F$3,装备表!$E916,"xxx")&amp;":2,1,1,"&amp;装备表!$O916&amp;";","xxx"),"xxx"))</f>
        <v>xxx</v>
      </c>
      <c r="G771" s="18" t="str">
        <f>IF(装备表!$O916=0,"xxx",IFERROR(IF(INT(IF($D771=G$3,装备表!$E916,"xxx")/10000)=1,IF($D771=G$3,装备表!$E916,"xxx")&amp;":2,1,1,"&amp;装备表!$O916&amp;";","xxx"),"xxx"))</f>
        <v>xxx</v>
      </c>
      <c r="H771" s="18" t="str">
        <f>IF(装备表!$O916=0,"xxx",IFERROR(IF(INT(IF($D771=H$3,装备表!$E916,"xxx")/10000)=1,IF($D771=H$3,装备表!$E916,"xxx")&amp;":2,1,1,"&amp;装备表!$O916&amp;";","xxx"),"xxx"))</f>
        <v>xxx</v>
      </c>
      <c r="I771" s="18" t="str">
        <f>IF(装备表!$O916=0,"xxx",IFERROR(IF(INT(IF($D771=I$3,装备表!$E916,"xxx")/10000)=1,IF($D771=I$3,装备表!$E916,"xxx")&amp;":2,1,1,"&amp;装备表!$O916&amp;";","xxx"),"xxx"))</f>
        <v>xxx</v>
      </c>
      <c r="J771" s="18" t="str">
        <f>IF(装备表!$O916=0,"xxx",IFERROR(IF(INT(IF($D771=J$3,装备表!$E916,"xxx")/10000)=1,IF($D771=J$3,装备表!$E916,"xxx")&amp;":2,1,1,"&amp;装备表!$O916&amp;";","xxx"),"xxx"))</f>
        <v>xxx</v>
      </c>
    </row>
    <row r="772" spans="4:10" x14ac:dyDescent="0.2">
      <c r="D772" s="18">
        <f>装备表!L917</f>
        <v>0</v>
      </c>
      <c r="E772" s="18" t="str">
        <f>IF(装备表!$O917=0,"xxx",IFERROR(IF(INT(IF($D772=E$3,装备表!$E917,"xxx")/10000)=1,IF($D772=E$3,装备表!$E917,"xxx")&amp;":2,1,1,"&amp;装备表!$O917&amp;";","xxx"),"xxx"))</f>
        <v>xxx</v>
      </c>
      <c r="F772" s="18" t="str">
        <f>IF(装备表!$O917=0,"xxx",IFERROR(IF(INT(IF($D772=F$3,装备表!$E917,"xxx")/10000)=1,IF($D772=F$3,装备表!$E917,"xxx")&amp;":2,1,1,"&amp;装备表!$O917&amp;";","xxx"),"xxx"))</f>
        <v>xxx</v>
      </c>
      <c r="G772" s="18" t="str">
        <f>IF(装备表!$O917=0,"xxx",IFERROR(IF(INT(IF($D772=G$3,装备表!$E917,"xxx")/10000)=1,IF($D772=G$3,装备表!$E917,"xxx")&amp;":2,1,1,"&amp;装备表!$O917&amp;";","xxx"),"xxx"))</f>
        <v>xxx</v>
      </c>
      <c r="H772" s="18" t="str">
        <f>IF(装备表!$O917=0,"xxx",IFERROR(IF(INT(IF($D772=H$3,装备表!$E917,"xxx")/10000)=1,IF($D772=H$3,装备表!$E917,"xxx")&amp;":2,1,1,"&amp;装备表!$O917&amp;";","xxx"),"xxx"))</f>
        <v>xxx</v>
      </c>
      <c r="I772" s="18" t="str">
        <f>IF(装备表!$O917=0,"xxx",IFERROR(IF(INT(IF($D772=I$3,装备表!$E917,"xxx")/10000)=1,IF($D772=I$3,装备表!$E917,"xxx")&amp;":2,1,1,"&amp;装备表!$O917&amp;";","xxx"),"xxx"))</f>
        <v>xxx</v>
      </c>
      <c r="J772" s="18" t="str">
        <f>IF(装备表!$O917=0,"xxx",IFERROR(IF(INT(IF($D772=J$3,装备表!$E917,"xxx")/10000)=1,IF($D772=J$3,装备表!$E917,"xxx")&amp;":2,1,1,"&amp;装备表!$O917&amp;";","xxx"),"xxx"))</f>
        <v>xxx</v>
      </c>
    </row>
    <row r="773" spans="4:10" x14ac:dyDescent="0.2">
      <c r="D773" s="18">
        <f>装备表!L918</f>
        <v>0</v>
      </c>
      <c r="E773" s="18" t="str">
        <f>IF(装备表!$O918=0,"xxx",IFERROR(IF(INT(IF($D773=E$3,装备表!$E918,"xxx")/10000)=1,IF($D773=E$3,装备表!$E918,"xxx")&amp;":2,1,1,"&amp;装备表!$O918&amp;";","xxx"),"xxx"))</f>
        <v>xxx</v>
      </c>
      <c r="F773" s="18" t="str">
        <f>IF(装备表!$O918=0,"xxx",IFERROR(IF(INT(IF($D773=F$3,装备表!$E918,"xxx")/10000)=1,IF($D773=F$3,装备表!$E918,"xxx")&amp;":2,1,1,"&amp;装备表!$O918&amp;";","xxx"),"xxx"))</f>
        <v>xxx</v>
      </c>
      <c r="G773" s="18" t="str">
        <f>IF(装备表!$O918=0,"xxx",IFERROR(IF(INT(IF($D773=G$3,装备表!$E918,"xxx")/10000)=1,IF($D773=G$3,装备表!$E918,"xxx")&amp;":2,1,1,"&amp;装备表!$O918&amp;";","xxx"),"xxx"))</f>
        <v>xxx</v>
      </c>
      <c r="H773" s="18" t="str">
        <f>IF(装备表!$O918=0,"xxx",IFERROR(IF(INT(IF($D773=H$3,装备表!$E918,"xxx")/10000)=1,IF($D773=H$3,装备表!$E918,"xxx")&amp;":2,1,1,"&amp;装备表!$O918&amp;";","xxx"),"xxx"))</f>
        <v>xxx</v>
      </c>
      <c r="I773" s="18" t="str">
        <f>IF(装备表!$O918=0,"xxx",IFERROR(IF(INT(IF($D773=I$3,装备表!$E918,"xxx")/10000)=1,IF($D773=I$3,装备表!$E918,"xxx")&amp;":2,1,1,"&amp;装备表!$O918&amp;";","xxx"),"xxx"))</f>
        <v>xxx</v>
      </c>
      <c r="J773" s="18" t="str">
        <f>IF(装备表!$O918=0,"xxx",IFERROR(IF(INT(IF($D773=J$3,装备表!$E918,"xxx")/10000)=1,IF($D773=J$3,装备表!$E918,"xxx")&amp;":2,1,1,"&amp;装备表!$O918&amp;";","xxx"),"xxx"))</f>
        <v>xxx</v>
      </c>
    </row>
    <row r="774" spans="4:10" x14ac:dyDescent="0.2">
      <c r="D774" s="18">
        <f>装备表!L919</f>
        <v>0</v>
      </c>
      <c r="E774" s="18" t="str">
        <f>IF(装备表!$O919=0,"xxx",IFERROR(IF(INT(IF($D774=E$3,装备表!$E919,"xxx")/10000)=1,IF($D774=E$3,装备表!$E919,"xxx")&amp;":2,1,1,"&amp;装备表!$O919&amp;";","xxx"),"xxx"))</f>
        <v>xxx</v>
      </c>
      <c r="F774" s="18" t="str">
        <f>IF(装备表!$O919=0,"xxx",IFERROR(IF(INT(IF($D774=F$3,装备表!$E919,"xxx")/10000)=1,IF($D774=F$3,装备表!$E919,"xxx")&amp;":2,1,1,"&amp;装备表!$O919&amp;";","xxx"),"xxx"))</f>
        <v>xxx</v>
      </c>
      <c r="G774" s="18" t="str">
        <f>IF(装备表!$O919=0,"xxx",IFERROR(IF(INT(IF($D774=G$3,装备表!$E919,"xxx")/10000)=1,IF($D774=G$3,装备表!$E919,"xxx")&amp;":2,1,1,"&amp;装备表!$O919&amp;";","xxx"),"xxx"))</f>
        <v>xxx</v>
      </c>
      <c r="H774" s="18" t="str">
        <f>IF(装备表!$O919=0,"xxx",IFERROR(IF(INT(IF($D774=H$3,装备表!$E919,"xxx")/10000)=1,IF($D774=H$3,装备表!$E919,"xxx")&amp;":2,1,1,"&amp;装备表!$O919&amp;";","xxx"),"xxx"))</f>
        <v>xxx</v>
      </c>
      <c r="I774" s="18" t="str">
        <f>IF(装备表!$O919=0,"xxx",IFERROR(IF(INT(IF($D774=I$3,装备表!$E919,"xxx")/10000)=1,IF($D774=I$3,装备表!$E919,"xxx")&amp;":2,1,1,"&amp;装备表!$O919&amp;";","xxx"),"xxx"))</f>
        <v>xxx</v>
      </c>
      <c r="J774" s="18" t="str">
        <f>IF(装备表!$O919=0,"xxx",IFERROR(IF(INT(IF($D774=J$3,装备表!$E919,"xxx")/10000)=1,IF($D774=J$3,装备表!$E919,"xxx")&amp;":2,1,1,"&amp;装备表!$O919&amp;";","xxx"),"xxx"))</f>
        <v>xxx</v>
      </c>
    </row>
    <row r="775" spans="4:10" x14ac:dyDescent="0.2">
      <c r="D775" s="18">
        <f>装备表!L920</f>
        <v>0</v>
      </c>
      <c r="E775" s="18" t="str">
        <f>IF(装备表!$O920=0,"xxx",IFERROR(IF(INT(IF($D775=E$3,装备表!$E920,"xxx")/10000)=1,IF($D775=E$3,装备表!$E920,"xxx")&amp;":2,1,1,"&amp;装备表!$O920&amp;";","xxx"),"xxx"))</f>
        <v>xxx</v>
      </c>
      <c r="F775" s="18" t="str">
        <f>IF(装备表!$O920=0,"xxx",IFERROR(IF(INT(IF($D775=F$3,装备表!$E920,"xxx")/10000)=1,IF($D775=F$3,装备表!$E920,"xxx")&amp;":2,1,1,"&amp;装备表!$O920&amp;";","xxx"),"xxx"))</f>
        <v>xxx</v>
      </c>
      <c r="G775" s="18" t="str">
        <f>IF(装备表!$O920=0,"xxx",IFERROR(IF(INT(IF($D775=G$3,装备表!$E920,"xxx")/10000)=1,IF($D775=G$3,装备表!$E920,"xxx")&amp;":2,1,1,"&amp;装备表!$O920&amp;";","xxx"),"xxx"))</f>
        <v>xxx</v>
      </c>
      <c r="H775" s="18" t="str">
        <f>IF(装备表!$O920=0,"xxx",IFERROR(IF(INT(IF($D775=H$3,装备表!$E920,"xxx")/10000)=1,IF($D775=H$3,装备表!$E920,"xxx")&amp;":2,1,1,"&amp;装备表!$O920&amp;";","xxx"),"xxx"))</f>
        <v>xxx</v>
      </c>
      <c r="I775" s="18" t="str">
        <f>IF(装备表!$O920=0,"xxx",IFERROR(IF(INT(IF($D775=I$3,装备表!$E920,"xxx")/10000)=1,IF($D775=I$3,装备表!$E920,"xxx")&amp;":2,1,1,"&amp;装备表!$O920&amp;";","xxx"),"xxx"))</f>
        <v>xxx</v>
      </c>
      <c r="J775" s="18" t="str">
        <f>IF(装备表!$O920=0,"xxx",IFERROR(IF(INT(IF($D775=J$3,装备表!$E920,"xxx")/10000)=1,IF($D775=J$3,装备表!$E920,"xxx")&amp;":2,1,1,"&amp;装备表!$O920&amp;";","xxx"),"xxx"))</f>
        <v>xxx</v>
      </c>
    </row>
    <row r="776" spans="4:10" x14ac:dyDescent="0.2">
      <c r="D776" s="18">
        <f>装备表!L921</f>
        <v>0</v>
      </c>
      <c r="E776" s="18" t="str">
        <f>IF(装备表!$O921=0,"xxx",IFERROR(IF(INT(IF($D776=E$3,装备表!$E921,"xxx")/10000)=1,IF($D776=E$3,装备表!$E921,"xxx")&amp;":2,1,1,"&amp;装备表!$O921&amp;";","xxx"),"xxx"))</f>
        <v>xxx</v>
      </c>
      <c r="F776" s="18" t="str">
        <f>IF(装备表!$O921=0,"xxx",IFERROR(IF(INT(IF($D776=F$3,装备表!$E921,"xxx")/10000)=1,IF($D776=F$3,装备表!$E921,"xxx")&amp;":2,1,1,"&amp;装备表!$O921&amp;";","xxx"),"xxx"))</f>
        <v>xxx</v>
      </c>
      <c r="G776" s="18" t="str">
        <f>IF(装备表!$O921=0,"xxx",IFERROR(IF(INT(IF($D776=G$3,装备表!$E921,"xxx")/10000)=1,IF($D776=G$3,装备表!$E921,"xxx")&amp;":2,1,1,"&amp;装备表!$O921&amp;";","xxx"),"xxx"))</f>
        <v>xxx</v>
      </c>
      <c r="H776" s="18" t="str">
        <f>IF(装备表!$O921=0,"xxx",IFERROR(IF(INT(IF($D776=H$3,装备表!$E921,"xxx")/10000)=1,IF($D776=H$3,装备表!$E921,"xxx")&amp;":2,1,1,"&amp;装备表!$O921&amp;";","xxx"),"xxx"))</f>
        <v>xxx</v>
      </c>
      <c r="I776" s="18" t="str">
        <f>IF(装备表!$O921=0,"xxx",IFERROR(IF(INT(IF($D776=I$3,装备表!$E921,"xxx")/10000)=1,IF($D776=I$3,装备表!$E921,"xxx")&amp;":2,1,1,"&amp;装备表!$O921&amp;";","xxx"),"xxx"))</f>
        <v>xxx</v>
      </c>
      <c r="J776" s="18" t="str">
        <f>IF(装备表!$O921=0,"xxx",IFERROR(IF(INT(IF($D776=J$3,装备表!$E921,"xxx")/10000)=1,IF($D776=J$3,装备表!$E921,"xxx")&amp;":2,1,1,"&amp;装备表!$O921&amp;";","xxx"),"xxx"))</f>
        <v>xxx</v>
      </c>
    </row>
    <row r="777" spans="4:10" x14ac:dyDescent="0.2">
      <c r="D777" s="18">
        <f>装备表!L922</f>
        <v>0</v>
      </c>
      <c r="E777" s="18" t="str">
        <f>IF(装备表!$O922=0,"xxx",IFERROR(IF(INT(IF($D777=E$3,装备表!$E922,"xxx")/10000)=1,IF($D777=E$3,装备表!$E922,"xxx")&amp;":2,1,1,"&amp;装备表!$O922&amp;";","xxx"),"xxx"))</f>
        <v>xxx</v>
      </c>
      <c r="F777" s="18" t="str">
        <f>IF(装备表!$O922=0,"xxx",IFERROR(IF(INT(IF($D777=F$3,装备表!$E922,"xxx")/10000)=1,IF($D777=F$3,装备表!$E922,"xxx")&amp;":2,1,1,"&amp;装备表!$O922&amp;";","xxx"),"xxx"))</f>
        <v>xxx</v>
      </c>
      <c r="G777" s="18" t="str">
        <f>IF(装备表!$O922=0,"xxx",IFERROR(IF(INT(IF($D777=G$3,装备表!$E922,"xxx")/10000)=1,IF($D777=G$3,装备表!$E922,"xxx")&amp;":2,1,1,"&amp;装备表!$O922&amp;";","xxx"),"xxx"))</f>
        <v>xxx</v>
      </c>
      <c r="H777" s="18" t="str">
        <f>IF(装备表!$O922=0,"xxx",IFERROR(IF(INT(IF($D777=H$3,装备表!$E922,"xxx")/10000)=1,IF($D777=H$3,装备表!$E922,"xxx")&amp;":2,1,1,"&amp;装备表!$O922&amp;";","xxx"),"xxx"))</f>
        <v>xxx</v>
      </c>
      <c r="I777" s="18" t="str">
        <f>IF(装备表!$O922=0,"xxx",IFERROR(IF(INT(IF($D777=I$3,装备表!$E922,"xxx")/10000)=1,IF($D777=I$3,装备表!$E922,"xxx")&amp;":2,1,1,"&amp;装备表!$O922&amp;";","xxx"),"xxx"))</f>
        <v>xxx</v>
      </c>
      <c r="J777" s="18" t="str">
        <f>IF(装备表!$O922=0,"xxx",IFERROR(IF(INT(IF($D777=J$3,装备表!$E922,"xxx")/10000)=1,IF($D777=J$3,装备表!$E922,"xxx")&amp;":2,1,1,"&amp;装备表!$O922&amp;";","xxx"),"xxx"))</f>
        <v>xxx</v>
      </c>
    </row>
    <row r="778" spans="4:10" x14ac:dyDescent="0.2">
      <c r="D778" s="18">
        <f>装备表!L923</f>
        <v>0</v>
      </c>
      <c r="E778" s="18" t="str">
        <f>IF(装备表!$O923=0,"xxx",IFERROR(IF(INT(IF($D778=E$3,装备表!$E923,"xxx")/10000)=1,IF($D778=E$3,装备表!$E923,"xxx")&amp;":2,1,1,"&amp;装备表!$O923&amp;";","xxx"),"xxx"))</f>
        <v>xxx</v>
      </c>
      <c r="F778" s="18" t="str">
        <f>IF(装备表!$O923=0,"xxx",IFERROR(IF(INT(IF($D778=F$3,装备表!$E923,"xxx")/10000)=1,IF($D778=F$3,装备表!$E923,"xxx")&amp;":2,1,1,"&amp;装备表!$O923&amp;";","xxx"),"xxx"))</f>
        <v>xxx</v>
      </c>
      <c r="G778" s="18" t="str">
        <f>IF(装备表!$O923=0,"xxx",IFERROR(IF(INT(IF($D778=G$3,装备表!$E923,"xxx")/10000)=1,IF($D778=G$3,装备表!$E923,"xxx")&amp;":2,1,1,"&amp;装备表!$O923&amp;";","xxx"),"xxx"))</f>
        <v>xxx</v>
      </c>
      <c r="H778" s="18" t="str">
        <f>IF(装备表!$O923=0,"xxx",IFERROR(IF(INT(IF($D778=H$3,装备表!$E923,"xxx")/10000)=1,IF($D778=H$3,装备表!$E923,"xxx")&amp;":2,1,1,"&amp;装备表!$O923&amp;";","xxx"),"xxx"))</f>
        <v>xxx</v>
      </c>
      <c r="I778" s="18" t="str">
        <f>IF(装备表!$O923=0,"xxx",IFERROR(IF(INT(IF($D778=I$3,装备表!$E923,"xxx")/10000)=1,IF($D778=I$3,装备表!$E923,"xxx")&amp;":2,1,1,"&amp;装备表!$O923&amp;";","xxx"),"xxx"))</f>
        <v>xxx</v>
      </c>
      <c r="J778" s="18" t="str">
        <f>IF(装备表!$O923=0,"xxx",IFERROR(IF(INT(IF($D778=J$3,装备表!$E923,"xxx")/10000)=1,IF($D778=J$3,装备表!$E923,"xxx")&amp;":2,1,1,"&amp;装备表!$O923&amp;";","xxx"),"xxx"))</f>
        <v>xxx</v>
      </c>
    </row>
    <row r="779" spans="4:10" x14ac:dyDescent="0.2">
      <c r="D779" s="18">
        <f>装备表!L924</f>
        <v>0</v>
      </c>
      <c r="E779" s="18" t="str">
        <f>IF(装备表!$O924=0,"xxx",IFERROR(IF(INT(IF($D779=E$3,装备表!$E924,"xxx")/10000)=1,IF($D779=E$3,装备表!$E924,"xxx")&amp;":2,1,1,"&amp;装备表!$O924&amp;";","xxx"),"xxx"))</f>
        <v>xxx</v>
      </c>
      <c r="F779" s="18" t="str">
        <f>IF(装备表!$O924=0,"xxx",IFERROR(IF(INT(IF($D779=F$3,装备表!$E924,"xxx")/10000)=1,IF($D779=F$3,装备表!$E924,"xxx")&amp;":2,1,1,"&amp;装备表!$O924&amp;";","xxx"),"xxx"))</f>
        <v>xxx</v>
      </c>
      <c r="G779" s="18" t="str">
        <f>IF(装备表!$O924=0,"xxx",IFERROR(IF(INT(IF($D779=G$3,装备表!$E924,"xxx")/10000)=1,IF($D779=G$3,装备表!$E924,"xxx")&amp;":2,1,1,"&amp;装备表!$O924&amp;";","xxx"),"xxx"))</f>
        <v>xxx</v>
      </c>
      <c r="H779" s="18" t="str">
        <f>IF(装备表!$O924=0,"xxx",IFERROR(IF(INT(IF($D779=H$3,装备表!$E924,"xxx")/10000)=1,IF($D779=H$3,装备表!$E924,"xxx")&amp;":2,1,1,"&amp;装备表!$O924&amp;";","xxx"),"xxx"))</f>
        <v>xxx</v>
      </c>
      <c r="I779" s="18" t="str">
        <f>IF(装备表!$O924=0,"xxx",IFERROR(IF(INT(IF($D779=I$3,装备表!$E924,"xxx")/10000)=1,IF($D779=I$3,装备表!$E924,"xxx")&amp;":2,1,1,"&amp;装备表!$O924&amp;";","xxx"),"xxx"))</f>
        <v>xxx</v>
      </c>
      <c r="J779" s="18" t="str">
        <f>IF(装备表!$O924=0,"xxx",IFERROR(IF(INT(IF($D779=J$3,装备表!$E924,"xxx")/10000)=1,IF($D779=J$3,装备表!$E924,"xxx")&amp;":2,1,1,"&amp;装备表!$O924&amp;";","xxx"),"xxx"))</f>
        <v>xxx</v>
      </c>
    </row>
    <row r="780" spans="4:10" x14ac:dyDescent="0.2">
      <c r="D780" s="18">
        <f>装备表!L925</f>
        <v>0</v>
      </c>
      <c r="E780" s="18" t="str">
        <f>IF(装备表!$O925=0,"xxx",IFERROR(IF(INT(IF($D780=E$3,装备表!$E925,"xxx")/10000)=1,IF($D780=E$3,装备表!$E925,"xxx")&amp;":2,1,1,"&amp;装备表!$O925&amp;";","xxx"),"xxx"))</f>
        <v>xxx</v>
      </c>
      <c r="F780" s="18" t="str">
        <f>IF(装备表!$O925=0,"xxx",IFERROR(IF(INT(IF($D780=F$3,装备表!$E925,"xxx")/10000)=1,IF($D780=F$3,装备表!$E925,"xxx")&amp;":2,1,1,"&amp;装备表!$O925&amp;";","xxx"),"xxx"))</f>
        <v>xxx</v>
      </c>
      <c r="G780" s="18" t="str">
        <f>IF(装备表!$O925=0,"xxx",IFERROR(IF(INT(IF($D780=G$3,装备表!$E925,"xxx")/10000)=1,IF($D780=G$3,装备表!$E925,"xxx")&amp;":2,1,1,"&amp;装备表!$O925&amp;";","xxx"),"xxx"))</f>
        <v>xxx</v>
      </c>
      <c r="H780" s="18" t="str">
        <f>IF(装备表!$O925=0,"xxx",IFERROR(IF(INT(IF($D780=H$3,装备表!$E925,"xxx")/10000)=1,IF($D780=H$3,装备表!$E925,"xxx")&amp;":2,1,1,"&amp;装备表!$O925&amp;";","xxx"),"xxx"))</f>
        <v>xxx</v>
      </c>
      <c r="I780" s="18" t="str">
        <f>IF(装备表!$O925=0,"xxx",IFERROR(IF(INT(IF($D780=I$3,装备表!$E925,"xxx")/10000)=1,IF($D780=I$3,装备表!$E925,"xxx")&amp;":2,1,1,"&amp;装备表!$O925&amp;";","xxx"),"xxx"))</f>
        <v>xxx</v>
      </c>
      <c r="J780" s="18" t="str">
        <f>IF(装备表!$O925=0,"xxx",IFERROR(IF(INT(IF($D780=J$3,装备表!$E925,"xxx")/10000)=1,IF($D780=J$3,装备表!$E925,"xxx")&amp;":2,1,1,"&amp;装备表!$O925&amp;";","xxx"),"xxx"))</f>
        <v>xxx</v>
      </c>
    </row>
    <row r="781" spans="4:10" x14ac:dyDescent="0.2">
      <c r="D781" s="18">
        <f>装备表!L926</f>
        <v>0</v>
      </c>
      <c r="E781" s="18" t="str">
        <f>IF(装备表!$O926=0,"xxx",IFERROR(IF(INT(IF($D781=E$3,装备表!$E926,"xxx")/10000)=1,IF($D781=E$3,装备表!$E926,"xxx")&amp;":2,1,1,"&amp;装备表!$O926&amp;";","xxx"),"xxx"))</f>
        <v>xxx</v>
      </c>
      <c r="F781" s="18" t="str">
        <f>IF(装备表!$O926=0,"xxx",IFERROR(IF(INT(IF($D781=F$3,装备表!$E926,"xxx")/10000)=1,IF($D781=F$3,装备表!$E926,"xxx")&amp;":2,1,1,"&amp;装备表!$O926&amp;";","xxx"),"xxx"))</f>
        <v>xxx</v>
      </c>
      <c r="G781" s="18" t="str">
        <f>IF(装备表!$O926=0,"xxx",IFERROR(IF(INT(IF($D781=G$3,装备表!$E926,"xxx")/10000)=1,IF($D781=G$3,装备表!$E926,"xxx")&amp;":2,1,1,"&amp;装备表!$O926&amp;";","xxx"),"xxx"))</f>
        <v>xxx</v>
      </c>
      <c r="H781" s="18" t="str">
        <f>IF(装备表!$O926=0,"xxx",IFERROR(IF(INT(IF($D781=H$3,装备表!$E926,"xxx")/10000)=1,IF($D781=H$3,装备表!$E926,"xxx")&amp;":2,1,1,"&amp;装备表!$O926&amp;";","xxx"),"xxx"))</f>
        <v>xxx</v>
      </c>
      <c r="I781" s="18" t="str">
        <f>IF(装备表!$O926=0,"xxx",IFERROR(IF(INT(IF($D781=I$3,装备表!$E926,"xxx")/10000)=1,IF($D781=I$3,装备表!$E926,"xxx")&amp;":2,1,1,"&amp;装备表!$O926&amp;";","xxx"),"xxx"))</f>
        <v>xxx</v>
      </c>
      <c r="J781" s="18" t="str">
        <f>IF(装备表!$O926=0,"xxx",IFERROR(IF(INT(IF($D781=J$3,装备表!$E926,"xxx")/10000)=1,IF($D781=J$3,装备表!$E926,"xxx")&amp;":2,1,1,"&amp;装备表!$O926&amp;";","xxx"),"xxx"))</f>
        <v>xxx</v>
      </c>
    </row>
    <row r="782" spans="4:10" x14ac:dyDescent="0.2">
      <c r="D782" s="18">
        <f>装备表!L927</f>
        <v>0</v>
      </c>
      <c r="E782" s="18" t="str">
        <f>IF(装备表!$O927=0,"xxx",IFERROR(IF(INT(IF($D782=E$3,装备表!$E927,"xxx")/10000)=1,IF($D782=E$3,装备表!$E927,"xxx")&amp;":2,1,1,"&amp;装备表!$O927&amp;";","xxx"),"xxx"))</f>
        <v>xxx</v>
      </c>
      <c r="F782" s="18" t="str">
        <f>IF(装备表!$O927=0,"xxx",IFERROR(IF(INT(IF($D782=F$3,装备表!$E927,"xxx")/10000)=1,IF($D782=F$3,装备表!$E927,"xxx")&amp;":2,1,1,"&amp;装备表!$O927&amp;";","xxx"),"xxx"))</f>
        <v>xxx</v>
      </c>
      <c r="G782" s="18" t="str">
        <f>IF(装备表!$O927=0,"xxx",IFERROR(IF(INT(IF($D782=G$3,装备表!$E927,"xxx")/10000)=1,IF($D782=G$3,装备表!$E927,"xxx")&amp;":2,1,1,"&amp;装备表!$O927&amp;";","xxx"),"xxx"))</f>
        <v>xxx</v>
      </c>
      <c r="H782" s="18" t="str">
        <f>IF(装备表!$O927=0,"xxx",IFERROR(IF(INT(IF($D782=H$3,装备表!$E927,"xxx")/10000)=1,IF($D782=H$3,装备表!$E927,"xxx")&amp;":2,1,1,"&amp;装备表!$O927&amp;";","xxx"),"xxx"))</f>
        <v>xxx</v>
      </c>
      <c r="I782" s="18" t="str">
        <f>IF(装备表!$O927=0,"xxx",IFERROR(IF(INT(IF($D782=I$3,装备表!$E927,"xxx")/10000)=1,IF($D782=I$3,装备表!$E927,"xxx")&amp;":2,1,1,"&amp;装备表!$O927&amp;";","xxx"),"xxx"))</f>
        <v>xxx</v>
      </c>
      <c r="J782" s="18" t="str">
        <f>IF(装备表!$O927=0,"xxx",IFERROR(IF(INT(IF($D782=J$3,装备表!$E927,"xxx")/10000)=1,IF($D782=J$3,装备表!$E927,"xxx")&amp;":2,1,1,"&amp;装备表!$O927&amp;";","xxx"),"xxx"))</f>
        <v>xxx</v>
      </c>
    </row>
    <row r="783" spans="4:10" x14ac:dyDescent="0.2">
      <c r="D783" s="18">
        <f>装备表!L928</f>
        <v>0</v>
      </c>
      <c r="E783" s="18" t="str">
        <f>IF(装备表!$O928=0,"xxx",IFERROR(IF(INT(IF($D783=E$3,装备表!$E928,"xxx")/10000)=1,IF($D783=E$3,装备表!$E928,"xxx")&amp;":2,1,1,"&amp;装备表!$O928&amp;";","xxx"),"xxx"))</f>
        <v>xxx</v>
      </c>
      <c r="F783" s="18" t="str">
        <f>IF(装备表!$O928=0,"xxx",IFERROR(IF(INT(IF($D783=F$3,装备表!$E928,"xxx")/10000)=1,IF($D783=F$3,装备表!$E928,"xxx")&amp;":2,1,1,"&amp;装备表!$O928&amp;";","xxx"),"xxx"))</f>
        <v>xxx</v>
      </c>
      <c r="G783" s="18" t="str">
        <f>IF(装备表!$O928=0,"xxx",IFERROR(IF(INT(IF($D783=G$3,装备表!$E928,"xxx")/10000)=1,IF($D783=G$3,装备表!$E928,"xxx")&amp;":2,1,1,"&amp;装备表!$O928&amp;";","xxx"),"xxx"))</f>
        <v>xxx</v>
      </c>
      <c r="H783" s="18" t="str">
        <f>IF(装备表!$O928=0,"xxx",IFERROR(IF(INT(IF($D783=H$3,装备表!$E928,"xxx")/10000)=1,IF($D783=H$3,装备表!$E928,"xxx")&amp;":2,1,1,"&amp;装备表!$O928&amp;";","xxx"),"xxx"))</f>
        <v>xxx</v>
      </c>
      <c r="I783" s="18" t="str">
        <f>IF(装备表!$O928=0,"xxx",IFERROR(IF(INT(IF($D783=I$3,装备表!$E928,"xxx")/10000)=1,IF($D783=I$3,装备表!$E928,"xxx")&amp;":2,1,1,"&amp;装备表!$O928&amp;";","xxx"),"xxx"))</f>
        <v>xxx</v>
      </c>
      <c r="J783" s="18" t="str">
        <f>IF(装备表!$O928=0,"xxx",IFERROR(IF(INT(IF($D783=J$3,装备表!$E928,"xxx")/10000)=1,IF($D783=J$3,装备表!$E928,"xxx")&amp;":2,1,1,"&amp;装备表!$O928&amp;";","xxx"),"xxx"))</f>
        <v>xxx</v>
      </c>
    </row>
    <row r="784" spans="4:10" x14ac:dyDescent="0.2">
      <c r="D784" s="18">
        <f>装备表!L929</f>
        <v>0</v>
      </c>
      <c r="E784" s="18" t="str">
        <f>IF(装备表!$O929=0,"xxx",IFERROR(IF(INT(IF($D784=E$3,装备表!$E929,"xxx")/10000)=1,IF($D784=E$3,装备表!$E929,"xxx")&amp;":2,1,1,"&amp;装备表!$O929&amp;";","xxx"),"xxx"))</f>
        <v>xxx</v>
      </c>
      <c r="F784" s="18" t="str">
        <f>IF(装备表!$O929=0,"xxx",IFERROR(IF(INT(IF($D784=F$3,装备表!$E929,"xxx")/10000)=1,IF($D784=F$3,装备表!$E929,"xxx")&amp;":2,1,1,"&amp;装备表!$O929&amp;";","xxx"),"xxx"))</f>
        <v>xxx</v>
      </c>
      <c r="G784" s="18" t="str">
        <f>IF(装备表!$O929=0,"xxx",IFERROR(IF(INT(IF($D784=G$3,装备表!$E929,"xxx")/10000)=1,IF($D784=G$3,装备表!$E929,"xxx")&amp;":2,1,1,"&amp;装备表!$O929&amp;";","xxx"),"xxx"))</f>
        <v>xxx</v>
      </c>
      <c r="H784" s="18" t="str">
        <f>IF(装备表!$O929=0,"xxx",IFERROR(IF(INT(IF($D784=H$3,装备表!$E929,"xxx")/10000)=1,IF($D784=H$3,装备表!$E929,"xxx")&amp;":2,1,1,"&amp;装备表!$O929&amp;";","xxx"),"xxx"))</f>
        <v>xxx</v>
      </c>
      <c r="I784" s="18" t="str">
        <f>IF(装备表!$O929=0,"xxx",IFERROR(IF(INT(IF($D784=I$3,装备表!$E929,"xxx")/10000)=1,IF($D784=I$3,装备表!$E929,"xxx")&amp;":2,1,1,"&amp;装备表!$O929&amp;";","xxx"),"xxx"))</f>
        <v>xxx</v>
      </c>
      <c r="J784" s="18" t="str">
        <f>IF(装备表!$O929=0,"xxx",IFERROR(IF(INT(IF($D784=J$3,装备表!$E929,"xxx")/10000)=1,IF($D784=J$3,装备表!$E929,"xxx")&amp;":2,1,1,"&amp;装备表!$O929&amp;";","xxx"),"xxx"))</f>
        <v>xxx</v>
      </c>
    </row>
    <row r="785" spans="4:10" x14ac:dyDescent="0.2">
      <c r="D785" s="18">
        <f>装备表!L930</f>
        <v>0</v>
      </c>
      <c r="E785" s="18" t="str">
        <f>IF(装备表!$O930=0,"xxx",IFERROR(IF(INT(IF($D785=E$3,装备表!$E930,"xxx")/10000)=1,IF($D785=E$3,装备表!$E930,"xxx")&amp;":2,1,1,"&amp;装备表!$O930&amp;";","xxx"),"xxx"))</f>
        <v>xxx</v>
      </c>
      <c r="F785" s="18" t="str">
        <f>IF(装备表!$O930=0,"xxx",IFERROR(IF(INT(IF($D785=F$3,装备表!$E930,"xxx")/10000)=1,IF($D785=F$3,装备表!$E930,"xxx")&amp;":2,1,1,"&amp;装备表!$O930&amp;";","xxx"),"xxx"))</f>
        <v>xxx</v>
      </c>
      <c r="G785" s="18" t="str">
        <f>IF(装备表!$O930=0,"xxx",IFERROR(IF(INT(IF($D785=G$3,装备表!$E930,"xxx")/10000)=1,IF($D785=G$3,装备表!$E930,"xxx")&amp;":2,1,1,"&amp;装备表!$O930&amp;";","xxx"),"xxx"))</f>
        <v>xxx</v>
      </c>
      <c r="H785" s="18" t="str">
        <f>IF(装备表!$O930=0,"xxx",IFERROR(IF(INT(IF($D785=H$3,装备表!$E930,"xxx")/10000)=1,IF($D785=H$3,装备表!$E930,"xxx")&amp;":2,1,1,"&amp;装备表!$O930&amp;";","xxx"),"xxx"))</f>
        <v>xxx</v>
      </c>
      <c r="I785" s="18" t="str">
        <f>IF(装备表!$O930=0,"xxx",IFERROR(IF(INT(IF($D785=I$3,装备表!$E930,"xxx")/10000)=1,IF($D785=I$3,装备表!$E930,"xxx")&amp;":2,1,1,"&amp;装备表!$O930&amp;";","xxx"),"xxx"))</f>
        <v>xxx</v>
      </c>
      <c r="J785" s="18" t="str">
        <f>IF(装备表!$O930=0,"xxx",IFERROR(IF(INT(IF($D785=J$3,装备表!$E930,"xxx")/10000)=1,IF($D785=J$3,装备表!$E930,"xxx")&amp;":2,1,1,"&amp;装备表!$O930&amp;";","xxx"),"xxx"))</f>
        <v>xxx</v>
      </c>
    </row>
    <row r="786" spans="4:10" x14ac:dyDescent="0.2">
      <c r="D786" s="18">
        <f>装备表!L931</f>
        <v>0</v>
      </c>
      <c r="E786" s="18" t="str">
        <f>IF(装备表!$O931=0,"xxx",IFERROR(IF(INT(IF($D786=E$3,装备表!$E931,"xxx")/10000)=1,IF($D786=E$3,装备表!$E931,"xxx")&amp;":2,1,1,"&amp;装备表!$O931&amp;";","xxx"),"xxx"))</f>
        <v>xxx</v>
      </c>
      <c r="F786" s="18" t="str">
        <f>IF(装备表!$O931=0,"xxx",IFERROR(IF(INT(IF($D786=F$3,装备表!$E931,"xxx")/10000)=1,IF($D786=F$3,装备表!$E931,"xxx")&amp;":2,1,1,"&amp;装备表!$O931&amp;";","xxx"),"xxx"))</f>
        <v>xxx</v>
      </c>
      <c r="G786" s="18" t="str">
        <f>IF(装备表!$O931=0,"xxx",IFERROR(IF(INT(IF($D786=G$3,装备表!$E931,"xxx")/10000)=1,IF($D786=G$3,装备表!$E931,"xxx")&amp;":2,1,1,"&amp;装备表!$O931&amp;";","xxx"),"xxx"))</f>
        <v>xxx</v>
      </c>
      <c r="H786" s="18" t="str">
        <f>IF(装备表!$O931=0,"xxx",IFERROR(IF(INT(IF($D786=H$3,装备表!$E931,"xxx")/10000)=1,IF($D786=H$3,装备表!$E931,"xxx")&amp;":2,1,1,"&amp;装备表!$O931&amp;";","xxx"),"xxx"))</f>
        <v>xxx</v>
      </c>
      <c r="I786" s="18" t="str">
        <f>IF(装备表!$O931=0,"xxx",IFERROR(IF(INT(IF($D786=I$3,装备表!$E931,"xxx")/10000)=1,IF($D786=I$3,装备表!$E931,"xxx")&amp;":2,1,1,"&amp;装备表!$O931&amp;";","xxx"),"xxx"))</f>
        <v>xxx</v>
      </c>
      <c r="J786" s="18" t="str">
        <f>IF(装备表!$O931=0,"xxx",IFERROR(IF(INT(IF($D786=J$3,装备表!$E931,"xxx")/10000)=1,IF($D786=J$3,装备表!$E931,"xxx")&amp;":2,1,1,"&amp;装备表!$O931&amp;";","xxx"),"xxx"))</f>
        <v>xxx</v>
      </c>
    </row>
    <row r="787" spans="4:10" x14ac:dyDescent="0.2">
      <c r="D787" s="18">
        <f>装备表!L932</f>
        <v>0</v>
      </c>
      <c r="E787" s="18" t="str">
        <f>IF(装备表!$O932=0,"xxx",IFERROR(IF(INT(IF($D787=E$3,装备表!$E932,"xxx")/10000)=1,IF($D787=E$3,装备表!$E932,"xxx")&amp;":2,1,1,"&amp;装备表!$O932&amp;";","xxx"),"xxx"))</f>
        <v>xxx</v>
      </c>
      <c r="F787" s="18" t="str">
        <f>IF(装备表!$O932=0,"xxx",IFERROR(IF(INT(IF($D787=F$3,装备表!$E932,"xxx")/10000)=1,IF($D787=F$3,装备表!$E932,"xxx")&amp;":2,1,1,"&amp;装备表!$O932&amp;";","xxx"),"xxx"))</f>
        <v>xxx</v>
      </c>
      <c r="G787" s="18" t="str">
        <f>IF(装备表!$O932=0,"xxx",IFERROR(IF(INT(IF($D787=G$3,装备表!$E932,"xxx")/10000)=1,IF($D787=G$3,装备表!$E932,"xxx")&amp;":2,1,1,"&amp;装备表!$O932&amp;";","xxx"),"xxx"))</f>
        <v>xxx</v>
      </c>
      <c r="H787" s="18" t="str">
        <f>IF(装备表!$O932=0,"xxx",IFERROR(IF(INT(IF($D787=H$3,装备表!$E932,"xxx")/10000)=1,IF($D787=H$3,装备表!$E932,"xxx")&amp;":2,1,1,"&amp;装备表!$O932&amp;";","xxx"),"xxx"))</f>
        <v>xxx</v>
      </c>
      <c r="I787" s="18" t="str">
        <f>IF(装备表!$O932=0,"xxx",IFERROR(IF(INT(IF($D787=I$3,装备表!$E932,"xxx")/10000)=1,IF($D787=I$3,装备表!$E932,"xxx")&amp;":2,1,1,"&amp;装备表!$O932&amp;";","xxx"),"xxx"))</f>
        <v>xxx</v>
      </c>
      <c r="J787" s="18" t="str">
        <f>IF(装备表!$O932=0,"xxx",IFERROR(IF(INT(IF($D787=J$3,装备表!$E932,"xxx")/10000)=1,IF($D787=J$3,装备表!$E932,"xxx")&amp;":2,1,1,"&amp;装备表!$O932&amp;";","xxx"),"xxx"))</f>
        <v>xxx</v>
      </c>
    </row>
    <row r="788" spans="4:10" x14ac:dyDescent="0.2">
      <c r="D788" s="18">
        <f>装备表!L933</f>
        <v>0</v>
      </c>
      <c r="E788" s="18" t="str">
        <f>IF(装备表!$O933=0,"xxx",IFERROR(IF(INT(IF($D788=E$3,装备表!$E933,"xxx")/10000)=1,IF($D788=E$3,装备表!$E933,"xxx")&amp;":2,1,1,"&amp;装备表!$O933&amp;";","xxx"),"xxx"))</f>
        <v>xxx</v>
      </c>
      <c r="F788" s="18" t="str">
        <f>IF(装备表!$O933=0,"xxx",IFERROR(IF(INT(IF($D788=F$3,装备表!$E933,"xxx")/10000)=1,IF($D788=F$3,装备表!$E933,"xxx")&amp;":2,1,1,"&amp;装备表!$O933&amp;";","xxx"),"xxx"))</f>
        <v>xxx</v>
      </c>
      <c r="G788" s="18" t="str">
        <f>IF(装备表!$O933=0,"xxx",IFERROR(IF(INT(IF($D788=G$3,装备表!$E933,"xxx")/10000)=1,IF($D788=G$3,装备表!$E933,"xxx")&amp;":2,1,1,"&amp;装备表!$O933&amp;";","xxx"),"xxx"))</f>
        <v>xxx</v>
      </c>
      <c r="H788" s="18" t="str">
        <f>IF(装备表!$O933=0,"xxx",IFERROR(IF(INT(IF($D788=H$3,装备表!$E933,"xxx")/10000)=1,IF($D788=H$3,装备表!$E933,"xxx")&amp;":2,1,1,"&amp;装备表!$O933&amp;";","xxx"),"xxx"))</f>
        <v>xxx</v>
      </c>
      <c r="I788" s="18" t="str">
        <f>IF(装备表!$O933=0,"xxx",IFERROR(IF(INT(IF($D788=I$3,装备表!$E933,"xxx")/10000)=1,IF($D788=I$3,装备表!$E933,"xxx")&amp;":2,1,1,"&amp;装备表!$O933&amp;";","xxx"),"xxx"))</f>
        <v>xxx</v>
      </c>
      <c r="J788" s="18" t="str">
        <f>IF(装备表!$O933=0,"xxx",IFERROR(IF(INT(IF($D788=J$3,装备表!$E933,"xxx")/10000)=1,IF($D788=J$3,装备表!$E933,"xxx")&amp;":2,1,1,"&amp;装备表!$O933&amp;";","xxx"),"xxx"))</f>
        <v>xxx</v>
      </c>
    </row>
    <row r="789" spans="4:10" x14ac:dyDescent="0.2">
      <c r="D789" s="18">
        <f>装备表!L934</f>
        <v>0</v>
      </c>
      <c r="E789" s="18" t="str">
        <f>IF(装备表!$O934=0,"xxx",IFERROR(IF(INT(IF($D789=E$3,装备表!$E934,"xxx")/10000)=1,IF($D789=E$3,装备表!$E934,"xxx")&amp;":2,1,1,"&amp;装备表!$O934&amp;";","xxx"),"xxx"))</f>
        <v>xxx</v>
      </c>
      <c r="F789" s="18" t="str">
        <f>IF(装备表!$O934=0,"xxx",IFERROR(IF(INT(IF($D789=F$3,装备表!$E934,"xxx")/10000)=1,IF($D789=F$3,装备表!$E934,"xxx")&amp;":2,1,1,"&amp;装备表!$O934&amp;";","xxx"),"xxx"))</f>
        <v>xxx</v>
      </c>
      <c r="G789" s="18" t="str">
        <f>IF(装备表!$O934=0,"xxx",IFERROR(IF(INT(IF($D789=G$3,装备表!$E934,"xxx")/10000)=1,IF($D789=G$3,装备表!$E934,"xxx")&amp;":2,1,1,"&amp;装备表!$O934&amp;";","xxx"),"xxx"))</f>
        <v>xxx</v>
      </c>
      <c r="H789" s="18" t="str">
        <f>IF(装备表!$O934=0,"xxx",IFERROR(IF(INT(IF($D789=H$3,装备表!$E934,"xxx")/10000)=1,IF($D789=H$3,装备表!$E934,"xxx")&amp;":2,1,1,"&amp;装备表!$O934&amp;";","xxx"),"xxx"))</f>
        <v>xxx</v>
      </c>
      <c r="I789" s="18" t="str">
        <f>IF(装备表!$O934=0,"xxx",IFERROR(IF(INT(IF($D789=I$3,装备表!$E934,"xxx")/10000)=1,IF($D789=I$3,装备表!$E934,"xxx")&amp;":2,1,1,"&amp;装备表!$O934&amp;";","xxx"),"xxx"))</f>
        <v>xxx</v>
      </c>
      <c r="J789" s="18" t="str">
        <f>IF(装备表!$O934=0,"xxx",IFERROR(IF(INT(IF($D789=J$3,装备表!$E934,"xxx")/10000)=1,IF($D789=J$3,装备表!$E934,"xxx")&amp;":2,1,1,"&amp;装备表!$O934&amp;";","xxx"),"xxx"))</f>
        <v>xxx</v>
      </c>
    </row>
    <row r="790" spans="4:10" x14ac:dyDescent="0.2">
      <c r="D790" s="18">
        <f>装备表!L935</f>
        <v>0</v>
      </c>
      <c r="E790" s="18" t="str">
        <f>IF(装备表!$O935=0,"xxx",IFERROR(IF(INT(IF($D790=E$3,装备表!$E935,"xxx")/10000)=1,IF($D790=E$3,装备表!$E935,"xxx")&amp;":2,1,1,"&amp;装备表!$O935&amp;";","xxx"),"xxx"))</f>
        <v>xxx</v>
      </c>
      <c r="F790" s="18" t="str">
        <f>IF(装备表!$O935=0,"xxx",IFERROR(IF(INT(IF($D790=F$3,装备表!$E935,"xxx")/10000)=1,IF($D790=F$3,装备表!$E935,"xxx")&amp;":2,1,1,"&amp;装备表!$O935&amp;";","xxx"),"xxx"))</f>
        <v>xxx</v>
      </c>
      <c r="G790" s="18" t="str">
        <f>IF(装备表!$O935=0,"xxx",IFERROR(IF(INT(IF($D790=G$3,装备表!$E935,"xxx")/10000)=1,IF($D790=G$3,装备表!$E935,"xxx")&amp;":2,1,1,"&amp;装备表!$O935&amp;";","xxx"),"xxx"))</f>
        <v>xxx</v>
      </c>
      <c r="H790" s="18" t="str">
        <f>IF(装备表!$O935=0,"xxx",IFERROR(IF(INT(IF($D790=H$3,装备表!$E935,"xxx")/10000)=1,IF($D790=H$3,装备表!$E935,"xxx")&amp;":2,1,1,"&amp;装备表!$O935&amp;";","xxx"),"xxx"))</f>
        <v>xxx</v>
      </c>
      <c r="I790" s="18" t="str">
        <f>IF(装备表!$O935=0,"xxx",IFERROR(IF(INT(IF($D790=I$3,装备表!$E935,"xxx")/10000)=1,IF($D790=I$3,装备表!$E935,"xxx")&amp;":2,1,1,"&amp;装备表!$O935&amp;";","xxx"),"xxx"))</f>
        <v>xxx</v>
      </c>
      <c r="J790" s="18" t="str">
        <f>IF(装备表!$O935=0,"xxx",IFERROR(IF(INT(IF($D790=J$3,装备表!$E935,"xxx")/10000)=1,IF($D790=J$3,装备表!$E935,"xxx")&amp;":2,1,1,"&amp;装备表!$O935&amp;";","xxx"),"xxx"))</f>
        <v>xxx</v>
      </c>
    </row>
    <row r="791" spans="4:10" x14ac:dyDescent="0.2">
      <c r="D791" s="18">
        <f>装备表!L936</f>
        <v>0</v>
      </c>
      <c r="E791" s="18" t="str">
        <f>IF(装备表!$O936=0,"xxx",IFERROR(IF(INT(IF($D791=E$3,装备表!$E936,"xxx")/10000)=1,IF($D791=E$3,装备表!$E936,"xxx")&amp;":2,1,1,"&amp;装备表!$O936&amp;";","xxx"),"xxx"))</f>
        <v>xxx</v>
      </c>
      <c r="F791" s="18" t="str">
        <f>IF(装备表!$O936=0,"xxx",IFERROR(IF(INT(IF($D791=F$3,装备表!$E936,"xxx")/10000)=1,IF($D791=F$3,装备表!$E936,"xxx")&amp;":2,1,1,"&amp;装备表!$O936&amp;";","xxx"),"xxx"))</f>
        <v>xxx</v>
      </c>
      <c r="G791" s="18" t="str">
        <f>IF(装备表!$O936=0,"xxx",IFERROR(IF(INT(IF($D791=G$3,装备表!$E936,"xxx")/10000)=1,IF($D791=G$3,装备表!$E936,"xxx")&amp;":2,1,1,"&amp;装备表!$O936&amp;";","xxx"),"xxx"))</f>
        <v>xxx</v>
      </c>
      <c r="H791" s="18" t="str">
        <f>IF(装备表!$O936=0,"xxx",IFERROR(IF(INT(IF($D791=H$3,装备表!$E936,"xxx")/10000)=1,IF($D791=H$3,装备表!$E936,"xxx")&amp;":2,1,1,"&amp;装备表!$O936&amp;";","xxx"),"xxx"))</f>
        <v>xxx</v>
      </c>
      <c r="I791" s="18" t="str">
        <f>IF(装备表!$O936=0,"xxx",IFERROR(IF(INT(IF($D791=I$3,装备表!$E936,"xxx")/10000)=1,IF($D791=I$3,装备表!$E936,"xxx")&amp;":2,1,1,"&amp;装备表!$O936&amp;";","xxx"),"xxx"))</f>
        <v>xxx</v>
      </c>
      <c r="J791" s="18" t="str">
        <f>IF(装备表!$O936=0,"xxx",IFERROR(IF(INT(IF($D791=J$3,装备表!$E936,"xxx")/10000)=1,IF($D791=J$3,装备表!$E936,"xxx")&amp;":2,1,1,"&amp;装备表!$O936&amp;";","xxx"),"xxx"))</f>
        <v>xxx</v>
      </c>
    </row>
    <row r="792" spans="4:10" x14ac:dyDescent="0.2">
      <c r="D792" s="18">
        <f>装备表!L937</f>
        <v>0</v>
      </c>
      <c r="E792" s="18" t="str">
        <f>IF(装备表!$O937=0,"xxx",IFERROR(IF(INT(IF($D792=E$3,装备表!$E937,"xxx")/10000)=1,IF($D792=E$3,装备表!$E937,"xxx")&amp;":2,1,1,"&amp;装备表!$O937&amp;";","xxx"),"xxx"))</f>
        <v>xxx</v>
      </c>
      <c r="F792" s="18" t="str">
        <f>IF(装备表!$O937=0,"xxx",IFERROR(IF(INT(IF($D792=F$3,装备表!$E937,"xxx")/10000)=1,IF($D792=F$3,装备表!$E937,"xxx")&amp;":2,1,1,"&amp;装备表!$O937&amp;";","xxx"),"xxx"))</f>
        <v>xxx</v>
      </c>
      <c r="G792" s="18" t="str">
        <f>IF(装备表!$O937=0,"xxx",IFERROR(IF(INT(IF($D792=G$3,装备表!$E937,"xxx")/10000)=1,IF($D792=G$3,装备表!$E937,"xxx")&amp;":2,1,1,"&amp;装备表!$O937&amp;";","xxx"),"xxx"))</f>
        <v>xxx</v>
      </c>
      <c r="H792" s="18" t="str">
        <f>IF(装备表!$O937=0,"xxx",IFERROR(IF(INT(IF($D792=H$3,装备表!$E937,"xxx")/10000)=1,IF($D792=H$3,装备表!$E937,"xxx")&amp;":2,1,1,"&amp;装备表!$O937&amp;";","xxx"),"xxx"))</f>
        <v>xxx</v>
      </c>
      <c r="I792" s="18" t="str">
        <f>IF(装备表!$O937=0,"xxx",IFERROR(IF(INT(IF($D792=I$3,装备表!$E937,"xxx")/10000)=1,IF($D792=I$3,装备表!$E937,"xxx")&amp;":2,1,1,"&amp;装备表!$O937&amp;";","xxx"),"xxx"))</f>
        <v>xxx</v>
      </c>
      <c r="J792" s="18" t="str">
        <f>IF(装备表!$O937=0,"xxx",IFERROR(IF(INT(IF($D792=J$3,装备表!$E937,"xxx")/10000)=1,IF($D792=J$3,装备表!$E937,"xxx")&amp;":2,1,1,"&amp;装备表!$O937&amp;";","xxx"),"xxx"))</f>
        <v>xxx</v>
      </c>
    </row>
    <row r="793" spans="4:10" x14ac:dyDescent="0.2">
      <c r="D793" s="18">
        <f>装备表!L938</f>
        <v>0</v>
      </c>
      <c r="E793" s="18" t="str">
        <f>IF(装备表!$O938=0,"xxx",IFERROR(IF(INT(IF($D793=E$3,装备表!$E938,"xxx")/10000)=1,IF($D793=E$3,装备表!$E938,"xxx")&amp;":2,1,1,"&amp;装备表!$O938&amp;";","xxx"),"xxx"))</f>
        <v>xxx</v>
      </c>
      <c r="F793" s="18" t="str">
        <f>IF(装备表!$O938=0,"xxx",IFERROR(IF(INT(IF($D793=F$3,装备表!$E938,"xxx")/10000)=1,IF($D793=F$3,装备表!$E938,"xxx")&amp;":2,1,1,"&amp;装备表!$O938&amp;";","xxx"),"xxx"))</f>
        <v>xxx</v>
      </c>
      <c r="G793" s="18" t="str">
        <f>IF(装备表!$O938=0,"xxx",IFERROR(IF(INT(IF($D793=G$3,装备表!$E938,"xxx")/10000)=1,IF($D793=G$3,装备表!$E938,"xxx")&amp;":2,1,1,"&amp;装备表!$O938&amp;";","xxx"),"xxx"))</f>
        <v>xxx</v>
      </c>
      <c r="H793" s="18" t="str">
        <f>IF(装备表!$O938=0,"xxx",IFERROR(IF(INT(IF($D793=H$3,装备表!$E938,"xxx")/10000)=1,IF($D793=H$3,装备表!$E938,"xxx")&amp;":2,1,1,"&amp;装备表!$O938&amp;";","xxx"),"xxx"))</f>
        <v>xxx</v>
      </c>
      <c r="I793" s="18" t="str">
        <f>IF(装备表!$O938=0,"xxx",IFERROR(IF(INT(IF($D793=I$3,装备表!$E938,"xxx")/10000)=1,IF($D793=I$3,装备表!$E938,"xxx")&amp;":2,1,1,"&amp;装备表!$O938&amp;";","xxx"),"xxx"))</f>
        <v>xxx</v>
      </c>
      <c r="J793" s="18" t="str">
        <f>IF(装备表!$O938=0,"xxx",IFERROR(IF(INT(IF($D793=J$3,装备表!$E938,"xxx")/10000)=1,IF($D793=J$3,装备表!$E938,"xxx")&amp;":2,1,1,"&amp;装备表!$O938&amp;";","xxx"),"xxx"))</f>
        <v>xxx</v>
      </c>
    </row>
    <row r="794" spans="4:10" x14ac:dyDescent="0.2">
      <c r="D794" s="18">
        <f>装备表!L939</f>
        <v>0</v>
      </c>
      <c r="E794" s="18" t="str">
        <f>IF(装备表!$O939=0,"xxx",IFERROR(IF(INT(IF($D794=E$3,装备表!$E939,"xxx")/10000)=1,IF($D794=E$3,装备表!$E939,"xxx")&amp;":2,1,1,"&amp;装备表!$O939&amp;";","xxx"),"xxx"))</f>
        <v>xxx</v>
      </c>
      <c r="F794" s="18" t="str">
        <f>IF(装备表!$O939=0,"xxx",IFERROR(IF(INT(IF($D794=F$3,装备表!$E939,"xxx")/10000)=1,IF($D794=F$3,装备表!$E939,"xxx")&amp;":2,1,1,"&amp;装备表!$O939&amp;";","xxx"),"xxx"))</f>
        <v>xxx</v>
      </c>
      <c r="G794" s="18" t="str">
        <f>IF(装备表!$O939=0,"xxx",IFERROR(IF(INT(IF($D794=G$3,装备表!$E939,"xxx")/10000)=1,IF($D794=G$3,装备表!$E939,"xxx")&amp;":2,1,1,"&amp;装备表!$O939&amp;";","xxx"),"xxx"))</f>
        <v>xxx</v>
      </c>
      <c r="H794" s="18" t="str">
        <f>IF(装备表!$O939=0,"xxx",IFERROR(IF(INT(IF($D794=H$3,装备表!$E939,"xxx")/10000)=1,IF($D794=H$3,装备表!$E939,"xxx")&amp;":2,1,1,"&amp;装备表!$O939&amp;";","xxx"),"xxx"))</f>
        <v>xxx</v>
      </c>
      <c r="I794" s="18" t="str">
        <f>IF(装备表!$O939=0,"xxx",IFERROR(IF(INT(IF($D794=I$3,装备表!$E939,"xxx")/10000)=1,IF($D794=I$3,装备表!$E939,"xxx")&amp;":2,1,1,"&amp;装备表!$O939&amp;";","xxx"),"xxx"))</f>
        <v>xxx</v>
      </c>
      <c r="J794" s="18" t="str">
        <f>IF(装备表!$O939=0,"xxx",IFERROR(IF(INT(IF($D794=J$3,装备表!$E939,"xxx")/10000)=1,IF($D794=J$3,装备表!$E939,"xxx")&amp;":2,1,1,"&amp;装备表!$O939&amp;";","xxx"),"xxx"))</f>
        <v>xxx</v>
      </c>
    </row>
    <row r="795" spans="4:10" x14ac:dyDescent="0.2">
      <c r="D795" s="18">
        <f>装备表!L940</f>
        <v>0</v>
      </c>
      <c r="E795" s="18" t="str">
        <f>IF(装备表!$O940=0,"xxx",IFERROR(IF(INT(IF($D795=E$3,装备表!$E940,"xxx")/10000)=1,IF($D795=E$3,装备表!$E940,"xxx")&amp;":2,1,1,"&amp;装备表!$O940&amp;";","xxx"),"xxx"))</f>
        <v>xxx</v>
      </c>
      <c r="F795" s="18" t="str">
        <f>IF(装备表!$O940=0,"xxx",IFERROR(IF(INT(IF($D795=F$3,装备表!$E940,"xxx")/10000)=1,IF($D795=F$3,装备表!$E940,"xxx")&amp;":2,1,1,"&amp;装备表!$O940&amp;";","xxx"),"xxx"))</f>
        <v>xxx</v>
      </c>
      <c r="G795" s="18" t="str">
        <f>IF(装备表!$O940=0,"xxx",IFERROR(IF(INT(IF($D795=G$3,装备表!$E940,"xxx")/10000)=1,IF($D795=G$3,装备表!$E940,"xxx")&amp;":2,1,1,"&amp;装备表!$O940&amp;";","xxx"),"xxx"))</f>
        <v>xxx</v>
      </c>
      <c r="H795" s="18" t="str">
        <f>IF(装备表!$O940=0,"xxx",IFERROR(IF(INT(IF($D795=H$3,装备表!$E940,"xxx")/10000)=1,IF($D795=H$3,装备表!$E940,"xxx")&amp;":2,1,1,"&amp;装备表!$O940&amp;";","xxx"),"xxx"))</f>
        <v>xxx</v>
      </c>
      <c r="I795" s="18" t="str">
        <f>IF(装备表!$O940=0,"xxx",IFERROR(IF(INT(IF($D795=I$3,装备表!$E940,"xxx")/10000)=1,IF($D795=I$3,装备表!$E940,"xxx")&amp;":2,1,1,"&amp;装备表!$O940&amp;";","xxx"),"xxx"))</f>
        <v>xxx</v>
      </c>
      <c r="J795" s="18" t="str">
        <f>IF(装备表!$O940=0,"xxx",IFERROR(IF(INT(IF($D795=J$3,装备表!$E940,"xxx")/10000)=1,IF($D795=J$3,装备表!$E940,"xxx")&amp;":2,1,1,"&amp;装备表!$O940&amp;";","xxx"),"xxx"))</f>
        <v>xxx</v>
      </c>
    </row>
    <row r="796" spans="4:10" x14ac:dyDescent="0.2">
      <c r="D796" s="18">
        <f>装备表!L941</f>
        <v>0</v>
      </c>
      <c r="E796" s="18" t="str">
        <f>IF(装备表!$O941=0,"xxx",IFERROR(IF(INT(IF($D796=E$3,装备表!$E941,"xxx")/10000)=1,IF($D796=E$3,装备表!$E941,"xxx")&amp;":2,1,1,"&amp;装备表!$O941&amp;";","xxx"),"xxx"))</f>
        <v>xxx</v>
      </c>
      <c r="F796" s="18" t="str">
        <f>IF(装备表!$O941=0,"xxx",IFERROR(IF(INT(IF($D796=F$3,装备表!$E941,"xxx")/10000)=1,IF($D796=F$3,装备表!$E941,"xxx")&amp;":2,1,1,"&amp;装备表!$O941&amp;";","xxx"),"xxx"))</f>
        <v>xxx</v>
      </c>
      <c r="G796" s="18" t="str">
        <f>IF(装备表!$O941=0,"xxx",IFERROR(IF(INT(IF($D796=G$3,装备表!$E941,"xxx")/10000)=1,IF($D796=G$3,装备表!$E941,"xxx")&amp;":2,1,1,"&amp;装备表!$O941&amp;";","xxx"),"xxx"))</f>
        <v>xxx</v>
      </c>
      <c r="H796" s="18" t="str">
        <f>IF(装备表!$O941=0,"xxx",IFERROR(IF(INT(IF($D796=H$3,装备表!$E941,"xxx")/10000)=1,IF($D796=H$3,装备表!$E941,"xxx")&amp;":2,1,1,"&amp;装备表!$O941&amp;";","xxx"),"xxx"))</f>
        <v>xxx</v>
      </c>
      <c r="I796" s="18" t="str">
        <f>IF(装备表!$O941=0,"xxx",IFERROR(IF(INT(IF($D796=I$3,装备表!$E941,"xxx")/10000)=1,IF($D796=I$3,装备表!$E941,"xxx")&amp;":2,1,1,"&amp;装备表!$O941&amp;";","xxx"),"xxx"))</f>
        <v>xxx</v>
      </c>
      <c r="J796" s="18" t="str">
        <f>IF(装备表!$O941=0,"xxx",IFERROR(IF(INT(IF($D796=J$3,装备表!$E941,"xxx")/10000)=1,IF($D796=J$3,装备表!$E941,"xxx")&amp;":2,1,1,"&amp;装备表!$O941&amp;";","xxx"),"xxx"))</f>
        <v>xxx</v>
      </c>
    </row>
    <row r="797" spans="4:10" x14ac:dyDescent="0.2">
      <c r="D797" s="18">
        <f>装备表!L942</f>
        <v>0</v>
      </c>
      <c r="E797" s="18" t="str">
        <f>IF(装备表!$O942=0,"xxx",IFERROR(IF(INT(IF($D797=E$3,装备表!$E942,"xxx")/10000)=1,IF($D797=E$3,装备表!$E942,"xxx")&amp;":2,1,1,"&amp;装备表!$O942&amp;";","xxx"),"xxx"))</f>
        <v>xxx</v>
      </c>
      <c r="F797" s="18" t="str">
        <f>IF(装备表!$O942=0,"xxx",IFERROR(IF(INT(IF($D797=F$3,装备表!$E942,"xxx")/10000)=1,IF($D797=F$3,装备表!$E942,"xxx")&amp;":2,1,1,"&amp;装备表!$O942&amp;";","xxx"),"xxx"))</f>
        <v>xxx</v>
      </c>
      <c r="G797" s="18" t="str">
        <f>IF(装备表!$O942=0,"xxx",IFERROR(IF(INT(IF($D797=G$3,装备表!$E942,"xxx")/10000)=1,IF($D797=G$3,装备表!$E942,"xxx")&amp;":2,1,1,"&amp;装备表!$O942&amp;";","xxx"),"xxx"))</f>
        <v>xxx</v>
      </c>
      <c r="H797" s="18" t="str">
        <f>IF(装备表!$O942=0,"xxx",IFERROR(IF(INT(IF($D797=H$3,装备表!$E942,"xxx")/10000)=1,IF($D797=H$3,装备表!$E942,"xxx")&amp;":2,1,1,"&amp;装备表!$O942&amp;";","xxx"),"xxx"))</f>
        <v>xxx</v>
      </c>
      <c r="I797" s="18" t="str">
        <f>IF(装备表!$O942=0,"xxx",IFERROR(IF(INT(IF($D797=I$3,装备表!$E942,"xxx")/10000)=1,IF($D797=I$3,装备表!$E942,"xxx")&amp;":2,1,1,"&amp;装备表!$O942&amp;";","xxx"),"xxx"))</f>
        <v>xxx</v>
      </c>
      <c r="J797" s="18" t="str">
        <f>IF(装备表!$O942=0,"xxx",IFERROR(IF(INT(IF($D797=J$3,装备表!$E942,"xxx")/10000)=1,IF($D797=J$3,装备表!$E942,"xxx")&amp;":2,1,1,"&amp;装备表!$O942&amp;";","xxx"),"xxx"))</f>
        <v>xxx</v>
      </c>
    </row>
    <row r="798" spans="4:10" x14ac:dyDescent="0.2">
      <c r="D798" s="18">
        <f>装备表!L943</f>
        <v>0</v>
      </c>
      <c r="E798" s="18" t="str">
        <f>IF(装备表!$O943=0,"xxx",IFERROR(IF(INT(IF($D798=E$3,装备表!$E943,"xxx")/10000)=1,IF($D798=E$3,装备表!$E943,"xxx")&amp;":2,1,1,"&amp;装备表!$O943&amp;";","xxx"),"xxx"))</f>
        <v>xxx</v>
      </c>
      <c r="F798" s="18" t="str">
        <f>IF(装备表!$O943=0,"xxx",IFERROR(IF(INT(IF($D798=F$3,装备表!$E943,"xxx")/10000)=1,IF($D798=F$3,装备表!$E943,"xxx")&amp;":2,1,1,"&amp;装备表!$O943&amp;";","xxx"),"xxx"))</f>
        <v>xxx</v>
      </c>
      <c r="G798" s="18" t="str">
        <f>IF(装备表!$O943=0,"xxx",IFERROR(IF(INT(IF($D798=G$3,装备表!$E943,"xxx")/10000)=1,IF($D798=G$3,装备表!$E943,"xxx")&amp;":2,1,1,"&amp;装备表!$O943&amp;";","xxx"),"xxx"))</f>
        <v>xxx</v>
      </c>
      <c r="H798" s="18" t="str">
        <f>IF(装备表!$O943=0,"xxx",IFERROR(IF(INT(IF($D798=H$3,装备表!$E943,"xxx")/10000)=1,IF($D798=H$3,装备表!$E943,"xxx")&amp;":2,1,1,"&amp;装备表!$O943&amp;";","xxx"),"xxx"))</f>
        <v>xxx</v>
      </c>
      <c r="I798" s="18" t="str">
        <f>IF(装备表!$O943=0,"xxx",IFERROR(IF(INT(IF($D798=I$3,装备表!$E943,"xxx")/10000)=1,IF($D798=I$3,装备表!$E943,"xxx")&amp;":2,1,1,"&amp;装备表!$O943&amp;";","xxx"),"xxx"))</f>
        <v>xxx</v>
      </c>
      <c r="J798" s="18" t="str">
        <f>IF(装备表!$O943=0,"xxx",IFERROR(IF(INT(IF($D798=J$3,装备表!$E943,"xxx")/10000)=1,IF($D798=J$3,装备表!$E943,"xxx")&amp;":2,1,1,"&amp;装备表!$O943&amp;";","xxx"),"xxx"))</f>
        <v>xxx</v>
      </c>
    </row>
    <row r="799" spans="4:10" x14ac:dyDescent="0.2">
      <c r="D799" s="18">
        <f>装备表!L944</f>
        <v>0</v>
      </c>
      <c r="E799" s="18" t="str">
        <f>IF(装备表!$O944=0,"xxx",IFERROR(IF(INT(IF($D799=E$3,装备表!$E944,"xxx")/10000)=1,IF($D799=E$3,装备表!$E944,"xxx")&amp;":2,1,1,"&amp;装备表!$O944&amp;";","xxx"),"xxx"))</f>
        <v>xxx</v>
      </c>
      <c r="F799" s="18" t="str">
        <f>IF(装备表!$O944=0,"xxx",IFERROR(IF(INT(IF($D799=F$3,装备表!$E944,"xxx")/10000)=1,IF($D799=F$3,装备表!$E944,"xxx")&amp;":2,1,1,"&amp;装备表!$O944&amp;";","xxx"),"xxx"))</f>
        <v>xxx</v>
      </c>
      <c r="G799" s="18" t="str">
        <f>IF(装备表!$O944=0,"xxx",IFERROR(IF(INT(IF($D799=G$3,装备表!$E944,"xxx")/10000)=1,IF($D799=G$3,装备表!$E944,"xxx")&amp;":2,1,1,"&amp;装备表!$O944&amp;";","xxx"),"xxx"))</f>
        <v>xxx</v>
      </c>
      <c r="H799" s="18" t="str">
        <f>IF(装备表!$O944=0,"xxx",IFERROR(IF(INT(IF($D799=H$3,装备表!$E944,"xxx")/10000)=1,IF($D799=H$3,装备表!$E944,"xxx")&amp;":2,1,1,"&amp;装备表!$O944&amp;";","xxx"),"xxx"))</f>
        <v>xxx</v>
      </c>
      <c r="I799" s="18" t="str">
        <f>IF(装备表!$O944=0,"xxx",IFERROR(IF(INT(IF($D799=I$3,装备表!$E944,"xxx")/10000)=1,IF($D799=I$3,装备表!$E944,"xxx")&amp;":2,1,1,"&amp;装备表!$O944&amp;";","xxx"),"xxx"))</f>
        <v>xxx</v>
      </c>
      <c r="J799" s="18" t="str">
        <f>IF(装备表!$O944=0,"xxx",IFERROR(IF(INT(IF($D799=J$3,装备表!$E944,"xxx")/10000)=1,IF($D799=J$3,装备表!$E944,"xxx")&amp;":2,1,1,"&amp;装备表!$O944&amp;";","xxx"),"xxx"))</f>
        <v>xxx</v>
      </c>
    </row>
    <row r="800" spans="4:10" x14ac:dyDescent="0.2">
      <c r="D800" s="18">
        <f>装备表!L945</f>
        <v>0</v>
      </c>
      <c r="E800" s="18" t="str">
        <f>IF(装备表!$O945=0,"xxx",IFERROR(IF(INT(IF($D800=E$3,装备表!$E945,"xxx")/10000)=1,IF($D800=E$3,装备表!$E945,"xxx")&amp;":2,1,1,"&amp;装备表!$O945&amp;";","xxx"),"xxx"))</f>
        <v>xxx</v>
      </c>
      <c r="F800" s="18" t="str">
        <f>IF(装备表!$O945=0,"xxx",IFERROR(IF(INT(IF($D800=F$3,装备表!$E945,"xxx")/10000)=1,IF($D800=F$3,装备表!$E945,"xxx")&amp;":2,1,1,"&amp;装备表!$O945&amp;";","xxx"),"xxx"))</f>
        <v>xxx</v>
      </c>
      <c r="G800" s="18" t="str">
        <f>IF(装备表!$O945=0,"xxx",IFERROR(IF(INT(IF($D800=G$3,装备表!$E945,"xxx")/10000)=1,IF($D800=G$3,装备表!$E945,"xxx")&amp;":2,1,1,"&amp;装备表!$O945&amp;";","xxx"),"xxx"))</f>
        <v>xxx</v>
      </c>
      <c r="H800" s="18" t="str">
        <f>IF(装备表!$O945=0,"xxx",IFERROR(IF(INT(IF($D800=H$3,装备表!$E945,"xxx")/10000)=1,IF($D800=H$3,装备表!$E945,"xxx")&amp;":2,1,1,"&amp;装备表!$O945&amp;";","xxx"),"xxx"))</f>
        <v>xxx</v>
      </c>
      <c r="I800" s="18" t="str">
        <f>IF(装备表!$O945=0,"xxx",IFERROR(IF(INT(IF($D800=I$3,装备表!$E945,"xxx")/10000)=1,IF($D800=I$3,装备表!$E945,"xxx")&amp;":2,1,1,"&amp;装备表!$O945&amp;";","xxx"),"xxx"))</f>
        <v>xxx</v>
      </c>
      <c r="J800" s="18" t="str">
        <f>IF(装备表!$O945=0,"xxx",IFERROR(IF(INT(IF($D800=J$3,装备表!$E945,"xxx")/10000)=1,IF($D800=J$3,装备表!$E945,"xxx")&amp;":2,1,1,"&amp;装备表!$O945&amp;";","xxx"),"xxx"))</f>
        <v>xxx</v>
      </c>
    </row>
    <row r="801" spans="4:10" x14ac:dyDescent="0.2">
      <c r="D801" s="18">
        <f>装备表!L946</f>
        <v>0</v>
      </c>
      <c r="E801" s="18" t="str">
        <f>IF(装备表!$O946=0,"xxx",IFERROR(IF(INT(IF($D801=E$3,装备表!$E946,"xxx")/10000)=1,IF($D801=E$3,装备表!$E946,"xxx")&amp;":2,1,1,"&amp;装备表!$O946&amp;";","xxx"),"xxx"))</f>
        <v>xxx</v>
      </c>
      <c r="F801" s="18" t="str">
        <f>IF(装备表!$O946=0,"xxx",IFERROR(IF(INT(IF($D801=F$3,装备表!$E946,"xxx")/10000)=1,IF($D801=F$3,装备表!$E946,"xxx")&amp;":2,1,1,"&amp;装备表!$O946&amp;";","xxx"),"xxx"))</f>
        <v>xxx</v>
      </c>
      <c r="G801" s="18" t="str">
        <f>IF(装备表!$O946=0,"xxx",IFERROR(IF(INT(IF($D801=G$3,装备表!$E946,"xxx")/10000)=1,IF($D801=G$3,装备表!$E946,"xxx")&amp;":2,1,1,"&amp;装备表!$O946&amp;";","xxx"),"xxx"))</f>
        <v>xxx</v>
      </c>
      <c r="H801" s="18" t="str">
        <f>IF(装备表!$O946=0,"xxx",IFERROR(IF(INT(IF($D801=H$3,装备表!$E946,"xxx")/10000)=1,IF($D801=H$3,装备表!$E946,"xxx")&amp;":2,1,1,"&amp;装备表!$O946&amp;";","xxx"),"xxx"))</f>
        <v>xxx</v>
      </c>
      <c r="I801" s="18" t="str">
        <f>IF(装备表!$O946=0,"xxx",IFERROR(IF(INT(IF($D801=I$3,装备表!$E946,"xxx")/10000)=1,IF($D801=I$3,装备表!$E946,"xxx")&amp;":2,1,1,"&amp;装备表!$O946&amp;";","xxx"),"xxx"))</f>
        <v>xxx</v>
      </c>
      <c r="J801" s="18" t="str">
        <f>IF(装备表!$O946=0,"xxx",IFERROR(IF(INT(IF($D801=J$3,装备表!$E946,"xxx")/10000)=1,IF($D801=J$3,装备表!$E946,"xxx")&amp;":2,1,1,"&amp;装备表!$O946&amp;";","xxx"),"xxx"))</f>
        <v>xxx</v>
      </c>
    </row>
    <row r="802" spans="4:10" x14ac:dyDescent="0.2">
      <c r="D802" s="18">
        <f>装备表!L947</f>
        <v>0</v>
      </c>
      <c r="E802" s="18" t="str">
        <f>IF(装备表!$O947=0,"xxx",IFERROR(IF(INT(IF($D802=E$3,装备表!$E947,"xxx")/10000)=1,IF($D802=E$3,装备表!$E947,"xxx")&amp;":2,1,1,"&amp;装备表!$O947&amp;";","xxx"),"xxx"))</f>
        <v>xxx</v>
      </c>
      <c r="F802" s="18" t="str">
        <f>IF(装备表!$O947=0,"xxx",IFERROR(IF(INT(IF($D802=F$3,装备表!$E947,"xxx")/10000)=1,IF($D802=F$3,装备表!$E947,"xxx")&amp;":2,1,1,"&amp;装备表!$O947&amp;";","xxx"),"xxx"))</f>
        <v>xxx</v>
      </c>
      <c r="G802" s="18" t="str">
        <f>IF(装备表!$O947=0,"xxx",IFERROR(IF(INT(IF($D802=G$3,装备表!$E947,"xxx")/10000)=1,IF($D802=G$3,装备表!$E947,"xxx")&amp;":2,1,1,"&amp;装备表!$O947&amp;";","xxx"),"xxx"))</f>
        <v>xxx</v>
      </c>
      <c r="H802" s="18" t="str">
        <f>IF(装备表!$O947=0,"xxx",IFERROR(IF(INT(IF($D802=H$3,装备表!$E947,"xxx")/10000)=1,IF($D802=H$3,装备表!$E947,"xxx")&amp;":2,1,1,"&amp;装备表!$O947&amp;";","xxx"),"xxx"))</f>
        <v>xxx</v>
      </c>
      <c r="I802" s="18" t="str">
        <f>IF(装备表!$O947=0,"xxx",IFERROR(IF(INT(IF($D802=I$3,装备表!$E947,"xxx")/10000)=1,IF($D802=I$3,装备表!$E947,"xxx")&amp;":2,1,1,"&amp;装备表!$O947&amp;";","xxx"),"xxx"))</f>
        <v>xxx</v>
      </c>
      <c r="J802" s="18" t="str">
        <f>IF(装备表!$O947=0,"xxx",IFERROR(IF(INT(IF($D802=J$3,装备表!$E947,"xxx")/10000)=1,IF($D802=J$3,装备表!$E947,"xxx")&amp;":2,1,1,"&amp;装备表!$O947&amp;";","xxx"),"xxx"))</f>
        <v>xxx</v>
      </c>
    </row>
    <row r="803" spans="4:10" x14ac:dyDescent="0.2">
      <c r="D803" s="18">
        <f>装备表!L948</f>
        <v>0</v>
      </c>
      <c r="E803" s="18" t="str">
        <f>IF(装备表!$O948=0,"xxx",IFERROR(IF(INT(IF($D803=E$3,装备表!$E948,"xxx")/10000)=1,IF($D803=E$3,装备表!$E948,"xxx")&amp;":2,1,1,"&amp;装备表!$O948&amp;";","xxx"),"xxx"))</f>
        <v>xxx</v>
      </c>
      <c r="F803" s="18" t="str">
        <f>IF(装备表!$O948=0,"xxx",IFERROR(IF(INT(IF($D803=F$3,装备表!$E948,"xxx")/10000)=1,IF($D803=F$3,装备表!$E948,"xxx")&amp;":2,1,1,"&amp;装备表!$O948&amp;";","xxx"),"xxx"))</f>
        <v>xxx</v>
      </c>
      <c r="G803" s="18" t="str">
        <f>IF(装备表!$O948=0,"xxx",IFERROR(IF(INT(IF($D803=G$3,装备表!$E948,"xxx")/10000)=1,IF($D803=G$3,装备表!$E948,"xxx")&amp;":2,1,1,"&amp;装备表!$O948&amp;";","xxx"),"xxx"))</f>
        <v>xxx</v>
      </c>
      <c r="H803" s="18" t="str">
        <f>IF(装备表!$O948=0,"xxx",IFERROR(IF(INT(IF($D803=H$3,装备表!$E948,"xxx")/10000)=1,IF($D803=H$3,装备表!$E948,"xxx")&amp;":2,1,1,"&amp;装备表!$O948&amp;";","xxx"),"xxx"))</f>
        <v>xxx</v>
      </c>
      <c r="I803" s="18" t="str">
        <f>IF(装备表!$O948=0,"xxx",IFERROR(IF(INT(IF($D803=I$3,装备表!$E948,"xxx")/10000)=1,IF($D803=I$3,装备表!$E948,"xxx")&amp;":2,1,1,"&amp;装备表!$O948&amp;";","xxx"),"xxx"))</f>
        <v>xxx</v>
      </c>
      <c r="J803" s="18" t="str">
        <f>IF(装备表!$O948=0,"xxx",IFERROR(IF(INT(IF($D803=J$3,装备表!$E948,"xxx")/10000)=1,IF($D803=J$3,装备表!$E948,"xxx")&amp;":2,1,1,"&amp;装备表!$O948&amp;";","xxx"),"xxx"))</f>
        <v>xxx</v>
      </c>
    </row>
    <row r="804" spans="4:10" x14ac:dyDescent="0.2">
      <c r="D804" s="18">
        <f>装备表!L949</f>
        <v>0</v>
      </c>
      <c r="E804" s="18" t="str">
        <f>IF(装备表!$O949=0,"xxx",IFERROR(IF(INT(IF($D804=E$3,装备表!$E949,"xxx")/10000)=1,IF($D804=E$3,装备表!$E949,"xxx")&amp;":2,1,1,"&amp;装备表!$O949&amp;";","xxx"),"xxx"))</f>
        <v>xxx</v>
      </c>
      <c r="F804" s="18" t="str">
        <f>IF(装备表!$O949=0,"xxx",IFERROR(IF(INT(IF($D804=F$3,装备表!$E949,"xxx")/10000)=1,IF($D804=F$3,装备表!$E949,"xxx")&amp;":2,1,1,"&amp;装备表!$O949&amp;";","xxx"),"xxx"))</f>
        <v>xxx</v>
      </c>
      <c r="G804" s="18" t="str">
        <f>IF(装备表!$O949=0,"xxx",IFERROR(IF(INT(IF($D804=G$3,装备表!$E949,"xxx")/10000)=1,IF($D804=G$3,装备表!$E949,"xxx")&amp;":2,1,1,"&amp;装备表!$O949&amp;";","xxx"),"xxx"))</f>
        <v>xxx</v>
      </c>
      <c r="H804" s="18" t="str">
        <f>IF(装备表!$O949=0,"xxx",IFERROR(IF(INT(IF($D804=H$3,装备表!$E949,"xxx")/10000)=1,IF($D804=H$3,装备表!$E949,"xxx")&amp;":2,1,1,"&amp;装备表!$O949&amp;";","xxx"),"xxx"))</f>
        <v>xxx</v>
      </c>
      <c r="I804" s="18" t="str">
        <f>IF(装备表!$O949=0,"xxx",IFERROR(IF(INT(IF($D804=I$3,装备表!$E949,"xxx")/10000)=1,IF($D804=I$3,装备表!$E949,"xxx")&amp;":2,1,1,"&amp;装备表!$O949&amp;";","xxx"),"xxx"))</f>
        <v>xxx</v>
      </c>
      <c r="J804" s="18" t="str">
        <f>IF(装备表!$O949=0,"xxx",IFERROR(IF(INT(IF($D804=J$3,装备表!$E949,"xxx")/10000)=1,IF($D804=J$3,装备表!$E949,"xxx")&amp;":2,1,1,"&amp;装备表!$O949&amp;";","xxx"),"xxx"))</f>
        <v>xxx</v>
      </c>
    </row>
    <row r="805" spans="4:10" x14ac:dyDescent="0.2">
      <c r="D805" s="18">
        <f>装备表!L950</f>
        <v>0</v>
      </c>
      <c r="E805" s="18" t="str">
        <f>IF(装备表!$O950=0,"xxx",IFERROR(IF(INT(IF($D805=E$3,装备表!$E950,"xxx")/10000)=1,IF($D805=E$3,装备表!$E950,"xxx")&amp;":2,1,1,"&amp;装备表!$O950&amp;";","xxx"),"xxx"))</f>
        <v>xxx</v>
      </c>
      <c r="F805" s="18" t="str">
        <f>IF(装备表!$O950=0,"xxx",IFERROR(IF(INT(IF($D805=F$3,装备表!$E950,"xxx")/10000)=1,IF($D805=F$3,装备表!$E950,"xxx")&amp;":2,1,1,"&amp;装备表!$O950&amp;";","xxx"),"xxx"))</f>
        <v>xxx</v>
      </c>
      <c r="G805" s="18" t="str">
        <f>IF(装备表!$O950=0,"xxx",IFERROR(IF(INT(IF($D805=G$3,装备表!$E950,"xxx")/10000)=1,IF($D805=G$3,装备表!$E950,"xxx")&amp;":2,1,1,"&amp;装备表!$O950&amp;";","xxx"),"xxx"))</f>
        <v>xxx</v>
      </c>
      <c r="H805" s="18" t="str">
        <f>IF(装备表!$O950=0,"xxx",IFERROR(IF(INT(IF($D805=H$3,装备表!$E950,"xxx")/10000)=1,IF($D805=H$3,装备表!$E950,"xxx")&amp;":2,1,1,"&amp;装备表!$O950&amp;";","xxx"),"xxx"))</f>
        <v>xxx</v>
      </c>
      <c r="I805" s="18" t="str">
        <f>IF(装备表!$O950=0,"xxx",IFERROR(IF(INT(IF($D805=I$3,装备表!$E950,"xxx")/10000)=1,IF($D805=I$3,装备表!$E950,"xxx")&amp;":2,1,1,"&amp;装备表!$O950&amp;";","xxx"),"xxx"))</f>
        <v>xxx</v>
      </c>
      <c r="J805" s="18" t="str">
        <f>IF(装备表!$O950=0,"xxx",IFERROR(IF(INT(IF($D805=J$3,装备表!$E950,"xxx")/10000)=1,IF($D805=J$3,装备表!$E950,"xxx")&amp;":2,1,1,"&amp;装备表!$O950&amp;";","xxx"),"xxx"))</f>
        <v>xxx</v>
      </c>
    </row>
    <row r="806" spans="4:10" x14ac:dyDescent="0.2">
      <c r="D806" s="18">
        <f>装备表!L951</f>
        <v>0</v>
      </c>
      <c r="E806" s="18" t="str">
        <f>IF(装备表!$O951=0,"xxx",IFERROR(IF(INT(IF($D806=E$3,装备表!$E951,"xxx")/10000)=1,IF($D806=E$3,装备表!$E951,"xxx")&amp;":2,1,1,"&amp;装备表!$O951&amp;";","xxx"),"xxx"))</f>
        <v>xxx</v>
      </c>
      <c r="F806" s="18" t="str">
        <f>IF(装备表!$O951=0,"xxx",IFERROR(IF(INT(IF($D806=F$3,装备表!$E951,"xxx")/10000)=1,IF($D806=F$3,装备表!$E951,"xxx")&amp;":2,1,1,"&amp;装备表!$O951&amp;";","xxx"),"xxx"))</f>
        <v>xxx</v>
      </c>
      <c r="G806" s="18" t="str">
        <f>IF(装备表!$O951=0,"xxx",IFERROR(IF(INT(IF($D806=G$3,装备表!$E951,"xxx")/10000)=1,IF($D806=G$3,装备表!$E951,"xxx")&amp;":2,1,1,"&amp;装备表!$O951&amp;";","xxx"),"xxx"))</f>
        <v>xxx</v>
      </c>
      <c r="H806" s="18" t="str">
        <f>IF(装备表!$O951=0,"xxx",IFERROR(IF(INT(IF($D806=H$3,装备表!$E951,"xxx")/10000)=1,IF($D806=H$3,装备表!$E951,"xxx")&amp;":2,1,1,"&amp;装备表!$O951&amp;";","xxx"),"xxx"))</f>
        <v>xxx</v>
      </c>
      <c r="I806" s="18" t="str">
        <f>IF(装备表!$O951=0,"xxx",IFERROR(IF(INT(IF($D806=I$3,装备表!$E951,"xxx")/10000)=1,IF($D806=I$3,装备表!$E951,"xxx")&amp;":2,1,1,"&amp;装备表!$O951&amp;";","xxx"),"xxx"))</f>
        <v>xxx</v>
      </c>
      <c r="J806" s="18" t="str">
        <f>IF(装备表!$O951=0,"xxx",IFERROR(IF(INT(IF($D806=J$3,装备表!$E951,"xxx")/10000)=1,IF($D806=J$3,装备表!$E951,"xxx")&amp;":2,1,1,"&amp;装备表!$O951&amp;";","xxx"),"xxx"))</f>
        <v>xxx</v>
      </c>
    </row>
    <row r="807" spans="4:10" x14ac:dyDescent="0.2">
      <c r="D807" s="18">
        <f>装备表!L952</f>
        <v>0</v>
      </c>
      <c r="E807" s="18" t="str">
        <f>IF(装备表!$O952=0,"xxx",IFERROR(IF(INT(IF($D807=E$3,装备表!$E952,"xxx")/10000)=1,IF($D807=E$3,装备表!$E952,"xxx")&amp;":2,1,1,"&amp;装备表!$O952&amp;";","xxx"),"xxx"))</f>
        <v>xxx</v>
      </c>
      <c r="F807" s="18" t="str">
        <f>IF(装备表!$O952=0,"xxx",IFERROR(IF(INT(IF($D807=F$3,装备表!$E952,"xxx")/10000)=1,IF($D807=F$3,装备表!$E952,"xxx")&amp;":2,1,1,"&amp;装备表!$O952&amp;";","xxx"),"xxx"))</f>
        <v>xxx</v>
      </c>
      <c r="G807" s="18" t="str">
        <f>IF(装备表!$O952=0,"xxx",IFERROR(IF(INT(IF($D807=G$3,装备表!$E952,"xxx")/10000)=1,IF($D807=G$3,装备表!$E952,"xxx")&amp;":2,1,1,"&amp;装备表!$O952&amp;";","xxx"),"xxx"))</f>
        <v>xxx</v>
      </c>
      <c r="H807" s="18" t="str">
        <f>IF(装备表!$O952=0,"xxx",IFERROR(IF(INT(IF($D807=H$3,装备表!$E952,"xxx")/10000)=1,IF($D807=H$3,装备表!$E952,"xxx")&amp;":2,1,1,"&amp;装备表!$O952&amp;";","xxx"),"xxx"))</f>
        <v>xxx</v>
      </c>
      <c r="I807" s="18" t="str">
        <f>IF(装备表!$O952=0,"xxx",IFERROR(IF(INT(IF($D807=I$3,装备表!$E952,"xxx")/10000)=1,IF($D807=I$3,装备表!$E952,"xxx")&amp;":2,1,1,"&amp;装备表!$O952&amp;";","xxx"),"xxx"))</f>
        <v>xxx</v>
      </c>
      <c r="J807" s="18" t="str">
        <f>IF(装备表!$O952=0,"xxx",IFERROR(IF(INT(IF($D807=J$3,装备表!$E952,"xxx")/10000)=1,IF($D807=J$3,装备表!$E952,"xxx")&amp;":2,1,1,"&amp;装备表!$O952&amp;";","xxx"),"xxx"))</f>
        <v>xxx</v>
      </c>
    </row>
    <row r="808" spans="4:10" x14ac:dyDescent="0.2">
      <c r="D808" s="18">
        <f>装备表!L953</f>
        <v>0</v>
      </c>
      <c r="E808" s="18" t="str">
        <f>IF(装备表!$O953=0,"xxx",IFERROR(IF(INT(IF($D808=E$3,装备表!$E953,"xxx")/10000)=1,IF($D808=E$3,装备表!$E953,"xxx")&amp;":2,1,1,"&amp;装备表!$O953&amp;";","xxx"),"xxx"))</f>
        <v>xxx</v>
      </c>
      <c r="F808" s="18" t="str">
        <f>IF(装备表!$O953=0,"xxx",IFERROR(IF(INT(IF($D808=F$3,装备表!$E953,"xxx")/10000)=1,IF($D808=F$3,装备表!$E953,"xxx")&amp;":2,1,1,"&amp;装备表!$O953&amp;";","xxx"),"xxx"))</f>
        <v>xxx</v>
      </c>
      <c r="G808" s="18" t="str">
        <f>IF(装备表!$O953=0,"xxx",IFERROR(IF(INT(IF($D808=G$3,装备表!$E953,"xxx")/10000)=1,IF($D808=G$3,装备表!$E953,"xxx")&amp;":2,1,1,"&amp;装备表!$O953&amp;";","xxx"),"xxx"))</f>
        <v>xxx</v>
      </c>
      <c r="H808" s="18" t="str">
        <f>IF(装备表!$O953=0,"xxx",IFERROR(IF(INT(IF($D808=H$3,装备表!$E953,"xxx")/10000)=1,IF($D808=H$3,装备表!$E953,"xxx")&amp;":2,1,1,"&amp;装备表!$O953&amp;";","xxx"),"xxx"))</f>
        <v>xxx</v>
      </c>
      <c r="I808" s="18" t="str">
        <f>IF(装备表!$O953=0,"xxx",IFERROR(IF(INT(IF($D808=I$3,装备表!$E953,"xxx")/10000)=1,IF($D808=I$3,装备表!$E953,"xxx")&amp;":2,1,1,"&amp;装备表!$O953&amp;";","xxx"),"xxx"))</f>
        <v>xxx</v>
      </c>
      <c r="J808" s="18" t="str">
        <f>IF(装备表!$O953=0,"xxx",IFERROR(IF(INT(IF($D808=J$3,装备表!$E953,"xxx")/10000)=1,IF($D808=J$3,装备表!$E953,"xxx")&amp;":2,1,1,"&amp;装备表!$O953&amp;";","xxx"),"xxx"))</f>
        <v>xxx</v>
      </c>
    </row>
    <row r="809" spans="4:10" x14ac:dyDescent="0.2">
      <c r="D809" s="18">
        <f>装备表!L954</f>
        <v>0</v>
      </c>
      <c r="E809" s="18" t="str">
        <f>IF(装备表!$O954=0,"xxx",IFERROR(IF(INT(IF($D809=E$3,装备表!$E954,"xxx")/10000)=1,IF($D809=E$3,装备表!$E954,"xxx")&amp;":2,1,1,"&amp;装备表!$O954&amp;";","xxx"),"xxx"))</f>
        <v>xxx</v>
      </c>
      <c r="F809" s="18" t="str">
        <f>IF(装备表!$O954=0,"xxx",IFERROR(IF(INT(IF($D809=F$3,装备表!$E954,"xxx")/10000)=1,IF($D809=F$3,装备表!$E954,"xxx")&amp;":2,1,1,"&amp;装备表!$O954&amp;";","xxx"),"xxx"))</f>
        <v>xxx</v>
      </c>
      <c r="G809" s="18" t="str">
        <f>IF(装备表!$O954=0,"xxx",IFERROR(IF(INT(IF($D809=G$3,装备表!$E954,"xxx")/10000)=1,IF($D809=G$3,装备表!$E954,"xxx")&amp;":2,1,1,"&amp;装备表!$O954&amp;";","xxx"),"xxx"))</f>
        <v>xxx</v>
      </c>
      <c r="H809" s="18" t="str">
        <f>IF(装备表!$O954=0,"xxx",IFERROR(IF(INT(IF($D809=H$3,装备表!$E954,"xxx")/10000)=1,IF($D809=H$3,装备表!$E954,"xxx")&amp;":2,1,1,"&amp;装备表!$O954&amp;";","xxx"),"xxx"))</f>
        <v>xxx</v>
      </c>
      <c r="I809" s="18" t="str">
        <f>IF(装备表!$O954=0,"xxx",IFERROR(IF(INT(IF($D809=I$3,装备表!$E954,"xxx")/10000)=1,IF($D809=I$3,装备表!$E954,"xxx")&amp;":2,1,1,"&amp;装备表!$O954&amp;";","xxx"),"xxx"))</f>
        <v>xxx</v>
      </c>
      <c r="J809" s="18" t="str">
        <f>IF(装备表!$O954=0,"xxx",IFERROR(IF(INT(IF($D809=J$3,装备表!$E954,"xxx")/10000)=1,IF($D809=J$3,装备表!$E954,"xxx")&amp;":2,1,1,"&amp;装备表!$O954&amp;";","xxx"),"xxx"))</f>
        <v>xxx</v>
      </c>
    </row>
    <row r="810" spans="4:10" x14ac:dyDescent="0.2">
      <c r="D810" s="18">
        <f>装备表!L955</f>
        <v>0</v>
      </c>
      <c r="E810" s="18" t="str">
        <f>IF(装备表!$O955=0,"xxx",IFERROR(IF(INT(IF($D810=E$3,装备表!$E955,"xxx")/10000)=1,IF($D810=E$3,装备表!$E955,"xxx")&amp;":2,1,1,"&amp;装备表!$O955&amp;";","xxx"),"xxx"))</f>
        <v>xxx</v>
      </c>
      <c r="F810" s="18" t="str">
        <f>IF(装备表!$O955=0,"xxx",IFERROR(IF(INT(IF($D810=F$3,装备表!$E955,"xxx")/10000)=1,IF($D810=F$3,装备表!$E955,"xxx")&amp;":2,1,1,"&amp;装备表!$O955&amp;";","xxx"),"xxx"))</f>
        <v>xxx</v>
      </c>
      <c r="G810" s="18" t="str">
        <f>IF(装备表!$O955=0,"xxx",IFERROR(IF(INT(IF($D810=G$3,装备表!$E955,"xxx")/10000)=1,IF($D810=G$3,装备表!$E955,"xxx")&amp;":2,1,1,"&amp;装备表!$O955&amp;";","xxx"),"xxx"))</f>
        <v>xxx</v>
      </c>
      <c r="H810" s="18" t="str">
        <f>IF(装备表!$O955=0,"xxx",IFERROR(IF(INT(IF($D810=H$3,装备表!$E955,"xxx")/10000)=1,IF($D810=H$3,装备表!$E955,"xxx")&amp;":2,1,1,"&amp;装备表!$O955&amp;";","xxx"),"xxx"))</f>
        <v>xxx</v>
      </c>
      <c r="I810" s="18" t="str">
        <f>IF(装备表!$O955=0,"xxx",IFERROR(IF(INT(IF($D810=I$3,装备表!$E955,"xxx")/10000)=1,IF($D810=I$3,装备表!$E955,"xxx")&amp;":2,1,1,"&amp;装备表!$O955&amp;";","xxx"),"xxx"))</f>
        <v>xxx</v>
      </c>
      <c r="J810" s="18" t="str">
        <f>IF(装备表!$O955=0,"xxx",IFERROR(IF(INT(IF($D810=J$3,装备表!$E955,"xxx")/10000)=1,IF($D810=J$3,装备表!$E955,"xxx")&amp;":2,1,1,"&amp;装备表!$O955&amp;";","xxx"),"xxx"))</f>
        <v>xxx</v>
      </c>
    </row>
    <row r="811" spans="4:10" x14ac:dyDescent="0.2">
      <c r="D811" s="18">
        <f>装备表!L956</f>
        <v>0</v>
      </c>
      <c r="E811" s="18" t="str">
        <f>IF(装备表!$O956=0,"xxx",IFERROR(IF(INT(IF($D811=E$3,装备表!$E956,"xxx")/10000)=1,IF($D811=E$3,装备表!$E956,"xxx")&amp;":2,1,1,"&amp;装备表!$O956&amp;";","xxx"),"xxx"))</f>
        <v>xxx</v>
      </c>
      <c r="F811" s="18" t="str">
        <f>IF(装备表!$O956=0,"xxx",IFERROR(IF(INT(IF($D811=F$3,装备表!$E956,"xxx")/10000)=1,IF($D811=F$3,装备表!$E956,"xxx")&amp;":2,1,1,"&amp;装备表!$O956&amp;";","xxx"),"xxx"))</f>
        <v>xxx</v>
      </c>
      <c r="G811" s="18" t="str">
        <f>IF(装备表!$O956=0,"xxx",IFERROR(IF(INT(IF($D811=G$3,装备表!$E956,"xxx")/10000)=1,IF($D811=G$3,装备表!$E956,"xxx")&amp;":2,1,1,"&amp;装备表!$O956&amp;";","xxx"),"xxx"))</f>
        <v>xxx</v>
      </c>
      <c r="H811" s="18" t="str">
        <f>IF(装备表!$O956=0,"xxx",IFERROR(IF(INT(IF($D811=H$3,装备表!$E956,"xxx")/10000)=1,IF($D811=H$3,装备表!$E956,"xxx")&amp;":2,1,1,"&amp;装备表!$O956&amp;";","xxx"),"xxx"))</f>
        <v>xxx</v>
      </c>
      <c r="I811" s="18" t="str">
        <f>IF(装备表!$O956=0,"xxx",IFERROR(IF(INT(IF($D811=I$3,装备表!$E956,"xxx")/10000)=1,IF($D811=I$3,装备表!$E956,"xxx")&amp;":2,1,1,"&amp;装备表!$O956&amp;";","xxx"),"xxx"))</f>
        <v>xxx</v>
      </c>
      <c r="J811" s="18" t="str">
        <f>IF(装备表!$O956=0,"xxx",IFERROR(IF(INT(IF($D811=J$3,装备表!$E956,"xxx")/10000)=1,IF($D811=J$3,装备表!$E956,"xxx")&amp;":2,1,1,"&amp;装备表!$O956&amp;";","xxx"),"xxx"))</f>
        <v>xxx</v>
      </c>
    </row>
    <row r="812" spans="4:10" x14ac:dyDescent="0.2">
      <c r="D812" s="18">
        <f>装备表!L957</f>
        <v>0</v>
      </c>
      <c r="E812" s="18" t="str">
        <f>IF(装备表!$O957=0,"xxx",IFERROR(IF(INT(IF($D812=E$3,装备表!$E957,"xxx")/10000)=1,IF($D812=E$3,装备表!$E957,"xxx")&amp;":2,1,1,"&amp;装备表!$O957&amp;";","xxx"),"xxx"))</f>
        <v>xxx</v>
      </c>
      <c r="F812" s="18" t="str">
        <f>IF(装备表!$O957=0,"xxx",IFERROR(IF(INT(IF($D812=F$3,装备表!$E957,"xxx")/10000)=1,IF($D812=F$3,装备表!$E957,"xxx")&amp;":2,1,1,"&amp;装备表!$O957&amp;";","xxx"),"xxx"))</f>
        <v>xxx</v>
      </c>
      <c r="G812" s="18" t="str">
        <f>IF(装备表!$O957=0,"xxx",IFERROR(IF(INT(IF($D812=G$3,装备表!$E957,"xxx")/10000)=1,IF($D812=G$3,装备表!$E957,"xxx")&amp;":2,1,1,"&amp;装备表!$O957&amp;";","xxx"),"xxx"))</f>
        <v>xxx</v>
      </c>
      <c r="H812" s="18" t="str">
        <f>IF(装备表!$O957=0,"xxx",IFERROR(IF(INT(IF($D812=H$3,装备表!$E957,"xxx")/10000)=1,IF($D812=H$3,装备表!$E957,"xxx")&amp;":2,1,1,"&amp;装备表!$O957&amp;";","xxx"),"xxx"))</f>
        <v>xxx</v>
      </c>
      <c r="I812" s="18" t="str">
        <f>IF(装备表!$O957=0,"xxx",IFERROR(IF(INT(IF($D812=I$3,装备表!$E957,"xxx")/10000)=1,IF($D812=I$3,装备表!$E957,"xxx")&amp;":2,1,1,"&amp;装备表!$O957&amp;";","xxx"),"xxx"))</f>
        <v>xxx</v>
      </c>
      <c r="J812" s="18" t="str">
        <f>IF(装备表!$O957=0,"xxx",IFERROR(IF(INT(IF($D812=J$3,装备表!$E957,"xxx")/10000)=1,IF($D812=J$3,装备表!$E957,"xxx")&amp;":2,1,1,"&amp;装备表!$O957&amp;";","xxx"),"xxx"))</f>
        <v>xxx</v>
      </c>
    </row>
    <row r="813" spans="4:10" x14ac:dyDescent="0.2">
      <c r="D813" s="18">
        <f>装备表!L958</f>
        <v>0</v>
      </c>
      <c r="E813" s="18" t="str">
        <f>IF(装备表!$O958=0,"xxx",IFERROR(IF(INT(IF($D813=E$3,装备表!$E958,"xxx")/10000)=1,IF($D813=E$3,装备表!$E958,"xxx")&amp;":2,1,1,"&amp;装备表!$O958&amp;";","xxx"),"xxx"))</f>
        <v>xxx</v>
      </c>
      <c r="F813" s="18" t="str">
        <f>IF(装备表!$O958=0,"xxx",IFERROR(IF(INT(IF($D813=F$3,装备表!$E958,"xxx")/10000)=1,IF($D813=F$3,装备表!$E958,"xxx")&amp;":2,1,1,"&amp;装备表!$O958&amp;";","xxx"),"xxx"))</f>
        <v>xxx</v>
      </c>
      <c r="G813" s="18" t="str">
        <f>IF(装备表!$O958=0,"xxx",IFERROR(IF(INT(IF($D813=G$3,装备表!$E958,"xxx")/10000)=1,IF($D813=G$3,装备表!$E958,"xxx")&amp;":2,1,1,"&amp;装备表!$O958&amp;";","xxx"),"xxx"))</f>
        <v>xxx</v>
      </c>
      <c r="H813" s="18" t="str">
        <f>IF(装备表!$O958=0,"xxx",IFERROR(IF(INT(IF($D813=H$3,装备表!$E958,"xxx")/10000)=1,IF($D813=H$3,装备表!$E958,"xxx")&amp;":2,1,1,"&amp;装备表!$O958&amp;";","xxx"),"xxx"))</f>
        <v>xxx</v>
      </c>
      <c r="I813" s="18" t="str">
        <f>IF(装备表!$O958=0,"xxx",IFERROR(IF(INT(IF($D813=I$3,装备表!$E958,"xxx")/10000)=1,IF($D813=I$3,装备表!$E958,"xxx")&amp;":2,1,1,"&amp;装备表!$O958&amp;";","xxx"),"xxx"))</f>
        <v>xxx</v>
      </c>
      <c r="J813" s="18" t="str">
        <f>IF(装备表!$O958=0,"xxx",IFERROR(IF(INT(IF($D813=J$3,装备表!$E958,"xxx")/10000)=1,IF($D813=J$3,装备表!$E958,"xxx")&amp;":2,1,1,"&amp;装备表!$O958&amp;";","xxx"),"xxx"))</f>
        <v>xxx</v>
      </c>
    </row>
    <row r="814" spans="4:10" x14ac:dyDescent="0.2">
      <c r="D814" s="18">
        <f>装备表!L959</f>
        <v>0</v>
      </c>
      <c r="E814" s="18" t="str">
        <f>IF(装备表!$O959=0,"xxx",IFERROR(IF(INT(IF($D814=E$3,装备表!$E959,"xxx")/10000)=1,IF($D814=E$3,装备表!$E959,"xxx")&amp;":2,1,1,"&amp;装备表!$O959&amp;";","xxx"),"xxx"))</f>
        <v>xxx</v>
      </c>
      <c r="F814" s="18" t="str">
        <f>IF(装备表!$O959=0,"xxx",IFERROR(IF(INT(IF($D814=F$3,装备表!$E959,"xxx")/10000)=1,IF($D814=F$3,装备表!$E959,"xxx")&amp;":2,1,1,"&amp;装备表!$O959&amp;";","xxx"),"xxx"))</f>
        <v>xxx</v>
      </c>
      <c r="G814" s="18" t="str">
        <f>IF(装备表!$O959=0,"xxx",IFERROR(IF(INT(IF($D814=G$3,装备表!$E959,"xxx")/10000)=1,IF($D814=G$3,装备表!$E959,"xxx")&amp;":2,1,1,"&amp;装备表!$O959&amp;";","xxx"),"xxx"))</f>
        <v>xxx</v>
      </c>
      <c r="H814" s="18" t="str">
        <f>IF(装备表!$O959=0,"xxx",IFERROR(IF(INT(IF($D814=H$3,装备表!$E959,"xxx")/10000)=1,IF($D814=H$3,装备表!$E959,"xxx")&amp;":2,1,1,"&amp;装备表!$O959&amp;";","xxx"),"xxx"))</f>
        <v>xxx</v>
      </c>
      <c r="I814" s="18" t="str">
        <f>IF(装备表!$O959=0,"xxx",IFERROR(IF(INT(IF($D814=I$3,装备表!$E959,"xxx")/10000)=1,IF($D814=I$3,装备表!$E959,"xxx")&amp;":2,1,1,"&amp;装备表!$O959&amp;";","xxx"),"xxx"))</f>
        <v>xxx</v>
      </c>
      <c r="J814" s="18" t="str">
        <f>IF(装备表!$O959=0,"xxx",IFERROR(IF(INT(IF($D814=J$3,装备表!$E959,"xxx")/10000)=1,IF($D814=J$3,装备表!$E959,"xxx")&amp;":2,1,1,"&amp;装备表!$O959&amp;";","xxx"),"xxx"))</f>
        <v>xxx</v>
      </c>
    </row>
    <row r="815" spans="4:10" x14ac:dyDescent="0.2">
      <c r="D815" s="18">
        <f>装备表!L960</f>
        <v>0</v>
      </c>
      <c r="E815" s="18" t="str">
        <f>IF(装备表!$O960=0,"xxx",IFERROR(IF(INT(IF($D815=E$3,装备表!$E960,"xxx")/10000)=1,IF($D815=E$3,装备表!$E960,"xxx")&amp;":2,1,1,"&amp;装备表!$O960&amp;";","xxx"),"xxx"))</f>
        <v>xxx</v>
      </c>
      <c r="F815" s="18" t="str">
        <f>IF(装备表!$O960=0,"xxx",IFERROR(IF(INT(IF($D815=F$3,装备表!$E960,"xxx")/10000)=1,IF($D815=F$3,装备表!$E960,"xxx")&amp;":2,1,1,"&amp;装备表!$O960&amp;";","xxx"),"xxx"))</f>
        <v>xxx</v>
      </c>
      <c r="G815" s="18" t="str">
        <f>IF(装备表!$O960=0,"xxx",IFERROR(IF(INT(IF($D815=G$3,装备表!$E960,"xxx")/10000)=1,IF($D815=G$3,装备表!$E960,"xxx")&amp;":2,1,1,"&amp;装备表!$O960&amp;";","xxx"),"xxx"))</f>
        <v>xxx</v>
      </c>
      <c r="H815" s="18" t="str">
        <f>IF(装备表!$O960=0,"xxx",IFERROR(IF(INT(IF($D815=H$3,装备表!$E960,"xxx")/10000)=1,IF($D815=H$3,装备表!$E960,"xxx")&amp;":2,1,1,"&amp;装备表!$O960&amp;";","xxx"),"xxx"))</f>
        <v>xxx</v>
      </c>
      <c r="I815" s="18" t="str">
        <f>IF(装备表!$O960=0,"xxx",IFERROR(IF(INT(IF($D815=I$3,装备表!$E960,"xxx")/10000)=1,IF($D815=I$3,装备表!$E960,"xxx")&amp;":2,1,1,"&amp;装备表!$O960&amp;";","xxx"),"xxx"))</f>
        <v>xxx</v>
      </c>
      <c r="J815" s="18" t="str">
        <f>IF(装备表!$O960=0,"xxx",IFERROR(IF(INT(IF($D815=J$3,装备表!$E960,"xxx")/10000)=1,IF($D815=J$3,装备表!$E960,"xxx")&amp;":2,1,1,"&amp;装备表!$O960&amp;";","xxx"),"xxx"))</f>
        <v>xxx</v>
      </c>
    </row>
    <row r="816" spans="4:10" x14ac:dyDescent="0.2">
      <c r="D816" s="18">
        <f>装备表!L961</f>
        <v>0</v>
      </c>
      <c r="E816" s="18" t="str">
        <f>IF(装备表!$O961=0,"xxx",IFERROR(IF(INT(IF($D816=E$3,装备表!$E961,"xxx")/10000)=1,IF($D816=E$3,装备表!$E961,"xxx")&amp;":2,1,1,"&amp;装备表!$O961&amp;";","xxx"),"xxx"))</f>
        <v>xxx</v>
      </c>
      <c r="F816" s="18" t="str">
        <f>IF(装备表!$O961=0,"xxx",IFERROR(IF(INT(IF($D816=F$3,装备表!$E961,"xxx")/10000)=1,IF($D816=F$3,装备表!$E961,"xxx")&amp;":2,1,1,"&amp;装备表!$O961&amp;";","xxx"),"xxx"))</f>
        <v>xxx</v>
      </c>
      <c r="G816" s="18" t="str">
        <f>IF(装备表!$O961=0,"xxx",IFERROR(IF(INT(IF($D816=G$3,装备表!$E961,"xxx")/10000)=1,IF($D816=G$3,装备表!$E961,"xxx")&amp;":2,1,1,"&amp;装备表!$O961&amp;";","xxx"),"xxx"))</f>
        <v>xxx</v>
      </c>
      <c r="H816" s="18" t="str">
        <f>IF(装备表!$O961=0,"xxx",IFERROR(IF(INT(IF($D816=H$3,装备表!$E961,"xxx")/10000)=1,IF($D816=H$3,装备表!$E961,"xxx")&amp;":2,1,1,"&amp;装备表!$O961&amp;";","xxx"),"xxx"))</f>
        <v>xxx</v>
      </c>
      <c r="I816" s="18" t="str">
        <f>IF(装备表!$O961=0,"xxx",IFERROR(IF(INT(IF($D816=I$3,装备表!$E961,"xxx")/10000)=1,IF($D816=I$3,装备表!$E961,"xxx")&amp;":2,1,1,"&amp;装备表!$O961&amp;";","xxx"),"xxx"))</f>
        <v>xxx</v>
      </c>
      <c r="J816" s="18" t="str">
        <f>IF(装备表!$O961=0,"xxx",IFERROR(IF(INT(IF($D816=J$3,装备表!$E961,"xxx")/10000)=1,IF($D816=J$3,装备表!$E961,"xxx")&amp;":2,1,1,"&amp;装备表!$O961&amp;";","xxx"),"xxx"))</f>
        <v>xxx</v>
      </c>
    </row>
    <row r="817" spans="4:10" x14ac:dyDescent="0.2">
      <c r="D817" s="18">
        <f>装备表!L962</f>
        <v>0</v>
      </c>
      <c r="E817" s="18" t="str">
        <f>IF(装备表!$O962=0,"xxx",IFERROR(IF(INT(IF($D817=E$3,装备表!$E962,"xxx")/10000)=1,IF($D817=E$3,装备表!$E962,"xxx")&amp;":2,1,1,"&amp;装备表!$O962&amp;";","xxx"),"xxx"))</f>
        <v>xxx</v>
      </c>
      <c r="F817" s="18" t="str">
        <f>IF(装备表!$O962=0,"xxx",IFERROR(IF(INT(IF($D817=F$3,装备表!$E962,"xxx")/10000)=1,IF($D817=F$3,装备表!$E962,"xxx")&amp;":2,1,1,"&amp;装备表!$O962&amp;";","xxx"),"xxx"))</f>
        <v>xxx</v>
      </c>
      <c r="G817" s="18" t="str">
        <f>IF(装备表!$O962=0,"xxx",IFERROR(IF(INT(IF($D817=G$3,装备表!$E962,"xxx")/10000)=1,IF($D817=G$3,装备表!$E962,"xxx")&amp;":2,1,1,"&amp;装备表!$O962&amp;";","xxx"),"xxx"))</f>
        <v>xxx</v>
      </c>
      <c r="H817" s="18" t="str">
        <f>IF(装备表!$O962=0,"xxx",IFERROR(IF(INT(IF($D817=H$3,装备表!$E962,"xxx")/10000)=1,IF($D817=H$3,装备表!$E962,"xxx")&amp;":2,1,1,"&amp;装备表!$O962&amp;";","xxx"),"xxx"))</f>
        <v>xxx</v>
      </c>
      <c r="I817" s="18" t="str">
        <f>IF(装备表!$O962=0,"xxx",IFERROR(IF(INT(IF($D817=I$3,装备表!$E962,"xxx")/10000)=1,IF($D817=I$3,装备表!$E962,"xxx")&amp;":2,1,1,"&amp;装备表!$O962&amp;";","xxx"),"xxx"))</f>
        <v>xxx</v>
      </c>
      <c r="J817" s="18" t="str">
        <f>IF(装备表!$O962=0,"xxx",IFERROR(IF(INT(IF($D817=J$3,装备表!$E962,"xxx")/10000)=1,IF($D817=J$3,装备表!$E962,"xxx")&amp;":2,1,1,"&amp;装备表!$O962&amp;";","xxx"),"xxx"))</f>
        <v>xxx</v>
      </c>
    </row>
    <row r="818" spans="4:10" x14ac:dyDescent="0.2">
      <c r="D818" s="18">
        <f>装备表!L963</f>
        <v>0</v>
      </c>
      <c r="E818" s="18" t="str">
        <f>IF(装备表!$O963=0,"xxx",IFERROR(IF(INT(IF($D818=E$3,装备表!$E963,"xxx")/10000)=1,IF($D818=E$3,装备表!$E963,"xxx")&amp;":2,1,1,"&amp;装备表!$O963&amp;";","xxx"),"xxx"))</f>
        <v>xxx</v>
      </c>
      <c r="F818" s="18" t="str">
        <f>IF(装备表!$O963=0,"xxx",IFERROR(IF(INT(IF($D818=F$3,装备表!$E963,"xxx")/10000)=1,IF($D818=F$3,装备表!$E963,"xxx")&amp;":2,1,1,"&amp;装备表!$O963&amp;";","xxx"),"xxx"))</f>
        <v>xxx</v>
      </c>
      <c r="G818" s="18" t="str">
        <f>IF(装备表!$O963=0,"xxx",IFERROR(IF(INT(IF($D818=G$3,装备表!$E963,"xxx")/10000)=1,IF($D818=G$3,装备表!$E963,"xxx")&amp;":2,1,1,"&amp;装备表!$O963&amp;";","xxx"),"xxx"))</f>
        <v>xxx</v>
      </c>
      <c r="H818" s="18" t="str">
        <f>IF(装备表!$O963=0,"xxx",IFERROR(IF(INT(IF($D818=H$3,装备表!$E963,"xxx")/10000)=1,IF($D818=H$3,装备表!$E963,"xxx")&amp;":2,1,1,"&amp;装备表!$O963&amp;";","xxx"),"xxx"))</f>
        <v>xxx</v>
      </c>
      <c r="I818" s="18" t="str">
        <f>IF(装备表!$O963=0,"xxx",IFERROR(IF(INT(IF($D818=I$3,装备表!$E963,"xxx")/10000)=1,IF($D818=I$3,装备表!$E963,"xxx")&amp;":2,1,1,"&amp;装备表!$O963&amp;";","xxx"),"xxx"))</f>
        <v>xxx</v>
      </c>
      <c r="J818" s="18" t="str">
        <f>IF(装备表!$O963=0,"xxx",IFERROR(IF(INT(IF($D818=J$3,装备表!$E963,"xxx")/10000)=1,IF($D818=J$3,装备表!$E963,"xxx")&amp;":2,1,1,"&amp;装备表!$O963&amp;";","xxx"),"xxx"))</f>
        <v>xxx</v>
      </c>
    </row>
    <row r="819" spans="4:10" x14ac:dyDescent="0.2">
      <c r="D819" s="18">
        <f>装备表!L964</f>
        <v>0</v>
      </c>
      <c r="E819" s="18" t="str">
        <f>IF(装备表!$O964=0,"xxx",IFERROR(IF(INT(IF($D819=E$3,装备表!$E964,"xxx")/10000)=1,IF($D819=E$3,装备表!$E964,"xxx")&amp;":2,1,1,"&amp;装备表!$O964&amp;";","xxx"),"xxx"))</f>
        <v>xxx</v>
      </c>
      <c r="F819" s="18" t="str">
        <f>IF(装备表!$O964=0,"xxx",IFERROR(IF(INT(IF($D819=F$3,装备表!$E964,"xxx")/10000)=1,IF($D819=F$3,装备表!$E964,"xxx")&amp;":2,1,1,"&amp;装备表!$O964&amp;";","xxx"),"xxx"))</f>
        <v>xxx</v>
      </c>
      <c r="G819" s="18" t="str">
        <f>IF(装备表!$O964=0,"xxx",IFERROR(IF(INT(IF($D819=G$3,装备表!$E964,"xxx")/10000)=1,IF($D819=G$3,装备表!$E964,"xxx")&amp;":2,1,1,"&amp;装备表!$O964&amp;";","xxx"),"xxx"))</f>
        <v>xxx</v>
      </c>
      <c r="H819" s="18" t="str">
        <f>IF(装备表!$O964=0,"xxx",IFERROR(IF(INT(IF($D819=H$3,装备表!$E964,"xxx")/10000)=1,IF($D819=H$3,装备表!$E964,"xxx")&amp;":2,1,1,"&amp;装备表!$O964&amp;";","xxx"),"xxx"))</f>
        <v>xxx</v>
      </c>
      <c r="I819" s="18" t="str">
        <f>IF(装备表!$O964=0,"xxx",IFERROR(IF(INT(IF($D819=I$3,装备表!$E964,"xxx")/10000)=1,IF($D819=I$3,装备表!$E964,"xxx")&amp;":2,1,1,"&amp;装备表!$O964&amp;";","xxx"),"xxx"))</f>
        <v>xxx</v>
      </c>
      <c r="J819" s="18" t="str">
        <f>IF(装备表!$O964=0,"xxx",IFERROR(IF(INT(IF($D819=J$3,装备表!$E964,"xxx")/10000)=1,IF($D819=J$3,装备表!$E964,"xxx")&amp;":2,1,1,"&amp;装备表!$O964&amp;";","xxx"),"xxx"))</f>
        <v>xxx</v>
      </c>
    </row>
    <row r="820" spans="4:10" x14ac:dyDescent="0.2">
      <c r="D820" s="18">
        <f>装备表!L965</f>
        <v>0</v>
      </c>
      <c r="E820" s="18" t="str">
        <f>IF(装备表!$O965=0,"xxx",IFERROR(IF(INT(IF($D820=E$3,装备表!$E965,"xxx")/10000)=1,IF($D820=E$3,装备表!$E965,"xxx")&amp;":2,1,1,"&amp;装备表!$O965&amp;";","xxx"),"xxx"))</f>
        <v>xxx</v>
      </c>
      <c r="F820" s="18" t="str">
        <f>IF(装备表!$O965=0,"xxx",IFERROR(IF(INT(IF($D820=F$3,装备表!$E965,"xxx")/10000)=1,IF($D820=F$3,装备表!$E965,"xxx")&amp;":2,1,1,"&amp;装备表!$O965&amp;";","xxx"),"xxx"))</f>
        <v>xxx</v>
      </c>
      <c r="G820" s="18" t="str">
        <f>IF(装备表!$O965=0,"xxx",IFERROR(IF(INT(IF($D820=G$3,装备表!$E965,"xxx")/10000)=1,IF($D820=G$3,装备表!$E965,"xxx")&amp;":2,1,1,"&amp;装备表!$O965&amp;";","xxx"),"xxx"))</f>
        <v>xxx</v>
      </c>
      <c r="H820" s="18" t="str">
        <f>IF(装备表!$O965=0,"xxx",IFERROR(IF(INT(IF($D820=H$3,装备表!$E965,"xxx")/10000)=1,IF($D820=H$3,装备表!$E965,"xxx")&amp;":2,1,1,"&amp;装备表!$O965&amp;";","xxx"),"xxx"))</f>
        <v>xxx</v>
      </c>
      <c r="I820" s="18" t="str">
        <f>IF(装备表!$O965=0,"xxx",IFERROR(IF(INT(IF($D820=I$3,装备表!$E965,"xxx")/10000)=1,IF($D820=I$3,装备表!$E965,"xxx")&amp;":2,1,1,"&amp;装备表!$O965&amp;";","xxx"),"xxx"))</f>
        <v>xxx</v>
      </c>
      <c r="J820" s="18" t="str">
        <f>IF(装备表!$O965=0,"xxx",IFERROR(IF(INT(IF($D820=J$3,装备表!$E965,"xxx")/10000)=1,IF($D820=J$3,装备表!$E965,"xxx")&amp;":2,1,1,"&amp;装备表!$O965&amp;";","xxx"),"xxx"))</f>
        <v>xxx</v>
      </c>
    </row>
    <row r="821" spans="4:10" x14ac:dyDescent="0.2">
      <c r="D821" s="18">
        <f>装备表!L966</f>
        <v>0</v>
      </c>
      <c r="E821" s="18" t="str">
        <f>IF(装备表!$O966=0,"xxx",IFERROR(IF(INT(IF($D821=E$3,装备表!$E966,"xxx")/10000)=1,IF($D821=E$3,装备表!$E966,"xxx")&amp;":2,1,1,"&amp;装备表!$O966&amp;";","xxx"),"xxx"))</f>
        <v>xxx</v>
      </c>
      <c r="F821" s="18" t="str">
        <f>IF(装备表!$O966=0,"xxx",IFERROR(IF(INT(IF($D821=F$3,装备表!$E966,"xxx")/10000)=1,IF($D821=F$3,装备表!$E966,"xxx")&amp;":2,1,1,"&amp;装备表!$O966&amp;";","xxx"),"xxx"))</f>
        <v>xxx</v>
      </c>
      <c r="G821" s="18" t="str">
        <f>IF(装备表!$O966=0,"xxx",IFERROR(IF(INT(IF($D821=G$3,装备表!$E966,"xxx")/10000)=1,IF($D821=G$3,装备表!$E966,"xxx")&amp;":2,1,1,"&amp;装备表!$O966&amp;";","xxx"),"xxx"))</f>
        <v>xxx</v>
      </c>
      <c r="H821" s="18" t="str">
        <f>IF(装备表!$O966=0,"xxx",IFERROR(IF(INT(IF($D821=H$3,装备表!$E966,"xxx")/10000)=1,IF($D821=H$3,装备表!$E966,"xxx")&amp;":2,1,1,"&amp;装备表!$O966&amp;";","xxx"),"xxx"))</f>
        <v>xxx</v>
      </c>
      <c r="I821" s="18" t="str">
        <f>IF(装备表!$O966=0,"xxx",IFERROR(IF(INT(IF($D821=I$3,装备表!$E966,"xxx")/10000)=1,IF($D821=I$3,装备表!$E966,"xxx")&amp;":2,1,1,"&amp;装备表!$O966&amp;";","xxx"),"xxx"))</f>
        <v>xxx</v>
      </c>
      <c r="J821" s="18" t="str">
        <f>IF(装备表!$O966=0,"xxx",IFERROR(IF(INT(IF($D821=J$3,装备表!$E966,"xxx")/10000)=1,IF($D821=J$3,装备表!$E966,"xxx")&amp;":2,1,1,"&amp;装备表!$O966&amp;";","xxx"),"xxx"))</f>
        <v>xxx</v>
      </c>
    </row>
    <row r="822" spans="4:10" x14ac:dyDescent="0.2">
      <c r="D822" s="18">
        <f>装备表!L967</f>
        <v>0</v>
      </c>
      <c r="E822" s="18" t="str">
        <f>IF(装备表!$O967=0,"xxx",IFERROR(IF(INT(IF($D822=E$3,装备表!$E967,"xxx")/10000)=1,IF($D822=E$3,装备表!$E967,"xxx")&amp;":2,1,1,"&amp;装备表!$O967&amp;";","xxx"),"xxx"))</f>
        <v>xxx</v>
      </c>
      <c r="F822" s="18" t="str">
        <f>IF(装备表!$O967=0,"xxx",IFERROR(IF(INT(IF($D822=F$3,装备表!$E967,"xxx")/10000)=1,IF($D822=F$3,装备表!$E967,"xxx")&amp;":2,1,1,"&amp;装备表!$O967&amp;";","xxx"),"xxx"))</f>
        <v>xxx</v>
      </c>
      <c r="G822" s="18" t="str">
        <f>IF(装备表!$O967=0,"xxx",IFERROR(IF(INT(IF($D822=G$3,装备表!$E967,"xxx")/10000)=1,IF($D822=G$3,装备表!$E967,"xxx")&amp;":2,1,1,"&amp;装备表!$O967&amp;";","xxx"),"xxx"))</f>
        <v>xxx</v>
      </c>
      <c r="H822" s="18" t="str">
        <f>IF(装备表!$O967=0,"xxx",IFERROR(IF(INT(IF($D822=H$3,装备表!$E967,"xxx")/10000)=1,IF($D822=H$3,装备表!$E967,"xxx")&amp;":2,1,1,"&amp;装备表!$O967&amp;";","xxx"),"xxx"))</f>
        <v>xxx</v>
      </c>
      <c r="I822" s="18" t="str">
        <f>IF(装备表!$O967=0,"xxx",IFERROR(IF(INT(IF($D822=I$3,装备表!$E967,"xxx")/10000)=1,IF($D822=I$3,装备表!$E967,"xxx")&amp;":2,1,1,"&amp;装备表!$O967&amp;";","xxx"),"xxx"))</f>
        <v>xxx</v>
      </c>
      <c r="J822" s="18" t="str">
        <f>IF(装备表!$O967=0,"xxx",IFERROR(IF(INT(IF($D822=J$3,装备表!$E967,"xxx")/10000)=1,IF($D822=J$3,装备表!$E967,"xxx")&amp;":2,1,1,"&amp;装备表!$O967&amp;";","xxx"),"xxx"))</f>
        <v>xxx</v>
      </c>
    </row>
    <row r="823" spans="4:10" x14ac:dyDescent="0.2">
      <c r="D823" s="18">
        <f>装备表!L968</f>
        <v>0</v>
      </c>
      <c r="E823" s="18" t="str">
        <f>IF(装备表!$O968=0,"xxx",IFERROR(IF(INT(IF($D823=E$3,装备表!$E968,"xxx")/10000)=1,IF($D823=E$3,装备表!$E968,"xxx")&amp;":2,1,1,"&amp;装备表!$O968&amp;";","xxx"),"xxx"))</f>
        <v>xxx</v>
      </c>
      <c r="F823" s="18" t="str">
        <f>IF(装备表!$O968=0,"xxx",IFERROR(IF(INT(IF($D823=F$3,装备表!$E968,"xxx")/10000)=1,IF($D823=F$3,装备表!$E968,"xxx")&amp;":2,1,1,"&amp;装备表!$O968&amp;";","xxx"),"xxx"))</f>
        <v>xxx</v>
      </c>
      <c r="G823" s="18" t="str">
        <f>IF(装备表!$O968=0,"xxx",IFERROR(IF(INT(IF($D823=G$3,装备表!$E968,"xxx")/10000)=1,IF($D823=G$3,装备表!$E968,"xxx")&amp;":2,1,1,"&amp;装备表!$O968&amp;";","xxx"),"xxx"))</f>
        <v>xxx</v>
      </c>
      <c r="H823" s="18" t="str">
        <f>IF(装备表!$O968=0,"xxx",IFERROR(IF(INT(IF($D823=H$3,装备表!$E968,"xxx")/10000)=1,IF($D823=H$3,装备表!$E968,"xxx")&amp;":2,1,1,"&amp;装备表!$O968&amp;";","xxx"),"xxx"))</f>
        <v>xxx</v>
      </c>
      <c r="I823" s="18" t="str">
        <f>IF(装备表!$O968=0,"xxx",IFERROR(IF(INT(IF($D823=I$3,装备表!$E968,"xxx")/10000)=1,IF($D823=I$3,装备表!$E968,"xxx")&amp;":2,1,1,"&amp;装备表!$O968&amp;";","xxx"),"xxx"))</f>
        <v>xxx</v>
      </c>
      <c r="J823" s="18" t="str">
        <f>IF(装备表!$O968=0,"xxx",IFERROR(IF(INT(IF($D823=J$3,装备表!$E968,"xxx")/10000)=1,IF($D823=J$3,装备表!$E968,"xxx")&amp;":2,1,1,"&amp;装备表!$O968&amp;";","xxx"),"xxx"))</f>
        <v>xxx</v>
      </c>
    </row>
    <row r="824" spans="4:10" x14ac:dyDescent="0.2">
      <c r="D824" s="18">
        <f>装备表!L969</f>
        <v>0</v>
      </c>
      <c r="E824" s="18" t="str">
        <f>IF(装备表!$O969=0,"xxx",IFERROR(IF(INT(IF($D824=E$3,装备表!$E969,"xxx")/10000)=1,IF($D824=E$3,装备表!$E969,"xxx")&amp;":2,1,1,"&amp;装备表!$O969&amp;";","xxx"),"xxx"))</f>
        <v>xxx</v>
      </c>
      <c r="F824" s="18" t="str">
        <f>IF(装备表!$O969=0,"xxx",IFERROR(IF(INT(IF($D824=F$3,装备表!$E969,"xxx")/10000)=1,IF($D824=F$3,装备表!$E969,"xxx")&amp;":2,1,1,"&amp;装备表!$O969&amp;";","xxx"),"xxx"))</f>
        <v>xxx</v>
      </c>
      <c r="G824" s="18" t="str">
        <f>IF(装备表!$O969=0,"xxx",IFERROR(IF(INT(IF($D824=G$3,装备表!$E969,"xxx")/10000)=1,IF($D824=G$3,装备表!$E969,"xxx")&amp;":2,1,1,"&amp;装备表!$O969&amp;";","xxx"),"xxx"))</f>
        <v>xxx</v>
      </c>
      <c r="H824" s="18" t="str">
        <f>IF(装备表!$O969=0,"xxx",IFERROR(IF(INT(IF($D824=H$3,装备表!$E969,"xxx")/10000)=1,IF($D824=H$3,装备表!$E969,"xxx")&amp;":2,1,1,"&amp;装备表!$O969&amp;";","xxx"),"xxx"))</f>
        <v>xxx</v>
      </c>
      <c r="I824" s="18" t="str">
        <f>IF(装备表!$O969=0,"xxx",IFERROR(IF(INT(IF($D824=I$3,装备表!$E969,"xxx")/10000)=1,IF($D824=I$3,装备表!$E969,"xxx")&amp;":2,1,1,"&amp;装备表!$O969&amp;";","xxx"),"xxx"))</f>
        <v>xxx</v>
      </c>
      <c r="J824" s="18" t="str">
        <f>IF(装备表!$O969=0,"xxx",IFERROR(IF(INT(IF($D824=J$3,装备表!$E969,"xxx")/10000)=1,IF($D824=J$3,装备表!$E969,"xxx")&amp;":2,1,1,"&amp;装备表!$O969&amp;";","xxx"),"xxx"))</f>
        <v>xxx</v>
      </c>
    </row>
    <row r="825" spans="4:10" x14ac:dyDescent="0.2">
      <c r="D825" s="18">
        <f>装备表!L970</f>
        <v>0</v>
      </c>
      <c r="E825" s="18" t="str">
        <f>IF(装备表!$O970=0,"xxx",IFERROR(IF(INT(IF($D825=E$3,装备表!$E970,"xxx")/10000)=1,IF($D825=E$3,装备表!$E970,"xxx")&amp;":2,1,1,"&amp;装备表!$O970&amp;";","xxx"),"xxx"))</f>
        <v>xxx</v>
      </c>
      <c r="F825" s="18" t="str">
        <f>IF(装备表!$O970=0,"xxx",IFERROR(IF(INT(IF($D825=F$3,装备表!$E970,"xxx")/10000)=1,IF($D825=F$3,装备表!$E970,"xxx")&amp;":2,1,1,"&amp;装备表!$O970&amp;";","xxx"),"xxx"))</f>
        <v>xxx</v>
      </c>
      <c r="G825" s="18" t="str">
        <f>IF(装备表!$O970=0,"xxx",IFERROR(IF(INT(IF($D825=G$3,装备表!$E970,"xxx")/10000)=1,IF($D825=G$3,装备表!$E970,"xxx")&amp;":2,1,1,"&amp;装备表!$O970&amp;";","xxx"),"xxx"))</f>
        <v>xxx</v>
      </c>
      <c r="H825" s="18" t="str">
        <f>IF(装备表!$O970=0,"xxx",IFERROR(IF(INT(IF($D825=H$3,装备表!$E970,"xxx")/10000)=1,IF($D825=H$3,装备表!$E970,"xxx")&amp;":2,1,1,"&amp;装备表!$O970&amp;";","xxx"),"xxx"))</f>
        <v>xxx</v>
      </c>
      <c r="I825" s="18" t="str">
        <f>IF(装备表!$O970=0,"xxx",IFERROR(IF(INT(IF($D825=I$3,装备表!$E970,"xxx")/10000)=1,IF($D825=I$3,装备表!$E970,"xxx")&amp;":2,1,1,"&amp;装备表!$O970&amp;";","xxx"),"xxx"))</f>
        <v>xxx</v>
      </c>
      <c r="J825" s="18" t="str">
        <f>IF(装备表!$O970=0,"xxx",IFERROR(IF(INT(IF($D825=J$3,装备表!$E970,"xxx")/10000)=1,IF($D825=J$3,装备表!$E970,"xxx")&amp;":2,1,1,"&amp;装备表!$O970&amp;";","xxx"),"xxx"))</f>
        <v>xxx</v>
      </c>
    </row>
    <row r="826" spans="4:10" x14ac:dyDescent="0.2">
      <c r="D826" s="18">
        <f>装备表!L971</f>
        <v>0</v>
      </c>
      <c r="E826" s="18" t="str">
        <f>IF(装备表!$O971=0,"xxx",IFERROR(IF(INT(IF($D826=E$3,装备表!$E971,"xxx")/10000)=1,IF($D826=E$3,装备表!$E971,"xxx")&amp;":2,1,1,"&amp;装备表!$O971&amp;";","xxx"),"xxx"))</f>
        <v>xxx</v>
      </c>
      <c r="F826" s="18" t="str">
        <f>IF(装备表!$O971=0,"xxx",IFERROR(IF(INT(IF($D826=F$3,装备表!$E971,"xxx")/10000)=1,IF($D826=F$3,装备表!$E971,"xxx")&amp;":2,1,1,"&amp;装备表!$O971&amp;";","xxx"),"xxx"))</f>
        <v>xxx</v>
      </c>
      <c r="G826" s="18" t="str">
        <f>IF(装备表!$O971=0,"xxx",IFERROR(IF(INT(IF($D826=G$3,装备表!$E971,"xxx")/10000)=1,IF($D826=G$3,装备表!$E971,"xxx")&amp;":2,1,1,"&amp;装备表!$O971&amp;";","xxx"),"xxx"))</f>
        <v>xxx</v>
      </c>
      <c r="H826" s="18" t="str">
        <f>IF(装备表!$O971=0,"xxx",IFERROR(IF(INT(IF($D826=H$3,装备表!$E971,"xxx")/10000)=1,IF($D826=H$3,装备表!$E971,"xxx")&amp;":2,1,1,"&amp;装备表!$O971&amp;";","xxx"),"xxx"))</f>
        <v>xxx</v>
      </c>
      <c r="I826" s="18" t="str">
        <f>IF(装备表!$O971=0,"xxx",IFERROR(IF(INT(IF($D826=I$3,装备表!$E971,"xxx")/10000)=1,IF($D826=I$3,装备表!$E971,"xxx")&amp;":2,1,1,"&amp;装备表!$O971&amp;";","xxx"),"xxx"))</f>
        <v>xxx</v>
      </c>
      <c r="J826" s="18" t="str">
        <f>IF(装备表!$O971=0,"xxx",IFERROR(IF(INT(IF($D826=J$3,装备表!$E971,"xxx")/10000)=1,IF($D826=J$3,装备表!$E971,"xxx")&amp;":2,1,1,"&amp;装备表!$O971&amp;";","xxx"),"xxx"))</f>
        <v>xxx</v>
      </c>
    </row>
    <row r="827" spans="4:10" x14ac:dyDescent="0.2">
      <c r="D827" s="18">
        <f>装备表!L972</f>
        <v>0</v>
      </c>
      <c r="E827" s="18" t="str">
        <f>IF(装备表!$O972=0,"xxx",IFERROR(IF(INT(IF($D827=E$3,装备表!$E972,"xxx")/10000)=1,IF($D827=E$3,装备表!$E972,"xxx")&amp;":2,1,1,"&amp;装备表!$O972&amp;";","xxx"),"xxx"))</f>
        <v>xxx</v>
      </c>
      <c r="F827" s="18" t="str">
        <f>IF(装备表!$O972=0,"xxx",IFERROR(IF(INT(IF($D827=F$3,装备表!$E972,"xxx")/10000)=1,IF($D827=F$3,装备表!$E972,"xxx")&amp;":2,1,1,"&amp;装备表!$O972&amp;";","xxx"),"xxx"))</f>
        <v>xxx</v>
      </c>
      <c r="G827" s="18" t="str">
        <f>IF(装备表!$O972=0,"xxx",IFERROR(IF(INT(IF($D827=G$3,装备表!$E972,"xxx")/10000)=1,IF($D827=G$3,装备表!$E972,"xxx")&amp;":2,1,1,"&amp;装备表!$O972&amp;";","xxx"),"xxx"))</f>
        <v>xxx</v>
      </c>
      <c r="H827" s="18" t="str">
        <f>IF(装备表!$O972=0,"xxx",IFERROR(IF(INT(IF($D827=H$3,装备表!$E972,"xxx")/10000)=1,IF($D827=H$3,装备表!$E972,"xxx")&amp;":2,1,1,"&amp;装备表!$O972&amp;";","xxx"),"xxx"))</f>
        <v>xxx</v>
      </c>
      <c r="I827" s="18" t="str">
        <f>IF(装备表!$O972=0,"xxx",IFERROR(IF(INT(IF($D827=I$3,装备表!$E972,"xxx")/10000)=1,IF($D827=I$3,装备表!$E972,"xxx")&amp;":2,1,1,"&amp;装备表!$O972&amp;";","xxx"),"xxx"))</f>
        <v>xxx</v>
      </c>
      <c r="J827" s="18" t="str">
        <f>IF(装备表!$O972=0,"xxx",IFERROR(IF(INT(IF($D827=J$3,装备表!$E972,"xxx")/10000)=1,IF($D827=J$3,装备表!$E972,"xxx")&amp;":2,1,1,"&amp;装备表!$O972&amp;";","xxx"),"xxx"))</f>
        <v>xxx</v>
      </c>
    </row>
    <row r="828" spans="4:10" x14ac:dyDescent="0.2">
      <c r="D828" s="18">
        <f>装备表!L973</f>
        <v>0</v>
      </c>
      <c r="E828" s="18" t="str">
        <f>IF(装备表!$O973=0,"xxx",IFERROR(IF(INT(IF($D828=E$3,装备表!$E973,"xxx")/10000)=1,IF($D828=E$3,装备表!$E973,"xxx")&amp;":2,1,1,"&amp;装备表!$O973&amp;";","xxx"),"xxx"))</f>
        <v>xxx</v>
      </c>
      <c r="F828" s="18" t="str">
        <f>IF(装备表!$O973=0,"xxx",IFERROR(IF(INT(IF($D828=F$3,装备表!$E973,"xxx")/10000)=1,IF($D828=F$3,装备表!$E973,"xxx")&amp;":2,1,1,"&amp;装备表!$O973&amp;";","xxx"),"xxx"))</f>
        <v>xxx</v>
      </c>
      <c r="G828" s="18" t="str">
        <f>IF(装备表!$O973=0,"xxx",IFERROR(IF(INT(IF($D828=G$3,装备表!$E973,"xxx")/10000)=1,IF($D828=G$3,装备表!$E973,"xxx")&amp;":2,1,1,"&amp;装备表!$O973&amp;";","xxx"),"xxx"))</f>
        <v>xxx</v>
      </c>
      <c r="H828" s="18" t="str">
        <f>IF(装备表!$O973=0,"xxx",IFERROR(IF(INT(IF($D828=H$3,装备表!$E973,"xxx")/10000)=1,IF($D828=H$3,装备表!$E973,"xxx")&amp;":2,1,1,"&amp;装备表!$O973&amp;";","xxx"),"xxx"))</f>
        <v>xxx</v>
      </c>
      <c r="I828" s="18" t="str">
        <f>IF(装备表!$O973=0,"xxx",IFERROR(IF(INT(IF($D828=I$3,装备表!$E973,"xxx")/10000)=1,IF($D828=I$3,装备表!$E973,"xxx")&amp;":2,1,1,"&amp;装备表!$O973&amp;";","xxx"),"xxx"))</f>
        <v>xxx</v>
      </c>
      <c r="J828" s="18" t="str">
        <f>IF(装备表!$O973=0,"xxx",IFERROR(IF(INT(IF($D828=J$3,装备表!$E973,"xxx")/10000)=1,IF($D828=J$3,装备表!$E973,"xxx")&amp;":2,1,1,"&amp;装备表!$O973&amp;";","xxx"),"xxx"))</f>
        <v>xxx</v>
      </c>
    </row>
    <row r="829" spans="4:10" x14ac:dyDescent="0.2">
      <c r="D829" s="18">
        <f>装备表!L974</f>
        <v>0</v>
      </c>
      <c r="E829" s="18" t="str">
        <f>IF(装备表!$O974=0,"xxx",IFERROR(IF(INT(IF($D829=E$3,装备表!$E974,"xxx")/10000)=1,IF($D829=E$3,装备表!$E974,"xxx")&amp;":2,1,1,"&amp;装备表!$O974&amp;";","xxx"),"xxx"))</f>
        <v>xxx</v>
      </c>
      <c r="F829" s="18" t="str">
        <f>IF(装备表!$O974=0,"xxx",IFERROR(IF(INT(IF($D829=F$3,装备表!$E974,"xxx")/10000)=1,IF($D829=F$3,装备表!$E974,"xxx")&amp;":2,1,1,"&amp;装备表!$O974&amp;";","xxx"),"xxx"))</f>
        <v>xxx</v>
      </c>
      <c r="G829" s="18" t="str">
        <f>IF(装备表!$O974=0,"xxx",IFERROR(IF(INT(IF($D829=G$3,装备表!$E974,"xxx")/10000)=1,IF($D829=G$3,装备表!$E974,"xxx")&amp;":2,1,1,"&amp;装备表!$O974&amp;";","xxx"),"xxx"))</f>
        <v>xxx</v>
      </c>
      <c r="H829" s="18" t="str">
        <f>IF(装备表!$O974=0,"xxx",IFERROR(IF(INT(IF($D829=H$3,装备表!$E974,"xxx")/10000)=1,IF($D829=H$3,装备表!$E974,"xxx")&amp;":2,1,1,"&amp;装备表!$O974&amp;";","xxx"),"xxx"))</f>
        <v>xxx</v>
      </c>
      <c r="I829" s="18" t="str">
        <f>IF(装备表!$O974=0,"xxx",IFERROR(IF(INT(IF($D829=I$3,装备表!$E974,"xxx")/10000)=1,IF($D829=I$3,装备表!$E974,"xxx")&amp;":2,1,1,"&amp;装备表!$O974&amp;";","xxx"),"xxx"))</f>
        <v>xxx</v>
      </c>
      <c r="J829" s="18" t="str">
        <f>IF(装备表!$O974=0,"xxx",IFERROR(IF(INT(IF($D829=J$3,装备表!$E974,"xxx")/10000)=1,IF($D829=J$3,装备表!$E974,"xxx")&amp;":2,1,1,"&amp;装备表!$O974&amp;";","xxx"),"xxx"))</f>
        <v>xxx</v>
      </c>
    </row>
    <row r="830" spans="4:10" x14ac:dyDescent="0.2">
      <c r="D830" s="18">
        <f>装备表!L975</f>
        <v>0</v>
      </c>
      <c r="E830" s="18" t="str">
        <f>IF(装备表!$O975=0,"xxx",IFERROR(IF(INT(IF($D830=E$3,装备表!$E975,"xxx")/10000)=1,IF($D830=E$3,装备表!$E975,"xxx")&amp;":2,1,1,"&amp;装备表!$O975&amp;";","xxx"),"xxx"))</f>
        <v>xxx</v>
      </c>
      <c r="F830" s="18" t="str">
        <f>IF(装备表!$O975=0,"xxx",IFERROR(IF(INT(IF($D830=F$3,装备表!$E975,"xxx")/10000)=1,IF($D830=F$3,装备表!$E975,"xxx")&amp;":2,1,1,"&amp;装备表!$O975&amp;";","xxx"),"xxx"))</f>
        <v>xxx</v>
      </c>
      <c r="G830" s="18" t="str">
        <f>IF(装备表!$O975=0,"xxx",IFERROR(IF(INT(IF($D830=G$3,装备表!$E975,"xxx")/10000)=1,IF($D830=G$3,装备表!$E975,"xxx")&amp;":2,1,1,"&amp;装备表!$O975&amp;";","xxx"),"xxx"))</f>
        <v>xxx</v>
      </c>
      <c r="H830" s="18" t="str">
        <f>IF(装备表!$O975=0,"xxx",IFERROR(IF(INT(IF($D830=H$3,装备表!$E975,"xxx")/10000)=1,IF($D830=H$3,装备表!$E975,"xxx")&amp;":2,1,1,"&amp;装备表!$O975&amp;";","xxx"),"xxx"))</f>
        <v>xxx</v>
      </c>
      <c r="I830" s="18" t="str">
        <f>IF(装备表!$O975=0,"xxx",IFERROR(IF(INT(IF($D830=I$3,装备表!$E975,"xxx")/10000)=1,IF($D830=I$3,装备表!$E975,"xxx")&amp;":2,1,1,"&amp;装备表!$O975&amp;";","xxx"),"xxx"))</f>
        <v>xxx</v>
      </c>
      <c r="J830" s="18" t="str">
        <f>IF(装备表!$O975=0,"xxx",IFERROR(IF(INT(IF($D830=J$3,装备表!$E975,"xxx")/10000)=1,IF($D830=J$3,装备表!$E975,"xxx")&amp;":2,1,1,"&amp;装备表!$O975&amp;";","xxx"),"xxx"))</f>
        <v>xxx</v>
      </c>
    </row>
    <row r="831" spans="4:10" x14ac:dyDescent="0.2">
      <c r="D831" s="18">
        <f>装备表!L976</f>
        <v>0</v>
      </c>
      <c r="E831" s="18" t="str">
        <f>IF(装备表!$O976=0,"xxx",IFERROR(IF(INT(IF($D831=E$3,装备表!$E976,"xxx")/10000)=1,IF($D831=E$3,装备表!$E976,"xxx")&amp;":2,1,1,"&amp;装备表!$O976&amp;";","xxx"),"xxx"))</f>
        <v>xxx</v>
      </c>
      <c r="F831" s="18" t="str">
        <f>IF(装备表!$O976=0,"xxx",IFERROR(IF(INT(IF($D831=F$3,装备表!$E976,"xxx")/10000)=1,IF($D831=F$3,装备表!$E976,"xxx")&amp;":2,1,1,"&amp;装备表!$O976&amp;";","xxx"),"xxx"))</f>
        <v>xxx</v>
      </c>
      <c r="G831" s="18" t="str">
        <f>IF(装备表!$O976=0,"xxx",IFERROR(IF(INT(IF($D831=G$3,装备表!$E976,"xxx")/10000)=1,IF($D831=G$3,装备表!$E976,"xxx")&amp;":2,1,1,"&amp;装备表!$O976&amp;";","xxx"),"xxx"))</f>
        <v>xxx</v>
      </c>
      <c r="H831" s="18" t="str">
        <f>IF(装备表!$O976=0,"xxx",IFERROR(IF(INT(IF($D831=H$3,装备表!$E976,"xxx")/10000)=1,IF($D831=H$3,装备表!$E976,"xxx")&amp;":2,1,1,"&amp;装备表!$O976&amp;";","xxx"),"xxx"))</f>
        <v>xxx</v>
      </c>
      <c r="I831" s="18" t="str">
        <f>IF(装备表!$O976=0,"xxx",IFERROR(IF(INT(IF($D831=I$3,装备表!$E976,"xxx")/10000)=1,IF($D831=I$3,装备表!$E976,"xxx")&amp;":2,1,1,"&amp;装备表!$O976&amp;";","xxx"),"xxx"))</f>
        <v>xxx</v>
      </c>
      <c r="J831" s="18" t="str">
        <f>IF(装备表!$O976=0,"xxx",IFERROR(IF(INT(IF($D831=J$3,装备表!$E976,"xxx")/10000)=1,IF($D831=J$3,装备表!$E976,"xxx")&amp;":2,1,1,"&amp;装备表!$O976&amp;";","xxx"),"xxx"))</f>
        <v>xxx</v>
      </c>
    </row>
    <row r="832" spans="4:10" x14ac:dyDescent="0.2">
      <c r="D832" s="18">
        <f>装备表!L977</f>
        <v>0</v>
      </c>
      <c r="E832" s="18" t="str">
        <f>IF(装备表!$O977=0,"xxx",IFERROR(IF(INT(IF($D832=E$3,装备表!$E977,"xxx")/10000)=1,IF($D832=E$3,装备表!$E977,"xxx")&amp;":2,1,1,"&amp;装备表!$O977&amp;";","xxx"),"xxx"))</f>
        <v>xxx</v>
      </c>
      <c r="F832" s="18" t="str">
        <f>IF(装备表!$O977=0,"xxx",IFERROR(IF(INT(IF($D832=F$3,装备表!$E977,"xxx")/10000)=1,IF($D832=F$3,装备表!$E977,"xxx")&amp;":2,1,1,"&amp;装备表!$O977&amp;";","xxx"),"xxx"))</f>
        <v>xxx</v>
      </c>
      <c r="G832" s="18" t="str">
        <f>IF(装备表!$O977=0,"xxx",IFERROR(IF(INT(IF($D832=G$3,装备表!$E977,"xxx")/10000)=1,IF($D832=G$3,装备表!$E977,"xxx")&amp;":2,1,1,"&amp;装备表!$O977&amp;";","xxx"),"xxx"))</f>
        <v>xxx</v>
      </c>
      <c r="H832" s="18" t="str">
        <f>IF(装备表!$O977=0,"xxx",IFERROR(IF(INT(IF($D832=H$3,装备表!$E977,"xxx")/10000)=1,IF($D832=H$3,装备表!$E977,"xxx")&amp;":2,1,1,"&amp;装备表!$O977&amp;";","xxx"),"xxx"))</f>
        <v>xxx</v>
      </c>
      <c r="I832" s="18" t="str">
        <f>IF(装备表!$O977=0,"xxx",IFERROR(IF(INT(IF($D832=I$3,装备表!$E977,"xxx")/10000)=1,IF($D832=I$3,装备表!$E977,"xxx")&amp;":2,1,1,"&amp;装备表!$O977&amp;";","xxx"),"xxx"))</f>
        <v>xxx</v>
      </c>
      <c r="J832" s="18" t="str">
        <f>IF(装备表!$O977=0,"xxx",IFERROR(IF(INT(IF($D832=J$3,装备表!$E977,"xxx")/10000)=1,IF($D832=J$3,装备表!$E977,"xxx")&amp;":2,1,1,"&amp;装备表!$O977&amp;";","xxx"),"xxx"))</f>
        <v>xxx</v>
      </c>
    </row>
    <row r="833" spans="4:10" x14ac:dyDescent="0.2">
      <c r="D833" s="18">
        <f>装备表!L978</f>
        <v>0</v>
      </c>
      <c r="E833" s="18" t="str">
        <f>IF(装备表!$O978=0,"xxx",IFERROR(IF(INT(IF($D833=E$3,装备表!$E978,"xxx")/10000)=1,IF($D833=E$3,装备表!$E978,"xxx")&amp;":2,1,1,"&amp;装备表!$O978&amp;";","xxx"),"xxx"))</f>
        <v>xxx</v>
      </c>
      <c r="F833" s="18" t="str">
        <f>IF(装备表!$O978=0,"xxx",IFERROR(IF(INT(IF($D833=F$3,装备表!$E978,"xxx")/10000)=1,IF($D833=F$3,装备表!$E978,"xxx")&amp;":2,1,1,"&amp;装备表!$O978&amp;";","xxx"),"xxx"))</f>
        <v>xxx</v>
      </c>
      <c r="G833" s="18" t="str">
        <f>IF(装备表!$O978=0,"xxx",IFERROR(IF(INT(IF($D833=G$3,装备表!$E978,"xxx")/10000)=1,IF($D833=G$3,装备表!$E978,"xxx")&amp;":2,1,1,"&amp;装备表!$O978&amp;";","xxx"),"xxx"))</f>
        <v>xxx</v>
      </c>
      <c r="H833" s="18" t="str">
        <f>IF(装备表!$O978=0,"xxx",IFERROR(IF(INT(IF($D833=H$3,装备表!$E978,"xxx")/10000)=1,IF($D833=H$3,装备表!$E978,"xxx")&amp;":2,1,1,"&amp;装备表!$O978&amp;";","xxx"),"xxx"))</f>
        <v>xxx</v>
      </c>
      <c r="I833" s="18" t="str">
        <f>IF(装备表!$O978=0,"xxx",IFERROR(IF(INT(IF($D833=I$3,装备表!$E978,"xxx")/10000)=1,IF($D833=I$3,装备表!$E978,"xxx")&amp;":2,1,1,"&amp;装备表!$O978&amp;";","xxx"),"xxx"))</f>
        <v>xxx</v>
      </c>
      <c r="J833" s="18" t="str">
        <f>IF(装备表!$O978=0,"xxx",IFERROR(IF(INT(IF($D833=J$3,装备表!$E978,"xxx")/10000)=1,IF($D833=J$3,装备表!$E978,"xxx")&amp;":2,1,1,"&amp;装备表!$O978&amp;";","xxx"),"xxx"))</f>
        <v>xxx</v>
      </c>
    </row>
    <row r="834" spans="4:10" x14ac:dyDescent="0.2">
      <c r="D834" s="18">
        <f>装备表!L979</f>
        <v>0</v>
      </c>
      <c r="E834" s="18" t="str">
        <f>IF(装备表!$O979=0,"xxx",IFERROR(IF(INT(IF($D834=E$3,装备表!$E979,"xxx")/10000)=1,IF($D834=E$3,装备表!$E979,"xxx")&amp;":2,1,1,"&amp;装备表!$O979&amp;";","xxx"),"xxx"))</f>
        <v>xxx</v>
      </c>
      <c r="F834" s="18" t="str">
        <f>IF(装备表!$O979=0,"xxx",IFERROR(IF(INT(IF($D834=F$3,装备表!$E979,"xxx")/10000)=1,IF($D834=F$3,装备表!$E979,"xxx")&amp;":2,1,1,"&amp;装备表!$O979&amp;";","xxx"),"xxx"))</f>
        <v>xxx</v>
      </c>
      <c r="G834" s="18" t="str">
        <f>IF(装备表!$O979=0,"xxx",IFERROR(IF(INT(IF($D834=G$3,装备表!$E979,"xxx")/10000)=1,IF($D834=G$3,装备表!$E979,"xxx")&amp;":2,1,1,"&amp;装备表!$O979&amp;";","xxx"),"xxx"))</f>
        <v>xxx</v>
      </c>
      <c r="H834" s="18" t="str">
        <f>IF(装备表!$O979=0,"xxx",IFERROR(IF(INT(IF($D834=H$3,装备表!$E979,"xxx")/10000)=1,IF($D834=H$3,装备表!$E979,"xxx")&amp;":2,1,1,"&amp;装备表!$O979&amp;";","xxx"),"xxx"))</f>
        <v>xxx</v>
      </c>
      <c r="I834" s="18" t="str">
        <f>IF(装备表!$O979=0,"xxx",IFERROR(IF(INT(IF($D834=I$3,装备表!$E979,"xxx")/10000)=1,IF($D834=I$3,装备表!$E979,"xxx")&amp;":2,1,1,"&amp;装备表!$O979&amp;";","xxx"),"xxx"))</f>
        <v>xxx</v>
      </c>
      <c r="J834" s="18" t="str">
        <f>IF(装备表!$O979=0,"xxx",IFERROR(IF(INT(IF($D834=J$3,装备表!$E979,"xxx")/10000)=1,IF($D834=J$3,装备表!$E979,"xxx")&amp;":2,1,1,"&amp;装备表!$O979&amp;";","xxx"),"xxx"))</f>
        <v>xxx</v>
      </c>
    </row>
    <row r="835" spans="4:10" x14ac:dyDescent="0.2">
      <c r="D835" s="18">
        <f>装备表!L980</f>
        <v>0</v>
      </c>
      <c r="E835" s="18" t="str">
        <f>IF(装备表!$O980=0,"xxx",IFERROR(IF(INT(IF($D835=E$3,装备表!$E980,"xxx")/10000)=1,IF($D835=E$3,装备表!$E980,"xxx")&amp;":2,1,1,"&amp;装备表!$O980&amp;";","xxx"),"xxx"))</f>
        <v>xxx</v>
      </c>
      <c r="F835" s="18" t="str">
        <f>IF(装备表!$O980=0,"xxx",IFERROR(IF(INT(IF($D835=F$3,装备表!$E980,"xxx")/10000)=1,IF($D835=F$3,装备表!$E980,"xxx")&amp;":2,1,1,"&amp;装备表!$O980&amp;";","xxx"),"xxx"))</f>
        <v>xxx</v>
      </c>
      <c r="G835" s="18" t="str">
        <f>IF(装备表!$O980=0,"xxx",IFERROR(IF(INT(IF($D835=G$3,装备表!$E980,"xxx")/10000)=1,IF($D835=G$3,装备表!$E980,"xxx")&amp;":2,1,1,"&amp;装备表!$O980&amp;";","xxx"),"xxx"))</f>
        <v>xxx</v>
      </c>
      <c r="H835" s="18" t="str">
        <f>IF(装备表!$O980=0,"xxx",IFERROR(IF(INT(IF($D835=H$3,装备表!$E980,"xxx")/10000)=1,IF($D835=H$3,装备表!$E980,"xxx")&amp;":2,1,1,"&amp;装备表!$O980&amp;";","xxx"),"xxx"))</f>
        <v>xxx</v>
      </c>
      <c r="I835" s="18" t="str">
        <f>IF(装备表!$O980=0,"xxx",IFERROR(IF(INT(IF($D835=I$3,装备表!$E980,"xxx")/10000)=1,IF($D835=I$3,装备表!$E980,"xxx")&amp;":2,1,1,"&amp;装备表!$O980&amp;";","xxx"),"xxx"))</f>
        <v>xxx</v>
      </c>
      <c r="J835" s="18" t="str">
        <f>IF(装备表!$O980=0,"xxx",IFERROR(IF(INT(IF($D835=J$3,装备表!$E980,"xxx")/10000)=1,IF($D835=J$3,装备表!$E980,"xxx")&amp;":2,1,1,"&amp;装备表!$O980&amp;";","xxx"),"xxx"))</f>
        <v>xxx</v>
      </c>
    </row>
    <row r="836" spans="4:10" x14ac:dyDescent="0.2">
      <c r="D836" s="18">
        <f>装备表!L981</f>
        <v>0</v>
      </c>
      <c r="E836" s="18" t="str">
        <f>IF(装备表!$O981=0,"xxx",IFERROR(IF(INT(IF($D836=E$3,装备表!$E981,"xxx")/10000)=1,IF($D836=E$3,装备表!$E981,"xxx")&amp;":2,1,1,"&amp;装备表!$O981&amp;";","xxx"),"xxx"))</f>
        <v>xxx</v>
      </c>
      <c r="F836" s="18" t="str">
        <f>IF(装备表!$O981=0,"xxx",IFERROR(IF(INT(IF($D836=F$3,装备表!$E981,"xxx")/10000)=1,IF($D836=F$3,装备表!$E981,"xxx")&amp;":2,1,1,"&amp;装备表!$O981&amp;";","xxx"),"xxx"))</f>
        <v>xxx</v>
      </c>
      <c r="G836" s="18" t="str">
        <f>IF(装备表!$O981=0,"xxx",IFERROR(IF(INT(IF($D836=G$3,装备表!$E981,"xxx")/10000)=1,IF($D836=G$3,装备表!$E981,"xxx")&amp;":2,1,1,"&amp;装备表!$O981&amp;";","xxx"),"xxx"))</f>
        <v>xxx</v>
      </c>
      <c r="H836" s="18" t="str">
        <f>IF(装备表!$O981=0,"xxx",IFERROR(IF(INT(IF($D836=H$3,装备表!$E981,"xxx")/10000)=1,IF($D836=H$3,装备表!$E981,"xxx")&amp;":2,1,1,"&amp;装备表!$O981&amp;";","xxx"),"xxx"))</f>
        <v>xxx</v>
      </c>
      <c r="I836" s="18" t="str">
        <f>IF(装备表!$O981=0,"xxx",IFERROR(IF(INT(IF($D836=I$3,装备表!$E981,"xxx")/10000)=1,IF($D836=I$3,装备表!$E981,"xxx")&amp;":2,1,1,"&amp;装备表!$O981&amp;";","xxx"),"xxx"))</f>
        <v>xxx</v>
      </c>
      <c r="J836" s="18" t="str">
        <f>IF(装备表!$O981=0,"xxx",IFERROR(IF(INT(IF($D836=J$3,装备表!$E981,"xxx")/10000)=1,IF($D836=J$3,装备表!$E981,"xxx")&amp;":2,1,1,"&amp;装备表!$O981&amp;";","xxx"),"xxx"))</f>
        <v>xxx</v>
      </c>
    </row>
    <row r="837" spans="4:10" x14ac:dyDescent="0.2">
      <c r="D837" s="18">
        <f>装备表!L982</f>
        <v>0</v>
      </c>
      <c r="E837" s="18" t="str">
        <f>IF(装备表!$O982=0,"xxx",IFERROR(IF(INT(IF($D837=E$3,装备表!$E982,"xxx")/10000)=1,IF($D837=E$3,装备表!$E982,"xxx")&amp;":2,1,1,"&amp;装备表!$O982&amp;";","xxx"),"xxx"))</f>
        <v>xxx</v>
      </c>
      <c r="F837" s="18" t="str">
        <f>IF(装备表!$O982=0,"xxx",IFERROR(IF(INT(IF($D837=F$3,装备表!$E982,"xxx")/10000)=1,IF($D837=F$3,装备表!$E982,"xxx")&amp;":2,1,1,"&amp;装备表!$O982&amp;";","xxx"),"xxx"))</f>
        <v>xxx</v>
      </c>
      <c r="G837" s="18" t="str">
        <f>IF(装备表!$O982=0,"xxx",IFERROR(IF(INT(IF($D837=G$3,装备表!$E982,"xxx")/10000)=1,IF($D837=G$3,装备表!$E982,"xxx")&amp;":2,1,1,"&amp;装备表!$O982&amp;";","xxx"),"xxx"))</f>
        <v>xxx</v>
      </c>
      <c r="H837" s="18" t="str">
        <f>IF(装备表!$O982=0,"xxx",IFERROR(IF(INT(IF($D837=H$3,装备表!$E982,"xxx")/10000)=1,IF($D837=H$3,装备表!$E982,"xxx")&amp;":2,1,1,"&amp;装备表!$O982&amp;";","xxx"),"xxx"))</f>
        <v>xxx</v>
      </c>
      <c r="I837" s="18" t="str">
        <f>IF(装备表!$O982=0,"xxx",IFERROR(IF(INT(IF($D837=I$3,装备表!$E982,"xxx")/10000)=1,IF($D837=I$3,装备表!$E982,"xxx")&amp;":2,1,1,"&amp;装备表!$O982&amp;";","xxx"),"xxx"))</f>
        <v>xxx</v>
      </c>
      <c r="J837" s="18" t="str">
        <f>IF(装备表!$O982=0,"xxx",IFERROR(IF(INT(IF($D837=J$3,装备表!$E982,"xxx")/10000)=1,IF($D837=J$3,装备表!$E982,"xxx")&amp;":2,1,1,"&amp;装备表!$O982&amp;";","xxx"),"xxx"))</f>
        <v>xxx</v>
      </c>
    </row>
    <row r="838" spans="4:10" x14ac:dyDescent="0.2">
      <c r="D838" s="18">
        <f>装备表!L983</f>
        <v>0</v>
      </c>
      <c r="E838" s="18" t="str">
        <f>IF(装备表!$O983=0,"xxx",IFERROR(IF(INT(IF($D838=E$3,装备表!$E983,"xxx")/10000)=1,IF($D838=E$3,装备表!$E983,"xxx")&amp;":2,1,1,"&amp;装备表!$O983&amp;";","xxx"),"xxx"))</f>
        <v>xxx</v>
      </c>
      <c r="F838" s="18" t="str">
        <f>IF(装备表!$O983=0,"xxx",IFERROR(IF(INT(IF($D838=F$3,装备表!$E983,"xxx")/10000)=1,IF($D838=F$3,装备表!$E983,"xxx")&amp;":2,1,1,"&amp;装备表!$O983&amp;";","xxx"),"xxx"))</f>
        <v>xxx</v>
      </c>
      <c r="G838" s="18" t="str">
        <f>IF(装备表!$O983=0,"xxx",IFERROR(IF(INT(IF($D838=G$3,装备表!$E983,"xxx")/10000)=1,IF($D838=G$3,装备表!$E983,"xxx")&amp;":2,1,1,"&amp;装备表!$O983&amp;";","xxx"),"xxx"))</f>
        <v>xxx</v>
      </c>
      <c r="H838" s="18" t="str">
        <f>IF(装备表!$O983=0,"xxx",IFERROR(IF(INT(IF($D838=H$3,装备表!$E983,"xxx")/10000)=1,IF($D838=H$3,装备表!$E983,"xxx")&amp;":2,1,1,"&amp;装备表!$O983&amp;";","xxx"),"xxx"))</f>
        <v>xxx</v>
      </c>
      <c r="I838" s="18" t="str">
        <f>IF(装备表!$O983=0,"xxx",IFERROR(IF(INT(IF($D838=I$3,装备表!$E983,"xxx")/10000)=1,IF($D838=I$3,装备表!$E983,"xxx")&amp;":2,1,1,"&amp;装备表!$O983&amp;";","xxx"),"xxx"))</f>
        <v>xxx</v>
      </c>
      <c r="J838" s="18" t="str">
        <f>IF(装备表!$O983=0,"xxx",IFERROR(IF(INT(IF($D838=J$3,装备表!$E983,"xxx")/10000)=1,IF($D838=J$3,装备表!$E983,"xxx")&amp;":2,1,1,"&amp;装备表!$O983&amp;";","xxx"),"xxx"))</f>
        <v>xxx</v>
      </c>
    </row>
    <row r="839" spans="4:10" x14ac:dyDescent="0.2">
      <c r="D839" s="18">
        <f>装备表!L984</f>
        <v>0</v>
      </c>
      <c r="E839" s="18" t="str">
        <f>IF(装备表!$O984=0,"xxx",IFERROR(IF(INT(IF($D839=E$3,装备表!$E984,"xxx")/10000)=1,IF($D839=E$3,装备表!$E984,"xxx")&amp;":2,1,1,"&amp;装备表!$O984&amp;";","xxx"),"xxx"))</f>
        <v>xxx</v>
      </c>
      <c r="F839" s="18" t="str">
        <f>IF(装备表!$O984=0,"xxx",IFERROR(IF(INT(IF($D839=F$3,装备表!$E984,"xxx")/10000)=1,IF($D839=F$3,装备表!$E984,"xxx")&amp;":2,1,1,"&amp;装备表!$O984&amp;";","xxx"),"xxx"))</f>
        <v>xxx</v>
      </c>
      <c r="G839" s="18" t="str">
        <f>IF(装备表!$O984=0,"xxx",IFERROR(IF(INT(IF($D839=G$3,装备表!$E984,"xxx")/10000)=1,IF($D839=G$3,装备表!$E984,"xxx")&amp;":2,1,1,"&amp;装备表!$O984&amp;";","xxx"),"xxx"))</f>
        <v>xxx</v>
      </c>
      <c r="H839" s="18" t="str">
        <f>IF(装备表!$O984=0,"xxx",IFERROR(IF(INT(IF($D839=H$3,装备表!$E984,"xxx")/10000)=1,IF($D839=H$3,装备表!$E984,"xxx")&amp;":2,1,1,"&amp;装备表!$O984&amp;";","xxx"),"xxx"))</f>
        <v>xxx</v>
      </c>
      <c r="I839" s="18" t="str">
        <f>IF(装备表!$O984=0,"xxx",IFERROR(IF(INT(IF($D839=I$3,装备表!$E984,"xxx")/10000)=1,IF($D839=I$3,装备表!$E984,"xxx")&amp;":2,1,1,"&amp;装备表!$O984&amp;";","xxx"),"xxx"))</f>
        <v>xxx</v>
      </c>
      <c r="J839" s="18" t="str">
        <f>IF(装备表!$O984=0,"xxx",IFERROR(IF(INT(IF($D839=J$3,装备表!$E984,"xxx")/10000)=1,IF($D839=J$3,装备表!$E984,"xxx")&amp;":2,1,1,"&amp;装备表!$O984&amp;";","xxx"),"xxx"))</f>
        <v>xxx</v>
      </c>
    </row>
    <row r="840" spans="4:10" x14ac:dyDescent="0.2">
      <c r="D840" s="18">
        <f>装备表!L985</f>
        <v>0</v>
      </c>
      <c r="E840" s="18" t="str">
        <f>IF(装备表!$O985=0,"xxx",IFERROR(IF(INT(IF($D840=E$3,装备表!$E985,"xxx")/10000)=1,IF($D840=E$3,装备表!$E985,"xxx")&amp;":2,1,1,"&amp;装备表!$O985&amp;";","xxx"),"xxx"))</f>
        <v>xxx</v>
      </c>
      <c r="F840" s="18" t="str">
        <f>IF(装备表!$O985=0,"xxx",IFERROR(IF(INT(IF($D840=F$3,装备表!$E985,"xxx")/10000)=1,IF($D840=F$3,装备表!$E985,"xxx")&amp;":2,1,1,"&amp;装备表!$O985&amp;";","xxx"),"xxx"))</f>
        <v>xxx</v>
      </c>
      <c r="G840" s="18" t="str">
        <f>IF(装备表!$O985=0,"xxx",IFERROR(IF(INT(IF($D840=G$3,装备表!$E985,"xxx")/10000)=1,IF($D840=G$3,装备表!$E985,"xxx")&amp;":2,1,1,"&amp;装备表!$O985&amp;";","xxx"),"xxx"))</f>
        <v>xxx</v>
      </c>
      <c r="H840" s="18" t="str">
        <f>IF(装备表!$O985=0,"xxx",IFERROR(IF(INT(IF($D840=H$3,装备表!$E985,"xxx")/10000)=1,IF($D840=H$3,装备表!$E985,"xxx")&amp;":2,1,1,"&amp;装备表!$O985&amp;";","xxx"),"xxx"))</f>
        <v>xxx</v>
      </c>
      <c r="I840" s="18" t="str">
        <f>IF(装备表!$O985=0,"xxx",IFERROR(IF(INT(IF($D840=I$3,装备表!$E985,"xxx")/10000)=1,IF($D840=I$3,装备表!$E985,"xxx")&amp;":2,1,1,"&amp;装备表!$O985&amp;";","xxx"),"xxx"))</f>
        <v>xxx</v>
      </c>
      <c r="J840" s="18" t="str">
        <f>IF(装备表!$O985=0,"xxx",IFERROR(IF(INT(IF($D840=J$3,装备表!$E985,"xxx")/10000)=1,IF($D840=J$3,装备表!$E985,"xxx")&amp;":2,1,1,"&amp;装备表!$O985&amp;";","xxx"),"xxx"))</f>
        <v>xxx</v>
      </c>
    </row>
    <row r="841" spans="4:10" x14ac:dyDescent="0.2">
      <c r="D841" s="18">
        <f>装备表!L986</f>
        <v>0</v>
      </c>
      <c r="E841" s="18" t="str">
        <f>IF(装备表!$O986=0,"xxx",IFERROR(IF(INT(IF($D841=E$3,装备表!$E986,"xxx")/10000)=1,IF($D841=E$3,装备表!$E986,"xxx")&amp;":2,1,1,"&amp;装备表!$O986&amp;";","xxx"),"xxx"))</f>
        <v>xxx</v>
      </c>
      <c r="F841" s="18" t="str">
        <f>IF(装备表!$O986=0,"xxx",IFERROR(IF(INT(IF($D841=F$3,装备表!$E986,"xxx")/10000)=1,IF($D841=F$3,装备表!$E986,"xxx")&amp;":2,1,1,"&amp;装备表!$O986&amp;";","xxx"),"xxx"))</f>
        <v>xxx</v>
      </c>
      <c r="G841" s="18" t="str">
        <f>IF(装备表!$O986=0,"xxx",IFERROR(IF(INT(IF($D841=G$3,装备表!$E986,"xxx")/10000)=1,IF($D841=G$3,装备表!$E986,"xxx")&amp;":2,1,1,"&amp;装备表!$O986&amp;";","xxx"),"xxx"))</f>
        <v>xxx</v>
      </c>
      <c r="H841" s="18" t="str">
        <f>IF(装备表!$O986=0,"xxx",IFERROR(IF(INT(IF($D841=H$3,装备表!$E986,"xxx")/10000)=1,IF($D841=H$3,装备表!$E986,"xxx")&amp;":2,1,1,"&amp;装备表!$O986&amp;";","xxx"),"xxx"))</f>
        <v>xxx</v>
      </c>
      <c r="I841" s="18" t="str">
        <f>IF(装备表!$O986=0,"xxx",IFERROR(IF(INT(IF($D841=I$3,装备表!$E986,"xxx")/10000)=1,IF($D841=I$3,装备表!$E986,"xxx")&amp;":2,1,1,"&amp;装备表!$O986&amp;";","xxx"),"xxx"))</f>
        <v>xxx</v>
      </c>
      <c r="J841" s="18" t="str">
        <f>IF(装备表!$O986=0,"xxx",IFERROR(IF(INT(IF($D841=J$3,装备表!$E986,"xxx")/10000)=1,IF($D841=J$3,装备表!$E986,"xxx")&amp;":2,1,1,"&amp;装备表!$O986&amp;";","xxx"),"xxx"))</f>
        <v>xxx</v>
      </c>
    </row>
    <row r="842" spans="4:10" x14ac:dyDescent="0.2">
      <c r="D842" s="18">
        <f>装备表!L987</f>
        <v>0</v>
      </c>
      <c r="E842" s="18" t="str">
        <f>IF(装备表!$O987=0,"xxx",IFERROR(IF(INT(IF($D842=E$3,装备表!$E987,"xxx")/10000)=1,IF($D842=E$3,装备表!$E987,"xxx")&amp;":2,1,1,"&amp;装备表!$O987&amp;";","xxx"),"xxx"))</f>
        <v>xxx</v>
      </c>
      <c r="F842" s="18" t="str">
        <f>IF(装备表!$O987=0,"xxx",IFERROR(IF(INT(IF($D842=F$3,装备表!$E987,"xxx")/10000)=1,IF($D842=F$3,装备表!$E987,"xxx")&amp;":2,1,1,"&amp;装备表!$O987&amp;";","xxx"),"xxx"))</f>
        <v>xxx</v>
      </c>
      <c r="G842" s="18" t="str">
        <f>IF(装备表!$O987=0,"xxx",IFERROR(IF(INT(IF($D842=G$3,装备表!$E987,"xxx")/10000)=1,IF($D842=G$3,装备表!$E987,"xxx")&amp;":2,1,1,"&amp;装备表!$O987&amp;";","xxx"),"xxx"))</f>
        <v>xxx</v>
      </c>
      <c r="H842" s="18" t="str">
        <f>IF(装备表!$O987=0,"xxx",IFERROR(IF(INT(IF($D842=H$3,装备表!$E987,"xxx")/10000)=1,IF($D842=H$3,装备表!$E987,"xxx")&amp;":2,1,1,"&amp;装备表!$O987&amp;";","xxx"),"xxx"))</f>
        <v>xxx</v>
      </c>
      <c r="I842" s="18" t="str">
        <f>IF(装备表!$O987=0,"xxx",IFERROR(IF(INT(IF($D842=I$3,装备表!$E987,"xxx")/10000)=1,IF($D842=I$3,装备表!$E987,"xxx")&amp;":2,1,1,"&amp;装备表!$O987&amp;";","xxx"),"xxx"))</f>
        <v>xxx</v>
      </c>
      <c r="J842" s="18" t="str">
        <f>IF(装备表!$O987=0,"xxx",IFERROR(IF(INT(IF($D842=J$3,装备表!$E987,"xxx")/10000)=1,IF($D842=J$3,装备表!$E987,"xxx")&amp;":2,1,1,"&amp;装备表!$O987&amp;";","xxx"),"xxx"))</f>
        <v>xxx</v>
      </c>
    </row>
    <row r="843" spans="4:10" x14ac:dyDescent="0.2">
      <c r="D843" s="18">
        <f>装备表!L988</f>
        <v>0</v>
      </c>
      <c r="E843" s="18" t="str">
        <f>IF(装备表!$O988=0,"xxx",IFERROR(IF(INT(IF($D843=E$3,装备表!$E988,"xxx")/10000)=1,IF($D843=E$3,装备表!$E988,"xxx")&amp;":2,1,1,"&amp;装备表!$O988&amp;";","xxx"),"xxx"))</f>
        <v>xxx</v>
      </c>
      <c r="F843" s="18" t="str">
        <f>IF(装备表!$O988=0,"xxx",IFERROR(IF(INT(IF($D843=F$3,装备表!$E988,"xxx")/10000)=1,IF($D843=F$3,装备表!$E988,"xxx")&amp;":2,1,1,"&amp;装备表!$O988&amp;";","xxx"),"xxx"))</f>
        <v>xxx</v>
      </c>
      <c r="G843" s="18" t="str">
        <f>IF(装备表!$O988=0,"xxx",IFERROR(IF(INT(IF($D843=G$3,装备表!$E988,"xxx")/10000)=1,IF($D843=G$3,装备表!$E988,"xxx")&amp;":2,1,1,"&amp;装备表!$O988&amp;";","xxx"),"xxx"))</f>
        <v>xxx</v>
      </c>
      <c r="H843" s="18" t="str">
        <f>IF(装备表!$O988=0,"xxx",IFERROR(IF(INT(IF($D843=H$3,装备表!$E988,"xxx")/10000)=1,IF($D843=H$3,装备表!$E988,"xxx")&amp;":2,1,1,"&amp;装备表!$O988&amp;";","xxx"),"xxx"))</f>
        <v>xxx</v>
      </c>
      <c r="I843" s="18" t="str">
        <f>IF(装备表!$O988=0,"xxx",IFERROR(IF(INT(IF($D843=I$3,装备表!$E988,"xxx")/10000)=1,IF($D843=I$3,装备表!$E988,"xxx")&amp;":2,1,1,"&amp;装备表!$O988&amp;";","xxx"),"xxx"))</f>
        <v>xxx</v>
      </c>
      <c r="J843" s="18" t="str">
        <f>IF(装备表!$O988=0,"xxx",IFERROR(IF(INT(IF($D843=J$3,装备表!$E988,"xxx")/10000)=1,IF($D843=J$3,装备表!$E988,"xxx")&amp;":2,1,1,"&amp;装备表!$O988&amp;";","xxx"),"xxx"))</f>
        <v>xxx</v>
      </c>
    </row>
    <row r="844" spans="4:10" x14ac:dyDescent="0.2">
      <c r="D844" s="18">
        <f>装备表!L989</f>
        <v>0</v>
      </c>
      <c r="E844" s="18" t="str">
        <f>IF(装备表!$O989=0,"xxx",IFERROR(IF(INT(IF($D844=E$3,装备表!$E989,"xxx")/10000)=1,IF($D844=E$3,装备表!$E989,"xxx")&amp;":2,1,1,"&amp;装备表!$O989&amp;";","xxx"),"xxx"))</f>
        <v>xxx</v>
      </c>
      <c r="F844" s="18" t="str">
        <f>IF(装备表!$O989=0,"xxx",IFERROR(IF(INT(IF($D844=F$3,装备表!$E989,"xxx")/10000)=1,IF($D844=F$3,装备表!$E989,"xxx")&amp;":2,1,1,"&amp;装备表!$O989&amp;";","xxx"),"xxx"))</f>
        <v>xxx</v>
      </c>
      <c r="G844" s="18" t="str">
        <f>IF(装备表!$O989=0,"xxx",IFERROR(IF(INT(IF($D844=G$3,装备表!$E989,"xxx")/10000)=1,IF($D844=G$3,装备表!$E989,"xxx")&amp;":2,1,1,"&amp;装备表!$O989&amp;";","xxx"),"xxx"))</f>
        <v>xxx</v>
      </c>
      <c r="H844" s="18" t="str">
        <f>IF(装备表!$O989=0,"xxx",IFERROR(IF(INT(IF($D844=H$3,装备表!$E989,"xxx")/10000)=1,IF($D844=H$3,装备表!$E989,"xxx")&amp;":2,1,1,"&amp;装备表!$O989&amp;";","xxx"),"xxx"))</f>
        <v>xxx</v>
      </c>
      <c r="I844" s="18" t="str">
        <f>IF(装备表!$O989=0,"xxx",IFERROR(IF(INT(IF($D844=I$3,装备表!$E989,"xxx")/10000)=1,IF($D844=I$3,装备表!$E989,"xxx")&amp;":2,1,1,"&amp;装备表!$O989&amp;";","xxx"),"xxx"))</f>
        <v>xxx</v>
      </c>
      <c r="J844" s="18" t="str">
        <f>IF(装备表!$O989=0,"xxx",IFERROR(IF(INT(IF($D844=J$3,装备表!$E989,"xxx")/10000)=1,IF($D844=J$3,装备表!$E989,"xxx")&amp;":2,1,1,"&amp;装备表!$O989&amp;";","xxx"),"xxx"))</f>
        <v>xxx</v>
      </c>
    </row>
    <row r="845" spans="4:10" x14ac:dyDescent="0.2">
      <c r="D845" s="18">
        <f>装备表!L990</f>
        <v>0</v>
      </c>
      <c r="E845" s="18" t="str">
        <f>IF(装备表!$O990=0,"xxx",IFERROR(IF(INT(IF($D845=E$3,装备表!$E990,"xxx")/10000)=1,IF($D845=E$3,装备表!$E990,"xxx")&amp;":2,1,1,"&amp;装备表!$O990&amp;";","xxx"),"xxx"))</f>
        <v>xxx</v>
      </c>
      <c r="F845" s="18" t="str">
        <f>IF(装备表!$O990=0,"xxx",IFERROR(IF(INT(IF($D845=F$3,装备表!$E990,"xxx")/10000)=1,IF($D845=F$3,装备表!$E990,"xxx")&amp;":2,1,1,"&amp;装备表!$O990&amp;";","xxx"),"xxx"))</f>
        <v>xxx</v>
      </c>
      <c r="G845" s="18" t="str">
        <f>IF(装备表!$O990=0,"xxx",IFERROR(IF(INT(IF($D845=G$3,装备表!$E990,"xxx")/10000)=1,IF($D845=G$3,装备表!$E990,"xxx")&amp;":2,1,1,"&amp;装备表!$O990&amp;";","xxx"),"xxx"))</f>
        <v>xxx</v>
      </c>
      <c r="H845" s="18" t="str">
        <f>IF(装备表!$O990=0,"xxx",IFERROR(IF(INT(IF($D845=H$3,装备表!$E990,"xxx")/10000)=1,IF($D845=H$3,装备表!$E990,"xxx")&amp;":2,1,1,"&amp;装备表!$O990&amp;";","xxx"),"xxx"))</f>
        <v>xxx</v>
      </c>
      <c r="I845" s="18" t="str">
        <f>IF(装备表!$O990=0,"xxx",IFERROR(IF(INT(IF($D845=I$3,装备表!$E990,"xxx")/10000)=1,IF($D845=I$3,装备表!$E990,"xxx")&amp;":2,1,1,"&amp;装备表!$O990&amp;";","xxx"),"xxx"))</f>
        <v>xxx</v>
      </c>
      <c r="J845" s="18" t="str">
        <f>IF(装备表!$O990=0,"xxx",IFERROR(IF(INT(IF($D845=J$3,装备表!$E990,"xxx")/10000)=1,IF($D845=J$3,装备表!$E990,"xxx")&amp;":2,1,1,"&amp;装备表!$O990&amp;";","xxx"),"xxx"))</f>
        <v>xxx</v>
      </c>
    </row>
    <row r="846" spans="4:10" x14ac:dyDescent="0.2">
      <c r="D846" s="18">
        <f>装备表!L991</f>
        <v>0</v>
      </c>
      <c r="E846" s="18" t="str">
        <f>IF(装备表!$O991=0,"xxx",IFERROR(IF(INT(IF($D846=E$3,装备表!$E991,"xxx")/10000)=1,IF($D846=E$3,装备表!$E991,"xxx")&amp;":2,1,1,"&amp;装备表!$O991&amp;";","xxx"),"xxx"))</f>
        <v>xxx</v>
      </c>
      <c r="F846" s="18" t="str">
        <f>IF(装备表!$O991=0,"xxx",IFERROR(IF(INT(IF($D846=F$3,装备表!$E991,"xxx")/10000)=1,IF($D846=F$3,装备表!$E991,"xxx")&amp;":2,1,1,"&amp;装备表!$O991&amp;";","xxx"),"xxx"))</f>
        <v>xxx</v>
      </c>
      <c r="G846" s="18" t="str">
        <f>IF(装备表!$O991=0,"xxx",IFERROR(IF(INT(IF($D846=G$3,装备表!$E991,"xxx")/10000)=1,IF($D846=G$3,装备表!$E991,"xxx")&amp;":2,1,1,"&amp;装备表!$O991&amp;";","xxx"),"xxx"))</f>
        <v>xxx</v>
      </c>
      <c r="H846" s="18" t="str">
        <f>IF(装备表!$O991=0,"xxx",IFERROR(IF(INT(IF($D846=H$3,装备表!$E991,"xxx")/10000)=1,IF($D846=H$3,装备表!$E991,"xxx")&amp;":2,1,1,"&amp;装备表!$O991&amp;";","xxx"),"xxx"))</f>
        <v>xxx</v>
      </c>
      <c r="I846" s="18" t="str">
        <f>IF(装备表!$O991=0,"xxx",IFERROR(IF(INT(IF($D846=I$3,装备表!$E991,"xxx")/10000)=1,IF($D846=I$3,装备表!$E991,"xxx")&amp;":2,1,1,"&amp;装备表!$O991&amp;";","xxx"),"xxx"))</f>
        <v>xxx</v>
      </c>
      <c r="J846" s="18" t="str">
        <f>IF(装备表!$O991=0,"xxx",IFERROR(IF(INT(IF($D846=J$3,装备表!$E991,"xxx")/10000)=1,IF($D846=J$3,装备表!$E991,"xxx")&amp;":2,1,1,"&amp;装备表!$O991&amp;";","xxx"),"xxx"))</f>
        <v>xxx</v>
      </c>
    </row>
    <row r="847" spans="4:10" x14ac:dyDescent="0.2">
      <c r="D847" s="18">
        <f>装备表!L992</f>
        <v>0</v>
      </c>
      <c r="E847" s="18" t="str">
        <f>IF(装备表!$O992=0,"xxx",IFERROR(IF(INT(IF($D847=E$3,装备表!$E992,"xxx")/10000)=1,IF($D847=E$3,装备表!$E992,"xxx")&amp;":2,1,1,"&amp;装备表!$O992&amp;";","xxx"),"xxx"))</f>
        <v>xxx</v>
      </c>
      <c r="F847" s="18" t="str">
        <f>IF(装备表!$O992=0,"xxx",IFERROR(IF(INT(IF($D847=F$3,装备表!$E992,"xxx")/10000)=1,IF($D847=F$3,装备表!$E992,"xxx")&amp;":2,1,1,"&amp;装备表!$O992&amp;";","xxx"),"xxx"))</f>
        <v>xxx</v>
      </c>
      <c r="G847" s="18" t="str">
        <f>IF(装备表!$O992=0,"xxx",IFERROR(IF(INT(IF($D847=G$3,装备表!$E992,"xxx")/10000)=1,IF($D847=G$3,装备表!$E992,"xxx")&amp;":2,1,1,"&amp;装备表!$O992&amp;";","xxx"),"xxx"))</f>
        <v>xxx</v>
      </c>
      <c r="H847" s="18" t="str">
        <f>IF(装备表!$O992=0,"xxx",IFERROR(IF(INT(IF($D847=H$3,装备表!$E992,"xxx")/10000)=1,IF($D847=H$3,装备表!$E992,"xxx")&amp;":2,1,1,"&amp;装备表!$O992&amp;";","xxx"),"xxx"))</f>
        <v>xxx</v>
      </c>
      <c r="I847" s="18" t="str">
        <f>IF(装备表!$O992=0,"xxx",IFERROR(IF(INT(IF($D847=I$3,装备表!$E992,"xxx")/10000)=1,IF($D847=I$3,装备表!$E992,"xxx")&amp;":2,1,1,"&amp;装备表!$O992&amp;";","xxx"),"xxx"))</f>
        <v>xxx</v>
      </c>
      <c r="J847" s="18" t="str">
        <f>IF(装备表!$O992=0,"xxx",IFERROR(IF(INT(IF($D847=J$3,装备表!$E992,"xxx")/10000)=1,IF($D847=J$3,装备表!$E992,"xxx")&amp;":2,1,1,"&amp;装备表!$O992&amp;";","xxx"),"xxx"))</f>
        <v>xxx</v>
      </c>
    </row>
    <row r="848" spans="4:10" x14ac:dyDescent="0.2">
      <c r="D848" s="18">
        <f>装备表!L993</f>
        <v>0</v>
      </c>
      <c r="E848" s="18" t="str">
        <f>IF(装备表!$O993=0,"xxx",IFERROR(IF(INT(IF($D848=E$3,装备表!$E993,"xxx")/10000)=1,IF($D848=E$3,装备表!$E993,"xxx")&amp;":2,1,1,"&amp;装备表!$O993&amp;";","xxx"),"xxx"))</f>
        <v>xxx</v>
      </c>
      <c r="F848" s="18" t="str">
        <f>IF(装备表!$O993=0,"xxx",IFERROR(IF(INT(IF($D848=F$3,装备表!$E993,"xxx")/10000)=1,IF($D848=F$3,装备表!$E993,"xxx")&amp;":2,1,1,"&amp;装备表!$O993&amp;";","xxx"),"xxx"))</f>
        <v>xxx</v>
      </c>
      <c r="G848" s="18" t="str">
        <f>IF(装备表!$O993=0,"xxx",IFERROR(IF(INT(IF($D848=G$3,装备表!$E993,"xxx")/10000)=1,IF($D848=G$3,装备表!$E993,"xxx")&amp;":2,1,1,"&amp;装备表!$O993&amp;";","xxx"),"xxx"))</f>
        <v>xxx</v>
      </c>
      <c r="H848" s="18" t="str">
        <f>IF(装备表!$O993=0,"xxx",IFERROR(IF(INT(IF($D848=H$3,装备表!$E993,"xxx")/10000)=1,IF($D848=H$3,装备表!$E993,"xxx")&amp;":2,1,1,"&amp;装备表!$O993&amp;";","xxx"),"xxx"))</f>
        <v>xxx</v>
      </c>
      <c r="I848" s="18" t="str">
        <f>IF(装备表!$O993=0,"xxx",IFERROR(IF(INT(IF($D848=I$3,装备表!$E993,"xxx")/10000)=1,IF($D848=I$3,装备表!$E993,"xxx")&amp;":2,1,1,"&amp;装备表!$O993&amp;";","xxx"),"xxx"))</f>
        <v>xxx</v>
      </c>
      <c r="J848" s="18" t="str">
        <f>IF(装备表!$O993=0,"xxx",IFERROR(IF(INT(IF($D848=J$3,装备表!$E993,"xxx")/10000)=1,IF($D848=J$3,装备表!$E993,"xxx")&amp;":2,1,1,"&amp;装备表!$O993&amp;";","xxx"),"xxx"))</f>
        <v>xxx</v>
      </c>
    </row>
    <row r="849" spans="4:10" x14ac:dyDescent="0.2">
      <c r="D849" s="18">
        <f>装备表!L994</f>
        <v>0</v>
      </c>
      <c r="E849" s="18" t="str">
        <f>IF(装备表!$O994=0,"xxx",IFERROR(IF(INT(IF($D849=E$3,装备表!$E994,"xxx")/10000)=1,IF($D849=E$3,装备表!$E994,"xxx")&amp;":2,1,1,"&amp;装备表!$O994&amp;";","xxx"),"xxx"))</f>
        <v>xxx</v>
      </c>
      <c r="F849" s="18" t="str">
        <f>IF(装备表!$O994=0,"xxx",IFERROR(IF(INT(IF($D849=F$3,装备表!$E994,"xxx")/10000)=1,IF($D849=F$3,装备表!$E994,"xxx")&amp;":2,1,1,"&amp;装备表!$O994&amp;";","xxx"),"xxx"))</f>
        <v>xxx</v>
      </c>
      <c r="G849" s="18" t="str">
        <f>IF(装备表!$O994=0,"xxx",IFERROR(IF(INT(IF($D849=G$3,装备表!$E994,"xxx")/10000)=1,IF($D849=G$3,装备表!$E994,"xxx")&amp;":2,1,1,"&amp;装备表!$O994&amp;";","xxx"),"xxx"))</f>
        <v>xxx</v>
      </c>
      <c r="H849" s="18" t="str">
        <f>IF(装备表!$O994=0,"xxx",IFERROR(IF(INT(IF($D849=H$3,装备表!$E994,"xxx")/10000)=1,IF($D849=H$3,装备表!$E994,"xxx")&amp;":2,1,1,"&amp;装备表!$O994&amp;";","xxx"),"xxx"))</f>
        <v>xxx</v>
      </c>
      <c r="I849" s="18" t="str">
        <f>IF(装备表!$O994=0,"xxx",IFERROR(IF(INT(IF($D849=I$3,装备表!$E994,"xxx")/10000)=1,IF($D849=I$3,装备表!$E994,"xxx")&amp;":2,1,1,"&amp;装备表!$O994&amp;";","xxx"),"xxx"))</f>
        <v>xxx</v>
      </c>
      <c r="J849" s="18" t="str">
        <f>IF(装备表!$O994=0,"xxx",IFERROR(IF(INT(IF($D849=J$3,装备表!$E994,"xxx")/10000)=1,IF($D849=J$3,装备表!$E994,"xxx")&amp;":2,1,1,"&amp;装备表!$O994&amp;";","xxx"),"xxx"))</f>
        <v>xxx</v>
      </c>
    </row>
    <row r="850" spans="4:10" x14ac:dyDescent="0.2">
      <c r="D850" s="18">
        <f>装备表!L995</f>
        <v>0</v>
      </c>
      <c r="E850" s="18" t="str">
        <f>IF(装备表!$O995=0,"xxx",IFERROR(IF(INT(IF($D850=E$3,装备表!$E995,"xxx")/10000)=1,IF($D850=E$3,装备表!$E995,"xxx")&amp;":2,1,1,"&amp;装备表!$O995&amp;";","xxx"),"xxx"))</f>
        <v>xxx</v>
      </c>
      <c r="F850" s="18" t="str">
        <f>IF(装备表!$O995=0,"xxx",IFERROR(IF(INT(IF($D850=F$3,装备表!$E995,"xxx")/10000)=1,IF($D850=F$3,装备表!$E995,"xxx")&amp;":2,1,1,"&amp;装备表!$O995&amp;";","xxx"),"xxx"))</f>
        <v>xxx</v>
      </c>
      <c r="G850" s="18" t="str">
        <f>IF(装备表!$O995=0,"xxx",IFERROR(IF(INT(IF($D850=G$3,装备表!$E995,"xxx")/10000)=1,IF($D850=G$3,装备表!$E995,"xxx")&amp;":2,1,1,"&amp;装备表!$O995&amp;";","xxx"),"xxx"))</f>
        <v>xxx</v>
      </c>
      <c r="H850" s="18" t="str">
        <f>IF(装备表!$O995=0,"xxx",IFERROR(IF(INT(IF($D850=H$3,装备表!$E995,"xxx")/10000)=1,IF($D850=H$3,装备表!$E995,"xxx")&amp;":2,1,1,"&amp;装备表!$O995&amp;";","xxx"),"xxx"))</f>
        <v>xxx</v>
      </c>
      <c r="I850" s="18" t="str">
        <f>IF(装备表!$O995=0,"xxx",IFERROR(IF(INT(IF($D850=I$3,装备表!$E995,"xxx")/10000)=1,IF($D850=I$3,装备表!$E995,"xxx")&amp;":2,1,1,"&amp;装备表!$O995&amp;";","xxx"),"xxx"))</f>
        <v>xxx</v>
      </c>
      <c r="J850" s="18" t="str">
        <f>IF(装备表!$O995=0,"xxx",IFERROR(IF(INT(IF($D850=J$3,装备表!$E995,"xxx")/10000)=1,IF($D850=J$3,装备表!$E995,"xxx")&amp;":2,1,1,"&amp;装备表!$O995&amp;";","xxx"),"xxx"))</f>
        <v>xxx</v>
      </c>
    </row>
    <row r="851" spans="4:10" x14ac:dyDescent="0.2">
      <c r="D851" s="18">
        <f>装备表!L996</f>
        <v>0</v>
      </c>
      <c r="E851" s="18" t="str">
        <f>IF(装备表!$O996=0,"xxx",IFERROR(IF(INT(IF($D851=E$3,装备表!$E996,"xxx")/10000)=1,IF($D851=E$3,装备表!$E996,"xxx")&amp;":2,1,1,"&amp;装备表!$O996&amp;";","xxx"),"xxx"))</f>
        <v>xxx</v>
      </c>
      <c r="F851" s="18" t="str">
        <f>IF(装备表!$O996=0,"xxx",IFERROR(IF(INT(IF($D851=F$3,装备表!$E996,"xxx")/10000)=1,IF($D851=F$3,装备表!$E996,"xxx")&amp;":2,1,1,"&amp;装备表!$O996&amp;";","xxx"),"xxx"))</f>
        <v>xxx</v>
      </c>
      <c r="G851" s="18" t="str">
        <f>IF(装备表!$O996=0,"xxx",IFERROR(IF(INT(IF($D851=G$3,装备表!$E996,"xxx")/10000)=1,IF($D851=G$3,装备表!$E996,"xxx")&amp;":2,1,1,"&amp;装备表!$O996&amp;";","xxx"),"xxx"))</f>
        <v>xxx</v>
      </c>
      <c r="H851" s="18" t="str">
        <f>IF(装备表!$O996=0,"xxx",IFERROR(IF(INT(IF($D851=H$3,装备表!$E996,"xxx")/10000)=1,IF($D851=H$3,装备表!$E996,"xxx")&amp;":2,1,1,"&amp;装备表!$O996&amp;";","xxx"),"xxx"))</f>
        <v>xxx</v>
      </c>
      <c r="I851" s="18" t="str">
        <f>IF(装备表!$O996=0,"xxx",IFERROR(IF(INT(IF($D851=I$3,装备表!$E996,"xxx")/10000)=1,IF($D851=I$3,装备表!$E996,"xxx")&amp;":2,1,1,"&amp;装备表!$O996&amp;";","xxx"),"xxx"))</f>
        <v>xxx</v>
      </c>
      <c r="J851" s="18" t="str">
        <f>IF(装备表!$O996=0,"xxx",IFERROR(IF(INT(IF($D851=J$3,装备表!$E996,"xxx")/10000)=1,IF($D851=J$3,装备表!$E996,"xxx")&amp;":2,1,1,"&amp;装备表!$O996&amp;";","xxx"),"xxx"))</f>
        <v>xxx</v>
      </c>
    </row>
    <row r="852" spans="4:10" x14ac:dyDescent="0.2">
      <c r="D852" s="18">
        <f>装备表!L997</f>
        <v>0</v>
      </c>
      <c r="E852" s="18" t="str">
        <f>IF(装备表!$O997=0,"xxx",IFERROR(IF(INT(IF($D852=E$3,装备表!$E997,"xxx")/10000)=1,IF($D852=E$3,装备表!$E997,"xxx")&amp;":2,1,1,"&amp;装备表!$O997&amp;";","xxx"),"xxx"))</f>
        <v>xxx</v>
      </c>
      <c r="F852" s="18" t="str">
        <f>IF(装备表!$O997=0,"xxx",IFERROR(IF(INT(IF($D852=F$3,装备表!$E997,"xxx")/10000)=1,IF($D852=F$3,装备表!$E997,"xxx")&amp;":2,1,1,"&amp;装备表!$O997&amp;";","xxx"),"xxx"))</f>
        <v>xxx</v>
      </c>
      <c r="G852" s="18" t="str">
        <f>IF(装备表!$O997=0,"xxx",IFERROR(IF(INT(IF($D852=G$3,装备表!$E997,"xxx")/10000)=1,IF($D852=G$3,装备表!$E997,"xxx")&amp;":2,1,1,"&amp;装备表!$O997&amp;";","xxx"),"xxx"))</f>
        <v>xxx</v>
      </c>
      <c r="H852" s="18" t="str">
        <f>IF(装备表!$O997=0,"xxx",IFERROR(IF(INT(IF($D852=H$3,装备表!$E997,"xxx")/10000)=1,IF($D852=H$3,装备表!$E997,"xxx")&amp;":2,1,1,"&amp;装备表!$O997&amp;";","xxx"),"xxx"))</f>
        <v>xxx</v>
      </c>
      <c r="I852" s="18" t="str">
        <f>IF(装备表!$O997=0,"xxx",IFERROR(IF(INT(IF($D852=I$3,装备表!$E997,"xxx")/10000)=1,IF($D852=I$3,装备表!$E997,"xxx")&amp;":2,1,1,"&amp;装备表!$O997&amp;";","xxx"),"xxx"))</f>
        <v>xxx</v>
      </c>
      <c r="J852" s="18" t="str">
        <f>IF(装备表!$O997=0,"xxx",IFERROR(IF(INT(IF($D852=J$3,装备表!$E997,"xxx")/10000)=1,IF($D852=J$3,装备表!$E997,"xxx")&amp;":2,1,1,"&amp;装备表!$O997&amp;";","xxx"),"xxx"))</f>
        <v>xxx</v>
      </c>
    </row>
    <row r="853" spans="4:10" x14ac:dyDescent="0.2">
      <c r="D853" s="18">
        <f>装备表!L998</f>
        <v>0</v>
      </c>
      <c r="E853" s="18" t="str">
        <f>IF(装备表!$O998=0,"xxx",IFERROR(IF(INT(IF($D853=E$3,装备表!$E998,"xxx")/10000)=1,IF($D853=E$3,装备表!$E998,"xxx")&amp;":2,1,1,"&amp;装备表!$O998&amp;";","xxx"),"xxx"))</f>
        <v>xxx</v>
      </c>
      <c r="F853" s="18" t="str">
        <f>IF(装备表!$O998=0,"xxx",IFERROR(IF(INT(IF($D853=F$3,装备表!$E998,"xxx")/10000)=1,IF($D853=F$3,装备表!$E998,"xxx")&amp;":2,1,1,"&amp;装备表!$O998&amp;";","xxx"),"xxx"))</f>
        <v>xxx</v>
      </c>
      <c r="G853" s="18" t="str">
        <f>IF(装备表!$O998=0,"xxx",IFERROR(IF(INT(IF($D853=G$3,装备表!$E998,"xxx")/10000)=1,IF($D853=G$3,装备表!$E998,"xxx")&amp;":2,1,1,"&amp;装备表!$O998&amp;";","xxx"),"xxx"))</f>
        <v>xxx</v>
      </c>
      <c r="H853" s="18" t="str">
        <f>IF(装备表!$O998=0,"xxx",IFERROR(IF(INT(IF($D853=H$3,装备表!$E998,"xxx")/10000)=1,IF($D853=H$3,装备表!$E998,"xxx")&amp;":2,1,1,"&amp;装备表!$O998&amp;";","xxx"),"xxx"))</f>
        <v>xxx</v>
      </c>
      <c r="I853" s="18" t="str">
        <f>IF(装备表!$O998=0,"xxx",IFERROR(IF(INT(IF($D853=I$3,装备表!$E998,"xxx")/10000)=1,IF($D853=I$3,装备表!$E998,"xxx")&amp;":2,1,1,"&amp;装备表!$O998&amp;";","xxx"),"xxx"))</f>
        <v>xxx</v>
      </c>
      <c r="J853" s="18" t="str">
        <f>IF(装备表!$O998=0,"xxx",IFERROR(IF(INT(IF($D853=J$3,装备表!$E998,"xxx")/10000)=1,IF($D853=J$3,装备表!$E998,"xxx")&amp;":2,1,1,"&amp;装备表!$O998&amp;";","xxx"),"xxx"))</f>
        <v>xxx</v>
      </c>
    </row>
    <row r="854" spans="4:10" x14ac:dyDescent="0.2">
      <c r="D854" s="18">
        <f>装备表!L999</f>
        <v>0</v>
      </c>
      <c r="E854" s="18" t="str">
        <f>IF(装备表!$O999=0,"xxx",IFERROR(IF(INT(IF($D854=E$3,装备表!$E999,"xxx")/10000)=1,IF($D854=E$3,装备表!$E999,"xxx")&amp;":2,1,1,"&amp;装备表!$O999&amp;";","xxx"),"xxx"))</f>
        <v>xxx</v>
      </c>
      <c r="F854" s="18" t="str">
        <f>IF(装备表!$O999=0,"xxx",IFERROR(IF(INT(IF($D854=F$3,装备表!$E999,"xxx")/10000)=1,IF($D854=F$3,装备表!$E999,"xxx")&amp;":2,1,1,"&amp;装备表!$O999&amp;";","xxx"),"xxx"))</f>
        <v>xxx</v>
      </c>
      <c r="G854" s="18" t="str">
        <f>IF(装备表!$O999=0,"xxx",IFERROR(IF(INT(IF($D854=G$3,装备表!$E999,"xxx")/10000)=1,IF($D854=G$3,装备表!$E999,"xxx")&amp;":2,1,1,"&amp;装备表!$O999&amp;";","xxx"),"xxx"))</f>
        <v>xxx</v>
      </c>
      <c r="H854" s="18" t="str">
        <f>IF(装备表!$O999=0,"xxx",IFERROR(IF(INT(IF($D854=H$3,装备表!$E999,"xxx")/10000)=1,IF($D854=H$3,装备表!$E999,"xxx")&amp;":2,1,1,"&amp;装备表!$O999&amp;";","xxx"),"xxx"))</f>
        <v>xxx</v>
      </c>
      <c r="I854" s="18" t="str">
        <f>IF(装备表!$O999=0,"xxx",IFERROR(IF(INT(IF($D854=I$3,装备表!$E999,"xxx")/10000)=1,IF($D854=I$3,装备表!$E999,"xxx")&amp;":2,1,1,"&amp;装备表!$O999&amp;";","xxx"),"xxx"))</f>
        <v>xxx</v>
      </c>
      <c r="J854" s="18" t="str">
        <f>IF(装备表!$O999=0,"xxx",IFERROR(IF(INT(IF($D854=J$3,装备表!$E999,"xxx")/10000)=1,IF($D854=J$3,装备表!$E999,"xxx")&amp;":2,1,1,"&amp;装备表!$O999&amp;";","xxx"),"xxx"))</f>
        <v>xxx</v>
      </c>
    </row>
    <row r="855" spans="4:10" x14ac:dyDescent="0.2">
      <c r="D855" s="18">
        <f>装备表!L1000</f>
        <v>0</v>
      </c>
      <c r="E855" s="18" t="str">
        <f>IF(装备表!$O1000=0,"xxx",IFERROR(IF(INT(IF($D855=E$3,装备表!$E1000,"xxx")/10000)=1,IF($D855=E$3,装备表!$E1000,"xxx")&amp;":2,1,1,"&amp;装备表!$O1000&amp;";","xxx"),"xxx"))</f>
        <v>xxx</v>
      </c>
      <c r="F855" s="18" t="str">
        <f>IF(装备表!$O1000=0,"xxx",IFERROR(IF(INT(IF($D855=F$3,装备表!$E1000,"xxx")/10000)=1,IF($D855=F$3,装备表!$E1000,"xxx")&amp;":2,1,1,"&amp;装备表!$O1000&amp;";","xxx"),"xxx"))</f>
        <v>xxx</v>
      </c>
      <c r="G855" s="18" t="str">
        <f>IF(装备表!$O1000=0,"xxx",IFERROR(IF(INT(IF($D855=G$3,装备表!$E1000,"xxx")/10000)=1,IF($D855=G$3,装备表!$E1000,"xxx")&amp;":2,1,1,"&amp;装备表!$O1000&amp;";","xxx"),"xxx"))</f>
        <v>xxx</v>
      </c>
      <c r="H855" s="18" t="str">
        <f>IF(装备表!$O1000=0,"xxx",IFERROR(IF(INT(IF($D855=H$3,装备表!$E1000,"xxx")/10000)=1,IF($D855=H$3,装备表!$E1000,"xxx")&amp;":2,1,1,"&amp;装备表!$O1000&amp;";","xxx"),"xxx"))</f>
        <v>xxx</v>
      </c>
      <c r="I855" s="18" t="str">
        <f>IF(装备表!$O1000=0,"xxx",IFERROR(IF(INT(IF($D855=I$3,装备表!$E1000,"xxx")/10000)=1,IF($D855=I$3,装备表!$E1000,"xxx")&amp;":2,1,1,"&amp;装备表!$O1000&amp;";","xxx"),"xxx"))</f>
        <v>xxx</v>
      </c>
      <c r="J855" s="18" t="str">
        <f>IF(装备表!$O1000=0,"xxx",IFERROR(IF(INT(IF($D855=J$3,装备表!$E1000,"xxx")/10000)=1,IF($D855=J$3,装备表!$E1000,"xxx")&amp;":2,1,1,"&amp;装备表!$O1000&amp;";","xxx"),"xxx"))</f>
        <v>xxx</v>
      </c>
    </row>
    <row r="856" spans="4:10" x14ac:dyDescent="0.2">
      <c r="D856" s="18">
        <f>装备表!L1001</f>
        <v>0</v>
      </c>
      <c r="E856" s="18" t="str">
        <f>IF(装备表!$O1001=0,"xxx",IFERROR(IF(INT(IF($D856=E$3,装备表!$E1001,"xxx")/10000)=1,IF($D856=E$3,装备表!$E1001,"xxx")&amp;":2,1,1,"&amp;装备表!$O1001&amp;";","xxx"),"xxx"))</f>
        <v>xxx</v>
      </c>
      <c r="F856" s="18" t="str">
        <f>IF(装备表!$O1001=0,"xxx",IFERROR(IF(INT(IF($D856=F$3,装备表!$E1001,"xxx")/10000)=1,IF($D856=F$3,装备表!$E1001,"xxx")&amp;":2,1,1,"&amp;装备表!$O1001&amp;";","xxx"),"xxx"))</f>
        <v>xxx</v>
      </c>
      <c r="G856" s="18" t="str">
        <f>IF(装备表!$O1001=0,"xxx",IFERROR(IF(INT(IF($D856=G$3,装备表!$E1001,"xxx")/10000)=1,IF($D856=G$3,装备表!$E1001,"xxx")&amp;":2,1,1,"&amp;装备表!$O1001&amp;";","xxx"),"xxx"))</f>
        <v>xxx</v>
      </c>
      <c r="H856" s="18" t="str">
        <f>IF(装备表!$O1001=0,"xxx",IFERROR(IF(INT(IF($D856=H$3,装备表!$E1001,"xxx")/10000)=1,IF($D856=H$3,装备表!$E1001,"xxx")&amp;":2,1,1,"&amp;装备表!$O1001&amp;";","xxx"),"xxx"))</f>
        <v>xxx</v>
      </c>
      <c r="I856" s="18" t="str">
        <f>IF(装备表!$O1001=0,"xxx",IFERROR(IF(INT(IF($D856=I$3,装备表!$E1001,"xxx")/10000)=1,IF($D856=I$3,装备表!$E1001,"xxx")&amp;":2,1,1,"&amp;装备表!$O1001&amp;";","xxx"),"xxx"))</f>
        <v>xxx</v>
      </c>
      <c r="J856" s="18" t="str">
        <f>IF(装备表!$O1001=0,"xxx",IFERROR(IF(INT(IF($D856=J$3,装备表!$E1001,"xxx")/10000)=1,IF($D856=J$3,装备表!$E1001,"xxx")&amp;":2,1,1,"&amp;装备表!$O1001&amp;";","xxx"),"xxx"))</f>
        <v>xxx</v>
      </c>
    </row>
    <row r="857" spans="4:10" x14ac:dyDescent="0.2">
      <c r="D857" s="18">
        <f>装备表!L1002</f>
        <v>0</v>
      </c>
      <c r="E857" s="18" t="str">
        <f>IF(装备表!$O1002=0,"xxx",IFERROR(IF(INT(IF($D857=E$3,装备表!$E1002,"xxx")/10000)=1,IF($D857=E$3,装备表!$E1002,"xxx")&amp;":2,1,1,"&amp;装备表!$O1002&amp;";","xxx"),"xxx"))</f>
        <v>xxx</v>
      </c>
      <c r="F857" s="18" t="str">
        <f>IF(装备表!$O1002=0,"xxx",IFERROR(IF(INT(IF($D857=F$3,装备表!$E1002,"xxx")/10000)=1,IF($D857=F$3,装备表!$E1002,"xxx")&amp;":2,1,1,"&amp;装备表!$O1002&amp;";","xxx"),"xxx"))</f>
        <v>xxx</v>
      </c>
      <c r="G857" s="18" t="str">
        <f>IF(装备表!$O1002=0,"xxx",IFERROR(IF(INT(IF($D857=G$3,装备表!$E1002,"xxx")/10000)=1,IF($D857=G$3,装备表!$E1002,"xxx")&amp;":2,1,1,"&amp;装备表!$O1002&amp;";","xxx"),"xxx"))</f>
        <v>xxx</v>
      </c>
      <c r="H857" s="18" t="str">
        <f>IF(装备表!$O1002=0,"xxx",IFERROR(IF(INT(IF($D857=H$3,装备表!$E1002,"xxx")/10000)=1,IF($D857=H$3,装备表!$E1002,"xxx")&amp;":2,1,1,"&amp;装备表!$O1002&amp;";","xxx"),"xxx"))</f>
        <v>xxx</v>
      </c>
      <c r="I857" s="18" t="str">
        <f>IF(装备表!$O1002=0,"xxx",IFERROR(IF(INT(IF($D857=I$3,装备表!$E1002,"xxx")/10000)=1,IF($D857=I$3,装备表!$E1002,"xxx")&amp;":2,1,1,"&amp;装备表!$O1002&amp;";","xxx"),"xxx"))</f>
        <v>xxx</v>
      </c>
      <c r="J857" s="18" t="str">
        <f>IF(装备表!$O1002=0,"xxx",IFERROR(IF(INT(IF($D857=J$3,装备表!$E1002,"xxx")/10000)=1,IF($D857=J$3,装备表!$E1002,"xxx")&amp;":2,1,1,"&amp;装备表!$O1002&amp;";","xxx"),"xxx"))</f>
        <v>xxx</v>
      </c>
    </row>
    <row r="858" spans="4:10" x14ac:dyDescent="0.2">
      <c r="D858" s="18">
        <f>装备表!L1003</f>
        <v>0</v>
      </c>
      <c r="E858" s="18" t="str">
        <f>IF(装备表!$O1003=0,"xxx",IFERROR(IF(INT(IF($D858=E$3,装备表!$E1003,"xxx")/10000)=1,IF($D858=E$3,装备表!$E1003,"xxx")&amp;":2,1,1,"&amp;装备表!$O1003&amp;";","xxx"),"xxx"))</f>
        <v>xxx</v>
      </c>
      <c r="F858" s="18" t="str">
        <f>IF(装备表!$O1003=0,"xxx",IFERROR(IF(INT(IF($D858=F$3,装备表!$E1003,"xxx")/10000)=1,IF($D858=F$3,装备表!$E1003,"xxx")&amp;":2,1,1,"&amp;装备表!$O1003&amp;";","xxx"),"xxx"))</f>
        <v>xxx</v>
      </c>
      <c r="G858" s="18" t="str">
        <f>IF(装备表!$O1003=0,"xxx",IFERROR(IF(INT(IF($D858=G$3,装备表!$E1003,"xxx")/10000)=1,IF($D858=G$3,装备表!$E1003,"xxx")&amp;":2,1,1,"&amp;装备表!$O1003&amp;";","xxx"),"xxx"))</f>
        <v>xxx</v>
      </c>
      <c r="H858" s="18" t="str">
        <f>IF(装备表!$O1003=0,"xxx",IFERROR(IF(INT(IF($D858=H$3,装备表!$E1003,"xxx")/10000)=1,IF($D858=H$3,装备表!$E1003,"xxx")&amp;":2,1,1,"&amp;装备表!$O1003&amp;";","xxx"),"xxx"))</f>
        <v>xxx</v>
      </c>
      <c r="I858" s="18" t="str">
        <f>IF(装备表!$O1003=0,"xxx",IFERROR(IF(INT(IF($D858=I$3,装备表!$E1003,"xxx")/10000)=1,IF($D858=I$3,装备表!$E1003,"xxx")&amp;":2,1,1,"&amp;装备表!$O1003&amp;";","xxx"),"xxx"))</f>
        <v>xxx</v>
      </c>
      <c r="J858" s="18" t="str">
        <f>IF(装备表!$O1003=0,"xxx",IFERROR(IF(INT(IF($D858=J$3,装备表!$E1003,"xxx")/10000)=1,IF($D858=J$3,装备表!$E1003,"xxx")&amp;":2,1,1,"&amp;装备表!$O1003&amp;";","xxx"),"xxx"))</f>
        <v>xxx</v>
      </c>
    </row>
    <row r="859" spans="4:10" x14ac:dyDescent="0.2">
      <c r="D859" s="18">
        <f>装备表!L1004</f>
        <v>0</v>
      </c>
      <c r="E859" s="18" t="str">
        <f>IF(装备表!$O1004=0,"xxx",IFERROR(IF(INT(IF($D859=E$3,装备表!$E1004,"xxx")/10000)=1,IF($D859=E$3,装备表!$E1004,"xxx")&amp;":2,1,1,"&amp;装备表!$O1004&amp;";","xxx"),"xxx"))</f>
        <v>xxx</v>
      </c>
      <c r="F859" s="18" t="str">
        <f>IF(装备表!$O1004=0,"xxx",IFERROR(IF(INT(IF($D859=F$3,装备表!$E1004,"xxx")/10000)=1,IF($D859=F$3,装备表!$E1004,"xxx")&amp;":2,1,1,"&amp;装备表!$O1004&amp;";","xxx"),"xxx"))</f>
        <v>xxx</v>
      </c>
      <c r="G859" s="18" t="str">
        <f>IF(装备表!$O1004=0,"xxx",IFERROR(IF(INT(IF($D859=G$3,装备表!$E1004,"xxx")/10000)=1,IF($D859=G$3,装备表!$E1004,"xxx")&amp;":2,1,1,"&amp;装备表!$O1004&amp;";","xxx"),"xxx"))</f>
        <v>xxx</v>
      </c>
      <c r="H859" s="18" t="str">
        <f>IF(装备表!$O1004=0,"xxx",IFERROR(IF(INT(IF($D859=H$3,装备表!$E1004,"xxx")/10000)=1,IF($D859=H$3,装备表!$E1004,"xxx")&amp;":2,1,1,"&amp;装备表!$O1004&amp;";","xxx"),"xxx"))</f>
        <v>xxx</v>
      </c>
      <c r="I859" s="18" t="str">
        <f>IF(装备表!$O1004=0,"xxx",IFERROR(IF(INT(IF($D859=I$3,装备表!$E1004,"xxx")/10000)=1,IF($D859=I$3,装备表!$E1004,"xxx")&amp;":2,1,1,"&amp;装备表!$O1004&amp;";","xxx"),"xxx"))</f>
        <v>xxx</v>
      </c>
      <c r="J859" s="18" t="str">
        <f>IF(装备表!$O1004=0,"xxx",IFERROR(IF(INT(IF($D859=J$3,装备表!$E1004,"xxx")/10000)=1,IF($D859=J$3,装备表!$E1004,"xxx")&amp;":2,1,1,"&amp;装备表!$O1004&amp;";","xxx"),"xxx"))</f>
        <v>xxx</v>
      </c>
    </row>
    <row r="860" spans="4:10" x14ac:dyDescent="0.2">
      <c r="D860" s="18">
        <f>装备表!L1005</f>
        <v>0</v>
      </c>
      <c r="E860" s="18" t="str">
        <f>IF(装备表!$O1005=0,"xxx",IFERROR(IF(INT(IF($D860=E$3,装备表!$E1005,"xxx")/10000)=1,IF($D860=E$3,装备表!$E1005,"xxx")&amp;":2,1,1,"&amp;装备表!$O1005&amp;";","xxx"),"xxx"))</f>
        <v>xxx</v>
      </c>
      <c r="F860" s="18" t="str">
        <f>IF(装备表!$O1005=0,"xxx",IFERROR(IF(INT(IF($D860=F$3,装备表!$E1005,"xxx")/10000)=1,IF($D860=F$3,装备表!$E1005,"xxx")&amp;":2,1,1,"&amp;装备表!$O1005&amp;";","xxx"),"xxx"))</f>
        <v>xxx</v>
      </c>
      <c r="G860" s="18" t="str">
        <f>IF(装备表!$O1005=0,"xxx",IFERROR(IF(INT(IF($D860=G$3,装备表!$E1005,"xxx")/10000)=1,IF($D860=G$3,装备表!$E1005,"xxx")&amp;":2,1,1,"&amp;装备表!$O1005&amp;";","xxx"),"xxx"))</f>
        <v>xxx</v>
      </c>
      <c r="H860" s="18" t="str">
        <f>IF(装备表!$O1005=0,"xxx",IFERROR(IF(INT(IF($D860=H$3,装备表!$E1005,"xxx")/10000)=1,IF($D860=H$3,装备表!$E1005,"xxx")&amp;":2,1,1,"&amp;装备表!$O1005&amp;";","xxx"),"xxx"))</f>
        <v>xxx</v>
      </c>
      <c r="I860" s="18" t="str">
        <f>IF(装备表!$O1005=0,"xxx",IFERROR(IF(INT(IF($D860=I$3,装备表!$E1005,"xxx")/10000)=1,IF($D860=I$3,装备表!$E1005,"xxx")&amp;":2,1,1,"&amp;装备表!$O1005&amp;";","xxx"),"xxx"))</f>
        <v>xxx</v>
      </c>
      <c r="J860" s="18" t="str">
        <f>IF(装备表!$O1005=0,"xxx",IFERROR(IF(INT(IF($D860=J$3,装备表!$E1005,"xxx")/10000)=1,IF($D860=J$3,装备表!$E1005,"xxx")&amp;":2,1,1,"&amp;装备表!$O1005&amp;";","xxx"),"xxx"))</f>
        <v>xxx</v>
      </c>
    </row>
    <row r="861" spans="4:10" x14ac:dyDescent="0.2">
      <c r="D861" s="18">
        <f>装备表!L1006</f>
        <v>0</v>
      </c>
      <c r="E861" s="18" t="str">
        <f>IF(装备表!$O1006=0,"xxx",IFERROR(IF(INT(IF($D861=E$3,装备表!$E1006,"xxx")/10000)=1,IF($D861=E$3,装备表!$E1006,"xxx")&amp;":2,1,1,"&amp;装备表!$O1006&amp;";","xxx"),"xxx"))</f>
        <v>xxx</v>
      </c>
      <c r="F861" s="18" t="str">
        <f>IF(装备表!$O1006=0,"xxx",IFERROR(IF(INT(IF($D861=F$3,装备表!$E1006,"xxx")/10000)=1,IF($D861=F$3,装备表!$E1006,"xxx")&amp;":2,1,1,"&amp;装备表!$O1006&amp;";","xxx"),"xxx"))</f>
        <v>xxx</v>
      </c>
      <c r="G861" s="18" t="str">
        <f>IF(装备表!$O1006=0,"xxx",IFERROR(IF(INT(IF($D861=G$3,装备表!$E1006,"xxx")/10000)=1,IF($D861=G$3,装备表!$E1006,"xxx")&amp;":2,1,1,"&amp;装备表!$O1006&amp;";","xxx"),"xxx"))</f>
        <v>xxx</v>
      </c>
      <c r="H861" s="18" t="str">
        <f>IF(装备表!$O1006=0,"xxx",IFERROR(IF(INT(IF($D861=H$3,装备表!$E1006,"xxx")/10000)=1,IF($D861=H$3,装备表!$E1006,"xxx")&amp;":2,1,1,"&amp;装备表!$O1006&amp;";","xxx"),"xxx"))</f>
        <v>xxx</v>
      </c>
      <c r="I861" s="18" t="str">
        <f>IF(装备表!$O1006=0,"xxx",IFERROR(IF(INT(IF($D861=I$3,装备表!$E1006,"xxx")/10000)=1,IF($D861=I$3,装备表!$E1006,"xxx")&amp;":2,1,1,"&amp;装备表!$O1006&amp;";","xxx"),"xxx"))</f>
        <v>xxx</v>
      </c>
      <c r="J861" s="18" t="str">
        <f>IF(装备表!$O1006=0,"xxx",IFERROR(IF(INT(IF($D861=J$3,装备表!$E1006,"xxx")/10000)=1,IF($D861=J$3,装备表!$E1006,"xxx")&amp;":2,1,1,"&amp;装备表!$O1006&amp;";","xxx"),"xxx"))</f>
        <v>xxx</v>
      </c>
    </row>
    <row r="862" spans="4:10" x14ac:dyDescent="0.2">
      <c r="D862" s="18">
        <f>装备表!L1007</f>
        <v>0</v>
      </c>
      <c r="E862" s="18" t="str">
        <f>IF(装备表!$O1007=0,"xxx",IFERROR(IF(INT(IF($D862=E$3,装备表!$E1007,"xxx")/10000)=1,IF($D862=E$3,装备表!$E1007,"xxx")&amp;":2,1,1,"&amp;装备表!$O1007&amp;";","xxx"),"xxx"))</f>
        <v>xxx</v>
      </c>
      <c r="F862" s="18" t="str">
        <f>IF(装备表!$O1007=0,"xxx",IFERROR(IF(INT(IF($D862=F$3,装备表!$E1007,"xxx")/10000)=1,IF($D862=F$3,装备表!$E1007,"xxx")&amp;":2,1,1,"&amp;装备表!$O1007&amp;";","xxx"),"xxx"))</f>
        <v>xxx</v>
      </c>
      <c r="G862" s="18" t="str">
        <f>IF(装备表!$O1007=0,"xxx",IFERROR(IF(INT(IF($D862=G$3,装备表!$E1007,"xxx")/10000)=1,IF($D862=G$3,装备表!$E1007,"xxx")&amp;":2,1,1,"&amp;装备表!$O1007&amp;";","xxx"),"xxx"))</f>
        <v>xxx</v>
      </c>
      <c r="H862" s="18" t="str">
        <f>IF(装备表!$O1007=0,"xxx",IFERROR(IF(INT(IF($D862=H$3,装备表!$E1007,"xxx")/10000)=1,IF($D862=H$3,装备表!$E1007,"xxx")&amp;":2,1,1,"&amp;装备表!$O1007&amp;";","xxx"),"xxx"))</f>
        <v>xxx</v>
      </c>
      <c r="I862" s="18" t="str">
        <f>IF(装备表!$O1007=0,"xxx",IFERROR(IF(INT(IF($D862=I$3,装备表!$E1007,"xxx")/10000)=1,IF($D862=I$3,装备表!$E1007,"xxx")&amp;":2,1,1,"&amp;装备表!$O1007&amp;";","xxx"),"xxx"))</f>
        <v>xxx</v>
      </c>
      <c r="J862" s="18" t="str">
        <f>IF(装备表!$O1007=0,"xxx",IFERROR(IF(INT(IF($D862=J$3,装备表!$E1007,"xxx")/10000)=1,IF($D862=J$3,装备表!$E1007,"xxx")&amp;":2,1,1,"&amp;装备表!$O1007&amp;";","xxx"),"xxx"))</f>
        <v>xxx</v>
      </c>
    </row>
    <row r="863" spans="4:10" x14ac:dyDescent="0.2">
      <c r="D863" s="18">
        <f>装备表!L1008</f>
        <v>0</v>
      </c>
      <c r="E863" s="18" t="str">
        <f>IF(装备表!$O1008=0,"xxx",IFERROR(IF(INT(IF($D863=E$3,装备表!$E1008,"xxx")/10000)=1,IF($D863=E$3,装备表!$E1008,"xxx")&amp;":2,1,1,"&amp;装备表!$O1008&amp;";","xxx"),"xxx"))</f>
        <v>xxx</v>
      </c>
      <c r="F863" s="18" t="str">
        <f>IF(装备表!$O1008=0,"xxx",IFERROR(IF(INT(IF($D863=F$3,装备表!$E1008,"xxx")/10000)=1,IF($D863=F$3,装备表!$E1008,"xxx")&amp;":2,1,1,"&amp;装备表!$O1008&amp;";","xxx"),"xxx"))</f>
        <v>xxx</v>
      </c>
      <c r="G863" s="18" t="str">
        <f>IF(装备表!$O1008=0,"xxx",IFERROR(IF(INT(IF($D863=G$3,装备表!$E1008,"xxx")/10000)=1,IF($D863=G$3,装备表!$E1008,"xxx")&amp;":2,1,1,"&amp;装备表!$O1008&amp;";","xxx"),"xxx"))</f>
        <v>xxx</v>
      </c>
      <c r="H863" s="18" t="str">
        <f>IF(装备表!$O1008=0,"xxx",IFERROR(IF(INT(IF($D863=H$3,装备表!$E1008,"xxx")/10000)=1,IF($D863=H$3,装备表!$E1008,"xxx")&amp;":2,1,1,"&amp;装备表!$O1008&amp;";","xxx"),"xxx"))</f>
        <v>xxx</v>
      </c>
      <c r="I863" s="18" t="str">
        <f>IF(装备表!$O1008=0,"xxx",IFERROR(IF(INT(IF($D863=I$3,装备表!$E1008,"xxx")/10000)=1,IF($D863=I$3,装备表!$E1008,"xxx")&amp;":2,1,1,"&amp;装备表!$O1008&amp;";","xxx"),"xxx"))</f>
        <v>xxx</v>
      </c>
      <c r="J863" s="18" t="str">
        <f>IF(装备表!$O1008=0,"xxx",IFERROR(IF(INT(IF($D863=J$3,装备表!$E1008,"xxx")/10000)=1,IF($D863=J$3,装备表!$E1008,"xxx")&amp;":2,1,1,"&amp;装备表!$O1008&amp;";","xxx"),"xxx"))</f>
        <v>xxx</v>
      </c>
    </row>
    <row r="864" spans="4:10" x14ac:dyDescent="0.2">
      <c r="D864" s="18">
        <f>装备表!L1009</f>
        <v>0</v>
      </c>
      <c r="E864" s="18" t="str">
        <f>IF(装备表!$O1009=0,"xxx",IFERROR(IF(INT(IF($D864=E$3,装备表!$E1009,"xxx")/10000)=1,IF($D864=E$3,装备表!$E1009,"xxx")&amp;":2,1,1,"&amp;装备表!$O1009&amp;";","xxx"),"xxx"))</f>
        <v>xxx</v>
      </c>
      <c r="F864" s="18" t="str">
        <f>IF(装备表!$O1009=0,"xxx",IFERROR(IF(INT(IF($D864=F$3,装备表!$E1009,"xxx")/10000)=1,IF($D864=F$3,装备表!$E1009,"xxx")&amp;":2,1,1,"&amp;装备表!$O1009&amp;";","xxx"),"xxx"))</f>
        <v>xxx</v>
      </c>
      <c r="G864" s="18" t="str">
        <f>IF(装备表!$O1009=0,"xxx",IFERROR(IF(INT(IF($D864=G$3,装备表!$E1009,"xxx")/10000)=1,IF($D864=G$3,装备表!$E1009,"xxx")&amp;":2,1,1,"&amp;装备表!$O1009&amp;";","xxx"),"xxx"))</f>
        <v>xxx</v>
      </c>
      <c r="H864" s="18" t="str">
        <f>IF(装备表!$O1009=0,"xxx",IFERROR(IF(INT(IF($D864=H$3,装备表!$E1009,"xxx")/10000)=1,IF($D864=H$3,装备表!$E1009,"xxx")&amp;":2,1,1,"&amp;装备表!$O1009&amp;";","xxx"),"xxx"))</f>
        <v>xxx</v>
      </c>
      <c r="I864" s="18" t="str">
        <f>IF(装备表!$O1009=0,"xxx",IFERROR(IF(INT(IF($D864=I$3,装备表!$E1009,"xxx")/10000)=1,IF($D864=I$3,装备表!$E1009,"xxx")&amp;":2,1,1,"&amp;装备表!$O1009&amp;";","xxx"),"xxx"))</f>
        <v>xxx</v>
      </c>
      <c r="J864" s="18" t="str">
        <f>IF(装备表!$O1009=0,"xxx",IFERROR(IF(INT(IF($D864=J$3,装备表!$E1009,"xxx")/10000)=1,IF($D864=J$3,装备表!$E1009,"xxx")&amp;":2,1,1,"&amp;装备表!$O1009&amp;";","xxx"),"xxx"))</f>
        <v>xxx</v>
      </c>
    </row>
    <row r="865" spans="4:10" x14ac:dyDescent="0.2">
      <c r="D865" s="18">
        <f>装备表!L1010</f>
        <v>0</v>
      </c>
      <c r="E865" s="18" t="str">
        <f>IF(装备表!$O1010=0,"xxx",IFERROR(IF(INT(IF($D865=E$3,装备表!$E1010,"xxx")/10000)=1,IF($D865=E$3,装备表!$E1010,"xxx")&amp;":2,1,1,"&amp;装备表!$O1010&amp;";","xxx"),"xxx"))</f>
        <v>xxx</v>
      </c>
      <c r="F865" s="18" t="str">
        <f>IF(装备表!$O1010=0,"xxx",IFERROR(IF(INT(IF($D865=F$3,装备表!$E1010,"xxx")/10000)=1,IF($D865=F$3,装备表!$E1010,"xxx")&amp;":2,1,1,"&amp;装备表!$O1010&amp;";","xxx"),"xxx"))</f>
        <v>xxx</v>
      </c>
      <c r="G865" s="18" t="str">
        <f>IF(装备表!$O1010=0,"xxx",IFERROR(IF(INT(IF($D865=G$3,装备表!$E1010,"xxx")/10000)=1,IF($D865=G$3,装备表!$E1010,"xxx")&amp;":2,1,1,"&amp;装备表!$O1010&amp;";","xxx"),"xxx"))</f>
        <v>xxx</v>
      </c>
      <c r="H865" s="18" t="str">
        <f>IF(装备表!$O1010=0,"xxx",IFERROR(IF(INT(IF($D865=H$3,装备表!$E1010,"xxx")/10000)=1,IF($D865=H$3,装备表!$E1010,"xxx")&amp;":2,1,1,"&amp;装备表!$O1010&amp;";","xxx"),"xxx"))</f>
        <v>xxx</v>
      </c>
      <c r="I865" s="18" t="str">
        <f>IF(装备表!$O1010=0,"xxx",IFERROR(IF(INT(IF($D865=I$3,装备表!$E1010,"xxx")/10000)=1,IF($D865=I$3,装备表!$E1010,"xxx")&amp;":2,1,1,"&amp;装备表!$O1010&amp;";","xxx"),"xxx"))</f>
        <v>xxx</v>
      </c>
      <c r="J865" s="18" t="str">
        <f>IF(装备表!$O1010=0,"xxx",IFERROR(IF(INT(IF($D865=J$3,装备表!$E1010,"xxx")/10000)=1,IF($D865=J$3,装备表!$E1010,"xxx")&amp;":2,1,1,"&amp;装备表!$O1010&amp;";","xxx"),"xxx"))</f>
        <v>xxx</v>
      </c>
    </row>
    <row r="866" spans="4:10" x14ac:dyDescent="0.2">
      <c r="D866" s="18">
        <f>装备表!L1011</f>
        <v>0</v>
      </c>
      <c r="E866" s="18" t="str">
        <f>IF(装备表!$O1011=0,"xxx",IFERROR(IF(INT(IF($D866=E$3,装备表!$E1011,"xxx")/10000)=1,IF($D866=E$3,装备表!$E1011,"xxx")&amp;":2,1,1,"&amp;装备表!$O1011&amp;";","xxx"),"xxx"))</f>
        <v>xxx</v>
      </c>
      <c r="F866" s="18" t="str">
        <f>IF(装备表!$O1011=0,"xxx",IFERROR(IF(INT(IF($D866=F$3,装备表!$E1011,"xxx")/10000)=1,IF($D866=F$3,装备表!$E1011,"xxx")&amp;":2,1,1,"&amp;装备表!$O1011&amp;";","xxx"),"xxx"))</f>
        <v>xxx</v>
      </c>
      <c r="G866" s="18" t="str">
        <f>IF(装备表!$O1011=0,"xxx",IFERROR(IF(INT(IF($D866=G$3,装备表!$E1011,"xxx")/10000)=1,IF($D866=G$3,装备表!$E1011,"xxx")&amp;":2,1,1,"&amp;装备表!$O1011&amp;";","xxx"),"xxx"))</f>
        <v>xxx</v>
      </c>
      <c r="H866" s="18" t="str">
        <f>IF(装备表!$O1011=0,"xxx",IFERROR(IF(INT(IF($D866=H$3,装备表!$E1011,"xxx")/10000)=1,IF($D866=H$3,装备表!$E1011,"xxx")&amp;":2,1,1,"&amp;装备表!$O1011&amp;";","xxx"),"xxx"))</f>
        <v>xxx</v>
      </c>
      <c r="I866" s="18" t="str">
        <f>IF(装备表!$O1011=0,"xxx",IFERROR(IF(INT(IF($D866=I$3,装备表!$E1011,"xxx")/10000)=1,IF($D866=I$3,装备表!$E1011,"xxx")&amp;":2,1,1,"&amp;装备表!$O1011&amp;";","xxx"),"xxx"))</f>
        <v>xxx</v>
      </c>
      <c r="J866" s="18" t="str">
        <f>IF(装备表!$O1011=0,"xxx",IFERROR(IF(INT(IF($D866=J$3,装备表!$E1011,"xxx")/10000)=1,IF($D866=J$3,装备表!$E1011,"xxx")&amp;":2,1,1,"&amp;装备表!$O1011&amp;";","xxx"),"xxx"))</f>
        <v>xxx</v>
      </c>
    </row>
    <row r="867" spans="4:10" x14ac:dyDescent="0.2">
      <c r="D867" s="18">
        <f>装备表!L1012</f>
        <v>0</v>
      </c>
      <c r="E867" s="18" t="str">
        <f>IF(装备表!$O1012=0,"xxx",IFERROR(IF(INT(IF($D867=E$3,装备表!$E1012,"xxx")/10000)=1,IF($D867=E$3,装备表!$E1012,"xxx")&amp;":2,1,1,"&amp;装备表!$O1012&amp;";","xxx"),"xxx"))</f>
        <v>xxx</v>
      </c>
      <c r="F867" s="18" t="str">
        <f>IF(装备表!$O1012=0,"xxx",IFERROR(IF(INT(IF($D867=F$3,装备表!$E1012,"xxx")/10000)=1,IF($D867=F$3,装备表!$E1012,"xxx")&amp;":2,1,1,"&amp;装备表!$O1012&amp;";","xxx"),"xxx"))</f>
        <v>xxx</v>
      </c>
      <c r="G867" s="18" t="str">
        <f>IF(装备表!$O1012=0,"xxx",IFERROR(IF(INT(IF($D867=G$3,装备表!$E1012,"xxx")/10000)=1,IF($D867=G$3,装备表!$E1012,"xxx")&amp;":2,1,1,"&amp;装备表!$O1012&amp;";","xxx"),"xxx"))</f>
        <v>xxx</v>
      </c>
      <c r="H867" s="18" t="str">
        <f>IF(装备表!$O1012=0,"xxx",IFERROR(IF(INT(IF($D867=H$3,装备表!$E1012,"xxx")/10000)=1,IF($D867=H$3,装备表!$E1012,"xxx")&amp;":2,1,1,"&amp;装备表!$O1012&amp;";","xxx"),"xxx"))</f>
        <v>xxx</v>
      </c>
      <c r="I867" s="18" t="str">
        <f>IF(装备表!$O1012=0,"xxx",IFERROR(IF(INT(IF($D867=I$3,装备表!$E1012,"xxx")/10000)=1,IF($D867=I$3,装备表!$E1012,"xxx")&amp;":2,1,1,"&amp;装备表!$O1012&amp;";","xxx"),"xxx"))</f>
        <v>xxx</v>
      </c>
      <c r="J867" s="18" t="str">
        <f>IF(装备表!$O1012=0,"xxx",IFERROR(IF(INT(IF($D867=J$3,装备表!$E1012,"xxx")/10000)=1,IF($D867=J$3,装备表!$E1012,"xxx")&amp;":2,1,1,"&amp;装备表!$O1012&amp;";","xxx"),"xxx"))</f>
        <v>xxx</v>
      </c>
    </row>
    <row r="868" spans="4:10" x14ac:dyDescent="0.2">
      <c r="D868" s="18">
        <f>装备表!L1013</f>
        <v>0</v>
      </c>
      <c r="E868" s="18" t="str">
        <f>IF(装备表!$O1013=0,"xxx",IFERROR(IF(INT(IF($D868=E$3,装备表!$E1013,"xxx")/10000)=1,IF($D868=E$3,装备表!$E1013,"xxx")&amp;":2,1,1,"&amp;装备表!$O1013&amp;";","xxx"),"xxx"))</f>
        <v>xxx</v>
      </c>
      <c r="F868" s="18" t="str">
        <f>IF(装备表!$O1013=0,"xxx",IFERROR(IF(INT(IF($D868=F$3,装备表!$E1013,"xxx")/10000)=1,IF($D868=F$3,装备表!$E1013,"xxx")&amp;":2,1,1,"&amp;装备表!$O1013&amp;";","xxx"),"xxx"))</f>
        <v>xxx</v>
      </c>
      <c r="G868" s="18" t="str">
        <f>IF(装备表!$O1013=0,"xxx",IFERROR(IF(INT(IF($D868=G$3,装备表!$E1013,"xxx")/10000)=1,IF($D868=G$3,装备表!$E1013,"xxx")&amp;":2,1,1,"&amp;装备表!$O1013&amp;";","xxx"),"xxx"))</f>
        <v>xxx</v>
      </c>
      <c r="H868" s="18" t="str">
        <f>IF(装备表!$O1013=0,"xxx",IFERROR(IF(INT(IF($D868=H$3,装备表!$E1013,"xxx")/10000)=1,IF($D868=H$3,装备表!$E1013,"xxx")&amp;":2,1,1,"&amp;装备表!$O1013&amp;";","xxx"),"xxx"))</f>
        <v>xxx</v>
      </c>
      <c r="I868" s="18" t="str">
        <f>IF(装备表!$O1013=0,"xxx",IFERROR(IF(INT(IF($D868=I$3,装备表!$E1013,"xxx")/10000)=1,IF($D868=I$3,装备表!$E1013,"xxx")&amp;":2,1,1,"&amp;装备表!$O1013&amp;";","xxx"),"xxx"))</f>
        <v>xxx</v>
      </c>
      <c r="J868" s="18" t="str">
        <f>IF(装备表!$O1013=0,"xxx",IFERROR(IF(INT(IF($D868=J$3,装备表!$E1013,"xxx")/10000)=1,IF($D868=J$3,装备表!$E1013,"xxx")&amp;":2,1,1,"&amp;装备表!$O1013&amp;";","xxx"),"xxx"))</f>
        <v>xxx</v>
      </c>
    </row>
    <row r="869" spans="4:10" x14ac:dyDescent="0.2">
      <c r="D869" s="18">
        <f>装备表!L1014</f>
        <v>0</v>
      </c>
      <c r="E869" s="18" t="str">
        <f>IF(装备表!$O1014=0,"xxx",IFERROR(IF(INT(IF($D869=E$3,装备表!$E1014,"xxx")/10000)=1,IF($D869=E$3,装备表!$E1014,"xxx")&amp;":2,1,1,"&amp;装备表!$O1014&amp;";","xxx"),"xxx"))</f>
        <v>xxx</v>
      </c>
      <c r="F869" s="18" t="str">
        <f>IF(装备表!$O1014=0,"xxx",IFERROR(IF(INT(IF($D869=F$3,装备表!$E1014,"xxx")/10000)=1,IF($D869=F$3,装备表!$E1014,"xxx")&amp;":2,1,1,"&amp;装备表!$O1014&amp;";","xxx"),"xxx"))</f>
        <v>xxx</v>
      </c>
      <c r="G869" s="18" t="str">
        <f>IF(装备表!$O1014=0,"xxx",IFERROR(IF(INT(IF($D869=G$3,装备表!$E1014,"xxx")/10000)=1,IF($D869=G$3,装备表!$E1014,"xxx")&amp;":2,1,1,"&amp;装备表!$O1014&amp;";","xxx"),"xxx"))</f>
        <v>xxx</v>
      </c>
      <c r="H869" s="18" t="str">
        <f>IF(装备表!$O1014=0,"xxx",IFERROR(IF(INT(IF($D869=H$3,装备表!$E1014,"xxx")/10000)=1,IF($D869=H$3,装备表!$E1014,"xxx")&amp;":2,1,1,"&amp;装备表!$O1014&amp;";","xxx"),"xxx"))</f>
        <v>xxx</v>
      </c>
      <c r="I869" s="18" t="str">
        <f>IF(装备表!$O1014=0,"xxx",IFERROR(IF(INT(IF($D869=I$3,装备表!$E1014,"xxx")/10000)=1,IF($D869=I$3,装备表!$E1014,"xxx")&amp;":2,1,1,"&amp;装备表!$O1014&amp;";","xxx"),"xxx"))</f>
        <v>xxx</v>
      </c>
      <c r="J869" s="18" t="str">
        <f>IF(装备表!$O1014=0,"xxx",IFERROR(IF(INT(IF($D869=J$3,装备表!$E1014,"xxx")/10000)=1,IF($D869=J$3,装备表!$E1014,"xxx")&amp;":2,1,1,"&amp;装备表!$O1014&amp;";","xxx"),"xxx"))</f>
        <v>xxx</v>
      </c>
    </row>
    <row r="870" spans="4:10" x14ac:dyDescent="0.2">
      <c r="D870" s="18">
        <f>装备表!L1015</f>
        <v>0</v>
      </c>
      <c r="E870" s="18" t="str">
        <f>IF(装备表!$O1015=0,"xxx",IFERROR(IF(INT(IF($D870=E$3,装备表!$E1015,"xxx")/10000)=1,IF($D870=E$3,装备表!$E1015,"xxx")&amp;":2,1,1,"&amp;装备表!$O1015&amp;";","xxx"),"xxx"))</f>
        <v>xxx</v>
      </c>
      <c r="F870" s="18" t="str">
        <f>IF(装备表!$O1015=0,"xxx",IFERROR(IF(INT(IF($D870=F$3,装备表!$E1015,"xxx")/10000)=1,IF($D870=F$3,装备表!$E1015,"xxx")&amp;":2,1,1,"&amp;装备表!$O1015&amp;";","xxx"),"xxx"))</f>
        <v>xxx</v>
      </c>
      <c r="G870" s="18" t="str">
        <f>IF(装备表!$O1015=0,"xxx",IFERROR(IF(INT(IF($D870=G$3,装备表!$E1015,"xxx")/10000)=1,IF($D870=G$3,装备表!$E1015,"xxx")&amp;":2,1,1,"&amp;装备表!$O1015&amp;";","xxx"),"xxx"))</f>
        <v>xxx</v>
      </c>
      <c r="H870" s="18" t="str">
        <f>IF(装备表!$O1015=0,"xxx",IFERROR(IF(INT(IF($D870=H$3,装备表!$E1015,"xxx")/10000)=1,IF($D870=H$3,装备表!$E1015,"xxx")&amp;":2,1,1,"&amp;装备表!$O1015&amp;";","xxx"),"xxx"))</f>
        <v>xxx</v>
      </c>
      <c r="I870" s="18" t="str">
        <f>IF(装备表!$O1015=0,"xxx",IFERROR(IF(INT(IF($D870=I$3,装备表!$E1015,"xxx")/10000)=1,IF($D870=I$3,装备表!$E1015,"xxx")&amp;":2,1,1,"&amp;装备表!$O1015&amp;";","xxx"),"xxx"))</f>
        <v>xxx</v>
      </c>
      <c r="J870" s="18" t="str">
        <f>IF(装备表!$O1015=0,"xxx",IFERROR(IF(INT(IF($D870=J$3,装备表!$E1015,"xxx")/10000)=1,IF($D870=J$3,装备表!$E1015,"xxx")&amp;":2,1,1,"&amp;装备表!$O1015&amp;";","xxx"),"xxx"))</f>
        <v>xxx</v>
      </c>
    </row>
    <row r="871" spans="4:10" x14ac:dyDescent="0.2">
      <c r="D871" s="18">
        <f>装备表!L1016</f>
        <v>0</v>
      </c>
      <c r="E871" s="18" t="str">
        <f>IF(装备表!$O1016=0,"xxx",IFERROR(IF(INT(IF($D871=E$3,装备表!$E1016,"xxx")/10000)=1,IF($D871=E$3,装备表!$E1016,"xxx")&amp;":2,1,1,"&amp;装备表!$O1016&amp;";","xxx"),"xxx"))</f>
        <v>xxx</v>
      </c>
      <c r="F871" s="18" t="str">
        <f>IF(装备表!$O1016=0,"xxx",IFERROR(IF(INT(IF($D871=F$3,装备表!$E1016,"xxx")/10000)=1,IF($D871=F$3,装备表!$E1016,"xxx")&amp;":2,1,1,"&amp;装备表!$O1016&amp;";","xxx"),"xxx"))</f>
        <v>xxx</v>
      </c>
      <c r="G871" s="18" t="str">
        <f>IF(装备表!$O1016=0,"xxx",IFERROR(IF(INT(IF($D871=G$3,装备表!$E1016,"xxx")/10000)=1,IF($D871=G$3,装备表!$E1016,"xxx")&amp;":2,1,1,"&amp;装备表!$O1016&amp;";","xxx"),"xxx"))</f>
        <v>xxx</v>
      </c>
      <c r="H871" s="18" t="str">
        <f>IF(装备表!$O1016=0,"xxx",IFERROR(IF(INT(IF($D871=H$3,装备表!$E1016,"xxx")/10000)=1,IF($D871=H$3,装备表!$E1016,"xxx")&amp;":2,1,1,"&amp;装备表!$O1016&amp;";","xxx"),"xxx"))</f>
        <v>xxx</v>
      </c>
      <c r="I871" s="18" t="str">
        <f>IF(装备表!$O1016=0,"xxx",IFERROR(IF(INT(IF($D871=I$3,装备表!$E1016,"xxx")/10000)=1,IF($D871=I$3,装备表!$E1016,"xxx")&amp;":2,1,1,"&amp;装备表!$O1016&amp;";","xxx"),"xxx"))</f>
        <v>xxx</v>
      </c>
      <c r="J871" s="18" t="str">
        <f>IF(装备表!$O1016=0,"xxx",IFERROR(IF(INT(IF($D871=J$3,装备表!$E1016,"xxx")/10000)=1,IF($D871=J$3,装备表!$E1016,"xxx")&amp;":2,1,1,"&amp;装备表!$O1016&amp;";","xxx"),"xxx"))</f>
        <v>xxx</v>
      </c>
    </row>
    <row r="872" spans="4:10" x14ac:dyDescent="0.2">
      <c r="D872" s="18">
        <f>装备表!L1017</f>
        <v>0</v>
      </c>
      <c r="E872" s="18" t="str">
        <f>IF(装备表!$O1017=0,"xxx",IFERROR(IF(INT(IF($D872=E$3,装备表!$E1017,"xxx")/10000)=1,IF($D872=E$3,装备表!$E1017,"xxx")&amp;":2,1,1,"&amp;装备表!$O1017&amp;";","xxx"),"xxx"))</f>
        <v>xxx</v>
      </c>
      <c r="F872" s="18" t="str">
        <f>IF(装备表!$O1017=0,"xxx",IFERROR(IF(INT(IF($D872=F$3,装备表!$E1017,"xxx")/10000)=1,IF($D872=F$3,装备表!$E1017,"xxx")&amp;":2,1,1,"&amp;装备表!$O1017&amp;";","xxx"),"xxx"))</f>
        <v>xxx</v>
      </c>
      <c r="G872" s="18" t="str">
        <f>IF(装备表!$O1017=0,"xxx",IFERROR(IF(INT(IF($D872=G$3,装备表!$E1017,"xxx")/10000)=1,IF($D872=G$3,装备表!$E1017,"xxx")&amp;":2,1,1,"&amp;装备表!$O1017&amp;";","xxx"),"xxx"))</f>
        <v>xxx</v>
      </c>
      <c r="H872" s="18" t="str">
        <f>IF(装备表!$O1017=0,"xxx",IFERROR(IF(INT(IF($D872=H$3,装备表!$E1017,"xxx")/10000)=1,IF($D872=H$3,装备表!$E1017,"xxx")&amp;":2,1,1,"&amp;装备表!$O1017&amp;";","xxx"),"xxx"))</f>
        <v>xxx</v>
      </c>
      <c r="I872" s="18" t="str">
        <f>IF(装备表!$O1017=0,"xxx",IFERROR(IF(INT(IF($D872=I$3,装备表!$E1017,"xxx")/10000)=1,IF($D872=I$3,装备表!$E1017,"xxx")&amp;":2,1,1,"&amp;装备表!$O1017&amp;";","xxx"),"xxx"))</f>
        <v>xxx</v>
      </c>
      <c r="J872" s="18" t="str">
        <f>IF(装备表!$O1017=0,"xxx",IFERROR(IF(INT(IF($D872=J$3,装备表!$E1017,"xxx")/10000)=1,IF($D872=J$3,装备表!$E1017,"xxx")&amp;":2,1,1,"&amp;装备表!$O1017&amp;";","xxx"),"xxx"))</f>
        <v>xxx</v>
      </c>
    </row>
    <row r="873" spans="4:10" x14ac:dyDescent="0.2">
      <c r="D873" s="18">
        <f>装备表!L1018</f>
        <v>0</v>
      </c>
      <c r="E873" s="18" t="str">
        <f>IF(装备表!$O1018=0,"xxx",IFERROR(IF(INT(IF($D873=E$3,装备表!$E1018,"xxx")/10000)=1,IF($D873=E$3,装备表!$E1018,"xxx")&amp;":2,1,1,"&amp;装备表!$O1018&amp;";","xxx"),"xxx"))</f>
        <v>xxx</v>
      </c>
      <c r="F873" s="18" t="str">
        <f>IF(装备表!$O1018=0,"xxx",IFERROR(IF(INT(IF($D873=F$3,装备表!$E1018,"xxx")/10000)=1,IF($D873=F$3,装备表!$E1018,"xxx")&amp;":2,1,1,"&amp;装备表!$O1018&amp;";","xxx"),"xxx"))</f>
        <v>xxx</v>
      </c>
      <c r="G873" s="18" t="str">
        <f>IF(装备表!$O1018=0,"xxx",IFERROR(IF(INT(IF($D873=G$3,装备表!$E1018,"xxx")/10000)=1,IF($D873=G$3,装备表!$E1018,"xxx")&amp;":2,1,1,"&amp;装备表!$O1018&amp;";","xxx"),"xxx"))</f>
        <v>xxx</v>
      </c>
      <c r="H873" s="18" t="str">
        <f>IF(装备表!$O1018=0,"xxx",IFERROR(IF(INT(IF($D873=H$3,装备表!$E1018,"xxx")/10000)=1,IF($D873=H$3,装备表!$E1018,"xxx")&amp;":2,1,1,"&amp;装备表!$O1018&amp;";","xxx"),"xxx"))</f>
        <v>xxx</v>
      </c>
      <c r="I873" s="18" t="str">
        <f>IF(装备表!$O1018=0,"xxx",IFERROR(IF(INT(IF($D873=I$3,装备表!$E1018,"xxx")/10000)=1,IF($D873=I$3,装备表!$E1018,"xxx")&amp;":2,1,1,"&amp;装备表!$O1018&amp;";","xxx"),"xxx"))</f>
        <v>xxx</v>
      </c>
      <c r="J873" s="18" t="str">
        <f>IF(装备表!$O1018=0,"xxx",IFERROR(IF(INT(IF($D873=J$3,装备表!$E1018,"xxx")/10000)=1,IF($D873=J$3,装备表!$E1018,"xxx")&amp;":2,1,1,"&amp;装备表!$O1018&amp;";","xxx"),"xxx"))</f>
        <v>xxx</v>
      </c>
    </row>
    <row r="874" spans="4:10" x14ac:dyDescent="0.2">
      <c r="D874" s="18">
        <f>装备表!L1019</f>
        <v>0</v>
      </c>
      <c r="E874" s="18" t="str">
        <f>IF(装备表!$O1019=0,"xxx",IFERROR(IF(INT(IF($D874=E$3,装备表!$E1019,"xxx")/10000)=1,IF($D874=E$3,装备表!$E1019,"xxx")&amp;":2,1,1,"&amp;装备表!$O1019&amp;";","xxx"),"xxx"))</f>
        <v>xxx</v>
      </c>
      <c r="F874" s="18" t="str">
        <f>IF(装备表!$O1019=0,"xxx",IFERROR(IF(INT(IF($D874=F$3,装备表!$E1019,"xxx")/10000)=1,IF($D874=F$3,装备表!$E1019,"xxx")&amp;":2,1,1,"&amp;装备表!$O1019&amp;";","xxx"),"xxx"))</f>
        <v>xxx</v>
      </c>
      <c r="G874" s="18" t="str">
        <f>IF(装备表!$O1019=0,"xxx",IFERROR(IF(INT(IF($D874=G$3,装备表!$E1019,"xxx")/10000)=1,IF($D874=G$3,装备表!$E1019,"xxx")&amp;":2,1,1,"&amp;装备表!$O1019&amp;";","xxx"),"xxx"))</f>
        <v>xxx</v>
      </c>
      <c r="H874" s="18" t="str">
        <f>IF(装备表!$O1019=0,"xxx",IFERROR(IF(INT(IF($D874=H$3,装备表!$E1019,"xxx")/10000)=1,IF($D874=H$3,装备表!$E1019,"xxx")&amp;":2,1,1,"&amp;装备表!$O1019&amp;";","xxx"),"xxx"))</f>
        <v>xxx</v>
      </c>
      <c r="I874" s="18" t="str">
        <f>IF(装备表!$O1019=0,"xxx",IFERROR(IF(INT(IF($D874=I$3,装备表!$E1019,"xxx")/10000)=1,IF($D874=I$3,装备表!$E1019,"xxx")&amp;":2,1,1,"&amp;装备表!$O1019&amp;";","xxx"),"xxx"))</f>
        <v>xxx</v>
      </c>
      <c r="J874" s="18" t="str">
        <f>IF(装备表!$O1019=0,"xxx",IFERROR(IF(INT(IF($D874=J$3,装备表!$E1019,"xxx")/10000)=1,IF($D874=J$3,装备表!$E1019,"xxx")&amp;":2,1,1,"&amp;装备表!$O1019&amp;";","xxx"),"xxx"))</f>
        <v>xxx</v>
      </c>
    </row>
    <row r="875" spans="4:10" x14ac:dyDescent="0.2">
      <c r="D875" s="18">
        <f>装备表!L1020</f>
        <v>0</v>
      </c>
      <c r="E875" s="18" t="str">
        <f>IF(装备表!$O1020=0,"xxx",IFERROR(IF(INT(IF($D875=E$3,装备表!$E1020,"xxx")/10000)=1,IF($D875=E$3,装备表!$E1020,"xxx")&amp;":2,1,1,"&amp;装备表!$O1020&amp;";","xxx"),"xxx"))</f>
        <v>xxx</v>
      </c>
      <c r="F875" s="18" t="str">
        <f>IF(装备表!$O1020=0,"xxx",IFERROR(IF(INT(IF($D875=F$3,装备表!$E1020,"xxx")/10000)=1,IF($D875=F$3,装备表!$E1020,"xxx")&amp;":2,1,1,"&amp;装备表!$O1020&amp;";","xxx"),"xxx"))</f>
        <v>xxx</v>
      </c>
      <c r="G875" s="18" t="str">
        <f>IF(装备表!$O1020=0,"xxx",IFERROR(IF(INT(IF($D875=G$3,装备表!$E1020,"xxx")/10000)=1,IF($D875=G$3,装备表!$E1020,"xxx")&amp;":2,1,1,"&amp;装备表!$O1020&amp;";","xxx"),"xxx"))</f>
        <v>xxx</v>
      </c>
      <c r="H875" s="18" t="str">
        <f>IF(装备表!$O1020=0,"xxx",IFERROR(IF(INT(IF($D875=H$3,装备表!$E1020,"xxx")/10000)=1,IF($D875=H$3,装备表!$E1020,"xxx")&amp;":2,1,1,"&amp;装备表!$O1020&amp;";","xxx"),"xxx"))</f>
        <v>xxx</v>
      </c>
      <c r="I875" s="18" t="str">
        <f>IF(装备表!$O1020=0,"xxx",IFERROR(IF(INT(IF($D875=I$3,装备表!$E1020,"xxx")/10000)=1,IF($D875=I$3,装备表!$E1020,"xxx")&amp;":2,1,1,"&amp;装备表!$O1020&amp;";","xxx"),"xxx"))</f>
        <v>xxx</v>
      </c>
      <c r="J875" s="18" t="str">
        <f>IF(装备表!$O1020=0,"xxx",IFERROR(IF(INT(IF($D875=J$3,装备表!$E1020,"xxx")/10000)=1,IF($D875=J$3,装备表!$E1020,"xxx")&amp;":2,1,1,"&amp;装备表!$O1020&amp;";","xxx"),"xxx"))</f>
        <v>xxx</v>
      </c>
    </row>
    <row r="876" spans="4:10" x14ac:dyDescent="0.2">
      <c r="D876" s="18">
        <f>装备表!L1021</f>
        <v>0</v>
      </c>
      <c r="E876" s="18" t="str">
        <f>IF(装备表!$O1021=0,"xxx",IFERROR(IF(INT(IF($D876=E$3,装备表!$E1021,"xxx")/10000)=1,IF($D876=E$3,装备表!$E1021,"xxx")&amp;":2,1,1,"&amp;装备表!$O1021&amp;";","xxx"),"xxx"))</f>
        <v>xxx</v>
      </c>
      <c r="F876" s="18" t="str">
        <f>IF(装备表!$O1021=0,"xxx",IFERROR(IF(INT(IF($D876=F$3,装备表!$E1021,"xxx")/10000)=1,IF($D876=F$3,装备表!$E1021,"xxx")&amp;":2,1,1,"&amp;装备表!$O1021&amp;";","xxx"),"xxx"))</f>
        <v>xxx</v>
      </c>
      <c r="G876" s="18" t="str">
        <f>IF(装备表!$O1021=0,"xxx",IFERROR(IF(INT(IF($D876=G$3,装备表!$E1021,"xxx")/10000)=1,IF($D876=G$3,装备表!$E1021,"xxx")&amp;":2,1,1,"&amp;装备表!$O1021&amp;";","xxx"),"xxx"))</f>
        <v>xxx</v>
      </c>
      <c r="H876" s="18" t="str">
        <f>IF(装备表!$O1021=0,"xxx",IFERROR(IF(INT(IF($D876=H$3,装备表!$E1021,"xxx")/10000)=1,IF($D876=H$3,装备表!$E1021,"xxx")&amp;":2,1,1,"&amp;装备表!$O1021&amp;";","xxx"),"xxx"))</f>
        <v>xxx</v>
      </c>
      <c r="I876" s="18" t="str">
        <f>IF(装备表!$O1021=0,"xxx",IFERROR(IF(INT(IF($D876=I$3,装备表!$E1021,"xxx")/10000)=1,IF($D876=I$3,装备表!$E1021,"xxx")&amp;":2,1,1,"&amp;装备表!$O1021&amp;";","xxx"),"xxx"))</f>
        <v>xxx</v>
      </c>
      <c r="J876" s="18" t="str">
        <f>IF(装备表!$O1021=0,"xxx",IFERROR(IF(INT(IF($D876=J$3,装备表!$E1021,"xxx")/10000)=1,IF($D876=J$3,装备表!$E1021,"xxx")&amp;":2,1,1,"&amp;装备表!$O1021&amp;";","xxx"),"xxx"))</f>
        <v>xxx</v>
      </c>
    </row>
    <row r="877" spans="4:10" x14ac:dyDescent="0.2">
      <c r="D877" s="18">
        <f>装备表!L1022</f>
        <v>0</v>
      </c>
      <c r="E877" s="18" t="str">
        <f>IF(装备表!$O1022=0,"xxx",IFERROR(IF(INT(IF($D877=E$3,装备表!$E1022,"xxx")/10000)=1,IF($D877=E$3,装备表!$E1022,"xxx")&amp;":2,1,1,"&amp;装备表!$O1022&amp;";","xxx"),"xxx"))</f>
        <v>xxx</v>
      </c>
      <c r="F877" s="18" t="str">
        <f>IF(装备表!$O1022=0,"xxx",IFERROR(IF(INT(IF($D877=F$3,装备表!$E1022,"xxx")/10000)=1,IF($D877=F$3,装备表!$E1022,"xxx")&amp;":2,1,1,"&amp;装备表!$O1022&amp;";","xxx"),"xxx"))</f>
        <v>xxx</v>
      </c>
      <c r="G877" s="18" t="str">
        <f>IF(装备表!$O1022=0,"xxx",IFERROR(IF(INT(IF($D877=G$3,装备表!$E1022,"xxx")/10000)=1,IF($D877=G$3,装备表!$E1022,"xxx")&amp;":2,1,1,"&amp;装备表!$O1022&amp;";","xxx"),"xxx"))</f>
        <v>xxx</v>
      </c>
      <c r="H877" s="18" t="str">
        <f>IF(装备表!$O1022=0,"xxx",IFERROR(IF(INT(IF($D877=H$3,装备表!$E1022,"xxx")/10000)=1,IF($D877=H$3,装备表!$E1022,"xxx")&amp;":2,1,1,"&amp;装备表!$O1022&amp;";","xxx"),"xxx"))</f>
        <v>xxx</v>
      </c>
      <c r="I877" s="18" t="str">
        <f>IF(装备表!$O1022=0,"xxx",IFERROR(IF(INT(IF($D877=I$3,装备表!$E1022,"xxx")/10000)=1,IF($D877=I$3,装备表!$E1022,"xxx")&amp;":2,1,1,"&amp;装备表!$O1022&amp;";","xxx"),"xxx"))</f>
        <v>xxx</v>
      </c>
      <c r="J877" s="18" t="str">
        <f>IF(装备表!$O1022=0,"xxx",IFERROR(IF(INT(IF($D877=J$3,装备表!$E1022,"xxx")/10000)=1,IF($D877=J$3,装备表!$E1022,"xxx")&amp;":2,1,1,"&amp;装备表!$O1022&amp;";","xxx"),"xxx"))</f>
        <v>xxx</v>
      </c>
    </row>
    <row r="878" spans="4:10" x14ac:dyDescent="0.2">
      <c r="D878" s="18">
        <f>装备表!L1023</f>
        <v>0</v>
      </c>
      <c r="E878" s="18" t="str">
        <f>IF(装备表!$O1023=0,"xxx",IFERROR(IF(INT(IF($D878=E$3,装备表!$E1023,"xxx")/10000)=1,IF($D878=E$3,装备表!$E1023,"xxx")&amp;":2,1,1,"&amp;装备表!$O1023&amp;";","xxx"),"xxx"))</f>
        <v>xxx</v>
      </c>
      <c r="F878" s="18" t="str">
        <f>IF(装备表!$O1023=0,"xxx",IFERROR(IF(INT(IF($D878=F$3,装备表!$E1023,"xxx")/10000)=1,IF($D878=F$3,装备表!$E1023,"xxx")&amp;":2,1,1,"&amp;装备表!$O1023&amp;";","xxx"),"xxx"))</f>
        <v>xxx</v>
      </c>
      <c r="G878" s="18" t="str">
        <f>IF(装备表!$O1023=0,"xxx",IFERROR(IF(INT(IF($D878=G$3,装备表!$E1023,"xxx")/10000)=1,IF($D878=G$3,装备表!$E1023,"xxx")&amp;":2,1,1,"&amp;装备表!$O1023&amp;";","xxx"),"xxx"))</f>
        <v>xxx</v>
      </c>
      <c r="H878" s="18" t="str">
        <f>IF(装备表!$O1023=0,"xxx",IFERROR(IF(INT(IF($D878=H$3,装备表!$E1023,"xxx")/10000)=1,IF($D878=H$3,装备表!$E1023,"xxx")&amp;":2,1,1,"&amp;装备表!$O1023&amp;";","xxx"),"xxx"))</f>
        <v>xxx</v>
      </c>
      <c r="I878" s="18" t="str">
        <f>IF(装备表!$O1023=0,"xxx",IFERROR(IF(INT(IF($D878=I$3,装备表!$E1023,"xxx")/10000)=1,IF($D878=I$3,装备表!$E1023,"xxx")&amp;":2,1,1,"&amp;装备表!$O1023&amp;";","xxx"),"xxx"))</f>
        <v>xxx</v>
      </c>
      <c r="J878" s="18" t="str">
        <f>IF(装备表!$O1023=0,"xxx",IFERROR(IF(INT(IF($D878=J$3,装备表!$E1023,"xxx")/10000)=1,IF($D878=J$3,装备表!$E1023,"xxx")&amp;":2,1,1,"&amp;装备表!$O1023&amp;";","xxx"),"xxx"))</f>
        <v>xxx</v>
      </c>
    </row>
    <row r="879" spans="4:10" x14ac:dyDescent="0.2">
      <c r="D879" s="18">
        <f>装备表!L1024</f>
        <v>0</v>
      </c>
      <c r="E879" s="18" t="str">
        <f>IF(装备表!$O1024=0,"xxx",IFERROR(IF(INT(IF($D879=E$3,装备表!$E1024,"xxx")/10000)=1,IF($D879=E$3,装备表!$E1024,"xxx")&amp;":2,1,1,"&amp;装备表!$O1024&amp;";","xxx"),"xxx"))</f>
        <v>xxx</v>
      </c>
      <c r="F879" s="18" t="str">
        <f>IF(装备表!$O1024=0,"xxx",IFERROR(IF(INT(IF($D879=F$3,装备表!$E1024,"xxx")/10000)=1,IF($D879=F$3,装备表!$E1024,"xxx")&amp;":2,1,1,"&amp;装备表!$O1024&amp;";","xxx"),"xxx"))</f>
        <v>xxx</v>
      </c>
      <c r="G879" s="18" t="str">
        <f>IF(装备表!$O1024=0,"xxx",IFERROR(IF(INT(IF($D879=G$3,装备表!$E1024,"xxx")/10000)=1,IF($D879=G$3,装备表!$E1024,"xxx")&amp;":2,1,1,"&amp;装备表!$O1024&amp;";","xxx"),"xxx"))</f>
        <v>xxx</v>
      </c>
      <c r="H879" s="18" t="str">
        <f>IF(装备表!$O1024=0,"xxx",IFERROR(IF(INT(IF($D879=H$3,装备表!$E1024,"xxx")/10000)=1,IF($D879=H$3,装备表!$E1024,"xxx")&amp;":2,1,1,"&amp;装备表!$O1024&amp;";","xxx"),"xxx"))</f>
        <v>xxx</v>
      </c>
      <c r="I879" s="18" t="str">
        <f>IF(装备表!$O1024=0,"xxx",IFERROR(IF(INT(IF($D879=I$3,装备表!$E1024,"xxx")/10000)=1,IF($D879=I$3,装备表!$E1024,"xxx")&amp;":2,1,1,"&amp;装备表!$O1024&amp;";","xxx"),"xxx"))</f>
        <v>xxx</v>
      </c>
      <c r="J879" s="18" t="str">
        <f>IF(装备表!$O1024=0,"xxx",IFERROR(IF(INT(IF($D879=J$3,装备表!$E1024,"xxx")/10000)=1,IF($D879=J$3,装备表!$E1024,"xxx")&amp;":2,1,1,"&amp;装备表!$O1024&amp;";","xxx"),"xxx"))</f>
        <v>xxx</v>
      </c>
    </row>
    <row r="880" spans="4:10" x14ac:dyDescent="0.2">
      <c r="D880" s="18">
        <f>装备表!L1025</f>
        <v>0</v>
      </c>
      <c r="E880" s="18" t="str">
        <f>IF(装备表!$O1025=0,"xxx",IFERROR(IF(INT(IF($D880=E$3,装备表!$E1025,"xxx")/10000)=1,IF($D880=E$3,装备表!$E1025,"xxx")&amp;":2,1,1,"&amp;装备表!$O1025&amp;";","xxx"),"xxx"))</f>
        <v>xxx</v>
      </c>
      <c r="F880" s="18" t="str">
        <f>IF(装备表!$O1025=0,"xxx",IFERROR(IF(INT(IF($D880=F$3,装备表!$E1025,"xxx")/10000)=1,IF($D880=F$3,装备表!$E1025,"xxx")&amp;":2,1,1,"&amp;装备表!$O1025&amp;";","xxx"),"xxx"))</f>
        <v>xxx</v>
      </c>
      <c r="G880" s="18" t="str">
        <f>IF(装备表!$O1025=0,"xxx",IFERROR(IF(INT(IF($D880=G$3,装备表!$E1025,"xxx")/10000)=1,IF($D880=G$3,装备表!$E1025,"xxx")&amp;":2,1,1,"&amp;装备表!$O1025&amp;";","xxx"),"xxx"))</f>
        <v>xxx</v>
      </c>
      <c r="H880" s="18" t="str">
        <f>IF(装备表!$O1025=0,"xxx",IFERROR(IF(INT(IF($D880=H$3,装备表!$E1025,"xxx")/10000)=1,IF($D880=H$3,装备表!$E1025,"xxx")&amp;":2,1,1,"&amp;装备表!$O1025&amp;";","xxx"),"xxx"))</f>
        <v>xxx</v>
      </c>
      <c r="I880" s="18" t="str">
        <f>IF(装备表!$O1025=0,"xxx",IFERROR(IF(INT(IF($D880=I$3,装备表!$E1025,"xxx")/10000)=1,IF($D880=I$3,装备表!$E1025,"xxx")&amp;":2,1,1,"&amp;装备表!$O1025&amp;";","xxx"),"xxx"))</f>
        <v>xxx</v>
      </c>
      <c r="J880" s="18" t="str">
        <f>IF(装备表!$O1025=0,"xxx",IFERROR(IF(INT(IF($D880=J$3,装备表!$E1025,"xxx")/10000)=1,IF($D880=J$3,装备表!$E1025,"xxx")&amp;":2,1,1,"&amp;装备表!$O1025&amp;";","xxx"),"xxx"))</f>
        <v>xxx</v>
      </c>
    </row>
    <row r="881" spans="4:10" x14ac:dyDescent="0.2">
      <c r="D881" s="18">
        <f>装备表!L1026</f>
        <v>0</v>
      </c>
      <c r="E881" s="18" t="str">
        <f>IF(装备表!$O1026=0,"xxx",IFERROR(IF(INT(IF($D881=E$3,装备表!$E1026,"xxx")/10000)=1,IF($D881=E$3,装备表!$E1026,"xxx")&amp;":2,1,1,"&amp;装备表!$O1026&amp;";","xxx"),"xxx"))</f>
        <v>xxx</v>
      </c>
      <c r="F881" s="18" t="str">
        <f>IF(装备表!$O1026=0,"xxx",IFERROR(IF(INT(IF($D881=F$3,装备表!$E1026,"xxx")/10000)=1,IF($D881=F$3,装备表!$E1026,"xxx")&amp;":2,1,1,"&amp;装备表!$O1026&amp;";","xxx"),"xxx"))</f>
        <v>xxx</v>
      </c>
      <c r="G881" s="18" t="str">
        <f>IF(装备表!$O1026=0,"xxx",IFERROR(IF(INT(IF($D881=G$3,装备表!$E1026,"xxx")/10000)=1,IF($D881=G$3,装备表!$E1026,"xxx")&amp;":2,1,1,"&amp;装备表!$O1026&amp;";","xxx"),"xxx"))</f>
        <v>xxx</v>
      </c>
      <c r="H881" s="18" t="str">
        <f>IF(装备表!$O1026=0,"xxx",IFERROR(IF(INT(IF($D881=H$3,装备表!$E1026,"xxx")/10000)=1,IF($D881=H$3,装备表!$E1026,"xxx")&amp;":2,1,1,"&amp;装备表!$O1026&amp;";","xxx"),"xxx"))</f>
        <v>xxx</v>
      </c>
      <c r="I881" s="18" t="str">
        <f>IF(装备表!$O1026=0,"xxx",IFERROR(IF(INT(IF($D881=I$3,装备表!$E1026,"xxx")/10000)=1,IF($D881=I$3,装备表!$E1026,"xxx")&amp;":2,1,1,"&amp;装备表!$O1026&amp;";","xxx"),"xxx"))</f>
        <v>xxx</v>
      </c>
      <c r="J881" s="18" t="str">
        <f>IF(装备表!$O1026=0,"xxx",IFERROR(IF(INT(IF($D881=J$3,装备表!$E1026,"xxx")/10000)=1,IF($D881=J$3,装备表!$E1026,"xxx")&amp;":2,1,1,"&amp;装备表!$O1026&amp;";","xxx"),"xxx"))</f>
        <v>xxx</v>
      </c>
    </row>
    <row r="882" spans="4:10" x14ac:dyDescent="0.2">
      <c r="D882" s="18">
        <f>装备表!L1027</f>
        <v>0</v>
      </c>
      <c r="E882" s="18" t="str">
        <f>IF(装备表!$O1027=0,"xxx",IFERROR(IF(INT(IF($D882=E$3,装备表!$E1027,"xxx")/10000)=1,IF($D882=E$3,装备表!$E1027,"xxx")&amp;":2,1,1,"&amp;装备表!$O1027&amp;";","xxx"),"xxx"))</f>
        <v>xxx</v>
      </c>
      <c r="F882" s="18" t="str">
        <f>IF(装备表!$O1027=0,"xxx",IFERROR(IF(INT(IF($D882=F$3,装备表!$E1027,"xxx")/10000)=1,IF($D882=F$3,装备表!$E1027,"xxx")&amp;":2,1,1,"&amp;装备表!$O1027&amp;";","xxx"),"xxx"))</f>
        <v>xxx</v>
      </c>
      <c r="G882" s="18" t="str">
        <f>IF(装备表!$O1027=0,"xxx",IFERROR(IF(INT(IF($D882=G$3,装备表!$E1027,"xxx")/10000)=1,IF($D882=G$3,装备表!$E1027,"xxx")&amp;":2,1,1,"&amp;装备表!$O1027&amp;";","xxx"),"xxx"))</f>
        <v>xxx</v>
      </c>
      <c r="H882" s="18" t="str">
        <f>IF(装备表!$O1027=0,"xxx",IFERROR(IF(INT(IF($D882=H$3,装备表!$E1027,"xxx")/10000)=1,IF($D882=H$3,装备表!$E1027,"xxx")&amp;":2,1,1,"&amp;装备表!$O1027&amp;";","xxx"),"xxx"))</f>
        <v>xxx</v>
      </c>
      <c r="I882" s="18" t="str">
        <f>IF(装备表!$O1027=0,"xxx",IFERROR(IF(INT(IF($D882=I$3,装备表!$E1027,"xxx")/10000)=1,IF($D882=I$3,装备表!$E1027,"xxx")&amp;":2,1,1,"&amp;装备表!$O1027&amp;";","xxx"),"xxx"))</f>
        <v>xxx</v>
      </c>
      <c r="J882" s="18" t="str">
        <f>IF(装备表!$O1027=0,"xxx",IFERROR(IF(INT(IF($D882=J$3,装备表!$E1027,"xxx")/10000)=1,IF($D882=J$3,装备表!$E1027,"xxx")&amp;":2,1,1,"&amp;装备表!$O1027&amp;";","xxx"),"xxx"))</f>
        <v>xxx</v>
      </c>
    </row>
    <row r="883" spans="4:10" x14ac:dyDescent="0.2">
      <c r="D883" s="18">
        <f>装备表!L1028</f>
        <v>0</v>
      </c>
      <c r="E883" s="18" t="str">
        <f>IF(装备表!$O1028=0,"xxx",IFERROR(IF(INT(IF($D883=E$3,装备表!$E1028,"xxx")/10000)=1,IF($D883=E$3,装备表!$E1028,"xxx")&amp;":2,1,1,"&amp;装备表!$O1028&amp;";","xxx"),"xxx"))</f>
        <v>xxx</v>
      </c>
      <c r="F883" s="18" t="str">
        <f>IF(装备表!$O1028=0,"xxx",IFERROR(IF(INT(IF($D883=F$3,装备表!$E1028,"xxx")/10000)=1,IF($D883=F$3,装备表!$E1028,"xxx")&amp;":2,1,1,"&amp;装备表!$O1028&amp;";","xxx"),"xxx"))</f>
        <v>xxx</v>
      </c>
      <c r="G883" s="18" t="str">
        <f>IF(装备表!$O1028=0,"xxx",IFERROR(IF(INT(IF($D883=G$3,装备表!$E1028,"xxx")/10000)=1,IF($D883=G$3,装备表!$E1028,"xxx")&amp;":2,1,1,"&amp;装备表!$O1028&amp;";","xxx"),"xxx"))</f>
        <v>xxx</v>
      </c>
      <c r="H883" s="18" t="str">
        <f>IF(装备表!$O1028=0,"xxx",IFERROR(IF(INT(IF($D883=H$3,装备表!$E1028,"xxx")/10000)=1,IF($D883=H$3,装备表!$E1028,"xxx")&amp;":2,1,1,"&amp;装备表!$O1028&amp;";","xxx"),"xxx"))</f>
        <v>xxx</v>
      </c>
      <c r="I883" s="18" t="str">
        <f>IF(装备表!$O1028=0,"xxx",IFERROR(IF(INT(IF($D883=I$3,装备表!$E1028,"xxx")/10000)=1,IF($D883=I$3,装备表!$E1028,"xxx")&amp;":2,1,1,"&amp;装备表!$O1028&amp;";","xxx"),"xxx"))</f>
        <v>xxx</v>
      </c>
      <c r="J883" s="18" t="str">
        <f>IF(装备表!$O1028=0,"xxx",IFERROR(IF(INT(IF($D883=J$3,装备表!$E1028,"xxx")/10000)=1,IF($D883=J$3,装备表!$E1028,"xxx")&amp;":2,1,1,"&amp;装备表!$O1028&amp;";","xxx"),"xxx"))</f>
        <v>xxx</v>
      </c>
    </row>
    <row r="884" spans="4:10" x14ac:dyDescent="0.2">
      <c r="D884" s="18">
        <f>装备表!L1029</f>
        <v>0</v>
      </c>
      <c r="E884" s="18" t="str">
        <f>IF(装备表!$O1029=0,"xxx",IFERROR(IF(INT(IF($D884=E$3,装备表!$E1029,"xxx")/10000)=1,IF($D884=E$3,装备表!$E1029,"xxx")&amp;":2,1,1,"&amp;装备表!$O1029&amp;";","xxx"),"xxx"))</f>
        <v>xxx</v>
      </c>
      <c r="F884" s="18" t="str">
        <f>IF(装备表!$O1029=0,"xxx",IFERROR(IF(INT(IF($D884=F$3,装备表!$E1029,"xxx")/10000)=1,IF($D884=F$3,装备表!$E1029,"xxx")&amp;":2,1,1,"&amp;装备表!$O1029&amp;";","xxx"),"xxx"))</f>
        <v>xxx</v>
      </c>
      <c r="G884" s="18" t="str">
        <f>IF(装备表!$O1029=0,"xxx",IFERROR(IF(INT(IF($D884=G$3,装备表!$E1029,"xxx")/10000)=1,IF($D884=G$3,装备表!$E1029,"xxx")&amp;":2,1,1,"&amp;装备表!$O1029&amp;";","xxx"),"xxx"))</f>
        <v>xxx</v>
      </c>
      <c r="H884" s="18" t="str">
        <f>IF(装备表!$O1029=0,"xxx",IFERROR(IF(INT(IF($D884=H$3,装备表!$E1029,"xxx")/10000)=1,IF($D884=H$3,装备表!$E1029,"xxx")&amp;":2,1,1,"&amp;装备表!$O1029&amp;";","xxx"),"xxx"))</f>
        <v>xxx</v>
      </c>
      <c r="I884" s="18" t="str">
        <f>IF(装备表!$O1029=0,"xxx",IFERROR(IF(INT(IF($D884=I$3,装备表!$E1029,"xxx")/10000)=1,IF($D884=I$3,装备表!$E1029,"xxx")&amp;":2,1,1,"&amp;装备表!$O1029&amp;";","xxx"),"xxx"))</f>
        <v>xxx</v>
      </c>
      <c r="J884" s="18" t="str">
        <f>IF(装备表!$O1029=0,"xxx",IFERROR(IF(INT(IF($D884=J$3,装备表!$E1029,"xxx")/10000)=1,IF($D884=J$3,装备表!$E1029,"xxx")&amp;":2,1,1,"&amp;装备表!$O1029&amp;";","xxx"),"xxx"))</f>
        <v>xxx</v>
      </c>
    </row>
    <row r="885" spans="4:10" x14ac:dyDescent="0.2">
      <c r="D885" s="18">
        <f>装备表!L1030</f>
        <v>0</v>
      </c>
      <c r="E885" s="18" t="str">
        <f>IF(装备表!$O1030=0,"xxx",IFERROR(IF(INT(IF($D885=E$3,装备表!$E1030,"xxx")/10000)=1,IF($D885=E$3,装备表!$E1030,"xxx")&amp;":2,1,1,"&amp;装备表!$O1030&amp;";","xxx"),"xxx"))</f>
        <v>xxx</v>
      </c>
      <c r="F885" s="18" t="str">
        <f>IF(装备表!$O1030=0,"xxx",IFERROR(IF(INT(IF($D885=F$3,装备表!$E1030,"xxx")/10000)=1,IF($D885=F$3,装备表!$E1030,"xxx")&amp;":2,1,1,"&amp;装备表!$O1030&amp;";","xxx"),"xxx"))</f>
        <v>xxx</v>
      </c>
      <c r="G885" s="18" t="str">
        <f>IF(装备表!$O1030=0,"xxx",IFERROR(IF(INT(IF($D885=G$3,装备表!$E1030,"xxx")/10000)=1,IF($D885=G$3,装备表!$E1030,"xxx")&amp;":2,1,1,"&amp;装备表!$O1030&amp;";","xxx"),"xxx"))</f>
        <v>xxx</v>
      </c>
      <c r="H885" s="18" t="str">
        <f>IF(装备表!$O1030=0,"xxx",IFERROR(IF(INT(IF($D885=H$3,装备表!$E1030,"xxx")/10000)=1,IF($D885=H$3,装备表!$E1030,"xxx")&amp;":2,1,1,"&amp;装备表!$O1030&amp;";","xxx"),"xxx"))</f>
        <v>xxx</v>
      </c>
      <c r="I885" s="18" t="str">
        <f>IF(装备表!$O1030=0,"xxx",IFERROR(IF(INT(IF($D885=I$3,装备表!$E1030,"xxx")/10000)=1,IF($D885=I$3,装备表!$E1030,"xxx")&amp;":2,1,1,"&amp;装备表!$O1030&amp;";","xxx"),"xxx"))</f>
        <v>xxx</v>
      </c>
      <c r="J885" s="18" t="str">
        <f>IF(装备表!$O1030=0,"xxx",IFERROR(IF(INT(IF($D885=J$3,装备表!$E1030,"xxx")/10000)=1,IF($D885=J$3,装备表!$E1030,"xxx")&amp;":2,1,1,"&amp;装备表!$O1030&amp;";","xxx"),"xxx"))</f>
        <v>xxx</v>
      </c>
    </row>
    <row r="886" spans="4:10" x14ac:dyDescent="0.2">
      <c r="D886" s="18">
        <f>装备表!L1031</f>
        <v>0</v>
      </c>
      <c r="E886" s="18" t="str">
        <f>IF(装备表!$O1031=0,"xxx",IFERROR(IF(INT(IF($D886=E$3,装备表!$E1031,"xxx")/10000)=1,IF($D886=E$3,装备表!$E1031,"xxx")&amp;":2,1,1,"&amp;装备表!$O1031&amp;";","xxx"),"xxx"))</f>
        <v>xxx</v>
      </c>
      <c r="F886" s="18" t="str">
        <f>IF(装备表!$O1031=0,"xxx",IFERROR(IF(INT(IF($D886=F$3,装备表!$E1031,"xxx")/10000)=1,IF($D886=F$3,装备表!$E1031,"xxx")&amp;":2,1,1,"&amp;装备表!$O1031&amp;";","xxx"),"xxx"))</f>
        <v>xxx</v>
      </c>
      <c r="G886" s="18" t="str">
        <f>IF(装备表!$O1031=0,"xxx",IFERROR(IF(INT(IF($D886=G$3,装备表!$E1031,"xxx")/10000)=1,IF($D886=G$3,装备表!$E1031,"xxx")&amp;":2,1,1,"&amp;装备表!$O1031&amp;";","xxx"),"xxx"))</f>
        <v>xxx</v>
      </c>
      <c r="H886" s="18" t="str">
        <f>IF(装备表!$O1031=0,"xxx",IFERROR(IF(INT(IF($D886=H$3,装备表!$E1031,"xxx")/10000)=1,IF($D886=H$3,装备表!$E1031,"xxx")&amp;":2,1,1,"&amp;装备表!$O1031&amp;";","xxx"),"xxx"))</f>
        <v>xxx</v>
      </c>
      <c r="I886" s="18" t="str">
        <f>IF(装备表!$O1031=0,"xxx",IFERROR(IF(INT(IF($D886=I$3,装备表!$E1031,"xxx")/10000)=1,IF($D886=I$3,装备表!$E1031,"xxx")&amp;":2,1,1,"&amp;装备表!$O1031&amp;";","xxx"),"xxx"))</f>
        <v>xxx</v>
      </c>
      <c r="J886" s="18" t="str">
        <f>IF(装备表!$O1031=0,"xxx",IFERROR(IF(INT(IF($D886=J$3,装备表!$E1031,"xxx")/10000)=1,IF($D886=J$3,装备表!$E1031,"xxx")&amp;":2,1,1,"&amp;装备表!$O1031&amp;";","xxx"),"xxx"))</f>
        <v>xxx</v>
      </c>
    </row>
    <row r="887" spans="4:10" x14ac:dyDescent="0.2">
      <c r="D887" s="18">
        <f>装备表!L1032</f>
        <v>0</v>
      </c>
      <c r="E887" s="18" t="str">
        <f>IF(装备表!$O1032=0,"xxx",IFERROR(IF(INT(IF($D887=E$3,装备表!$E1032,"xxx")/10000)=1,IF($D887=E$3,装备表!$E1032,"xxx")&amp;":2,1,1,"&amp;装备表!$O1032&amp;";","xxx"),"xxx"))</f>
        <v>xxx</v>
      </c>
      <c r="F887" s="18" t="str">
        <f>IF(装备表!$O1032=0,"xxx",IFERROR(IF(INT(IF($D887=F$3,装备表!$E1032,"xxx")/10000)=1,IF($D887=F$3,装备表!$E1032,"xxx")&amp;":2,1,1,"&amp;装备表!$O1032&amp;";","xxx"),"xxx"))</f>
        <v>xxx</v>
      </c>
      <c r="G887" s="18" t="str">
        <f>IF(装备表!$O1032=0,"xxx",IFERROR(IF(INT(IF($D887=G$3,装备表!$E1032,"xxx")/10000)=1,IF($D887=G$3,装备表!$E1032,"xxx")&amp;":2,1,1,"&amp;装备表!$O1032&amp;";","xxx"),"xxx"))</f>
        <v>xxx</v>
      </c>
      <c r="H887" s="18" t="str">
        <f>IF(装备表!$O1032=0,"xxx",IFERROR(IF(INT(IF($D887=H$3,装备表!$E1032,"xxx")/10000)=1,IF($D887=H$3,装备表!$E1032,"xxx")&amp;":2,1,1,"&amp;装备表!$O1032&amp;";","xxx"),"xxx"))</f>
        <v>xxx</v>
      </c>
      <c r="I887" s="18" t="str">
        <f>IF(装备表!$O1032=0,"xxx",IFERROR(IF(INT(IF($D887=I$3,装备表!$E1032,"xxx")/10000)=1,IF($D887=I$3,装备表!$E1032,"xxx")&amp;":2,1,1,"&amp;装备表!$O1032&amp;";","xxx"),"xxx"))</f>
        <v>xxx</v>
      </c>
      <c r="J887" s="18" t="str">
        <f>IF(装备表!$O1032=0,"xxx",IFERROR(IF(INT(IF($D887=J$3,装备表!$E1032,"xxx")/10000)=1,IF($D887=J$3,装备表!$E1032,"xxx")&amp;":2,1,1,"&amp;装备表!$O1032&amp;";","xxx"),"xxx"))</f>
        <v>xxx</v>
      </c>
    </row>
    <row r="888" spans="4:10" x14ac:dyDescent="0.2">
      <c r="D888" s="18">
        <f>装备表!L1033</f>
        <v>0</v>
      </c>
      <c r="E888" s="18" t="str">
        <f>IF(装备表!$O1033=0,"xxx",IFERROR(IF(INT(IF($D888=E$3,装备表!$E1033,"xxx")/10000)=1,IF($D888=E$3,装备表!$E1033,"xxx")&amp;":2,1,1,"&amp;装备表!$O1033&amp;";","xxx"),"xxx"))</f>
        <v>xxx</v>
      </c>
      <c r="F888" s="18" t="str">
        <f>IF(装备表!$O1033=0,"xxx",IFERROR(IF(INT(IF($D888=F$3,装备表!$E1033,"xxx")/10000)=1,IF($D888=F$3,装备表!$E1033,"xxx")&amp;":2,1,1,"&amp;装备表!$O1033&amp;";","xxx"),"xxx"))</f>
        <v>xxx</v>
      </c>
      <c r="G888" s="18" t="str">
        <f>IF(装备表!$O1033=0,"xxx",IFERROR(IF(INT(IF($D888=G$3,装备表!$E1033,"xxx")/10000)=1,IF($D888=G$3,装备表!$E1033,"xxx")&amp;":2,1,1,"&amp;装备表!$O1033&amp;";","xxx"),"xxx"))</f>
        <v>xxx</v>
      </c>
      <c r="H888" s="18" t="str">
        <f>IF(装备表!$O1033=0,"xxx",IFERROR(IF(INT(IF($D888=H$3,装备表!$E1033,"xxx")/10000)=1,IF($D888=H$3,装备表!$E1033,"xxx")&amp;":2,1,1,"&amp;装备表!$O1033&amp;";","xxx"),"xxx"))</f>
        <v>xxx</v>
      </c>
      <c r="I888" s="18" t="str">
        <f>IF(装备表!$O1033=0,"xxx",IFERROR(IF(INT(IF($D888=I$3,装备表!$E1033,"xxx")/10000)=1,IF($D888=I$3,装备表!$E1033,"xxx")&amp;":2,1,1,"&amp;装备表!$O1033&amp;";","xxx"),"xxx"))</f>
        <v>xxx</v>
      </c>
      <c r="J888" s="18" t="str">
        <f>IF(装备表!$O1033=0,"xxx",IFERROR(IF(INT(IF($D888=J$3,装备表!$E1033,"xxx")/10000)=1,IF($D888=J$3,装备表!$E1033,"xxx")&amp;":2,1,1,"&amp;装备表!$O1033&amp;";","xxx"),"xxx"))</f>
        <v>xxx</v>
      </c>
    </row>
    <row r="889" spans="4:10" x14ac:dyDescent="0.2">
      <c r="D889" s="18">
        <f>装备表!L1034</f>
        <v>0</v>
      </c>
      <c r="E889" s="18" t="str">
        <f>IF(装备表!$O1034=0,"xxx",IFERROR(IF(INT(IF($D889=E$3,装备表!$E1034,"xxx")/10000)=1,IF($D889=E$3,装备表!$E1034,"xxx")&amp;":2,1,1,"&amp;装备表!$O1034&amp;";","xxx"),"xxx"))</f>
        <v>xxx</v>
      </c>
      <c r="F889" s="18" t="str">
        <f>IF(装备表!$O1034=0,"xxx",IFERROR(IF(INT(IF($D889=F$3,装备表!$E1034,"xxx")/10000)=1,IF($D889=F$3,装备表!$E1034,"xxx")&amp;":2,1,1,"&amp;装备表!$O1034&amp;";","xxx"),"xxx"))</f>
        <v>xxx</v>
      </c>
      <c r="G889" s="18" t="str">
        <f>IF(装备表!$O1034=0,"xxx",IFERROR(IF(INT(IF($D889=G$3,装备表!$E1034,"xxx")/10000)=1,IF($D889=G$3,装备表!$E1034,"xxx")&amp;":2,1,1,"&amp;装备表!$O1034&amp;";","xxx"),"xxx"))</f>
        <v>xxx</v>
      </c>
      <c r="H889" s="18" t="str">
        <f>IF(装备表!$O1034=0,"xxx",IFERROR(IF(INT(IF($D889=H$3,装备表!$E1034,"xxx")/10000)=1,IF($D889=H$3,装备表!$E1034,"xxx")&amp;":2,1,1,"&amp;装备表!$O1034&amp;";","xxx"),"xxx"))</f>
        <v>xxx</v>
      </c>
      <c r="I889" s="18" t="str">
        <f>IF(装备表!$O1034=0,"xxx",IFERROR(IF(INT(IF($D889=I$3,装备表!$E1034,"xxx")/10000)=1,IF($D889=I$3,装备表!$E1034,"xxx")&amp;":2,1,1,"&amp;装备表!$O1034&amp;";","xxx"),"xxx"))</f>
        <v>xxx</v>
      </c>
      <c r="J889" s="18" t="str">
        <f>IF(装备表!$O1034=0,"xxx",IFERROR(IF(INT(IF($D889=J$3,装备表!$E1034,"xxx")/10000)=1,IF($D889=J$3,装备表!$E1034,"xxx")&amp;":2,1,1,"&amp;装备表!$O1034&amp;";","xxx"),"xxx"))</f>
        <v>xxx</v>
      </c>
    </row>
    <row r="890" spans="4:10" x14ac:dyDescent="0.2">
      <c r="D890" s="18">
        <f>装备表!L1035</f>
        <v>0</v>
      </c>
      <c r="E890" s="18" t="str">
        <f>IF(装备表!$O1035=0,"xxx",IFERROR(IF(INT(IF($D890=E$3,装备表!$E1035,"xxx")/10000)=1,IF($D890=E$3,装备表!$E1035,"xxx")&amp;":2,1,1,"&amp;装备表!$O1035&amp;";","xxx"),"xxx"))</f>
        <v>xxx</v>
      </c>
      <c r="F890" s="18" t="str">
        <f>IF(装备表!$O1035=0,"xxx",IFERROR(IF(INT(IF($D890=F$3,装备表!$E1035,"xxx")/10000)=1,IF($D890=F$3,装备表!$E1035,"xxx")&amp;":2,1,1,"&amp;装备表!$O1035&amp;";","xxx"),"xxx"))</f>
        <v>xxx</v>
      </c>
      <c r="G890" s="18" t="str">
        <f>IF(装备表!$O1035=0,"xxx",IFERROR(IF(INT(IF($D890=G$3,装备表!$E1035,"xxx")/10000)=1,IF($D890=G$3,装备表!$E1035,"xxx")&amp;":2,1,1,"&amp;装备表!$O1035&amp;";","xxx"),"xxx"))</f>
        <v>xxx</v>
      </c>
      <c r="H890" s="18" t="str">
        <f>IF(装备表!$O1035=0,"xxx",IFERROR(IF(INT(IF($D890=H$3,装备表!$E1035,"xxx")/10000)=1,IF($D890=H$3,装备表!$E1035,"xxx")&amp;":2,1,1,"&amp;装备表!$O1035&amp;";","xxx"),"xxx"))</f>
        <v>xxx</v>
      </c>
      <c r="I890" s="18" t="str">
        <f>IF(装备表!$O1035=0,"xxx",IFERROR(IF(INT(IF($D890=I$3,装备表!$E1035,"xxx")/10000)=1,IF($D890=I$3,装备表!$E1035,"xxx")&amp;":2,1,1,"&amp;装备表!$O1035&amp;";","xxx"),"xxx"))</f>
        <v>xxx</v>
      </c>
      <c r="J890" s="18" t="str">
        <f>IF(装备表!$O1035=0,"xxx",IFERROR(IF(INT(IF($D890=J$3,装备表!$E1035,"xxx")/10000)=1,IF($D890=J$3,装备表!$E1035,"xxx")&amp;":2,1,1,"&amp;装备表!$O1035&amp;";","xxx"),"xxx"))</f>
        <v>xxx</v>
      </c>
    </row>
    <row r="891" spans="4:10" x14ac:dyDescent="0.2">
      <c r="D891" s="18">
        <f>装备表!L1036</f>
        <v>0</v>
      </c>
      <c r="E891" s="18" t="str">
        <f>IF(装备表!$O1036=0,"xxx",IFERROR(IF(INT(IF($D891=E$3,装备表!$E1036,"xxx")/10000)=1,IF($D891=E$3,装备表!$E1036,"xxx")&amp;":2,1,1,"&amp;装备表!$O1036&amp;";","xxx"),"xxx"))</f>
        <v>xxx</v>
      </c>
      <c r="F891" s="18" t="str">
        <f>IF(装备表!$O1036=0,"xxx",IFERROR(IF(INT(IF($D891=F$3,装备表!$E1036,"xxx")/10000)=1,IF($D891=F$3,装备表!$E1036,"xxx")&amp;":2,1,1,"&amp;装备表!$O1036&amp;";","xxx"),"xxx"))</f>
        <v>xxx</v>
      </c>
      <c r="G891" s="18" t="str">
        <f>IF(装备表!$O1036=0,"xxx",IFERROR(IF(INT(IF($D891=G$3,装备表!$E1036,"xxx")/10000)=1,IF($D891=G$3,装备表!$E1036,"xxx")&amp;":2,1,1,"&amp;装备表!$O1036&amp;";","xxx"),"xxx"))</f>
        <v>xxx</v>
      </c>
      <c r="H891" s="18" t="str">
        <f>IF(装备表!$O1036=0,"xxx",IFERROR(IF(INT(IF($D891=H$3,装备表!$E1036,"xxx")/10000)=1,IF($D891=H$3,装备表!$E1036,"xxx")&amp;":2,1,1,"&amp;装备表!$O1036&amp;";","xxx"),"xxx"))</f>
        <v>xxx</v>
      </c>
      <c r="I891" s="18" t="str">
        <f>IF(装备表!$O1036=0,"xxx",IFERROR(IF(INT(IF($D891=I$3,装备表!$E1036,"xxx")/10000)=1,IF($D891=I$3,装备表!$E1036,"xxx")&amp;":2,1,1,"&amp;装备表!$O1036&amp;";","xxx"),"xxx"))</f>
        <v>xxx</v>
      </c>
      <c r="J891" s="18" t="str">
        <f>IF(装备表!$O1036=0,"xxx",IFERROR(IF(INT(IF($D891=J$3,装备表!$E1036,"xxx")/10000)=1,IF($D891=J$3,装备表!$E1036,"xxx")&amp;":2,1,1,"&amp;装备表!$O1036&amp;";","xxx"),"xxx"))</f>
        <v>xxx</v>
      </c>
    </row>
    <row r="892" spans="4:10" x14ac:dyDescent="0.2">
      <c r="D892" s="18">
        <f>装备表!L1037</f>
        <v>0</v>
      </c>
      <c r="E892" s="18" t="str">
        <f>IF(装备表!$O1037=0,"xxx",IFERROR(IF(INT(IF($D892=E$3,装备表!$E1037,"xxx")/10000)=1,IF($D892=E$3,装备表!$E1037,"xxx")&amp;":2,1,1,"&amp;装备表!$O1037&amp;";","xxx"),"xxx"))</f>
        <v>xxx</v>
      </c>
      <c r="F892" s="18" t="str">
        <f>IF(装备表!$O1037=0,"xxx",IFERROR(IF(INT(IF($D892=F$3,装备表!$E1037,"xxx")/10000)=1,IF($D892=F$3,装备表!$E1037,"xxx")&amp;":2,1,1,"&amp;装备表!$O1037&amp;";","xxx"),"xxx"))</f>
        <v>xxx</v>
      </c>
      <c r="G892" s="18" t="str">
        <f>IF(装备表!$O1037=0,"xxx",IFERROR(IF(INT(IF($D892=G$3,装备表!$E1037,"xxx")/10000)=1,IF($D892=G$3,装备表!$E1037,"xxx")&amp;":2,1,1,"&amp;装备表!$O1037&amp;";","xxx"),"xxx"))</f>
        <v>xxx</v>
      </c>
      <c r="H892" s="18" t="str">
        <f>IF(装备表!$O1037=0,"xxx",IFERROR(IF(INT(IF($D892=H$3,装备表!$E1037,"xxx")/10000)=1,IF($D892=H$3,装备表!$E1037,"xxx")&amp;":2,1,1,"&amp;装备表!$O1037&amp;";","xxx"),"xxx"))</f>
        <v>xxx</v>
      </c>
      <c r="I892" s="18" t="str">
        <f>IF(装备表!$O1037=0,"xxx",IFERROR(IF(INT(IF($D892=I$3,装备表!$E1037,"xxx")/10000)=1,IF($D892=I$3,装备表!$E1037,"xxx")&amp;":2,1,1,"&amp;装备表!$O1037&amp;";","xxx"),"xxx"))</f>
        <v>xxx</v>
      </c>
      <c r="J892" s="18" t="str">
        <f>IF(装备表!$O1037=0,"xxx",IFERROR(IF(INT(IF($D892=J$3,装备表!$E1037,"xxx")/10000)=1,IF($D892=J$3,装备表!$E1037,"xxx")&amp;":2,1,1,"&amp;装备表!$O1037&amp;";","xxx"),"xxx"))</f>
        <v>xxx</v>
      </c>
    </row>
    <row r="893" spans="4:10" x14ac:dyDescent="0.2">
      <c r="D893" s="18">
        <f>装备表!L1038</f>
        <v>0</v>
      </c>
      <c r="E893" s="18" t="str">
        <f>IF(装备表!$O1038=0,"xxx",IFERROR(IF(INT(IF($D893=E$3,装备表!$E1038,"xxx")/10000)=1,IF($D893=E$3,装备表!$E1038,"xxx")&amp;":2,1,1,"&amp;装备表!$O1038&amp;";","xxx"),"xxx"))</f>
        <v>xxx</v>
      </c>
      <c r="F893" s="18" t="str">
        <f>IF(装备表!$O1038=0,"xxx",IFERROR(IF(INT(IF($D893=F$3,装备表!$E1038,"xxx")/10000)=1,IF($D893=F$3,装备表!$E1038,"xxx")&amp;":2,1,1,"&amp;装备表!$O1038&amp;";","xxx"),"xxx"))</f>
        <v>xxx</v>
      </c>
      <c r="G893" s="18" t="str">
        <f>IF(装备表!$O1038=0,"xxx",IFERROR(IF(INT(IF($D893=G$3,装备表!$E1038,"xxx")/10000)=1,IF($D893=G$3,装备表!$E1038,"xxx")&amp;":2,1,1,"&amp;装备表!$O1038&amp;";","xxx"),"xxx"))</f>
        <v>xxx</v>
      </c>
      <c r="H893" s="18" t="str">
        <f>IF(装备表!$O1038=0,"xxx",IFERROR(IF(INT(IF($D893=H$3,装备表!$E1038,"xxx")/10000)=1,IF($D893=H$3,装备表!$E1038,"xxx")&amp;":2,1,1,"&amp;装备表!$O1038&amp;";","xxx"),"xxx"))</f>
        <v>xxx</v>
      </c>
      <c r="I893" s="18" t="str">
        <f>IF(装备表!$O1038=0,"xxx",IFERROR(IF(INT(IF($D893=I$3,装备表!$E1038,"xxx")/10000)=1,IF($D893=I$3,装备表!$E1038,"xxx")&amp;":2,1,1,"&amp;装备表!$O1038&amp;";","xxx"),"xxx"))</f>
        <v>xxx</v>
      </c>
      <c r="J893" s="18" t="str">
        <f>IF(装备表!$O1038=0,"xxx",IFERROR(IF(INT(IF($D893=J$3,装备表!$E1038,"xxx")/10000)=1,IF($D893=J$3,装备表!$E1038,"xxx")&amp;":2,1,1,"&amp;装备表!$O1038&amp;";","xxx"),"xxx"))</f>
        <v>xxx</v>
      </c>
    </row>
    <row r="894" spans="4:10" x14ac:dyDescent="0.2">
      <c r="D894" s="18">
        <f>装备表!L1039</f>
        <v>0</v>
      </c>
      <c r="E894" s="18" t="str">
        <f>IF(装备表!$O1039=0,"xxx",IFERROR(IF(INT(IF($D894=E$3,装备表!$E1039,"xxx")/10000)=1,IF($D894=E$3,装备表!$E1039,"xxx")&amp;":2,1,1,"&amp;装备表!$O1039&amp;";","xxx"),"xxx"))</f>
        <v>xxx</v>
      </c>
      <c r="F894" s="18" t="str">
        <f>IF(装备表!$O1039=0,"xxx",IFERROR(IF(INT(IF($D894=F$3,装备表!$E1039,"xxx")/10000)=1,IF($D894=F$3,装备表!$E1039,"xxx")&amp;":2,1,1,"&amp;装备表!$O1039&amp;";","xxx"),"xxx"))</f>
        <v>xxx</v>
      </c>
      <c r="G894" s="18" t="str">
        <f>IF(装备表!$O1039=0,"xxx",IFERROR(IF(INT(IF($D894=G$3,装备表!$E1039,"xxx")/10000)=1,IF($D894=G$3,装备表!$E1039,"xxx")&amp;":2,1,1,"&amp;装备表!$O1039&amp;";","xxx"),"xxx"))</f>
        <v>xxx</v>
      </c>
      <c r="H894" s="18" t="str">
        <f>IF(装备表!$O1039=0,"xxx",IFERROR(IF(INT(IF($D894=H$3,装备表!$E1039,"xxx")/10000)=1,IF($D894=H$3,装备表!$E1039,"xxx")&amp;":2,1,1,"&amp;装备表!$O1039&amp;";","xxx"),"xxx"))</f>
        <v>xxx</v>
      </c>
      <c r="I894" s="18" t="str">
        <f>IF(装备表!$O1039=0,"xxx",IFERROR(IF(INT(IF($D894=I$3,装备表!$E1039,"xxx")/10000)=1,IF($D894=I$3,装备表!$E1039,"xxx")&amp;":2,1,1,"&amp;装备表!$O1039&amp;";","xxx"),"xxx"))</f>
        <v>xxx</v>
      </c>
      <c r="J894" s="18" t="str">
        <f>IF(装备表!$O1039=0,"xxx",IFERROR(IF(INT(IF($D894=J$3,装备表!$E1039,"xxx")/10000)=1,IF($D894=J$3,装备表!$E1039,"xxx")&amp;":2,1,1,"&amp;装备表!$O1039&amp;";","xxx"),"xxx"))</f>
        <v>xxx</v>
      </c>
    </row>
    <row r="895" spans="4:10" x14ac:dyDescent="0.2">
      <c r="D895" s="18">
        <f>装备表!L1040</f>
        <v>0</v>
      </c>
      <c r="E895" s="18" t="str">
        <f>IF(装备表!$O1040=0,"xxx",IFERROR(IF(INT(IF($D895=E$3,装备表!$E1040,"xxx")/10000)=1,IF($D895=E$3,装备表!$E1040,"xxx")&amp;":2,1,1,"&amp;装备表!$O1040&amp;";","xxx"),"xxx"))</f>
        <v>xxx</v>
      </c>
      <c r="F895" s="18" t="str">
        <f>IF(装备表!$O1040=0,"xxx",IFERROR(IF(INT(IF($D895=F$3,装备表!$E1040,"xxx")/10000)=1,IF($D895=F$3,装备表!$E1040,"xxx")&amp;":2,1,1,"&amp;装备表!$O1040&amp;";","xxx"),"xxx"))</f>
        <v>xxx</v>
      </c>
      <c r="G895" s="18" t="str">
        <f>IF(装备表!$O1040=0,"xxx",IFERROR(IF(INT(IF($D895=G$3,装备表!$E1040,"xxx")/10000)=1,IF($D895=G$3,装备表!$E1040,"xxx")&amp;":2,1,1,"&amp;装备表!$O1040&amp;";","xxx"),"xxx"))</f>
        <v>xxx</v>
      </c>
      <c r="H895" s="18" t="str">
        <f>IF(装备表!$O1040=0,"xxx",IFERROR(IF(INT(IF($D895=H$3,装备表!$E1040,"xxx")/10000)=1,IF($D895=H$3,装备表!$E1040,"xxx")&amp;":2,1,1,"&amp;装备表!$O1040&amp;";","xxx"),"xxx"))</f>
        <v>xxx</v>
      </c>
      <c r="I895" s="18" t="str">
        <f>IF(装备表!$O1040=0,"xxx",IFERROR(IF(INT(IF($D895=I$3,装备表!$E1040,"xxx")/10000)=1,IF($D895=I$3,装备表!$E1040,"xxx")&amp;":2,1,1,"&amp;装备表!$O1040&amp;";","xxx"),"xxx"))</f>
        <v>xxx</v>
      </c>
      <c r="J895" s="18" t="str">
        <f>IF(装备表!$O1040=0,"xxx",IFERROR(IF(INT(IF($D895=J$3,装备表!$E1040,"xxx")/10000)=1,IF($D895=J$3,装备表!$E1040,"xxx")&amp;":2,1,1,"&amp;装备表!$O1040&amp;";","xxx"),"xxx"))</f>
        <v>xxx</v>
      </c>
    </row>
    <row r="896" spans="4:10" x14ac:dyDescent="0.2">
      <c r="D896" s="18">
        <f>装备表!L1041</f>
        <v>0</v>
      </c>
      <c r="E896" s="18" t="str">
        <f>IF(装备表!$O1041=0,"xxx",IFERROR(IF(INT(IF($D896=E$3,装备表!$E1041,"xxx")/10000)=1,IF($D896=E$3,装备表!$E1041,"xxx")&amp;":2,1,1,"&amp;装备表!$O1041&amp;";","xxx"),"xxx"))</f>
        <v>xxx</v>
      </c>
      <c r="F896" s="18" t="str">
        <f>IF(装备表!$O1041=0,"xxx",IFERROR(IF(INT(IF($D896=F$3,装备表!$E1041,"xxx")/10000)=1,IF($D896=F$3,装备表!$E1041,"xxx")&amp;":2,1,1,"&amp;装备表!$O1041&amp;";","xxx"),"xxx"))</f>
        <v>xxx</v>
      </c>
      <c r="G896" s="18" t="str">
        <f>IF(装备表!$O1041=0,"xxx",IFERROR(IF(INT(IF($D896=G$3,装备表!$E1041,"xxx")/10000)=1,IF($D896=G$3,装备表!$E1041,"xxx")&amp;":2,1,1,"&amp;装备表!$O1041&amp;";","xxx"),"xxx"))</f>
        <v>xxx</v>
      </c>
      <c r="H896" s="18" t="str">
        <f>IF(装备表!$O1041=0,"xxx",IFERROR(IF(INT(IF($D896=H$3,装备表!$E1041,"xxx")/10000)=1,IF($D896=H$3,装备表!$E1041,"xxx")&amp;":2,1,1,"&amp;装备表!$O1041&amp;";","xxx"),"xxx"))</f>
        <v>xxx</v>
      </c>
      <c r="I896" s="18" t="str">
        <f>IF(装备表!$O1041=0,"xxx",IFERROR(IF(INT(IF($D896=I$3,装备表!$E1041,"xxx")/10000)=1,IF($D896=I$3,装备表!$E1041,"xxx")&amp;":2,1,1,"&amp;装备表!$O1041&amp;";","xxx"),"xxx"))</f>
        <v>xxx</v>
      </c>
      <c r="J896" s="18" t="str">
        <f>IF(装备表!$O1041=0,"xxx",IFERROR(IF(INT(IF($D896=J$3,装备表!$E1041,"xxx")/10000)=1,IF($D896=J$3,装备表!$E1041,"xxx")&amp;":2,1,1,"&amp;装备表!$O1041&amp;";","xxx"),"xxx"))</f>
        <v>xxx</v>
      </c>
    </row>
    <row r="897" spans="4:10" x14ac:dyDescent="0.2">
      <c r="D897" s="18">
        <f>装备表!L1042</f>
        <v>0</v>
      </c>
      <c r="E897" s="18" t="str">
        <f>IF(装备表!$O1042=0,"xxx",IFERROR(IF(INT(IF($D897=E$3,装备表!$E1042,"xxx")/10000)=1,IF($D897=E$3,装备表!$E1042,"xxx")&amp;":2,1,1,"&amp;装备表!$O1042&amp;";","xxx"),"xxx"))</f>
        <v>xxx</v>
      </c>
      <c r="F897" s="18" t="str">
        <f>IF(装备表!$O1042=0,"xxx",IFERROR(IF(INT(IF($D897=F$3,装备表!$E1042,"xxx")/10000)=1,IF($D897=F$3,装备表!$E1042,"xxx")&amp;":2,1,1,"&amp;装备表!$O1042&amp;";","xxx"),"xxx"))</f>
        <v>xxx</v>
      </c>
      <c r="G897" s="18" t="str">
        <f>IF(装备表!$O1042=0,"xxx",IFERROR(IF(INT(IF($D897=G$3,装备表!$E1042,"xxx")/10000)=1,IF($D897=G$3,装备表!$E1042,"xxx")&amp;":2,1,1,"&amp;装备表!$O1042&amp;";","xxx"),"xxx"))</f>
        <v>xxx</v>
      </c>
      <c r="H897" s="18" t="str">
        <f>IF(装备表!$O1042=0,"xxx",IFERROR(IF(INT(IF($D897=H$3,装备表!$E1042,"xxx")/10000)=1,IF($D897=H$3,装备表!$E1042,"xxx")&amp;":2,1,1,"&amp;装备表!$O1042&amp;";","xxx"),"xxx"))</f>
        <v>xxx</v>
      </c>
      <c r="I897" s="18" t="str">
        <f>IF(装备表!$O1042=0,"xxx",IFERROR(IF(INT(IF($D897=I$3,装备表!$E1042,"xxx")/10000)=1,IF($D897=I$3,装备表!$E1042,"xxx")&amp;":2,1,1,"&amp;装备表!$O1042&amp;";","xxx"),"xxx"))</f>
        <v>xxx</v>
      </c>
      <c r="J897" s="18" t="str">
        <f>IF(装备表!$O1042=0,"xxx",IFERROR(IF(INT(IF($D897=J$3,装备表!$E1042,"xxx")/10000)=1,IF($D897=J$3,装备表!$E1042,"xxx")&amp;":2,1,1,"&amp;装备表!$O1042&amp;";","xxx"),"xxx"))</f>
        <v>xxx</v>
      </c>
    </row>
    <row r="898" spans="4:10" x14ac:dyDescent="0.2">
      <c r="D898" s="18">
        <f>装备表!L1043</f>
        <v>0</v>
      </c>
      <c r="E898" s="18" t="str">
        <f>IF(装备表!$O1043=0,"xxx",IFERROR(IF(INT(IF($D898=E$3,装备表!$E1043,"xxx")/10000)=1,IF($D898=E$3,装备表!$E1043,"xxx")&amp;":2,1,1,"&amp;装备表!$O1043&amp;";","xxx"),"xxx"))</f>
        <v>xxx</v>
      </c>
      <c r="F898" s="18" t="str">
        <f>IF(装备表!$O1043=0,"xxx",IFERROR(IF(INT(IF($D898=F$3,装备表!$E1043,"xxx")/10000)=1,IF($D898=F$3,装备表!$E1043,"xxx")&amp;":2,1,1,"&amp;装备表!$O1043&amp;";","xxx"),"xxx"))</f>
        <v>xxx</v>
      </c>
      <c r="G898" s="18" t="str">
        <f>IF(装备表!$O1043=0,"xxx",IFERROR(IF(INT(IF($D898=G$3,装备表!$E1043,"xxx")/10000)=1,IF($D898=G$3,装备表!$E1043,"xxx")&amp;":2,1,1,"&amp;装备表!$O1043&amp;";","xxx"),"xxx"))</f>
        <v>xxx</v>
      </c>
      <c r="H898" s="18" t="str">
        <f>IF(装备表!$O1043=0,"xxx",IFERROR(IF(INT(IF($D898=H$3,装备表!$E1043,"xxx")/10000)=1,IF($D898=H$3,装备表!$E1043,"xxx")&amp;":2,1,1,"&amp;装备表!$O1043&amp;";","xxx"),"xxx"))</f>
        <v>xxx</v>
      </c>
      <c r="I898" s="18" t="str">
        <f>IF(装备表!$O1043=0,"xxx",IFERROR(IF(INT(IF($D898=I$3,装备表!$E1043,"xxx")/10000)=1,IF($D898=I$3,装备表!$E1043,"xxx")&amp;":2,1,1,"&amp;装备表!$O1043&amp;";","xxx"),"xxx"))</f>
        <v>xxx</v>
      </c>
      <c r="J898" s="18" t="str">
        <f>IF(装备表!$O1043=0,"xxx",IFERROR(IF(INT(IF($D898=J$3,装备表!$E1043,"xxx")/10000)=1,IF($D898=J$3,装备表!$E1043,"xxx")&amp;":2,1,1,"&amp;装备表!$O1043&amp;";","xxx"),"xxx"))</f>
        <v>xxx</v>
      </c>
    </row>
    <row r="899" spans="4:10" x14ac:dyDescent="0.2">
      <c r="D899" s="18">
        <f>装备表!L1044</f>
        <v>0</v>
      </c>
      <c r="E899" s="18" t="str">
        <f>IF(装备表!$O1044=0,"xxx",IFERROR(IF(INT(IF($D899=E$3,装备表!$E1044,"xxx")/10000)=1,IF($D899=E$3,装备表!$E1044,"xxx")&amp;":2,1,1,"&amp;装备表!$O1044&amp;";","xxx"),"xxx"))</f>
        <v>xxx</v>
      </c>
      <c r="F899" s="18" t="str">
        <f>IF(装备表!$O1044=0,"xxx",IFERROR(IF(INT(IF($D899=F$3,装备表!$E1044,"xxx")/10000)=1,IF($D899=F$3,装备表!$E1044,"xxx")&amp;":2,1,1,"&amp;装备表!$O1044&amp;";","xxx"),"xxx"))</f>
        <v>xxx</v>
      </c>
      <c r="G899" s="18" t="str">
        <f>IF(装备表!$O1044=0,"xxx",IFERROR(IF(INT(IF($D899=G$3,装备表!$E1044,"xxx")/10000)=1,IF($D899=G$3,装备表!$E1044,"xxx")&amp;":2,1,1,"&amp;装备表!$O1044&amp;";","xxx"),"xxx"))</f>
        <v>xxx</v>
      </c>
      <c r="H899" s="18" t="str">
        <f>IF(装备表!$O1044=0,"xxx",IFERROR(IF(INT(IF($D899=H$3,装备表!$E1044,"xxx")/10000)=1,IF($D899=H$3,装备表!$E1044,"xxx")&amp;":2,1,1,"&amp;装备表!$O1044&amp;";","xxx"),"xxx"))</f>
        <v>xxx</v>
      </c>
      <c r="I899" s="18" t="str">
        <f>IF(装备表!$O1044=0,"xxx",IFERROR(IF(INT(IF($D899=I$3,装备表!$E1044,"xxx")/10000)=1,IF($D899=I$3,装备表!$E1044,"xxx")&amp;":2,1,1,"&amp;装备表!$O1044&amp;";","xxx"),"xxx"))</f>
        <v>xxx</v>
      </c>
      <c r="J899" s="18" t="str">
        <f>IF(装备表!$O1044=0,"xxx",IFERROR(IF(INT(IF($D899=J$3,装备表!$E1044,"xxx")/10000)=1,IF($D899=J$3,装备表!$E1044,"xxx")&amp;":2,1,1,"&amp;装备表!$O1044&amp;";","xxx"),"xxx"))</f>
        <v>xxx</v>
      </c>
    </row>
    <row r="900" spans="4:10" x14ac:dyDescent="0.2">
      <c r="D900" s="18">
        <f>装备表!L1045</f>
        <v>0</v>
      </c>
      <c r="E900" s="18" t="str">
        <f>IF(装备表!$O1045=0,"xxx",IFERROR(IF(INT(IF($D900=E$3,装备表!$E1045,"xxx")/10000)=1,IF($D900=E$3,装备表!$E1045,"xxx")&amp;":2,1,1,"&amp;装备表!$O1045&amp;";","xxx"),"xxx"))</f>
        <v>xxx</v>
      </c>
      <c r="F900" s="18" t="str">
        <f>IF(装备表!$O1045=0,"xxx",IFERROR(IF(INT(IF($D900=F$3,装备表!$E1045,"xxx")/10000)=1,IF($D900=F$3,装备表!$E1045,"xxx")&amp;":2,1,1,"&amp;装备表!$O1045&amp;";","xxx"),"xxx"))</f>
        <v>xxx</v>
      </c>
      <c r="G900" s="18" t="str">
        <f>IF(装备表!$O1045=0,"xxx",IFERROR(IF(INT(IF($D900=G$3,装备表!$E1045,"xxx")/10000)=1,IF($D900=G$3,装备表!$E1045,"xxx")&amp;":2,1,1,"&amp;装备表!$O1045&amp;";","xxx"),"xxx"))</f>
        <v>xxx</v>
      </c>
      <c r="H900" s="18" t="str">
        <f>IF(装备表!$O1045=0,"xxx",IFERROR(IF(INT(IF($D900=H$3,装备表!$E1045,"xxx")/10000)=1,IF($D900=H$3,装备表!$E1045,"xxx")&amp;":2,1,1,"&amp;装备表!$O1045&amp;";","xxx"),"xxx"))</f>
        <v>xxx</v>
      </c>
      <c r="I900" s="18" t="str">
        <f>IF(装备表!$O1045=0,"xxx",IFERROR(IF(INT(IF($D900=I$3,装备表!$E1045,"xxx")/10000)=1,IF($D900=I$3,装备表!$E1045,"xxx")&amp;":2,1,1,"&amp;装备表!$O1045&amp;";","xxx"),"xxx"))</f>
        <v>xxx</v>
      </c>
      <c r="J900" s="18" t="str">
        <f>IF(装备表!$O1045=0,"xxx",IFERROR(IF(INT(IF($D900=J$3,装备表!$E1045,"xxx")/10000)=1,IF($D900=J$3,装备表!$E1045,"xxx")&amp;":2,1,1,"&amp;装备表!$O1045&amp;";","xxx"),"xxx"))</f>
        <v>xxx</v>
      </c>
    </row>
    <row r="901" spans="4:10" x14ac:dyDescent="0.2">
      <c r="D901" s="18">
        <f>装备表!L1046</f>
        <v>0</v>
      </c>
      <c r="E901" s="18" t="str">
        <f>IF(装备表!$O1046=0,"xxx",IFERROR(IF(INT(IF($D901=E$3,装备表!$E1046,"xxx")/10000)=1,IF($D901=E$3,装备表!$E1046,"xxx")&amp;":2,1,1,"&amp;装备表!$O1046&amp;";","xxx"),"xxx"))</f>
        <v>xxx</v>
      </c>
      <c r="F901" s="18" t="str">
        <f>IF(装备表!$O1046=0,"xxx",IFERROR(IF(INT(IF($D901=F$3,装备表!$E1046,"xxx")/10000)=1,IF($D901=F$3,装备表!$E1046,"xxx")&amp;":2,1,1,"&amp;装备表!$O1046&amp;";","xxx"),"xxx"))</f>
        <v>xxx</v>
      </c>
      <c r="G901" s="18" t="str">
        <f>IF(装备表!$O1046=0,"xxx",IFERROR(IF(INT(IF($D901=G$3,装备表!$E1046,"xxx")/10000)=1,IF($D901=G$3,装备表!$E1046,"xxx")&amp;":2,1,1,"&amp;装备表!$O1046&amp;";","xxx"),"xxx"))</f>
        <v>xxx</v>
      </c>
      <c r="H901" s="18" t="str">
        <f>IF(装备表!$O1046=0,"xxx",IFERROR(IF(INT(IF($D901=H$3,装备表!$E1046,"xxx")/10000)=1,IF($D901=H$3,装备表!$E1046,"xxx")&amp;":2,1,1,"&amp;装备表!$O1046&amp;";","xxx"),"xxx"))</f>
        <v>xxx</v>
      </c>
      <c r="I901" s="18" t="str">
        <f>IF(装备表!$O1046=0,"xxx",IFERROR(IF(INT(IF($D901=I$3,装备表!$E1046,"xxx")/10000)=1,IF($D901=I$3,装备表!$E1046,"xxx")&amp;":2,1,1,"&amp;装备表!$O1046&amp;";","xxx"),"xxx"))</f>
        <v>xxx</v>
      </c>
      <c r="J901" s="18" t="str">
        <f>IF(装备表!$O1046=0,"xxx",IFERROR(IF(INT(IF($D901=J$3,装备表!$E1046,"xxx")/10000)=1,IF($D901=J$3,装备表!$E1046,"xxx")&amp;":2,1,1,"&amp;装备表!$O1046&amp;";","xxx"),"xxx"))</f>
        <v>xxx</v>
      </c>
    </row>
    <row r="902" spans="4:10" x14ac:dyDescent="0.2">
      <c r="D902" s="18">
        <f>装备表!L1047</f>
        <v>0</v>
      </c>
      <c r="E902" s="18" t="str">
        <f>IF(装备表!$O1047=0,"xxx",IFERROR(IF(INT(IF($D902=E$3,装备表!$E1047,"xxx")/10000)=1,IF($D902=E$3,装备表!$E1047,"xxx")&amp;":2,1,1,"&amp;装备表!$O1047&amp;";","xxx"),"xxx"))</f>
        <v>xxx</v>
      </c>
      <c r="F902" s="18" t="str">
        <f>IF(装备表!$O1047=0,"xxx",IFERROR(IF(INT(IF($D902=F$3,装备表!$E1047,"xxx")/10000)=1,IF($D902=F$3,装备表!$E1047,"xxx")&amp;":2,1,1,"&amp;装备表!$O1047&amp;";","xxx"),"xxx"))</f>
        <v>xxx</v>
      </c>
      <c r="G902" s="18" t="str">
        <f>IF(装备表!$O1047=0,"xxx",IFERROR(IF(INT(IF($D902=G$3,装备表!$E1047,"xxx")/10000)=1,IF($D902=G$3,装备表!$E1047,"xxx")&amp;":2,1,1,"&amp;装备表!$O1047&amp;";","xxx"),"xxx"))</f>
        <v>xxx</v>
      </c>
      <c r="H902" s="18" t="str">
        <f>IF(装备表!$O1047=0,"xxx",IFERROR(IF(INT(IF($D902=H$3,装备表!$E1047,"xxx")/10000)=1,IF($D902=H$3,装备表!$E1047,"xxx")&amp;":2,1,1,"&amp;装备表!$O1047&amp;";","xxx"),"xxx"))</f>
        <v>xxx</v>
      </c>
      <c r="I902" s="18" t="str">
        <f>IF(装备表!$O1047=0,"xxx",IFERROR(IF(INT(IF($D902=I$3,装备表!$E1047,"xxx")/10000)=1,IF($D902=I$3,装备表!$E1047,"xxx")&amp;":2,1,1,"&amp;装备表!$O1047&amp;";","xxx"),"xxx"))</f>
        <v>xxx</v>
      </c>
      <c r="J902" s="18" t="str">
        <f>IF(装备表!$O1047=0,"xxx",IFERROR(IF(INT(IF($D902=J$3,装备表!$E1047,"xxx")/10000)=1,IF($D902=J$3,装备表!$E1047,"xxx")&amp;":2,1,1,"&amp;装备表!$O1047&amp;";","xxx"),"xxx"))</f>
        <v>xxx</v>
      </c>
    </row>
    <row r="903" spans="4:10" x14ac:dyDescent="0.2">
      <c r="D903" s="18">
        <f>装备表!L1048</f>
        <v>0</v>
      </c>
      <c r="E903" s="18" t="str">
        <f>IF(装备表!$O1048=0,"xxx",IFERROR(IF(INT(IF($D903=E$3,装备表!$E1048,"xxx")/10000)=1,IF($D903=E$3,装备表!$E1048,"xxx")&amp;":2,1,1,"&amp;装备表!$O1048&amp;";","xxx"),"xxx"))</f>
        <v>xxx</v>
      </c>
      <c r="F903" s="18" t="str">
        <f>IF(装备表!$O1048=0,"xxx",IFERROR(IF(INT(IF($D903=F$3,装备表!$E1048,"xxx")/10000)=1,IF($D903=F$3,装备表!$E1048,"xxx")&amp;":2,1,1,"&amp;装备表!$O1048&amp;";","xxx"),"xxx"))</f>
        <v>xxx</v>
      </c>
      <c r="G903" s="18" t="str">
        <f>IF(装备表!$O1048=0,"xxx",IFERROR(IF(INT(IF($D903=G$3,装备表!$E1048,"xxx")/10000)=1,IF($D903=G$3,装备表!$E1048,"xxx")&amp;":2,1,1,"&amp;装备表!$O1048&amp;";","xxx"),"xxx"))</f>
        <v>xxx</v>
      </c>
      <c r="H903" s="18" t="str">
        <f>IF(装备表!$O1048=0,"xxx",IFERROR(IF(INT(IF($D903=H$3,装备表!$E1048,"xxx")/10000)=1,IF($D903=H$3,装备表!$E1048,"xxx")&amp;":2,1,1,"&amp;装备表!$O1048&amp;";","xxx"),"xxx"))</f>
        <v>xxx</v>
      </c>
      <c r="I903" s="18" t="str">
        <f>IF(装备表!$O1048=0,"xxx",IFERROR(IF(INT(IF($D903=I$3,装备表!$E1048,"xxx")/10000)=1,IF($D903=I$3,装备表!$E1048,"xxx")&amp;":2,1,1,"&amp;装备表!$O1048&amp;";","xxx"),"xxx"))</f>
        <v>xxx</v>
      </c>
      <c r="J903" s="18" t="str">
        <f>IF(装备表!$O1048=0,"xxx",IFERROR(IF(INT(IF($D903=J$3,装备表!$E1048,"xxx")/10000)=1,IF($D903=J$3,装备表!$E1048,"xxx")&amp;":2,1,1,"&amp;装备表!$O1048&amp;";","xxx"),"xxx"))</f>
        <v>xxx</v>
      </c>
    </row>
    <row r="904" spans="4:10" x14ac:dyDescent="0.2">
      <c r="D904" s="18">
        <f>装备表!L1049</f>
        <v>0</v>
      </c>
      <c r="E904" s="18" t="str">
        <f>IF(装备表!$O1049=0,"xxx",IFERROR(IF(INT(IF($D904=E$3,装备表!$E1049,"xxx")/10000)=1,IF($D904=E$3,装备表!$E1049,"xxx")&amp;":2,1,1,"&amp;装备表!$O1049&amp;";","xxx"),"xxx"))</f>
        <v>xxx</v>
      </c>
      <c r="F904" s="18" t="str">
        <f>IF(装备表!$O1049=0,"xxx",IFERROR(IF(INT(IF($D904=F$3,装备表!$E1049,"xxx")/10000)=1,IF($D904=F$3,装备表!$E1049,"xxx")&amp;":2,1,1,"&amp;装备表!$O1049&amp;";","xxx"),"xxx"))</f>
        <v>xxx</v>
      </c>
      <c r="G904" s="18" t="str">
        <f>IF(装备表!$O1049=0,"xxx",IFERROR(IF(INT(IF($D904=G$3,装备表!$E1049,"xxx")/10000)=1,IF($D904=G$3,装备表!$E1049,"xxx")&amp;":2,1,1,"&amp;装备表!$O1049&amp;";","xxx"),"xxx"))</f>
        <v>xxx</v>
      </c>
      <c r="H904" s="18" t="str">
        <f>IF(装备表!$O1049=0,"xxx",IFERROR(IF(INT(IF($D904=H$3,装备表!$E1049,"xxx")/10000)=1,IF($D904=H$3,装备表!$E1049,"xxx")&amp;":2,1,1,"&amp;装备表!$O1049&amp;";","xxx"),"xxx"))</f>
        <v>xxx</v>
      </c>
      <c r="I904" s="18" t="str">
        <f>IF(装备表!$O1049=0,"xxx",IFERROR(IF(INT(IF($D904=I$3,装备表!$E1049,"xxx")/10000)=1,IF($D904=I$3,装备表!$E1049,"xxx")&amp;":2,1,1,"&amp;装备表!$O1049&amp;";","xxx"),"xxx"))</f>
        <v>xxx</v>
      </c>
      <c r="J904" s="18" t="str">
        <f>IF(装备表!$O1049=0,"xxx",IFERROR(IF(INT(IF($D904=J$3,装备表!$E1049,"xxx")/10000)=1,IF($D904=J$3,装备表!$E1049,"xxx")&amp;":2,1,1,"&amp;装备表!$O1049&amp;";","xxx"),"xxx"))</f>
        <v>xxx</v>
      </c>
    </row>
    <row r="905" spans="4:10" x14ac:dyDescent="0.2">
      <c r="D905" s="18">
        <f>装备表!L1050</f>
        <v>0</v>
      </c>
      <c r="E905" s="18" t="str">
        <f>IF(装备表!$O1050=0,"xxx",IFERROR(IF(INT(IF($D905=E$3,装备表!$E1050,"xxx")/10000)=1,IF($D905=E$3,装备表!$E1050,"xxx")&amp;":2,1,1,"&amp;装备表!$O1050&amp;";","xxx"),"xxx"))</f>
        <v>xxx</v>
      </c>
      <c r="F905" s="18" t="str">
        <f>IF(装备表!$O1050=0,"xxx",IFERROR(IF(INT(IF($D905=F$3,装备表!$E1050,"xxx")/10000)=1,IF($D905=F$3,装备表!$E1050,"xxx")&amp;":2,1,1,"&amp;装备表!$O1050&amp;";","xxx"),"xxx"))</f>
        <v>xxx</v>
      </c>
      <c r="G905" s="18" t="str">
        <f>IF(装备表!$O1050=0,"xxx",IFERROR(IF(INT(IF($D905=G$3,装备表!$E1050,"xxx")/10000)=1,IF($D905=G$3,装备表!$E1050,"xxx")&amp;":2,1,1,"&amp;装备表!$O1050&amp;";","xxx"),"xxx"))</f>
        <v>xxx</v>
      </c>
      <c r="H905" s="18" t="str">
        <f>IF(装备表!$O1050=0,"xxx",IFERROR(IF(INT(IF($D905=H$3,装备表!$E1050,"xxx")/10000)=1,IF($D905=H$3,装备表!$E1050,"xxx")&amp;":2,1,1,"&amp;装备表!$O1050&amp;";","xxx"),"xxx"))</f>
        <v>xxx</v>
      </c>
      <c r="I905" s="18" t="str">
        <f>IF(装备表!$O1050=0,"xxx",IFERROR(IF(INT(IF($D905=I$3,装备表!$E1050,"xxx")/10000)=1,IF($D905=I$3,装备表!$E1050,"xxx")&amp;":2,1,1,"&amp;装备表!$O1050&amp;";","xxx"),"xxx"))</f>
        <v>xxx</v>
      </c>
      <c r="J905" s="18" t="str">
        <f>IF(装备表!$O1050=0,"xxx",IFERROR(IF(INT(IF($D905=J$3,装备表!$E1050,"xxx")/10000)=1,IF($D905=J$3,装备表!$E1050,"xxx")&amp;":2,1,1,"&amp;装备表!$O1050&amp;";","xxx"),"xxx"))</f>
        <v>xxx</v>
      </c>
    </row>
    <row r="906" spans="4:10" x14ac:dyDescent="0.2">
      <c r="D906" s="18">
        <f>装备表!L1051</f>
        <v>0</v>
      </c>
      <c r="E906" s="18" t="str">
        <f>IF(装备表!$O1051=0,"xxx",IFERROR(IF(INT(IF($D906=E$3,装备表!$E1051,"xxx")/10000)=1,IF($D906=E$3,装备表!$E1051,"xxx")&amp;":2,1,1,"&amp;装备表!$O1051&amp;";","xxx"),"xxx"))</f>
        <v>xxx</v>
      </c>
      <c r="F906" s="18" t="str">
        <f>IF(装备表!$O1051=0,"xxx",IFERROR(IF(INT(IF($D906=F$3,装备表!$E1051,"xxx")/10000)=1,IF($D906=F$3,装备表!$E1051,"xxx")&amp;":2,1,1,"&amp;装备表!$O1051&amp;";","xxx"),"xxx"))</f>
        <v>xxx</v>
      </c>
      <c r="G906" s="18" t="str">
        <f>IF(装备表!$O1051=0,"xxx",IFERROR(IF(INT(IF($D906=G$3,装备表!$E1051,"xxx")/10000)=1,IF($D906=G$3,装备表!$E1051,"xxx")&amp;":2,1,1,"&amp;装备表!$O1051&amp;";","xxx"),"xxx"))</f>
        <v>xxx</v>
      </c>
      <c r="H906" s="18" t="str">
        <f>IF(装备表!$O1051=0,"xxx",IFERROR(IF(INT(IF($D906=H$3,装备表!$E1051,"xxx")/10000)=1,IF($D906=H$3,装备表!$E1051,"xxx")&amp;":2,1,1,"&amp;装备表!$O1051&amp;";","xxx"),"xxx"))</f>
        <v>xxx</v>
      </c>
      <c r="I906" s="18" t="str">
        <f>IF(装备表!$O1051=0,"xxx",IFERROR(IF(INT(IF($D906=I$3,装备表!$E1051,"xxx")/10000)=1,IF($D906=I$3,装备表!$E1051,"xxx")&amp;":2,1,1,"&amp;装备表!$O1051&amp;";","xxx"),"xxx"))</f>
        <v>xxx</v>
      </c>
      <c r="J906" s="18" t="str">
        <f>IF(装备表!$O1051=0,"xxx",IFERROR(IF(INT(IF($D906=J$3,装备表!$E1051,"xxx")/10000)=1,IF($D906=J$3,装备表!$E1051,"xxx")&amp;":2,1,1,"&amp;装备表!$O1051&amp;";","xxx"),"xxx"))</f>
        <v>xxx</v>
      </c>
    </row>
    <row r="907" spans="4:10" x14ac:dyDescent="0.2">
      <c r="D907" s="18">
        <f>装备表!L1052</f>
        <v>0</v>
      </c>
      <c r="E907" s="18" t="str">
        <f>IF(装备表!$O1052=0,"xxx",IFERROR(IF(INT(IF($D907=E$3,装备表!$E1052,"xxx")/10000)=1,IF($D907=E$3,装备表!$E1052,"xxx")&amp;":2,1,1,"&amp;装备表!$O1052&amp;";","xxx"),"xxx"))</f>
        <v>xxx</v>
      </c>
      <c r="F907" s="18" t="str">
        <f>IF(装备表!$O1052=0,"xxx",IFERROR(IF(INT(IF($D907=F$3,装备表!$E1052,"xxx")/10000)=1,IF($D907=F$3,装备表!$E1052,"xxx")&amp;":2,1,1,"&amp;装备表!$O1052&amp;";","xxx"),"xxx"))</f>
        <v>xxx</v>
      </c>
      <c r="G907" s="18" t="str">
        <f>IF(装备表!$O1052=0,"xxx",IFERROR(IF(INT(IF($D907=G$3,装备表!$E1052,"xxx")/10000)=1,IF($D907=G$3,装备表!$E1052,"xxx")&amp;":2,1,1,"&amp;装备表!$O1052&amp;";","xxx"),"xxx"))</f>
        <v>xxx</v>
      </c>
      <c r="H907" s="18" t="str">
        <f>IF(装备表!$O1052=0,"xxx",IFERROR(IF(INT(IF($D907=H$3,装备表!$E1052,"xxx")/10000)=1,IF($D907=H$3,装备表!$E1052,"xxx")&amp;":2,1,1,"&amp;装备表!$O1052&amp;";","xxx"),"xxx"))</f>
        <v>xxx</v>
      </c>
      <c r="I907" s="18" t="str">
        <f>IF(装备表!$O1052=0,"xxx",IFERROR(IF(INT(IF($D907=I$3,装备表!$E1052,"xxx")/10000)=1,IF($D907=I$3,装备表!$E1052,"xxx")&amp;":2,1,1,"&amp;装备表!$O1052&amp;";","xxx"),"xxx"))</f>
        <v>xxx</v>
      </c>
      <c r="J907" s="18" t="str">
        <f>IF(装备表!$O1052=0,"xxx",IFERROR(IF(INT(IF($D907=J$3,装备表!$E1052,"xxx")/10000)=1,IF($D907=J$3,装备表!$E1052,"xxx")&amp;":2,1,1,"&amp;装备表!$O1052&amp;";","xxx"),"xxx"))</f>
        <v>xxx</v>
      </c>
    </row>
    <row r="908" spans="4:10" x14ac:dyDescent="0.2">
      <c r="D908" s="18">
        <f>装备表!L1053</f>
        <v>0</v>
      </c>
      <c r="E908" s="18" t="str">
        <f>IF(装备表!$O1053=0,"xxx",IFERROR(IF(INT(IF($D908=E$3,装备表!$E1053,"xxx")/10000)=1,IF($D908=E$3,装备表!$E1053,"xxx")&amp;":2,1,1,"&amp;装备表!$O1053&amp;";","xxx"),"xxx"))</f>
        <v>xxx</v>
      </c>
      <c r="F908" s="18" t="str">
        <f>IF(装备表!$O1053=0,"xxx",IFERROR(IF(INT(IF($D908=F$3,装备表!$E1053,"xxx")/10000)=1,IF($D908=F$3,装备表!$E1053,"xxx")&amp;":2,1,1,"&amp;装备表!$O1053&amp;";","xxx"),"xxx"))</f>
        <v>xxx</v>
      </c>
      <c r="G908" s="18" t="str">
        <f>IF(装备表!$O1053=0,"xxx",IFERROR(IF(INT(IF($D908=G$3,装备表!$E1053,"xxx")/10000)=1,IF($D908=G$3,装备表!$E1053,"xxx")&amp;":2,1,1,"&amp;装备表!$O1053&amp;";","xxx"),"xxx"))</f>
        <v>xxx</v>
      </c>
      <c r="H908" s="18" t="str">
        <f>IF(装备表!$O1053=0,"xxx",IFERROR(IF(INT(IF($D908=H$3,装备表!$E1053,"xxx")/10000)=1,IF($D908=H$3,装备表!$E1053,"xxx")&amp;":2,1,1,"&amp;装备表!$O1053&amp;";","xxx"),"xxx"))</f>
        <v>xxx</v>
      </c>
      <c r="I908" s="18" t="str">
        <f>IF(装备表!$O1053=0,"xxx",IFERROR(IF(INT(IF($D908=I$3,装备表!$E1053,"xxx")/10000)=1,IF($D908=I$3,装备表!$E1053,"xxx")&amp;":2,1,1,"&amp;装备表!$O1053&amp;";","xxx"),"xxx"))</f>
        <v>xxx</v>
      </c>
      <c r="J908" s="18" t="str">
        <f>IF(装备表!$O1053=0,"xxx",IFERROR(IF(INT(IF($D908=J$3,装备表!$E1053,"xxx")/10000)=1,IF($D908=J$3,装备表!$E1053,"xxx")&amp;":2,1,1,"&amp;装备表!$O1053&amp;";","xxx"),"xxx"))</f>
        <v>xxx</v>
      </c>
    </row>
    <row r="909" spans="4:10" x14ac:dyDescent="0.2">
      <c r="D909" s="18">
        <f>装备表!L1054</f>
        <v>0</v>
      </c>
      <c r="E909" s="18" t="str">
        <f>IF(装备表!$O1054=0,"xxx",IFERROR(IF(INT(IF($D909=E$3,装备表!$E1054,"xxx")/10000)=1,IF($D909=E$3,装备表!$E1054,"xxx")&amp;":2,1,1,"&amp;装备表!$O1054&amp;";","xxx"),"xxx"))</f>
        <v>xxx</v>
      </c>
      <c r="F909" s="18" t="str">
        <f>IF(装备表!$O1054=0,"xxx",IFERROR(IF(INT(IF($D909=F$3,装备表!$E1054,"xxx")/10000)=1,IF($D909=F$3,装备表!$E1054,"xxx")&amp;":2,1,1,"&amp;装备表!$O1054&amp;";","xxx"),"xxx"))</f>
        <v>xxx</v>
      </c>
      <c r="G909" s="18" t="str">
        <f>IF(装备表!$O1054=0,"xxx",IFERROR(IF(INT(IF($D909=G$3,装备表!$E1054,"xxx")/10000)=1,IF($D909=G$3,装备表!$E1054,"xxx")&amp;":2,1,1,"&amp;装备表!$O1054&amp;";","xxx"),"xxx"))</f>
        <v>xxx</v>
      </c>
      <c r="H909" s="18" t="str">
        <f>IF(装备表!$O1054=0,"xxx",IFERROR(IF(INT(IF($D909=H$3,装备表!$E1054,"xxx")/10000)=1,IF($D909=H$3,装备表!$E1054,"xxx")&amp;":2,1,1,"&amp;装备表!$O1054&amp;";","xxx"),"xxx"))</f>
        <v>xxx</v>
      </c>
      <c r="I909" s="18" t="str">
        <f>IF(装备表!$O1054=0,"xxx",IFERROR(IF(INT(IF($D909=I$3,装备表!$E1054,"xxx")/10000)=1,IF($D909=I$3,装备表!$E1054,"xxx")&amp;":2,1,1,"&amp;装备表!$O1054&amp;";","xxx"),"xxx"))</f>
        <v>xxx</v>
      </c>
      <c r="J909" s="18" t="str">
        <f>IF(装备表!$O1054=0,"xxx",IFERROR(IF(INT(IF($D909=J$3,装备表!$E1054,"xxx")/10000)=1,IF($D909=J$3,装备表!$E1054,"xxx")&amp;":2,1,1,"&amp;装备表!$O1054&amp;";","xxx"),"xxx"))</f>
        <v>xxx</v>
      </c>
    </row>
    <row r="910" spans="4:10" x14ac:dyDescent="0.2">
      <c r="D910" s="18">
        <f>装备表!L1055</f>
        <v>0</v>
      </c>
      <c r="E910" s="18" t="str">
        <f>IF(装备表!$O1055=0,"xxx",IFERROR(IF(INT(IF($D910=E$3,装备表!$E1055,"xxx")/10000)=1,IF($D910=E$3,装备表!$E1055,"xxx")&amp;":2,1,1,"&amp;装备表!$O1055&amp;";","xxx"),"xxx"))</f>
        <v>xxx</v>
      </c>
      <c r="F910" s="18" t="str">
        <f>IF(装备表!$O1055=0,"xxx",IFERROR(IF(INT(IF($D910=F$3,装备表!$E1055,"xxx")/10000)=1,IF($D910=F$3,装备表!$E1055,"xxx")&amp;":2,1,1,"&amp;装备表!$O1055&amp;";","xxx"),"xxx"))</f>
        <v>xxx</v>
      </c>
      <c r="G910" s="18" t="str">
        <f>IF(装备表!$O1055=0,"xxx",IFERROR(IF(INT(IF($D910=G$3,装备表!$E1055,"xxx")/10000)=1,IF($D910=G$3,装备表!$E1055,"xxx")&amp;":2,1,1,"&amp;装备表!$O1055&amp;";","xxx"),"xxx"))</f>
        <v>xxx</v>
      </c>
      <c r="H910" s="18" t="str">
        <f>IF(装备表!$O1055=0,"xxx",IFERROR(IF(INT(IF($D910=H$3,装备表!$E1055,"xxx")/10000)=1,IF($D910=H$3,装备表!$E1055,"xxx")&amp;":2,1,1,"&amp;装备表!$O1055&amp;";","xxx"),"xxx"))</f>
        <v>xxx</v>
      </c>
      <c r="I910" s="18" t="str">
        <f>IF(装备表!$O1055=0,"xxx",IFERROR(IF(INT(IF($D910=I$3,装备表!$E1055,"xxx")/10000)=1,IF($D910=I$3,装备表!$E1055,"xxx")&amp;":2,1,1,"&amp;装备表!$O1055&amp;";","xxx"),"xxx"))</f>
        <v>xxx</v>
      </c>
      <c r="J910" s="18" t="str">
        <f>IF(装备表!$O1055=0,"xxx",IFERROR(IF(INT(IF($D910=J$3,装备表!$E1055,"xxx")/10000)=1,IF($D910=J$3,装备表!$E1055,"xxx")&amp;":2,1,1,"&amp;装备表!$O1055&amp;";","xxx"),"xxx"))</f>
        <v>xxx</v>
      </c>
    </row>
    <row r="911" spans="4:10" x14ac:dyDescent="0.2">
      <c r="D911" s="18">
        <f>装备表!L1056</f>
        <v>0</v>
      </c>
      <c r="E911" s="18" t="str">
        <f>IF(装备表!$O1056=0,"xxx",IFERROR(IF(INT(IF($D911=E$3,装备表!$E1056,"xxx")/10000)=1,IF($D911=E$3,装备表!$E1056,"xxx")&amp;":2,1,1,"&amp;装备表!$O1056&amp;";","xxx"),"xxx"))</f>
        <v>xxx</v>
      </c>
      <c r="F911" s="18" t="str">
        <f>IF(装备表!$O1056=0,"xxx",IFERROR(IF(INT(IF($D911=F$3,装备表!$E1056,"xxx")/10000)=1,IF($D911=F$3,装备表!$E1056,"xxx")&amp;":2,1,1,"&amp;装备表!$O1056&amp;";","xxx"),"xxx"))</f>
        <v>xxx</v>
      </c>
      <c r="G911" s="18" t="str">
        <f>IF(装备表!$O1056=0,"xxx",IFERROR(IF(INT(IF($D911=G$3,装备表!$E1056,"xxx")/10000)=1,IF($D911=G$3,装备表!$E1056,"xxx")&amp;":2,1,1,"&amp;装备表!$O1056&amp;";","xxx"),"xxx"))</f>
        <v>xxx</v>
      </c>
      <c r="H911" s="18" t="str">
        <f>IF(装备表!$O1056=0,"xxx",IFERROR(IF(INT(IF($D911=H$3,装备表!$E1056,"xxx")/10000)=1,IF($D911=H$3,装备表!$E1056,"xxx")&amp;":2,1,1,"&amp;装备表!$O1056&amp;";","xxx"),"xxx"))</f>
        <v>xxx</v>
      </c>
      <c r="I911" s="18" t="str">
        <f>IF(装备表!$O1056=0,"xxx",IFERROR(IF(INT(IF($D911=I$3,装备表!$E1056,"xxx")/10000)=1,IF($D911=I$3,装备表!$E1056,"xxx")&amp;":2,1,1,"&amp;装备表!$O1056&amp;";","xxx"),"xxx"))</f>
        <v>xxx</v>
      </c>
      <c r="J911" s="18" t="str">
        <f>IF(装备表!$O1056=0,"xxx",IFERROR(IF(INT(IF($D911=J$3,装备表!$E1056,"xxx")/10000)=1,IF($D911=J$3,装备表!$E1056,"xxx")&amp;":2,1,1,"&amp;装备表!$O1056&amp;";","xxx"),"xxx"))</f>
        <v>xxx</v>
      </c>
    </row>
    <row r="912" spans="4:10" x14ac:dyDescent="0.2">
      <c r="D912" s="18">
        <f>装备表!L1057</f>
        <v>0</v>
      </c>
      <c r="E912" s="18" t="str">
        <f>IF(装备表!$O1057=0,"xxx",IFERROR(IF(INT(IF($D912=E$3,装备表!$E1057,"xxx")/10000)=1,IF($D912=E$3,装备表!$E1057,"xxx")&amp;":2,1,1,"&amp;装备表!$O1057&amp;";","xxx"),"xxx"))</f>
        <v>xxx</v>
      </c>
      <c r="F912" s="18" t="str">
        <f>IF(装备表!$O1057=0,"xxx",IFERROR(IF(INT(IF($D912=F$3,装备表!$E1057,"xxx")/10000)=1,IF($D912=F$3,装备表!$E1057,"xxx")&amp;":2,1,1,"&amp;装备表!$O1057&amp;";","xxx"),"xxx"))</f>
        <v>xxx</v>
      </c>
      <c r="G912" s="18" t="str">
        <f>IF(装备表!$O1057=0,"xxx",IFERROR(IF(INT(IF($D912=G$3,装备表!$E1057,"xxx")/10000)=1,IF($D912=G$3,装备表!$E1057,"xxx")&amp;":2,1,1,"&amp;装备表!$O1057&amp;";","xxx"),"xxx"))</f>
        <v>xxx</v>
      </c>
      <c r="H912" s="18" t="str">
        <f>IF(装备表!$O1057=0,"xxx",IFERROR(IF(INT(IF($D912=H$3,装备表!$E1057,"xxx")/10000)=1,IF($D912=H$3,装备表!$E1057,"xxx")&amp;":2,1,1,"&amp;装备表!$O1057&amp;";","xxx"),"xxx"))</f>
        <v>xxx</v>
      </c>
      <c r="I912" s="18" t="str">
        <f>IF(装备表!$O1057=0,"xxx",IFERROR(IF(INT(IF($D912=I$3,装备表!$E1057,"xxx")/10000)=1,IF($D912=I$3,装备表!$E1057,"xxx")&amp;":2,1,1,"&amp;装备表!$O1057&amp;";","xxx"),"xxx"))</f>
        <v>xxx</v>
      </c>
      <c r="J912" s="18" t="str">
        <f>IF(装备表!$O1057=0,"xxx",IFERROR(IF(INT(IF($D912=J$3,装备表!$E1057,"xxx")/10000)=1,IF($D912=J$3,装备表!$E1057,"xxx")&amp;":2,1,1,"&amp;装备表!$O1057&amp;";","xxx"),"xxx"))</f>
        <v>xxx</v>
      </c>
    </row>
    <row r="913" spans="4:10" x14ac:dyDescent="0.2">
      <c r="D913" s="18">
        <f>装备表!L1058</f>
        <v>0</v>
      </c>
      <c r="E913" s="18" t="str">
        <f>IF(装备表!$O1058=0,"xxx",IFERROR(IF(INT(IF($D913=E$3,装备表!$E1058,"xxx")/10000)=1,IF($D913=E$3,装备表!$E1058,"xxx")&amp;":2,1,1,"&amp;装备表!$O1058&amp;";","xxx"),"xxx"))</f>
        <v>xxx</v>
      </c>
      <c r="F913" s="18" t="str">
        <f>IF(装备表!$O1058=0,"xxx",IFERROR(IF(INT(IF($D913=F$3,装备表!$E1058,"xxx")/10000)=1,IF($D913=F$3,装备表!$E1058,"xxx")&amp;":2,1,1,"&amp;装备表!$O1058&amp;";","xxx"),"xxx"))</f>
        <v>xxx</v>
      </c>
      <c r="G913" s="18" t="str">
        <f>IF(装备表!$O1058=0,"xxx",IFERROR(IF(INT(IF($D913=G$3,装备表!$E1058,"xxx")/10000)=1,IF($D913=G$3,装备表!$E1058,"xxx")&amp;":2,1,1,"&amp;装备表!$O1058&amp;";","xxx"),"xxx"))</f>
        <v>xxx</v>
      </c>
      <c r="H913" s="18" t="str">
        <f>IF(装备表!$O1058=0,"xxx",IFERROR(IF(INT(IF($D913=H$3,装备表!$E1058,"xxx")/10000)=1,IF($D913=H$3,装备表!$E1058,"xxx")&amp;":2,1,1,"&amp;装备表!$O1058&amp;";","xxx"),"xxx"))</f>
        <v>xxx</v>
      </c>
      <c r="I913" s="18" t="str">
        <f>IF(装备表!$O1058=0,"xxx",IFERROR(IF(INT(IF($D913=I$3,装备表!$E1058,"xxx")/10000)=1,IF($D913=I$3,装备表!$E1058,"xxx")&amp;":2,1,1,"&amp;装备表!$O1058&amp;";","xxx"),"xxx"))</f>
        <v>xxx</v>
      </c>
      <c r="J913" s="18" t="str">
        <f>IF(装备表!$O1058=0,"xxx",IFERROR(IF(INT(IF($D913=J$3,装备表!$E1058,"xxx")/10000)=1,IF($D913=J$3,装备表!$E1058,"xxx")&amp;":2,1,1,"&amp;装备表!$O1058&amp;";","xxx"),"xxx"))</f>
        <v>xxx</v>
      </c>
    </row>
    <row r="914" spans="4:10" x14ac:dyDescent="0.2">
      <c r="D914" s="18">
        <f>装备表!L1059</f>
        <v>0</v>
      </c>
      <c r="E914" s="18" t="str">
        <f>IF(装备表!$O1059=0,"xxx",IFERROR(IF(INT(IF($D914=E$3,装备表!$E1059,"xxx")/10000)=1,IF($D914=E$3,装备表!$E1059,"xxx")&amp;":2,1,1,"&amp;装备表!$O1059&amp;";","xxx"),"xxx"))</f>
        <v>xxx</v>
      </c>
      <c r="F914" s="18" t="str">
        <f>IF(装备表!$O1059=0,"xxx",IFERROR(IF(INT(IF($D914=F$3,装备表!$E1059,"xxx")/10000)=1,IF($D914=F$3,装备表!$E1059,"xxx")&amp;":2,1,1,"&amp;装备表!$O1059&amp;";","xxx"),"xxx"))</f>
        <v>xxx</v>
      </c>
      <c r="G914" s="18" t="str">
        <f>IF(装备表!$O1059=0,"xxx",IFERROR(IF(INT(IF($D914=G$3,装备表!$E1059,"xxx")/10000)=1,IF($D914=G$3,装备表!$E1059,"xxx")&amp;":2,1,1,"&amp;装备表!$O1059&amp;";","xxx"),"xxx"))</f>
        <v>xxx</v>
      </c>
      <c r="H914" s="18" t="str">
        <f>IF(装备表!$O1059=0,"xxx",IFERROR(IF(INT(IF($D914=H$3,装备表!$E1059,"xxx")/10000)=1,IF($D914=H$3,装备表!$E1059,"xxx")&amp;":2,1,1,"&amp;装备表!$O1059&amp;";","xxx"),"xxx"))</f>
        <v>xxx</v>
      </c>
      <c r="I914" s="18" t="str">
        <f>IF(装备表!$O1059=0,"xxx",IFERROR(IF(INT(IF($D914=I$3,装备表!$E1059,"xxx")/10000)=1,IF($D914=I$3,装备表!$E1059,"xxx")&amp;":2,1,1,"&amp;装备表!$O1059&amp;";","xxx"),"xxx"))</f>
        <v>xxx</v>
      </c>
      <c r="J914" s="18" t="str">
        <f>IF(装备表!$O1059=0,"xxx",IFERROR(IF(INT(IF($D914=J$3,装备表!$E1059,"xxx")/10000)=1,IF($D914=J$3,装备表!$E1059,"xxx")&amp;":2,1,1,"&amp;装备表!$O1059&amp;";","xxx"),"xxx"))</f>
        <v>xxx</v>
      </c>
    </row>
    <row r="915" spans="4:10" x14ac:dyDescent="0.2">
      <c r="D915" s="18">
        <f>装备表!L1060</f>
        <v>0</v>
      </c>
      <c r="E915" s="18" t="str">
        <f>IF(装备表!$O1060=0,"xxx",IFERROR(IF(INT(IF($D915=E$3,装备表!$E1060,"xxx")/10000)=1,IF($D915=E$3,装备表!$E1060,"xxx")&amp;":2,1,1,"&amp;装备表!$O1060&amp;";","xxx"),"xxx"))</f>
        <v>xxx</v>
      </c>
      <c r="F915" s="18" t="str">
        <f>IF(装备表!$O1060=0,"xxx",IFERROR(IF(INT(IF($D915=F$3,装备表!$E1060,"xxx")/10000)=1,IF($D915=F$3,装备表!$E1060,"xxx")&amp;":2,1,1,"&amp;装备表!$O1060&amp;";","xxx"),"xxx"))</f>
        <v>xxx</v>
      </c>
      <c r="G915" s="18" t="str">
        <f>IF(装备表!$O1060=0,"xxx",IFERROR(IF(INT(IF($D915=G$3,装备表!$E1060,"xxx")/10000)=1,IF($D915=G$3,装备表!$E1060,"xxx")&amp;":2,1,1,"&amp;装备表!$O1060&amp;";","xxx"),"xxx"))</f>
        <v>xxx</v>
      </c>
      <c r="H915" s="18" t="str">
        <f>IF(装备表!$O1060=0,"xxx",IFERROR(IF(INT(IF($D915=H$3,装备表!$E1060,"xxx")/10000)=1,IF($D915=H$3,装备表!$E1060,"xxx")&amp;":2,1,1,"&amp;装备表!$O1060&amp;";","xxx"),"xxx"))</f>
        <v>xxx</v>
      </c>
      <c r="I915" s="18" t="str">
        <f>IF(装备表!$O1060=0,"xxx",IFERROR(IF(INT(IF($D915=I$3,装备表!$E1060,"xxx")/10000)=1,IF($D915=I$3,装备表!$E1060,"xxx")&amp;":2,1,1,"&amp;装备表!$O1060&amp;";","xxx"),"xxx"))</f>
        <v>xxx</v>
      </c>
      <c r="J915" s="18" t="str">
        <f>IF(装备表!$O1060=0,"xxx",IFERROR(IF(INT(IF($D915=J$3,装备表!$E1060,"xxx")/10000)=1,IF($D915=J$3,装备表!$E1060,"xxx")&amp;":2,1,1,"&amp;装备表!$O1060&amp;";","xxx"),"xxx"))</f>
        <v>xxx</v>
      </c>
    </row>
    <row r="916" spans="4:10" x14ac:dyDescent="0.2">
      <c r="D916" s="18">
        <f>装备表!L1061</f>
        <v>0</v>
      </c>
      <c r="E916" s="18" t="str">
        <f>IF(装备表!$O1061=0,"xxx",IFERROR(IF(INT(IF($D916=E$3,装备表!$E1061,"xxx")/10000)=1,IF($D916=E$3,装备表!$E1061,"xxx")&amp;":2,1,1,"&amp;装备表!$O1061&amp;";","xxx"),"xxx"))</f>
        <v>xxx</v>
      </c>
      <c r="F916" s="18" t="str">
        <f>IF(装备表!$O1061=0,"xxx",IFERROR(IF(INT(IF($D916=F$3,装备表!$E1061,"xxx")/10000)=1,IF($D916=F$3,装备表!$E1061,"xxx")&amp;":2,1,1,"&amp;装备表!$O1061&amp;";","xxx"),"xxx"))</f>
        <v>xxx</v>
      </c>
      <c r="G916" s="18" t="str">
        <f>IF(装备表!$O1061=0,"xxx",IFERROR(IF(INT(IF($D916=G$3,装备表!$E1061,"xxx")/10000)=1,IF($D916=G$3,装备表!$E1061,"xxx")&amp;":2,1,1,"&amp;装备表!$O1061&amp;";","xxx"),"xxx"))</f>
        <v>xxx</v>
      </c>
      <c r="H916" s="18" t="str">
        <f>IF(装备表!$O1061=0,"xxx",IFERROR(IF(INT(IF($D916=H$3,装备表!$E1061,"xxx")/10000)=1,IF($D916=H$3,装备表!$E1061,"xxx")&amp;":2,1,1,"&amp;装备表!$O1061&amp;";","xxx"),"xxx"))</f>
        <v>xxx</v>
      </c>
      <c r="I916" s="18" t="str">
        <f>IF(装备表!$O1061=0,"xxx",IFERROR(IF(INT(IF($D916=I$3,装备表!$E1061,"xxx")/10000)=1,IF($D916=I$3,装备表!$E1061,"xxx")&amp;":2,1,1,"&amp;装备表!$O1061&amp;";","xxx"),"xxx"))</f>
        <v>xxx</v>
      </c>
      <c r="J916" s="18" t="str">
        <f>IF(装备表!$O1061=0,"xxx",IFERROR(IF(INT(IF($D916=J$3,装备表!$E1061,"xxx")/10000)=1,IF($D916=J$3,装备表!$E1061,"xxx")&amp;":2,1,1,"&amp;装备表!$O1061&amp;";","xxx"),"xxx"))</f>
        <v>xxx</v>
      </c>
    </row>
    <row r="917" spans="4:10" x14ac:dyDescent="0.2">
      <c r="D917" s="18">
        <f>装备表!L1062</f>
        <v>0</v>
      </c>
      <c r="E917" s="18" t="str">
        <f>IF(装备表!$O1062=0,"xxx",IFERROR(IF(INT(IF($D917=E$3,装备表!$E1062,"xxx")/10000)=1,IF($D917=E$3,装备表!$E1062,"xxx")&amp;":2,1,1,"&amp;装备表!$O1062&amp;";","xxx"),"xxx"))</f>
        <v>xxx</v>
      </c>
      <c r="F917" s="18" t="str">
        <f>IF(装备表!$O1062=0,"xxx",IFERROR(IF(INT(IF($D917=F$3,装备表!$E1062,"xxx")/10000)=1,IF($D917=F$3,装备表!$E1062,"xxx")&amp;":2,1,1,"&amp;装备表!$O1062&amp;";","xxx"),"xxx"))</f>
        <v>xxx</v>
      </c>
      <c r="G917" s="18" t="str">
        <f>IF(装备表!$O1062=0,"xxx",IFERROR(IF(INT(IF($D917=G$3,装备表!$E1062,"xxx")/10000)=1,IF($D917=G$3,装备表!$E1062,"xxx")&amp;":2,1,1,"&amp;装备表!$O1062&amp;";","xxx"),"xxx"))</f>
        <v>xxx</v>
      </c>
      <c r="H917" s="18" t="str">
        <f>IF(装备表!$O1062=0,"xxx",IFERROR(IF(INT(IF($D917=H$3,装备表!$E1062,"xxx")/10000)=1,IF($D917=H$3,装备表!$E1062,"xxx")&amp;":2,1,1,"&amp;装备表!$O1062&amp;";","xxx"),"xxx"))</f>
        <v>xxx</v>
      </c>
      <c r="I917" s="18" t="str">
        <f>IF(装备表!$O1062=0,"xxx",IFERROR(IF(INT(IF($D917=I$3,装备表!$E1062,"xxx")/10000)=1,IF($D917=I$3,装备表!$E1062,"xxx")&amp;":2,1,1,"&amp;装备表!$O1062&amp;";","xxx"),"xxx"))</f>
        <v>xxx</v>
      </c>
      <c r="J917" s="18" t="str">
        <f>IF(装备表!$O1062=0,"xxx",IFERROR(IF(INT(IF($D917=J$3,装备表!$E1062,"xxx")/10000)=1,IF($D917=J$3,装备表!$E1062,"xxx")&amp;":2,1,1,"&amp;装备表!$O1062&amp;";","xxx"),"xxx"))</f>
        <v>xxx</v>
      </c>
    </row>
    <row r="918" spans="4:10" x14ac:dyDescent="0.2">
      <c r="D918" s="18">
        <f>装备表!L1063</f>
        <v>0</v>
      </c>
      <c r="E918" s="18" t="str">
        <f>IF(装备表!$O1063=0,"xxx",IFERROR(IF(INT(IF($D918=E$3,装备表!$E1063,"xxx")/10000)=1,IF($D918=E$3,装备表!$E1063,"xxx")&amp;":2,1,1,"&amp;装备表!$O1063&amp;";","xxx"),"xxx"))</f>
        <v>xxx</v>
      </c>
      <c r="F918" s="18" t="str">
        <f>IF(装备表!$O1063=0,"xxx",IFERROR(IF(INT(IF($D918=F$3,装备表!$E1063,"xxx")/10000)=1,IF($D918=F$3,装备表!$E1063,"xxx")&amp;":2,1,1,"&amp;装备表!$O1063&amp;";","xxx"),"xxx"))</f>
        <v>xxx</v>
      </c>
      <c r="G918" s="18" t="str">
        <f>IF(装备表!$O1063=0,"xxx",IFERROR(IF(INT(IF($D918=G$3,装备表!$E1063,"xxx")/10000)=1,IF($D918=G$3,装备表!$E1063,"xxx")&amp;":2,1,1,"&amp;装备表!$O1063&amp;";","xxx"),"xxx"))</f>
        <v>xxx</v>
      </c>
      <c r="H918" s="18" t="str">
        <f>IF(装备表!$O1063=0,"xxx",IFERROR(IF(INT(IF($D918=H$3,装备表!$E1063,"xxx")/10000)=1,IF($D918=H$3,装备表!$E1063,"xxx")&amp;":2,1,1,"&amp;装备表!$O1063&amp;";","xxx"),"xxx"))</f>
        <v>xxx</v>
      </c>
      <c r="I918" s="18" t="str">
        <f>IF(装备表!$O1063=0,"xxx",IFERROR(IF(INT(IF($D918=I$3,装备表!$E1063,"xxx")/10000)=1,IF($D918=I$3,装备表!$E1063,"xxx")&amp;":2,1,1,"&amp;装备表!$O1063&amp;";","xxx"),"xxx"))</f>
        <v>xxx</v>
      </c>
      <c r="J918" s="18" t="str">
        <f>IF(装备表!$O1063=0,"xxx",IFERROR(IF(INT(IF($D918=J$3,装备表!$E1063,"xxx")/10000)=1,IF($D918=J$3,装备表!$E1063,"xxx")&amp;":2,1,1,"&amp;装备表!$O1063&amp;";","xxx"),"xxx"))</f>
        <v>xxx</v>
      </c>
    </row>
    <row r="919" spans="4:10" x14ac:dyDescent="0.2">
      <c r="D919" s="18">
        <f>装备表!L1064</f>
        <v>0</v>
      </c>
      <c r="E919" s="18" t="str">
        <f>IF(装备表!$O1064=0,"xxx",IFERROR(IF(INT(IF($D919=E$3,装备表!$E1064,"xxx")/10000)=1,IF($D919=E$3,装备表!$E1064,"xxx")&amp;":2,1,1,"&amp;装备表!$O1064&amp;";","xxx"),"xxx"))</f>
        <v>xxx</v>
      </c>
      <c r="F919" s="18" t="str">
        <f>IF(装备表!$O1064=0,"xxx",IFERROR(IF(INT(IF($D919=F$3,装备表!$E1064,"xxx")/10000)=1,IF($D919=F$3,装备表!$E1064,"xxx")&amp;":2,1,1,"&amp;装备表!$O1064&amp;";","xxx"),"xxx"))</f>
        <v>xxx</v>
      </c>
      <c r="G919" s="18" t="str">
        <f>IF(装备表!$O1064=0,"xxx",IFERROR(IF(INT(IF($D919=G$3,装备表!$E1064,"xxx")/10000)=1,IF($D919=G$3,装备表!$E1064,"xxx")&amp;":2,1,1,"&amp;装备表!$O1064&amp;";","xxx"),"xxx"))</f>
        <v>xxx</v>
      </c>
      <c r="H919" s="18" t="str">
        <f>IF(装备表!$O1064=0,"xxx",IFERROR(IF(INT(IF($D919=H$3,装备表!$E1064,"xxx")/10000)=1,IF($D919=H$3,装备表!$E1064,"xxx")&amp;":2,1,1,"&amp;装备表!$O1064&amp;";","xxx"),"xxx"))</f>
        <v>xxx</v>
      </c>
      <c r="I919" s="18" t="str">
        <f>IF(装备表!$O1064=0,"xxx",IFERROR(IF(INT(IF($D919=I$3,装备表!$E1064,"xxx")/10000)=1,IF($D919=I$3,装备表!$E1064,"xxx")&amp;":2,1,1,"&amp;装备表!$O1064&amp;";","xxx"),"xxx"))</f>
        <v>xxx</v>
      </c>
      <c r="J919" s="18" t="str">
        <f>IF(装备表!$O1064=0,"xxx",IFERROR(IF(INT(IF($D919=J$3,装备表!$E1064,"xxx")/10000)=1,IF($D919=J$3,装备表!$E1064,"xxx")&amp;":2,1,1,"&amp;装备表!$O1064&amp;";","xxx"),"xxx"))</f>
        <v>xxx</v>
      </c>
    </row>
    <row r="920" spans="4:10" x14ac:dyDescent="0.2">
      <c r="D920" s="18">
        <f>装备表!L1065</f>
        <v>0</v>
      </c>
      <c r="E920" s="18" t="str">
        <f>IF(装备表!$O1065=0,"xxx",IFERROR(IF(INT(IF($D920=E$3,装备表!$E1065,"xxx")/10000)=1,IF($D920=E$3,装备表!$E1065,"xxx")&amp;":2,1,1,"&amp;装备表!$O1065&amp;";","xxx"),"xxx"))</f>
        <v>xxx</v>
      </c>
      <c r="F920" s="18" t="str">
        <f>IF(装备表!$O1065=0,"xxx",IFERROR(IF(INT(IF($D920=F$3,装备表!$E1065,"xxx")/10000)=1,IF($D920=F$3,装备表!$E1065,"xxx")&amp;":2,1,1,"&amp;装备表!$O1065&amp;";","xxx"),"xxx"))</f>
        <v>xxx</v>
      </c>
      <c r="G920" s="18" t="str">
        <f>IF(装备表!$O1065=0,"xxx",IFERROR(IF(INT(IF($D920=G$3,装备表!$E1065,"xxx")/10000)=1,IF($D920=G$3,装备表!$E1065,"xxx")&amp;":2,1,1,"&amp;装备表!$O1065&amp;";","xxx"),"xxx"))</f>
        <v>xxx</v>
      </c>
      <c r="H920" s="18" t="str">
        <f>IF(装备表!$O1065=0,"xxx",IFERROR(IF(INT(IF($D920=H$3,装备表!$E1065,"xxx")/10000)=1,IF($D920=H$3,装备表!$E1065,"xxx")&amp;":2,1,1,"&amp;装备表!$O1065&amp;";","xxx"),"xxx"))</f>
        <v>xxx</v>
      </c>
      <c r="I920" s="18" t="str">
        <f>IF(装备表!$O1065=0,"xxx",IFERROR(IF(INT(IF($D920=I$3,装备表!$E1065,"xxx")/10000)=1,IF($D920=I$3,装备表!$E1065,"xxx")&amp;":2,1,1,"&amp;装备表!$O1065&amp;";","xxx"),"xxx"))</f>
        <v>xxx</v>
      </c>
      <c r="J920" s="18" t="str">
        <f>IF(装备表!$O1065=0,"xxx",IFERROR(IF(INT(IF($D920=J$3,装备表!$E1065,"xxx")/10000)=1,IF($D920=J$3,装备表!$E1065,"xxx")&amp;":2,1,1,"&amp;装备表!$O1065&amp;";","xxx"),"xxx"))</f>
        <v>xxx</v>
      </c>
    </row>
    <row r="921" spans="4:10" x14ac:dyDescent="0.2">
      <c r="D921" s="18">
        <f>装备表!L1066</f>
        <v>0</v>
      </c>
      <c r="E921" s="18" t="str">
        <f>IF(装备表!$O1066=0,"xxx",IFERROR(IF(INT(IF($D921=E$3,装备表!$E1066,"xxx")/10000)=1,IF($D921=E$3,装备表!$E1066,"xxx")&amp;":2,1,1,"&amp;装备表!$O1066&amp;";","xxx"),"xxx"))</f>
        <v>xxx</v>
      </c>
      <c r="F921" s="18" t="str">
        <f>IF(装备表!$O1066=0,"xxx",IFERROR(IF(INT(IF($D921=F$3,装备表!$E1066,"xxx")/10000)=1,IF($D921=F$3,装备表!$E1066,"xxx")&amp;":2,1,1,"&amp;装备表!$O1066&amp;";","xxx"),"xxx"))</f>
        <v>xxx</v>
      </c>
      <c r="G921" s="18" t="str">
        <f>IF(装备表!$O1066=0,"xxx",IFERROR(IF(INT(IF($D921=G$3,装备表!$E1066,"xxx")/10000)=1,IF($D921=G$3,装备表!$E1066,"xxx")&amp;":2,1,1,"&amp;装备表!$O1066&amp;";","xxx"),"xxx"))</f>
        <v>xxx</v>
      </c>
      <c r="H921" s="18" t="str">
        <f>IF(装备表!$O1066=0,"xxx",IFERROR(IF(INT(IF($D921=H$3,装备表!$E1066,"xxx")/10000)=1,IF($D921=H$3,装备表!$E1066,"xxx")&amp;":2,1,1,"&amp;装备表!$O1066&amp;";","xxx"),"xxx"))</f>
        <v>xxx</v>
      </c>
      <c r="I921" s="18" t="str">
        <f>IF(装备表!$O1066=0,"xxx",IFERROR(IF(INT(IF($D921=I$3,装备表!$E1066,"xxx")/10000)=1,IF($D921=I$3,装备表!$E1066,"xxx")&amp;":2,1,1,"&amp;装备表!$O1066&amp;";","xxx"),"xxx"))</f>
        <v>xxx</v>
      </c>
      <c r="J921" s="18" t="str">
        <f>IF(装备表!$O1066=0,"xxx",IFERROR(IF(INT(IF($D921=J$3,装备表!$E1066,"xxx")/10000)=1,IF($D921=J$3,装备表!$E1066,"xxx")&amp;":2,1,1,"&amp;装备表!$O1066&amp;";","xxx"),"xxx"))</f>
        <v>xxx</v>
      </c>
    </row>
    <row r="922" spans="4:10" x14ac:dyDescent="0.2">
      <c r="D922" s="18">
        <f>装备表!L1067</f>
        <v>0</v>
      </c>
      <c r="E922" s="18" t="str">
        <f>IF(装备表!$O1067=0,"xxx",IFERROR(IF(INT(IF($D922=E$3,装备表!$E1067,"xxx")/10000)=1,IF($D922=E$3,装备表!$E1067,"xxx")&amp;":2,1,1,"&amp;装备表!$O1067&amp;";","xxx"),"xxx"))</f>
        <v>xxx</v>
      </c>
      <c r="F922" s="18" t="str">
        <f>IF(装备表!$O1067=0,"xxx",IFERROR(IF(INT(IF($D922=F$3,装备表!$E1067,"xxx")/10000)=1,IF($D922=F$3,装备表!$E1067,"xxx")&amp;":2,1,1,"&amp;装备表!$O1067&amp;";","xxx"),"xxx"))</f>
        <v>xxx</v>
      </c>
      <c r="G922" s="18" t="str">
        <f>IF(装备表!$O1067=0,"xxx",IFERROR(IF(INT(IF($D922=G$3,装备表!$E1067,"xxx")/10000)=1,IF($D922=G$3,装备表!$E1067,"xxx")&amp;":2,1,1,"&amp;装备表!$O1067&amp;";","xxx"),"xxx"))</f>
        <v>xxx</v>
      </c>
      <c r="H922" s="18" t="str">
        <f>IF(装备表!$O1067=0,"xxx",IFERROR(IF(INT(IF($D922=H$3,装备表!$E1067,"xxx")/10000)=1,IF($D922=H$3,装备表!$E1067,"xxx")&amp;":2,1,1,"&amp;装备表!$O1067&amp;";","xxx"),"xxx"))</f>
        <v>xxx</v>
      </c>
      <c r="I922" s="18" t="str">
        <f>IF(装备表!$O1067=0,"xxx",IFERROR(IF(INT(IF($D922=I$3,装备表!$E1067,"xxx")/10000)=1,IF($D922=I$3,装备表!$E1067,"xxx")&amp;":2,1,1,"&amp;装备表!$O1067&amp;";","xxx"),"xxx"))</f>
        <v>xxx</v>
      </c>
      <c r="J922" s="18" t="str">
        <f>IF(装备表!$O1067=0,"xxx",IFERROR(IF(INT(IF($D922=J$3,装备表!$E1067,"xxx")/10000)=1,IF($D922=J$3,装备表!$E1067,"xxx")&amp;":2,1,1,"&amp;装备表!$O1067&amp;";","xxx"),"xxx"))</f>
        <v>xxx</v>
      </c>
    </row>
    <row r="923" spans="4:10" x14ac:dyDescent="0.2">
      <c r="D923" s="18">
        <f>装备表!L1068</f>
        <v>0</v>
      </c>
      <c r="E923" s="18" t="str">
        <f>IF(装备表!$O1068=0,"xxx",IFERROR(IF(INT(IF($D923=E$3,装备表!$E1068,"xxx")/10000)=1,IF($D923=E$3,装备表!$E1068,"xxx")&amp;":2,1,1,"&amp;装备表!$O1068&amp;";","xxx"),"xxx"))</f>
        <v>xxx</v>
      </c>
      <c r="F923" s="18" t="str">
        <f>IF(装备表!$O1068=0,"xxx",IFERROR(IF(INT(IF($D923=F$3,装备表!$E1068,"xxx")/10000)=1,IF($D923=F$3,装备表!$E1068,"xxx")&amp;":2,1,1,"&amp;装备表!$O1068&amp;";","xxx"),"xxx"))</f>
        <v>xxx</v>
      </c>
      <c r="G923" s="18" t="str">
        <f>IF(装备表!$O1068=0,"xxx",IFERROR(IF(INT(IF($D923=G$3,装备表!$E1068,"xxx")/10000)=1,IF($D923=G$3,装备表!$E1068,"xxx")&amp;":2,1,1,"&amp;装备表!$O1068&amp;";","xxx"),"xxx"))</f>
        <v>xxx</v>
      </c>
      <c r="H923" s="18" t="str">
        <f>IF(装备表!$O1068=0,"xxx",IFERROR(IF(INT(IF($D923=H$3,装备表!$E1068,"xxx")/10000)=1,IF($D923=H$3,装备表!$E1068,"xxx")&amp;":2,1,1,"&amp;装备表!$O1068&amp;";","xxx"),"xxx"))</f>
        <v>xxx</v>
      </c>
      <c r="I923" s="18" t="str">
        <f>IF(装备表!$O1068=0,"xxx",IFERROR(IF(INT(IF($D923=I$3,装备表!$E1068,"xxx")/10000)=1,IF($D923=I$3,装备表!$E1068,"xxx")&amp;":2,1,1,"&amp;装备表!$O1068&amp;";","xxx"),"xxx"))</f>
        <v>xxx</v>
      </c>
      <c r="J923" s="18" t="str">
        <f>IF(装备表!$O1068=0,"xxx",IFERROR(IF(INT(IF($D923=J$3,装备表!$E1068,"xxx")/10000)=1,IF($D923=J$3,装备表!$E1068,"xxx")&amp;":2,1,1,"&amp;装备表!$O1068&amp;";","xxx"),"xxx"))</f>
        <v>xxx</v>
      </c>
    </row>
    <row r="924" spans="4:10" x14ac:dyDescent="0.2">
      <c r="D924" s="18">
        <f>装备表!L1069</f>
        <v>0</v>
      </c>
      <c r="E924" s="18" t="str">
        <f>IF(装备表!$O1069=0,"xxx",IFERROR(IF(INT(IF($D924=E$3,装备表!$E1069,"xxx")/10000)=1,IF($D924=E$3,装备表!$E1069,"xxx")&amp;":2,1,1,"&amp;装备表!$O1069&amp;";","xxx"),"xxx"))</f>
        <v>xxx</v>
      </c>
      <c r="F924" s="18" t="str">
        <f>IF(装备表!$O1069=0,"xxx",IFERROR(IF(INT(IF($D924=F$3,装备表!$E1069,"xxx")/10000)=1,IF($D924=F$3,装备表!$E1069,"xxx")&amp;":2,1,1,"&amp;装备表!$O1069&amp;";","xxx"),"xxx"))</f>
        <v>xxx</v>
      </c>
      <c r="G924" s="18" t="str">
        <f>IF(装备表!$O1069=0,"xxx",IFERROR(IF(INT(IF($D924=G$3,装备表!$E1069,"xxx")/10000)=1,IF($D924=G$3,装备表!$E1069,"xxx")&amp;":2,1,1,"&amp;装备表!$O1069&amp;";","xxx"),"xxx"))</f>
        <v>xxx</v>
      </c>
      <c r="H924" s="18" t="str">
        <f>IF(装备表!$O1069=0,"xxx",IFERROR(IF(INT(IF($D924=H$3,装备表!$E1069,"xxx")/10000)=1,IF($D924=H$3,装备表!$E1069,"xxx")&amp;":2,1,1,"&amp;装备表!$O1069&amp;";","xxx"),"xxx"))</f>
        <v>xxx</v>
      </c>
      <c r="I924" s="18" t="str">
        <f>IF(装备表!$O1069=0,"xxx",IFERROR(IF(INT(IF($D924=I$3,装备表!$E1069,"xxx")/10000)=1,IF($D924=I$3,装备表!$E1069,"xxx")&amp;":2,1,1,"&amp;装备表!$O1069&amp;";","xxx"),"xxx"))</f>
        <v>xxx</v>
      </c>
      <c r="J924" s="18" t="str">
        <f>IF(装备表!$O1069=0,"xxx",IFERROR(IF(INT(IF($D924=J$3,装备表!$E1069,"xxx")/10000)=1,IF($D924=J$3,装备表!$E1069,"xxx")&amp;":2,1,1,"&amp;装备表!$O1069&amp;";","xxx"),"xxx"))</f>
        <v>xxx</v>
      </c>
    </row>
    <row r="925" spans="4:10" x14ac:dyDescent="0.2">
      <c r="D925" s="18">
        <f>装备表!L1070</f>
        <v>0</v>
      </c>
      <c r="E925" s="18" t="str">
        <f>IF(装备表!$O1070=0,"xxx",IFERROR(IF(INT(IF($D925=E$3,装备表!$E1070,"xxx")/10000)=1,IF($D925=E$3,装备表!$E1070,"xxx")&amp;":2,1,1,"&amp;装备表!$O1070&amp;";","xxx"),"xxx"))</f>
        <v>xxx</v>
      </c>
      <c r="F925" s="18" t="str">
        <f>IF(装备表!$O1070=0,"xxx",IFERROR(IF(INT(IF($D925=F$3,装备表!$E1070,"xxx")/10000)=1,IF($D925=F$3,装备表!$E1070,"xxx")&amp;":2,1,1,"&amp;装备表!$O1070&amp;";","xxx"),"xxx"))</f>
        <v>xxx</v>
      </c>
      <c r="G925" s="18" t="str">
        <f>IF(装备表!$O1070=0,"xxx",IFERROR(IF(INT(IF($D925=G$3,装备表!$E1070,"xxx")/10000)=1,IF($D925=G$3,装备表!$E1070,"xxx")&amp;":2,1,1,"&amp;装备表!$O1070&amp;";","xxx"),"xxx"))</f>
        <v>xxx</v>
      </c>
      <c r="H925" s="18" t="str">
        <f>IF(装备表!$O1070=0,"xxx",IFERROR(IF(INT(IF($D925=H$3,装备表!$E1070,"xxx")/10000)=1,IF($D925=H$3,装备表!$E1070,"xxx")&amp;":2,1,1,"&amp;装备表!$O1070&amp;";","xxx"),"xxx"))</f>
        <v>xxx</v>
      </c>
      <c r="I925" s="18" t="str">
        <f>IF(装备表!$O1070=0,"xxx",IFERROR(IF(INT(IF($D925=I$3,装备表!$E1070,"xxx")/10000)=1,IF($D925=I$3,装备表!$E1070,"xxx")&amp;":2,1,1,"&amp;装备表!$O1070&amp;";","xxx"),"xxx"))</f>
        <v>xxx</v>
      </c>
      <c r="J925" s="18" t="str">
        <f>IF(装备表!$O1070=0,"xxx",IFERROR(IF(INT(IF($D925=J$3,装备表!$E1070,"xxx")/10000)=1,IF($D925=J$3,装备表!$E1070,"xxx")&amp;":2,1,1,"&amp;装备表!$O1070&amp;";","xxx"),"xxx"))</f>
        <v>xxx</v>
      </c>
    </row>
    <row r="926" spans="4:10" x14ac:dyDescent="0.2">
      <c r="D926" s="18">
        <f>装备表!L1071</f>
        <v>0</v>
      </c>
      <c r="E926" s="18" t="str">
        <f>IF(装备表!$O1071=0,"xxx",IFERROR(IF(INT(IF($D926=E$3,装备表!$E1071,"xxx")/10000)=1,IF($D926=E$3,装备表!$E1071,"xxx")&amp;":2,1,1,"&amp;装备表!$O1071&amp;";","xxx"),"xxx"))</f>
        <v>xxx</v>
      </c>
      <c r="F926" s="18" t="str">
        <f>IF(装备表!$O1071=0,"xxx",IFERROR(IF(INT(IF($D926=F$3,装备表!$E1071,"xxx")/10000)=1,IF($D926=F$3,装备表!$E1071,"xxx")&amp;":2,1,1,"&amp;装备表!$O1071&amp;";","xxx"),"xxx"))</f>
        <v>xxx</v>
      </c>
      <c r="G926" s="18" t="str">
        <f>IF(装备表!$O1071=0,"xxx",IFERROR(IF(INT(IF($D926=G$3,装备表!$E1071,"xxx")/10000)=1,IF($D926=G$3,装备表!$E1071,"xxx")&amp;":2,1,1,"&amp;装备表!$O1071&amp;";","xxx"),"xxx"))</f>
        <v>xxx</v>
      </c>
      <c r="H926" s="18" t="str">
        <f>IF(装备表!$O1071=0,"xxx",IFERROR(IF(INT(IF($D926=H$3,装备表!$E1071,"xxx")/10000)=1,IF($D926=H$3,装备表!$E1071,"xxx")&amp;":2,1,1,"&amp;装备表!$O1071&amp;";","xxx"),"xxx"))</f>
        <v>xxx</v>
      </c>
      <c r="I926" s="18" t="str">
        <f>IF(装备表!$O1071=0,"xxx",IFERROR(IF(INT(IF($D926=I$3,装备表!$E1071,"xxx")/10000)=1,IF($D926=I$3,装备表!$E1071,"xxx")&amp;":2,1,1,"&amp;装备表!$O1071&amp;";","xxx"),"xxx"))</f>
        <v>xxx</v>
      </c>
      <c r="J926" s="18" t="str">
        <f>IF(装备表!$O1071=0,"xxx",IFERROR(IF(INT(IF($D926=J$3,装备表!$E1071,"xxx")/10000)=1,IF($D926=J$3,装备表!$E1071,"xxx")&amp;":2,1,1,"&amp;装备表!$O1071&amp;";","xxx"),"xxx"))</f>
        <v>xxx</v>
      </c>
    </row>
    <row r="927" spans="4:10" x14ac:dyDescent="0.2">
      <c r="D927" s="18">
        <f>装备表!L1072</f>
        <v>0</v>
      </c>
      <c r="E927" s="18" t="str">
        <f>IF(装备表!$O1072=0,"xxx",IFERROR(IF(INT(IF($D927=E$3,装备表!$E1072,"xxx")/10000)=1,IF($D927=E$3,装备表!$E1072,"xxx")&amp;":2,1,1,"&amp;装备表!$O1072&amp;";","xxx"),"xxx"))</f>
        <v>xxx</v>
      </c>
      <c r="F927" s="18" t="str">
        <f>IF(装备表!$O1072=0,"xxx",IFERROR(IF(INT(IF($D927=F$3,装备表!$E1072,"xxx")/10000)=1,IF($D927=F$3,装备表!$E1072,"xxx")&amp;":2,1,1,"&amp;装备表!$O1072&amp;";","xxx"),"xxx"))</f>
        <v>xxx</v>
      </c>
      <c r="G927" s="18" t="str">
        <f>IF(装备表!$O1072=0,"xxx",IFERROR(IF(INT(IF($D927=G$3,装备表!$E1072,"xxx")/10000)=1,IF($D927=G$3,装备表!$E1072,"xxx")&amp;":2,1,1,"&amp;装备表!$O1072&amp;";","xxx"),"xxx"))</f>
        <v>xxx</v>
      </c>
      <c r="H927" s="18" t="str">
        <f>IF(装备表!$O1072=0,"xxx",IFERROR(IF(INT(IF($D927=H$3,装备表!$E1072,"xxx")/10000)=1,IF($D927=H$3,装备表!$E1072,"xxx")&amp;":2,1,1,"&amp;装备表!$O1072&amp;";","xxx"),"xxx"))</f>
        <v>xxx</v>
      </c>
      <c r="I927" s="18" t="str">
        <f>IF(装备表!$O1072=0,"xxx",IFERROR(IF(INT(IF($D927=I$3,装备表!$E1072,"xxx")/10000)=1,IF($D927=I$3,装备表!$E1072,"xxx")&amp;":2,1,1,"&amp;装备表!$O1072&amp;";","xxx"),"xxx"))</f>
        <v>xxx</v>
      </c>
      <c r="J927" s="18" t="str">
        <f>IF(装备表!$O1072=0,"xxx",IFERROR(IF(INT(IF($D927=J$3,装备表!$E1072,"xxx")/10000)=1,IF($D927=J$3,装备表!$E1072,"xxx")&amp;":2,1,1,"&amp;装备表!$O1072&amp;";","xxx"),"xxx"))</f>
        <v>xxx</v>
      </c>
    </row>
    <row r="928" spans="4:10" x14ac:dyDescent="0.2">
      <c r="D928" s="18">
        <f>装备表!L1073</f>
        <v>0</v>
      </c>
      <c r="E928" s="18" t="str">
        <f>IF(装备表!$O1073=0,"xxx",IFERROR(IF(INT(IF($D928=E$3,装备表!$E1073,"xxx")/10000)=1,IF($D928=E$3,装备表!$E1073,"xxx")&amp;":2,1,1,"&amp;装备表!$O1073&amp;";","xxx"),"xxx"))</f>
        <v>xxx</v>
      </c>
      <c r="F928" s="18" t="str">
        <f>IF(装备表!$O1073=0,"xxx",IFERROR(IF(INT(IF($D928=F$3,装备表!$E1073,"xxx")/10000)=1,IF($D928=F$3,装备表!$E1073,"xxx")&amp;":2,1,1,"&amp;装备表!$O1073&amp;";","xxx"),"xxx"))</f>
        <v>xxx</v>
      </c>
      <c r="G928" s="18" t="str">
        <f>IF(装备表!$O1073=0,"xxx",IFERROR(IF(INT(IF($D928=G$3,装备表!$E1073,"xxx")/10000)=1,IF($D928=G$3,装备表!$E1073,"xxx")&amp;":2,1,1,"&amp;装备表!$O1073&amp;";","xxx"),"xxx"))</f>
        <v>xxx</v>
      </c>
      <c r="H928" s="18" t="str">
        <f>IF(装备表!$O1073=0,"xxx",IFERROR(IF(INT(IF($D928=H$3,装备表!$E1073,"xxx")/10000)=1,IF($D928=H$3,装备表!$E1073,"xxx")&amp;":2,1,1,"&amp;装备表!$O1073&amp;";","xxx"),"xxx"))</f>
        <v>xxx</v>
      </c>
      <c r="I928" s="18" t="str">
        <f>IF(装备表!$O1073=0,"xxx",IFERROR(IF(INT(IF($D928=I$3,装备表!$E1073,"xxx")/10000)=1,IF($D928=I$3,装备表!$E1073,"xxx")&amp;":2,1,1,"&amp;装备表!$O1073&amp;";","xxx"),"xxx"))</f>
        <v>xxx</v>
      </c>
      <c r="J928" s="18" t="str">
        <f>IF(装备表!$O1073=0,"xxx",IFERROR(IF(INT(IF($D928=J$3,装备表!$E1073,"xxx")/10000)=1,IF($D928=J$3,装备表!$E1073,"xxx")&amp;":2,1,1,"&amp;装备表!$O1073&amp;";","xxx"),"xxx"))</f>
        <v>xxx</v>
      </c>
    </row>
    <row r="929" spans="4:10" x14ac:dyDescent="0.2">
      <c r="D929" s="18">
        <f>装备表!L1074</f>
        <v>0</v>
      </c>
      <c r="E929" s="18" t="str">
        <f>IF(装备表!$O1074=0,"xxx",IFERROR(IF(INT(IF($D929=E$3,装备表!$E1074,"xxx")/10000)=1,IF($D929=E$3,装备表!$E1074,"xxx")&amp;":2,1,1,"&amp;装备表!$O1074&amp;";","xxx"),"xxx"))</f>
        <v>xxx</v>
      </c>
      <c r="F929" s="18" t="str">
        <f>IF(装备表!$O1074=0,"xxx",IFERROR(IF(INT(IF($D929=F$3,装备表!$E1074,"xxx")/10000)=1,IF($D929=F$3,装备表!$E1074,"xxx")&amp;":2,1,1,"&amp;装备表!$O1074&amp;";","xxx"),"xxx"))</f>
        <v>xxx</v>
      </c>
      <c r="G929" s="18" t="str">
        <f>IF(装备表!$O1074=0,"xxx",IFERROR(IF(INT(IF($D929=G$3,装备表!$E1074,"xxx")/10000)=1,IF($D929=G$3,装备表!$E1074,"xxx")&amp;":2,1,1,"&amp;装备表!$O1074&amp;";","xxx"),"xxx"))</f>
        <v>xxx</v>
      </c>
      <c r="H929" s="18" t="str">
        <f>IF(装备表!$O1074=0,"xxx",IFERROR(IF(INT(IF($D929=H$3,装备表!$E1074,"xxx")/10000)=1,IF($D929=H$3,装备表!$E1074,"xxx")&amp;":2,1,1,"&amp;装备表!$O1074&amp;";","xxx"),"xxx"))</f>
        <v>xxx</v>
      </c>
      <c r="I929" s="18" t="str">
        <f>IF(装备表!$O1074=0,"xxx",IFERROR(IF(INT(IF($D929=I$3,装备表!$E1074,"xxx")/10000)=1,IF($D929=I$3,装备表!$E1074,"xxx")&amp;":2,1,1,"&amp;装备表!$O1074&amp;";","xxx"),"xxx"))</f>
        <v>xxx</v>
      </c>
      <c r="J929" s="18" t="str">
        <f>IF(装备表!$O1074=0,"xxx",IFERROR(IF(INT(IF($D929=J$3,装备表!$E1074,"xxx")/10000)=1,IF($D929=J$3,装备表!$E1074,"xxx")&amp;":2,1,1,"&amp;装备表!$O1074&amp;";","xxx"),"xxx"))</f>
        <v>xxx</v>
      </c>
    </row>
    <row r="930" spans="4:10" x14ac:dyDescent="0.2">
      <c r="D930" s="18">
        <f>装备表!L1075</f>
        <v>0</v>
      </c>
      <c r="E930" s="18" t="str">
        <f>IF(装备表!$O1075=0,"xxx",IFERROR(IF(INT(IF($D930=E$3,装备表!$E1075,"xxx")/10000)=1,IF($D930=E$3,装备表!$E1075,"xxx")&amp;":2,1,1,"&amp;装备表!$O1075&amp;";","xxx"),"xxx"))</f>
        <v>xxx</v>
      </c>
      <c r="F930" s="18" t="str">
        <f>IF(装备表!$O1075=0,"xxx",IFERROR(IF(INT(IF($D930=F$3,装备表!$E1075,"xxx")/10000)=1,IF($D930=F$3,装备表!$E1075,"xxx")&amp;":2,1,1,"&amp;装备表!$O1075&amp;";","xxx"),"xxx"))</f>
        <v>xxx</v>
      </c>
      <c r="G930" s="18" t="str">
        <f>IF(装备表!$O1075=0,"xxx",IFERROR(IF(INT(IF($D930=G$3,装备表!$E1075,"xxx")/10000)=1,IF($D930=G$3,装备表!$E1075,"xxx")&amp;":2,1,1,"&amp;装备表!$O1075&amp;";","xxx"),"xxx"))</f>
        <v>xxx</v>
      </c>
      <c r="H930" s="18" t="str">
        <f>IF(装备表!$O1075=0,"xxx",IFERROR(IF(INT(IF($D930=H$3,装备表!$E1075,"xxx")/10000)=1,IF($D930=H$3,装备表!$E1075,"xxx")&amp;":2,1,1,"&amp;装备表!$O1075&amp;";","xxx"),"xxx"))</f>
        <v>xxx</v>
      </c>
      <c r="I930" s="18" t="str">
        <f>IF(装备表!$O1075=0,"xxx",IFERROR(IF(INT(IF($D930=I$3,装备表!$E1075,"xxx")/10000)=1,IF($D930=I$3,装备表!$E1075,"xxx")&amp;":2,1,1,"&amp;装备表!$O1075&amp;";","xxx"),"xxx"))</f>
        <v>xxx</v>
      </c>
      <c r="J930" s="18" t="str">
        <f>IF(装备表!$O1075=0,"xxx",IFERROR(IF(INT(IF($D930=J$3,装备表!$E1075,"xxx")/10000)=1,IF($D930=J$3,装备表!$E1075,"xxx")&amp;":2,1,1,"&amp;装备表!$O1075&amp;";","xxx"),"xxx"))</f>
        <v>xxx</v>
      </c>
    </row>
    <row r="931" spans="4:10" x14ac:dyDescent="0.2">
      <c r="D931" s="18">
        <f>装备表!L1076</f>
        <v>0</v>
      </c>
      <c r="E931" s="18" t="str">
        <f>IF(装备表!$O1076=0,"xxx",IFERROR(IF(INT(IF($D931=E$3,装备表!$E1076,"xxx")/10000)=1,IF($D931=E$3,装备表!$E1076,"xxx")&amp;":2,1,1,"&amp;装备表!$O1076&amp;";","xxx"),"xxx"))</f>
        <v>xxx</v>
      </c>
      <c r="F931" s="18" t="str">
        <f>IF(装备表!$O1076=0,"xxx",IFERROR(IF(INT(IF($D931=F$3,装备表!$E1076,"xxx")/10000)=1,IF($D931=F$3,装备表!$E1076,"xxx")&amp;":2,1,1,"&amp;装备表!$O1076&amp;";","xxx"),"xxx"))</f>
        <v>xxx</v>
      </c>
      <c r="G931" s="18" t="str">
        <f>IF(装备表!$O1076=0,"xxx",IFERROR(IF(INT(IF($D931=G$3,装备表!$E1076,"xxx")/10000)=1,IF($D931=G$3,装备表!$E1076,"xxx")&amp;":2,1,1,"&amp;装备表!$O1076&amp;";","xxx"),"xxx"))</f>
        <v>xxx</v>
      </c>
      <c r="H931" s="18" t="str">
        <f>IF(装备表!$O1076=0,"xxx",IFERROR(IF(INT(IF($D931=H$3,装备表!$E1076,"xxx")/10000)=1,IF($D931=H$3,装备表!$E1076,"xxx")&amp;":2,1,1,"&amp;装备表!$O1076&amp;";","xxx"),"xxx"))</f>
        <v>xxx</v>
      </c>
      <c r="I931" s="18" t="str">
        <f>IF(装备表!$O1076=0,"xxx",IFERROR(IF(INT(IF($D931=I$3,装备表!$E1076,"xxx")/10000)=1,IF($D931=I$3,装备表!$E1076,"xxx")&amp;":2,1,1,"&amp;装备表!$O1076&amp;";","xxx"),"xxx"))</f>
        <v>xxx</v>
      </c>
      <c r="J931" s="18" t="str">
        <f>IF(装备表!$O1076=0,"xxx",IFERROR(IF(INT(IF($D931=J$3,装备表!$E1076,"xxx")/10000)=1,IF($D931=J$3,装备表!$E1076,"xxx")&amp;":2,1,1,"&amp;装备表!$O1076&amp;";","xxx"),"xxx"))</f>
        <v>xxx</v>
      </c>
    </row>
    <row r="932" spans="4:10" x14ac:dyDescent="0.2">
      <c r="D932" s="18">
        <f>装备表!L1077</f>
        <v>0</v>
      </c>
      <c r="E932" s="18" t="str">
        <f>IF(装备表!$O1077=0,"xxx",IFERROR(IF(INT(IF($D932=E$3,装备表!$E1077,"xxx")/10000)=1,IF($D932=E$3,装备表!$E1077,"xxx")&amp;":2,1,1,"&amp;装备表!$O1077&amp;";","xxx"),"xxx"))</f>
        <v>xxx</v>
      </c>
      <c r="F932" s="18" t="str">
        <f>IF(装备表!$O1077=0,"xxx",IFERROR(IF(INT(IF($D932=F$3,装备表!$E1077,"xxx")/10000)=1,IF($D932=F$3,装备表!$E1077,"xxx")&amp;":2,1,1,"&amp;装备表!$O1077&amp;";","xxx"),"xxx"))</f>
        <v>xxx</v>
      </c>
      <c r="G932" s="18" t="str">
        <f>IF(装备表!$O1077=0,"xxx",IFERROR(IF(INT(IF($D932=G$3,装备表!$E1077,"xxx")/10000)=1,IF($D932=G$3,装备表!$E1077,"xxx")&amp;":2,1,1,"&amp;装备表!$O1077&amp;";","xxx"),"xxx"))</f>
        <v>xxx</v>
      </c>
      <c r="H932" s="18" t="str">
        <f>IF(装备表!$O1077=0,"xxx",IFERROR(IF(INT(IF($D932=H$3,装备表!$E1077,"xxx")/10000)=1,IF($D932=H$3,装备表!$E1077,"xxx")&amp;":2,1,1,"&amp;装备表!$O1077&amp;";","xxx"),"xxx"))</f>
        <v>xxx</v>
      </c>
      <c r="I932" s="18" t="str">
        <f>IF(装备表!$O1077=0,"xxx",IFERROR(IF(INT(IF($D932=I$3,装备表!$E1077,"xxx")/10000)=1,IF($D932=I$3,装备表!$E1077,"xxx")&amp;":2,1,1,"&amp;装备表!$O1077&amp;";","xxx"),"xxx"))</f>
        <v>xxx</v>
      </c>
      <c r="J932" s="18" t="str">
        <f>IF(装备表!$O1077=0,"xxx",IFERROR(IF(INT(IF($D932=J$3,装备表!$E1077,"xxx")/10000)=1,IF($D932=J$3,装备表!$E1077,"xxx")&amp;":2,1,1,"&amp;装备表!$O1077&amp;";","xxx"),"xxx"))</f>
        <v>xxx</v>
      </c>
    </row>
    <row r="933" spans="4:10" x14ac:dyDescent="0.2">
      <c r="D933" s="18">
        <f>装备表!L1078</f>
        <v>0</v>
      </c>
      <c r="E933" s="18" t="str">
        <f>IF(装备表!$O1078=0,"xxx",IFERROR(IF(INT(IF($D933=E$3,装备表!$E1078,"xxx")/10000)=1,IF($D933=E$3,装备表!$E1078,"xxx")&amp;":2,1,1,"&amp;装备表!$O1078&amp;";","xxx"),"xxx"))</f>
        <v>xxx</v>
      </c>
      <c r="F933" s="18" t="str">
        <f>IF(装备表!$O1078=0,"xxx",IFERROR(IF(INT(IF($D933=F$3,装备表!$E1078,"xxx")/10000)=1,IF($D933=F$3,装备表!$E1078,"xxx")&amp;":2,1,1,"&amp;装备表!$O1078&amp;";","xxx"),"xxx"))</f>
        <v>xxx</v>
      </c>
      <c r="G933" s="18" t="str">
        <f>IF(装备表!$O1078=0,"xxx",IFERROR(IF(INT(IF($D933=G$3,装备表!$E1078,"xxx")/10000)=1,IF($D933=G$3,装备表!$E1078,"xxx")&amp;":2,1,1,"&amp;装备表!$O1078&amp;";","xxx"),"xxx"))</f>
        <v>xxx</v>
      </c>
      <c r="H933" s="18" t="str">
        <f>IF(装备表!$O1078=0,"xxx",IFERROR(IF(INT(IF($D933=H$3,装备表!$E1078,"xxx")/10000)=1,IF($D933=H$3,装备表!$E1078,"xxx")&amp;":2,1,1,"&amp;装备表!$O1078&amp;";","xxx"),"xxx"))</f>
        <v>xxx</v>
      </c>
      <c r="I933" s="18" t="str">
        <f>IF(装备表!$O1078=0,"xxx",IFERROR(IF(INT(IF($D933=I$3,装备表!$E1078,"xxx")/10000)=1,IF($D933=I$3,装备表!$E1078,"xxx")&amp;":2,1,1,"&amp;装备表!$O1078&amp;";","xxx"),"xxx"))</f>
        <v>xxx</v>
      </c>
      <c r="J933" s="18" t="str">
        <f>IF(装备表!$O1078=0,"xxx",IFERROR(IF(INT(IF($D933=J$3,装备表!$E1078,"xxx")/10000)=1,IF($D933=J$3,装备表!$E1078,"xxx")&amp;":2,1,1,"&amp;装备表!$O1078&amp;";","xxx"),"xxx"))</f>
        <v>xxx</v>
      </c>
    </row>
    <row r="934" spans="4:10" x14ac:dyDescent="0.2">
      <c r="D934" s="18">
        <f>装备表!L1079</f>
        <v>0</v>
      </c>
      <c r="E934" s="18" t="str">
        <f>IF(装备表!$O1079=0,"xxx",IFERROR(IF(INT(IF($D934=E$3,装备表!$E1079,"xxx")/10000)=1,IF($D934=E$3,装备表!$E1079,"xxx")&amp;":2,1,1,"&amp;装备表!$O1079&amp;";","xxx"),"xxx"))</f>
        <v>xxx</v>
      </c>
      <c r="F934" s="18" t="str">
        <f>IF(装备表!$O1079=0,"xxx",IFERROR(IF(INT(IF($D934=F$3,装备表!$E1079,"xxx")/10000)=1,IF($D934=F$3,装备表!$E1079,"xxx")&amp;":2,1,1,"&amp;装备表!$O1079&amp;";","xxx"),"xxx"))</f>
        <v>xxx</v>
      </c>
      <c r="G934" s="18" t="str">
        <f>IF(装备表!$O1079=0,"xxx",IFERROR(IF(INT(IF($D934=G$3,装备表!$E1079,"xxx")/10000)=1,IF($D934=G$3,装备表!$E1079,"xxx")&amp;":2,1,1,"&amp;装备表!$O1079&amp;";","xxx"),"xxx"))</f>
        <v>xxx</v>
      </c>
      <c r="H934" s="18" t="str">
        <f>IF(装备表!$O1079=0,"xxx",IFERROR(IF(INT(IF($D934=H$3,装备表!$E1079,"xxx")/10000)=1,IF($D934=H$3,装备表!$E1079,"xxx")&amp;":2,1,1,"&amp;装备表!$O1079&amp;";","xxx"),"xxx"))</f>
        <v>xxx</v>
      </c>
      <c r="I934" s="18" t="str">
        <f>IF(装备表!$O1079=0,"xxx",IFERROR(IF(INT(IF($D934=I$3,装备表!$E1079,"xxx")/10000)=1,IF($D934=I$3,装备表!$E1079,"xxx")&amp;":2,1,1,"&amp;装备表!$O1079&amp;";","xxx"),"xxx"))</f>
        <v>xxx</v>
      </c>
      <c r="J934" s="18" t="str">
        <f>IF(装备表!$O1079=0,"xxx",IFERROR(IF(INT(IF($D934=J$3,装备表!$E1079,"xxx")/10000)=1,IF($D934=J$3,装备表!$E1079,"xxx")&amp;":2,1,1,"&amp;装备表!$O1079&amp;";","xxx"),"xxx"))</f>
        <v>xxx</v>
      </c>
    </row>
    <row r="935" spans="4:10" x14ac:dyDescent="0.2">
      <c r="D935" s="18">
        <f>装备表!L1080</f>
        <v>0</v>
      </c>
      <c r="E935" s="18" t="str">
        <f>IF(装备表!$O1080=0,"xxx",IFERROR(IF(INT(IF($D935=E$3,装备表!$E1080,"xxx")/10000)=1,IF($D935=E$3,装备表!$E1080,"xxx")&amp;":2,1,1,"&amp;装备表!$O1080&amp;";","xxx"),"xxx"))</f>
        <v>xxx</v>
      </c>
      <c r="F935" s="18" t="str">
        <f>IF(装备表!$O1080=0,"xxx",IFERROR(IF(INT(IF($D935=F$3,装备表!$E1080,"xxx")/10000)=1,IF($D935=F$3,装备表!$E1080,"xxx")&amp;":2,1,1,"&amp;装备表!$O1080&amp;";","xxx"),"xxx"))</f>
        <v>xxx</v>
      </c>
      <c r="G935" s="18" t="str">
        <f>IF(装备表!$O1080=0,"xxx",IFERROR(IF(INT(IF($D935=G$3,装备表!$E1080,"xxx")/10000)=1,IF($D935=G$3,装备表!$E1080,"xxx")&amp;":2,1,1,"&amp;装备表!$O1080&amp;";","xxx"),"xxx"))</f>
        <v>xxx</v>
      </c>
      <c r="H935" s="18" t="str">
        <f>IF(装备表!$O1080=0,"xxx",IFERROR(IF(INT(IF($D935=H$3,装备表!$E1080,"xxx")/10000)=1,IF($D935=H$3,装备表!$E1080,"xxx")&amp;":2,1,1,"&amp;装备表!$O1080&amp;";","xxx"),"xxx"))</f>
        <v>xxx</v>
      </c>
      <c r="I935" s="18" t="str">
        <f>IF(装备表!$O1080=0,"xxx",IFERROR(IF(INT(IF($D935=I$3,装备表!$E1080,"xxx")/10000)=1,IF($D935=I$3,装备表!$E1080,"xxx")&amp;":2,1,1,"&amp;装备表!$O1080&amp;";","xxx"),"xxx"))</f>
        <v>xxx</v>
      </c>
      <c r="J935" s="18" t="str">
        <f>IF(装备表!$O1080=0,"xxx",IFERROR(IF(INT(IF($D935=J$3,装备表!$E1080,"xxx")/10000)=1,IF($D935=J$3,装备表!$E1080,"xxx")&amp;":2,1,1,"&amp;装备表!$O1080&amp;";","xxx"),"xxx"))</f>
        <v>xxx</v>
      </c>
    </row>
    <row r="936" spans="4:10" x14ac:dyDescent="0.2">
      <c r="D936" s="18">
        <f>装备表!L1081</f>
        <v>0</v>
      </c>
      <c r="E936" s="18" t="str">
        <f>IF(装备表!$O1081=0,"xxx",IFERROR(IF(INT(IF($D936=E$3,装备表!$E1081,"xxx")/10000)=1,IF($D936=E$3,装备表!$E1081,"xxx")&amp;":2,1,1,"&amp;装备表!$O1081&amp;";","xxx"),"xxx"))</f>
        <v>xxx</v>
      </c>
      <c r="F936" s="18" t="str">
        <f>IF(装备表!$O1081=0,"xxx",IFERROR(IF(INT(IF($D936=F$3,装备表!$E1081,"xxx")/10000)=1,IF($D936=F$3,装备表!$E1081,"xxx")&amp;":2,1,1,"&amp;装备表!$O1081&amp;";","xxx"),"xxx"))</f>
        <v>xxx</v>
      </c>
      <c r="G936" s="18" t="str">
        <f>IF(装备表!$O1081=0,"xxx",IFERROR(IF(INT(IF($D936=G$3,装备表!$E1081,"xxx")/10000)=1,IF($D936=G$3,装备表!$E1081,"xxx")&amp;":2,1,1,"&amp;装备表!$O1081&amp;";","xxx"),"xxx"))</f>
        <v>xxx</v>
      </c>
      <c r="H936" s="18" t="str">
        <f>IF(装备表!$O1081=0,"xxx",IFERROR(IF(INT(IF($D936=H$3,装备表!$E1081,"xxx")/10000)=1,IF($D936=H$3,装备表!$E1081,"xxx")&amp;":2,1,1,"&amp;装备表!$O1081&amp;";","xxx"),"xxx"))</f>
        <v>xxx</v>
      </c>
      <c r="I936" s="18" t="str">
        <f>IF(装备表!$O1081=0,"xxx",IFERROR(IF(INT(IF($D936=I$3,装备表!$E1081,"xxx")/10000)=1,IF($D936=I$3,装备表!$E1081,"xxx")&amp;":2,1,1,"&amp;装备表!$O1081&amp;";","xxx"),"xxx"))</f>
        <v>xxx</v>
      </c>
      <c r="J936" s="18" t="str">
        <f>IF(装备表!$O1081=0,"xxx",IFERROR(IF(INT(IF($D936=J$3,装备表!$E1081,"xxx")/10000)=1,IF($D936=J$3,装备表!$E1081,"xxx")&amp;":2,1,1,"&amp;装备表!$O1081&amp;";","xxx"),"xxx"))</f>
        <v>xxx</v>
      </c>
    </row>
    <row r="937" spans="4:10" x14ac:dyDescent="0.2">
      <c r="D937" s="18">
        <f>装备表!L1082</f>
        <v>0</v>
      </c>
      <c r="E937" s="18" t="str">
        <f>IF(装备表!$O1082=0,"xxx",IFERROR(IF(INT(IF($D937=E$3,装备表!$E1082,"xxx")/10000)=1,IF($D937=E$3,装备表!$E1082,"xxx")&amp;":2,1,1,"&amp;装备表!$O1082&amp;";","xxx"),"xxx"))</f>
        <v>xxx</v>
      </c>
      <c r="F937" s="18" t="str">
        <f>IF(装备表!$O1082=0,"xxx",IFERROR(IF(INT(IF($D937=F$3,装备表!$E1082,"xxx")/10000)=1,IF($D937=F$3,装备表!$E1082,"xxx")&amp;":2,1,1,"&amp;装备表!$O1082&amp;";","xxx"),"xxx"))</f>
        <v>xxx</v>
      </c>
      <c r="G937" s="18" t="str">
        <f>IF(装备表!$O1082=0,"xxx",IFERROR(IF(INT(IF($D937=G$3,装备表!$E1082,"xxx")/10000)=1,IF($D937=G$3,装备表!$E1082,"xxx")&amp;":2,1,1,"&amp;装备表!$O1082&amp;";","xxx"),"xxx"))</f>
        <v>xxx</v>
      </c>
      <c r="H937" s="18" t="str">
        <f>IF(装备表!$O1082=0,"xxx",IFERROR(IF(INT(IF($D937=H$3,装备表!$E1082,"xxx")/10000)=1,IF($D937=H$3,装备表!$E1082,"xxx")&amp;":2,1,1,"&amp;装备表!$O1082&amp;";","xxx"),"xxx"))</f>
        <v>xxx</v>
      </c>
      <c r="I937" s="18" t="str">
        <f>IF(装备表!$O1082=0,"xxx",IFERROR(IF(INT(IF($D937=I$3,装备表!$E1082,"xxx")/10000)=1,IF($D937=I$3,装备表!$E1082,"xxx")&amp;":2,1,1,"&amp;装备表!$O1082&amp;";","xxx"),"xxx"))</f>
        <v>xxx</v>
      </c>
      <c r="J937" s="18" t="str">
        <f>IF(装备表!$O1082=0,"xxx",IFERROR(IF(INT(IF($D937=J$3,装备表!$E1082,"xxx")/10000)=1,IF($D937=J$3,装备表!$E1082,"xxx")&amp;":2,1,1,"&amp;装备表!$O1082&amp;";","xxx"),"xxx"))</f>
        <v>xxx</v>
      </c>
    </row>
    <row r="938" spans="4:10" x14ac:dyDescent="0.2">
      <c r="D938" s="18">
        <f>装备表!L1083</f>
        <v>0</v>
      </c>
      <c r="E938" s="18" t="str">
        <f>IF(装备表!$O1083=0,"xxx",IFERROR(IF(INT(IF($D938=E$3,装备表!$E1083,"xxx")/10000)=1,IF($D938=E$3,装备表!$E1083,"xxx")&amp;":2,1,1,"&amp;装备表!$O1083&amp;";","xxx"),"xxx"))</f>
        <v>xxx</v>
      </c>
      <c r="F938" s="18" t="str">
        <f>IF(装备表!$O1083=0,"xxx",IFERROR(IF(INT(IF($D938=F$3,装备表!$E1083,"xxx")/10000)=1,IF($D938=F$3,装备表!$E1083,"xxx")&amp;":2,1,1,"&amp;装备表!$O1083&amp;";","xxx"),"xxx"))</f>
        <v>xxx</v>
      </c>
      <c r="G938" s="18" t="str">
        <f>IF(装备表!$O1083=0,"xxx",IFERROR(IF(INT(IF($D938=G$3,装备表!$E1083,"xxx")/10000)=1,IF($D938=G$3,装备表!$E1083,"xxx")&amp;":2,1,1,"&amp;装备表!$O1083&amp;";","xxx"),"xxx"))</f>
        <v>xxx</v>
      </c>
      <c r="H938" s="18" t="str">
        <f>IF(装备表!$O1083=0,"xxx",IFERROR(IF(INT(IF($D938=H$3,装备表!$E1083,"xxx")/10000)=1,IF($D938=H$3,装备表!$E1083,"xxx")&amp;":2,1,1,"&amp;装备表!$O1083&amp;";","xxx"),"xxx"))</f>
        <v>xxx</v>
      </c>
      <c r="I938" s="18" t="str">
        <f>IF(装备表!$O1083=0,"xxx",IFERROR(IF(INT(IF($D938=I$3,装备表!$E1083,"xxx")/10000)=1,IF($D938=I$3,装备表!$E1083,"xxx")&amp;":2,1,1,"&amp;装备表!$O1083&amp;";","xxx"),"xxx"))</f>
        <v>xxx</v>
      </c>
      <c r="J938" s="18" t="str">
        <f>IF(装备表!$O1083=0,"xxx",IFERROR(IF(INT(IF($D938=J$3,装备表!$E1083,"xxx")/10000)=1,IF($D938=J$3,装备表!$E1083,"xxx")&amp;":2,1,1,"&amp;装备表!$O1083&amp;";","xxx"),"xxx"))</f>
        <v>xxx</v>
      </c>
    </row>
    <row r="939" spans="4:10" x14ac:dyDescent="0.2">
      <c r="D939" s="18">
        <f>装备表!L1084</f>
        <v>0</v>
      </c>
      <c r="E939" s="18" t="str">
        <f>IF(装备表!$O1084=0,"xxx",IFERROR(IF(INT(IF($D939=E$3,装备表!$E1084,"xxx")/10000)=1,IF($D939=E$3,装备表!$E1084,"xxx")&amp;":2,1,1,"&amp;装备表!$O1084&amp;";","xxx"),"xxx"))</f>
        <v>xxx</v>
      </c>
      <c r="F939" s="18" t="str">
        <f>IF(装备表!$O1084=0,"xxx",IFERROR(IF(INT(IF($D939=F$3,装备表!$E1084,"xxx")/10000)=1,IF($D939=F$3,装备表!$E1084,"xxx")&amp;":2,1,1,"&amp;装备表!$O1084&amp;";","xxx"),"xxx"))</f>
        <v>xxx</v>
      </c>
      <c r="G939" s="18" t="str">
        <f>IF(装备表!$O1084=0,"xxx",IFERROR(IF(INT(IF($D939=G$3,装备表!$E1084,"xxx")/10000)=1,IF($D939=G$3,装备表!$E1084,"xxx")&amp;":2,1,1,"&amp;装备表!$O1084&amp;";","xxx"),"xxx"))</f>
        <v>xxx</v>
      </c>
      <c r="H939" s="18" t="str">
        <f>IF(装备表!$O1084=0,"xxx",IFERROR(IF(INT(IF($D939=H$3,装备表!$E1084,"xxx")/10000)=1,IF($D939=H$3,装备表!$E1084,"xxx")&amp;":2,1,1,"&amp;装备表!$O1084&amp;";","xxx"),"xxx"))</f>
        <v>xxx</v>
      </c>
      <c r="I939" s="18" t="str">
        <f>IF(装备表!$O1084=0,"xxx",IFERROR(IF(INT(IF($D939=I$3,装备表!$E1084,"xxx")/10000)=1,IF($D939=I$3,装备表!$E1084,"xxx")&amp;":2,1,1,"&amp;装备表!$O1084&amp;";","xxx"),"xxx"))</f>
        <v>xxx</v>
      </c>
      <c r="J939" s="18" t="str">
        <f>IF(装备表!$O1084=0,"xxx",IFERROR(IF(INT(IF($D939=J$3,装备表!$E1084,"xxx")/10000)=1,IF($D939=J$3,装备表!$E1084,"xxx")&amp;":2,1,1,"&amp;装备表!$O1084&amp;";","xxx"),"xxx"))</f>
        <v>xxx</v>
      </c>
    </row>
    <row r="940" spans="4:10" x14ac:dyDescent="0.2">
      <c r="D940" s="18">
        <f>装备表!L1085</f>
        <v>0</v>
      </c>
      <c r="E940" s="18" t="str">
        <f>IF(装备表!$O1085=0,"xxx",IFERROR(IF(INT(IF($D940=E$3,装备表!$E1085,"xxx")/10000)=1,IF($D940=E$3,装备表!$E1085,"xxx")&amp;":2,1,1,"&amp;装备表!$O1085&amp;";","xxx"),"xxx"))</f>
        <v>xxx</v>
      </c>
      <c r="F940" s="18" t="str">
        <f>IF(装备表!$O1085=0,"xxx",IFERROR(IF(INT(IF($D940=F$3,装备表!$E1085,"xxx")/10000)=1,IF($D940=F$3,装备表!$E1085,"xxx")&amp;":2,1,1,"&amp;装备表!$O1085&amp;";","xxx"),"xxx"))</f>
        <v>xxx</v>
      </c>
      <c r="G940" s="18" t="str">
        <f>IF(装备表!$O1085=0,"xxx",IFERROR(IF(INT(IF($D940=G$3,装备表!$E1085,"xxx")/10000)=1,IF($D940=G$3,装备表!$E1085,"xxx")&amp;":2,1,1,"&amp;装备表!$O1085&amp;";","xxx"),"xxx"))</f>
        <v>xxx</v>
      </c>
      <c r="H940" s="18" t="str">
        <f>IF(装备表!$O1085=0,"xxx",IFERROR(IF(INT(IF($D940=H$3,装备表!$E1085,"xxx")/10000)=1,IF($D940=H$3,装备表!$E1085,"xxx")&amp;":2,1,1,"&amp;装备表!$O1085&amp;";","xxx"),"xxx"))</f>
        <v>xxx</v>
      </c>
      <c r="I940" s="18" t="str">
        <f>IF(装备表!$O1085=0,"xxx",IFERROR(IF(INT(IF($D940=I$3,装备表!$E1085,"xxx")/10000)=1,IF($D940=I$3,装备表!$E1085,"xxx")&amp;":2,1,1,"&amp;装备表!$O1085&amp;";","xxx"),"xxx"))</f>
        <v>xxx</v>
      </c>
      <c r="J940" s="18" t="str">
        <f>IF(装备表!$O1085=0,"xxx",IFERROR(IF(INT(IF($D940=J$3,装备表!$E1085,"xxx")/10000)=1,IF($D940=J$3,装备表!$E1085,"xxx")&amp;":2,1,1,"&amp;装备表!$O1085&amp;";","xxx"),"xxx"))</f>
        <v>xxx</v>
      </c>
    </row>
    <row r="941" spans="4:10" x14ac:dyDescent="0.2">
      <c r="D941" s="18">
        <f>装备表!L1086</f>
        <v>0</v>
      </c>
      <c r="E941" s="18" t="str">
        <f>IF(装备表!$O1086=0,"xxx",IFERROR(IF(INT(IF($D941=E$3,装备表!$E1086,"xxx")/10000)=1,IF($D941=E$3,装备表!$E1086,"xxx")&amp;":2,1,1,"&amp;装备表!$O1086&amp;";","xxx"),"xxx"))</f>
        <v>xxx</v>
      </c>
      <c r="F941" s="18" t="str">
        <f>IF(装备表!$O1086=0,"xxx",IFERROR(IF(INT(IF($D941=F$3,装备表!$E1086,"xxx")/10000)=1,IF($D941=F$3,装备表!$E1086,"xxx")&amp;":2,1,1,"&amp;装备表!$O1086&amp;";","xxx"),"xxx"))</f>
        <v>xxx</v>
      </c>
      <c r="G941" s="18" t="str">
        <f>IF(装备表!$O1086=0,"xxx",IFERROR(IF(INT(IF($D941=G$3,装备表!$E1086,"xxx")/10000)=1,IF($D941=G$3,装备表!$E1086,"xxx")&amp;":2,1,1,"&amp;装备表!$O1086&amp;";","xxx"),"xxx"))</f>
        <v>xxx</v>
      </c>
      <c r="H941" s="18" t="str">
        <f>IF(装备表!$O1086=0,"xxx",IFERROR(IF(INT(IF($D941=H$3,装备表!$E1086,"xxx")/10000)=1,IF($D941=H$3,装备表!$E1086,"xxx")&amp;":2,1,1,"&amp;装备表!$O1086&amp;";","xxx"),"xxx"))</f>
        <v>xxx</v>
      </c>
      <c r="I941" s="18" t="str">
        <f>IF(装备表!$O1086=0,"xxx",IFERROR(IF(INT(IF($D941=I$3,装备表!$E1086,"xxx")/10000)=1,IF($D941=I$3,装备表!$E1086,"xxx")&amp;":2,1,1,"&amp;装备表!$O1086&amp;";","xxx"),"xxx"))</f>
        <v>xxx</v>
      </c>
      <c r="J941" s="18" t="str">
        <f>IF(装备表!$O1086=0,"xxx",IFERROR(IF(INT(IF($D941=J$3,装备表!$E1086,"xxx")/10000)=1,IF($D941=J$3,装备表!$E1086,"xxx")&amp;":2,1,1,"&amp;装备表!$O1086&amp;";","xxx"),"xxx"))</f>
        <v>xxx</v>
      </c>
    </row>
    <row r="942" spans="4:10" x14ac:dyDescent="0.2">
      <c r="D942" s="18">
        <f>装备表!L1087</f>
        <v>0</v>
      </c>
      <c r="E942" s="18" t="str">
        <f>IF(装备表!$O1087=0,"xxx",IFERROR(IF(INT(IF($D942=E$3,装备表!$E1087,"xxx")/10000)=1,IF($D942=E$3,装备表!$E1087,"xxx")&amp;":2,1,1,"&amp;装备表!$O1087&amp;";","xxx"),"xxx"))</f>
        <v>xxx</v>
      </c>
      <c r="F942" s="18" t="str">
        <f>IF(装备表!$O1087=0,"xxx",IFERROR(IF(INT(IF($D942=F$3,装备表!$E1087,"xxx")/10000)=1,IF($D942=F$3,装备表!$E1087,"xxx")&amp;":2,1,1,"&amp;装备表!$O1087&amp;";","xxx"),"xxx"))</f>
        <v>xxx</v>
      </c>
      <c r="G942" s="18" t="str">
        <f>IF(装备表!$O1087=0,"xxx",IFERROR(IF(INT(IF($D942=G$3,装备表!$E1087,"xxx")/10000)=1,IF($D942=G$3,装备表!$E1087,"xxx")&amp;":2,1,1,"&amp;装备表!$O1087&amp;";","xxx"),"xxx"))</f>
        <v>xxx</v>
      </c>
      <c r="H942" s="18" t="str">
        <f>IF(装备表!$O1087=0,"xxx",IFERROR(IF(INT(IF($D942=H$3,装备表!$E1087,"xxx")/10000)=1,IF($D942=H$3,装备表!$E1087,"xxx")&amp;":2,1,1,"&amp;装备表!$O1087&amp;";","xxx"),"xxx"))</f>
        <v>xxx</v>
      </c>
      <c r="I942" s="18" t="str">
        <f>IF(装备表!$O1087=0,"xxx",IFERROR(IF(INT(IF($D942=I$3,装备表!$E1087,"xxx")/10000)=1,IF($D942=I$3,装备表!$E1087,"xxx")&amp;":2,1,1,"&amp;装备表!$O1087&amp;";","xxx"),"xxx"))</f>
        <v>xxx</v>
      </c>
      <c r="J942" s="18" t="str">
        <f>IF(装备表!$O1087=0,"xxx",IFERROR(IF(INT(IF($D942=J$3,装备表!$E1087,"xxx")/10000)=1,IF($D942=J$3,装备表!$E1087,"xxx")&amp;":2,1,1,"&amp;装备表!$O1087&amp;";","xxx"),"xxx"))</f>
        <v>xxx</v>
      </c>
    </row>
    <row r="943" spans="4:10" x14ac:dyDescent="0.2">
      <c r="D943" s="18">
        <f>装备表!L1088</f>
        <v>0</v>
      </c>
      <c r="E943" s="18" t="str">
        <f>IF(装备表!$O1088=0,"xxx",IFERROR(IF(INT(IF($D943=E$3,装备表!$E1088,"xxx")/10000)=1,IF($D943=E$3,装备表!$E1088,"xxx")&amp;":2,1,1,"&amp;装备表!$O1088&amp;";","xxx"),"xxx"))</f>
        <v>xxx</v>
      </c>
      <c r="F943" s="18" t="str">
        <f>IF(装备表!$O1088=0,"xxx",IFERROR(IF(INT(IF($D943=F$3,装备表!$E1088,"xxx")/10000)=1,IF($D943=F$3,装备表!$E1088,"xxx")&amp;":2,1,1,"&amp;装备表!$O1088&amp;";","xxx"),"xxx"))</f>
        <v>xxx</v>
      </c>
      <c r="G943" s="18" t="str">
        <f>IF(装备表!$O1088=0,"xxx",IFERROR(IF(INT(IF($D943=G$3,装备表!$E1088,"xxx")/10000)=1,IF($D943=G$3,装备表!$E1088,"xxx")&amp;":2,1,1,"&amp;装备表!$O1088&amp;";","xxx"),"xxx"))</f>
        <v>xxx</v>
      </c>
      <c r="H943" s="18" t="str">
        <f>IF(装备表!$O1088=0,"xxx",IFERROR(IF(INT(IF($D943=H$3,装备表!$E1088,"xxx")/10000)=1,IF($D943=H$3,装备表!$E1088,"xxx")&amp;":2,1,1,"&amp;装备表!$O1088&amp;";","xxx"),"xxx"))</f>
        <v>xxx</v>
      </c>
      <c r="I943" s="18" t="str">
        <f>IF(装备表!$O1088=0,"xxx",IFERROR(IF(INT(IF($D943=I$3,装备表!$E1088,"xxx")/10000)=1,IF($D943=I$3,装备表!$E1088,"xxx")&amp;":2,1,1,"&amp;装备表!$O1088&amp;";","xxx"),"xxx"))</f>
        <v>xxx</v>
      </c>
      <c r="J943" s="18" t="str">
        <f>IF(装备表!$O1088=0,"xxx",IFERROR(IF(INT(IF($D943=J$3,装备表!$E1088,"xxx")/10000)=1,IF($D943=J$3,装备表!$E1088,"xxx")&amp;":2,1,1,"&amp;装备表!$O1088&amp;";","xxx"),"xxx"))</f>
        <v>xxx</v>
      </c>
    </row>
    <row r="944" spans="4:10" x14ac:dyDescent="0.2">
      <c r="D944" s="18">
        <f>装备表!L1089</f>
        <v>0</v>
      </c>
      <c r="E944" s="18" t="str">
        <f>IF(装备表!$O1089=0,"xxx",IFERROR(IF(INT(IF($D944=E$3,装备表!$E1089,"xxx")/10000)=1,IF($D944=E$3,装备表!$E1089,"xxx")&amp;":2,1,1,"&amp;装备表!$O1089&amp;";","xxx"),"xxx"))</f>
        <v>xxx</v>
      </c>
      <c r="F944" s="18" t="str">
        <f>IF(装备表!$O1089=0,"xxx",IFERROR(IF(INT(IF($D944=F$3,装备表!$E1089,"xxx")/10000)=1,IF($D944=F$3,装备表!$E1089,"xxx")&amp;":2,1,1,"&amp;装备表!$O1089&amp;";","xxx"),"xxx"))</f>
        <v>xxx</v>
      </c>
      <c r="G944" s="18" t="str">
        <f>IF(装备表!$O1089=0,"xxx",IFERROR(IF(INT(IF($D944=G$3,装备表!$E1089,"xxx")/10000)=1,IF($D944=G$3,装备表!$E1089,"xxx")&amp;":2,1,1,"&amp;装备表!$O1089&amp;";","xxx"),"xxx"))</f>
        <v>xxx</v>
      </c>
      <c r="H944" s="18" t="str">
        <f>IF(装备表!$O1089=0,"xxx",IFERROR(IF(INT(IF($D944=H$3,装备表!$E1089,"xxx")/10000)=1,IF($D944=H$3,装备表!$E1089,"xxx")&amp;":2,1,1,"&amp;装备表!$O1089&amp;";","xxx"),"xxx"))</f>
        <v>xxx</v>
      </c>
      <c r="I944" s="18" t="str">
        <f>IF(装备表!$O1089=0,"xxx",IFERROR(IF(INT(IF($D944=I$3,装备表!$E1089,"xxx")/10000)=1,IF($D944=I$3,装备表!$E1089,"xxx")&amp;":2,1,1,"&amp;装备表!$O1089&amp;";","xxx"),"xxx"))</f>
        <v>xxx</v>
      </c>
      <c r="J944" s="18" t="str">
        <f>IF(装备表!$O1089=0,"xxx",IFERROR(IF(INT(IF($D944=J$3,装备表!$E1089,"xxx")/10000)=1,IF($D944=J$3,装备表!$E1089,"xxx")&amp;":2,1,1,"&amp;装备表!$O1089&amp;";","xxx"),"xxx"))</f>
        <v>xxx</v>
      </c>
    </row>
    <row r="945" spans="4:10" x14ac:dyDescent="0.2">
      <c r="D945" s="18">
        <f>装备表!L1090</f>
        <v>0</v>
      </c>
      <c r="E945" s="18" t="str">
        <f>IF(装备表!$O1090=0,"xxx",IFERROR(IF(INT(IF($D945=E$3,装备表!$E1090,"xxx")/10000)=1,IF($D945=E$3,装备表!$E1090,"xxx")&amp;":2,1,1,"&amp;装备表!$O1090&amp;";","xxx"),"xxx"))</f>
        <v>xxx</v>
      </c>
      <c r="F945" s="18" t="str">
        <f>IF(装备表!$O1090=0,"xxx",IFERROR(IF(INT(IF($D945=F$3,装备表!$E1090,"xxx")/10000)=1,IF($D945=F$3,装备表!$E1090,"xxx")&amp;":2,1,1,"&amp;装备表!$O1090&amp;";","xxx"),"xxx"))</f>
        <v>xxx</v>
      </c>
      <c r="G945" s="18" t="str">
        <f>IF(装备表!$O1090=0,"xxx",IFERROR(IF(INT(IF($D945=G$3,装备表!$E1090,"xxx")/10000)=1,IF($D945=G$3,装备表!$E1090,"xxx")&amp;":2,1,1,"&amp;装备表!$O1090&amp;";","xxx"),"xxx"))</f>
        <v>xxx</v>
      </c>
      <c r="H945" s="18" t="str">
        <f>IF(装备表!$O1090=0,"xxx",IFERROR(IF(INT(IF($D945=H$3,装备表!$E1090,"xxx")/10000)=1,IF($D945=H$3,装备表!$E1090,"xxx")&amp;":2,1,1,"&amp;装备表!$O1090&amp;";","xxx"),"xxx"))</f>
        <v>xxx</v>
      </c>
      <c r="I945" s="18" t="str">
        <f>IF(装备表!$O1090=0,"xxx",IFERROR(IF(INT(IF($D945=I$3,装备表!$E1090,"xxx")/10000)=1,IF($D945=I$3,装备表!$E1090,"xxx")&amp;":2,1,1,"&amp;装备表!$O1090&amp;";","xxx"),"xxx"))</f>
        <v>xxx</v>
      </c>
      <c r="J945" s="18" t="str">
        <f>IF(装备表!$O1090=0,"xxx",IFERROR(IF(INT(IF($D945=J$3,装备表!$E1090,"xxx")/10000)=1,IF($D945=J$3,装备表!$E1090,"xxx")&amp;":2,1,1,"&amp;装备表!$O1090&amp;";","xxx"),"xxx"))</f>
        <v>xxx</v>
      </c>
    </row>
    <row r="946" spans="4:10" x14ac:dyDescent="0.2">
      <c r="D946" s="18">
        <f>装备表!L1091</f>
        <v>0</v>
      </c>
      <c r="E946" s="18" t="str">
        <f>IF(装备表!$O1091=0,"xxx",IFERROR(IF(INT(IF($D946=E$3,装备表!$E1091,"xxx")/10000)=1,IF($D946=E$3,装备表!$E1091,"xxx")&amp;":2,1,1,"&amp;装备表!$O1091&amp;";","xxx"),"xxx"))</f>
        <v>xxx</v>
      </c>
      <c r="F946" s="18" t="str">
        <f>IF(装备表!$O1091=0,"xxx",IFERROR(IF(INT(IF($D946=F$3,装备表!$E1091,"xxx")/10000)=1,IF($D946=F$3,装备表!$E1091,"xxx")&amp;":2,1,1,"&amp;装备表!$O1091&amp;";","xxx"),"xxx"))</f>
        <v>xxx</v>
      </c>
      <c r="G946" s="18" t="str">
        <f>IF(装备表!$O1091=0,"xxx",IFERROR(IF(INT(IF($D946=G$3,装备表!$E1091,"xxx")/10000)=1,IF($D946=G$3,装备表!$E1091,"xxx")&amp;":2,1,1,"&amp;装备表!$O1091&amp;";","xxx"),"xxx"))</f>
        <v>xxx</v>
      </c>
      <c r="H946" s="18" t="str">
        <f>IF(装备表!$O1091=0,"xxx",IFERROR(IF(INT(IF($D946=H$3,装备表!$E1091,"xxx")/10000)=1,IF($D946=H$3,装备表!$E1091,"xxx")&amp;":2,1,1,"&amp;装备表!$O1091&amp;";","xxx"),"xxx"))</f>
        <v>xxx</v>
      </c>
      <c r="I946" s="18" t="str">
        <f>IF(装备表!$O1091=0,"xxx",IFERROR(IF(INT(IF($D946=I$3,装备表!$E1091,"xxx")/10000)=1,IF($D946=I$3,装备表!$E1091,"xxx")&amp;":2,1,1,"&amp;装备表!$O1091&amp;";","xxx"),"xxx"))</f>
        <v>xxx</v>
      </c>
      <c r="J946" s="18" t="str">
        <f>IF(装备表!$O1091=0,"xxx",IFERROR(IF(INT(IF($D946=J$3,装备表!$E1091,"xxx")/10000)=1,IF($D946=J$3,装备表!$E1091,"xxx")&amp;":2,1,1,"&amp;装备表!$O1091&amp;";","xxx"),"xxx"))</f>
        <v>xxx</v>
      </c>
    </row>
    <row r="947" spans="4:10" x14ac:dyDescent="0.2">
      <c r="D947" s="18">
        <f>装备表!L1092</f>
        <v>0</v>
      </c>
      <c r="E947" s="18" t="str">
        <f>IF(装备表!$O1092=0,"xxx",IFERROR(IF(INT(IF($D947=E$3,装备表!$E1092,"xxx")/10000)=1,IF($D947=E$3,装备表!$E1092,"xxx")&amp;":2,1,1,"&amp;装备表!$O1092&amp;";","xxx"),"xxx"))</f>
        <v>xxx</v>
      </c>
      <c r="F947" s="18" t="str">
        <f>IF(装备表!$O1092=0,"xxx",IFERROR(IF(INT(IF($D947=F$3,装备表!$E1092,"xxx")/10000)=1,IF($D947=F$3,装备表!$E1092,"xxx")&amp;":2,1,1,"&amp;装备表!$O1092&amp;";","xxx"),"xxx"))</f>
        <v>xxx</v>
      </c>
      <c r="G947" s="18" t="str">
        <f>IF(装备表!$O1092=0,"xxx",IFERROR(IF(INT(IF($D947=G$3,装备表!$E1092,"xxx")/10000)=1,IF($D947=G$3,装备表!$E1092,"xxx")&amp;":2,1,1,"&amp;装备表!$O1092&amp;";","xxx"),"xxx"))</f>
        <v>xxx</v>
      </c>
      <c r="H947" s="18" t="str">
        <f>IF(装备表!$O1092=0,"xxx",IFERROR(IF(INT(IF($D947=H$3,装备表!$E1092,"xxx")/10000)=1,IF($D947=H$3,装备表!$E1092,"xxx")&amp;":2,1,1,"&amp;装备表!$O1092&amp;";","xxx"),"xxx"))</f>
        <v>xxx</v>
      </c>
      <c r="I947" s="18" t="str">
        <f>IF(装备表!$O1092=0,"xxx",IFERROR(IF(INT(IF($D947=I$3,装备表!$E1092,"xxx")/10000)=1,IF($D947=I$3,装备表!$E1092,"xxx")&amp;":2,1,1,"&amp;装备表!$O1092&amp;";","xxx"),"xxx"))</f>
        <v>xxx</v>
      </c>
      <c r="J947" s="18" t="str">
        <f>IF(装备表!$O1092=0,"xxx",IFERROR(IF(INT(IF($D947=J$3,装备表!$E1092,"xxx")/10000)=1,IF($D947=J$3,装备表!$E1092,"xxx")&amp;":2,1,1,"&amp;装备表!$O1092&amp;";","xxx"),"xxx"))</f>
        <v>xxx</v>
      </c>
    </row>
    <row r="948" spans="4:10" x14ac:dyDescent="0.2">
      <c r="D948" s="18">
        <f>装备表!L1093</f>
        <v>0</v>
      </c>
      <c r="E948" s="18" t="str">
        <f>IF(装备表!$O1093=0,"xxx",IFERROR(IF(INT(IF($D948=E$3,装备表!$E1093,"xxx")/10000)=1,IF($D948=E$3,装备表!$E1093,"xxx")&amp;":2,1,1,"&amp;装备表!$O1093&amp;";","xxx"),"xxx"))</f>
        <v>xxx</v>
      </c>
      <c r="F948" s="18" t="str">
        <f>IF(装备表!$O1093=0,"xxx",IFERROR(IF(INT(IF($D948=F$3,装备表!$E1093,"xxx")/10000)=1,IF($D948=F$3,装备表!$E1093,"xxx")&amp;":2,1,1,"&amp;装备表!$O1093&amp;";","xxx"),"xxx"))</f>
        <v>xxx</v>
      </c>
      <c r="G948" s="18" t="str">
        <f>IF(装备表!$O1093=0,"xxx",IFERROR(IF(INT(IF($D948=G$3,装备表!$E1093,"xxx")/10000)=1,IF($D948=G$3,装备表!$E1093,"xxx")&amp;":2,1,1,"&amp;装备表!$O1093&amp;";","xxx"),"xxx"))</f>
        <v>xxx</v>
      </c>
      <c r="H948" s="18" t="str">
        <f>IF(装备表!$O1093=0,"xxx",IFERROR(IF(INT(IF($D948=H$3,装备表!$E1093,"xxx")/10000)=1,IF($D948=H$3,装备表!$E1093,"xxx")&amp;":2,1,1,"&amp;装备表!$O1093&amp;";","xxx"),"xxx"))</f>
        <v>xxx</v>
      </c>
      <c r="I948" s="18" t="str">
        <f>IF(装备表!$O1093=0,"xxx",IFERROR(IF(INT(IF($D948=I$3,装备表!$E1093,"xxx")/10000)=1,IF($D948=I$3,装备表!$E1093,"xxx")&amp;":2,1,1,"&amp;装备表!$O1093&amp;";","xxx"),"xxx"))</f>
        <v>xxx</v>
      </c>
      <c r="J948" s="18" t="str">
        <f>IF(装备表!$O1093=0,"xxx",IFERROR(IF(INT(IF($D948=J$3,装备表!$E1093,"xxx")/10000)=1,IF($D948=J$3,装备表!$E1093,"xxx")&amp;":2,1,1,"&amp;装备表!$O1093&amp;";","xxx"),"xxx"))</f>
        <v>xxx</v>
      </c>
    </row>
    <row r="949" spans="4:10" x14ac:dyDescent="0.2">
      <c r="D949" s="18">
        <f>装备表!L1094</f>
        <v>0</v>
      </c>
      <c r="E949" s="18" t="str">
        <f>IF(装备表!$O1094=0,"xxx",IFERROR(IF(INT(IF($D949=E$3,装备表!$E1094,"xxx")/10000)=1,IF($D949=E$3,装备表!$E1094,"xxx")&amp;":2,1,1,"&amp;装备表!$O1094&amp;";","xxx"),"xxx"))</f>
        <v>xxx</v>
      </c>
      <c r="F949" s="18" t="str">
        <f>IF(装备表!$O1094=0,"xxx",IFERROR(IF(INT(IF($D949=F$3,装备表!$E1094,"xxx")/10000)=1,IF($D949=F$3,装备表!$E1094,"xxx")&amp;":2,1,1,"&amp;装备表!$O1094&amp;";","xxx"),"xxx"))</f>
        <v>xxx</v>
      </c>
      <c r="G949" s="18" t="str">
        <f>IF(装备表!$O1094=0,"xxx",IFERROR(IF(INT(IF($D949=G$3,装备表!$E1094,"xxx")/10000)=1,IF($D949=G$3,装备表!$E1094,"xxx")&amp;":2,1,1,"&amp;装备表!$O1094&amp;";","xxx"),"xxx"))</f>
        <v>xxx</v>
      </c>
      <c r="H949" s="18" t="str">
        <f>IF(装备表!$O1094=0,"xxx",IFERROR(IF(INT(IF($D949=H$3,装备表!$E1094,"xxx")/10000)=1,IF($D949=H$3,装备表!$E1094,"xxx")&amp;":2,1,1,"&amp;装备表!$O1094&amp;";","xxx"),"xxx"))</f>
        <v>xxx</v>
      </c>
      <c r="I949" s="18" t="str">
        <f>IF(装备表!$O1094=0,"xxx",IFERROR(IF(INT(IF($D949=I$3,装备表!$E1094,"xxx")/10000)=1,IF($D949=I$3,装备表!$E1094,"xxx")&amp;":2,1,1,"&amp;装备表!$O1094&amp;";","xxx"),"xxx"))</f>
        <v>xxx</v>
      </c>
      <c r="J949" s="18" t="str">
        <f>IF(装备表!$O1094=0,"xxx",IFERROR(IF(INT(IF($D949=J$3,装备表!$E1094,"xxx")/10000)=1,IF($D949=J$3,装备表!$E1094,"xxx")&amp;":2,1,1,"&amp;装备表!$O1094&amp;";","xxx"),"xxx"))</f>
        <v>xxx</v>
      </c>
    </row>
    <row r="950" spans="4:10" x14ac:dyDescent="0.2">
      <c r="D950" s="18">
        <f>装备表!L1095</f>
        <v>0</v>
      </c>
      <c r="E950" s="18" t="str">
        <f>IF(装备表!$O1095=0,"xxx",IFERROR(IF(INT(IF($D950=E$3,装备表!$E1095,"xxx")/10000)=1,IF($D950=E$3,装备表!$E1095,"xxx")&amp;":2,1,1,"&amp;装备表!$O1095&amp;";","xxx"),"xxx"))</f>
        <v>xxx</v>
      </c>
      <c r="F950" s="18" t="str">
        <f>IF(装备表!$O1095=0,"xxx",IFERROR(IF(INT(IF($D950=F$3,装备表!$E1095,"xxx")/10000)=1,IF($D950=F$3,装备表!$E1095,"xxx")&amp;":2,1,1,"&amp;装备表!$O1095&amp;";","xxx"),"xxx"))</f>
        <v>xxx</v>
      </c>
      <c r="G950" s="18" t="str">
        <f>IF(装备表!$O1095=0,"xxx",IFERROR(IF(INT(IF($D950=G$3,装备表!$E1095,"xxx")/10000)=1,IF($D950=G$3,装备表!$E1095,"xxx")&amp;":2,1,1,"&amp;装备表!$O1095&amp;";","xxx"),"xxx"))</f>
        <v>xxx</v>
      </c>
      <c r="H950" s="18" t="str">
        <f>IF(装备表!$O1095=0,"xxx",IFERROR(IF(INT(IF($D950=H$3,装备表!$E1095,"xxx")/10000)=1,IF($D950=H$3,装备表!$E1095,"xxx")&amp;":2,1,1,"&amp;装备表!$O1095&amp;";","xxx"),"xxx"))</f>
        <v>xxx</v>
      </c>
      <c r="I950" s="18" t="str">
        <f>IF(装备表!$O1095=0,"xxx",IFERROR(IF(INT(IF($D950=I$3,装备表!$E1095,"xxx")/10000)=1,IF($D950=I$3,装备表!$E1095,"xxx")&amp;":2,1,1,"&amp;装备表!$O1095&amp;";","xxx"),"xxx"))</f>
        <v>xxx</v>
      </c>
      <c r="J950" s="18" t="str">
        <f>IF(装备表!$O1095=0,"xxx",IFERROR(IF(INT(IF($D950=J$3,装备表!$E1095,"xxx")/10000)=1,IF($D950=J$3,装备表!$E1095,"xxx")&amp;":2,1,1,"&amp;装备表!$O1095&amp;";","xxx"),"xxx"))</f>
        <v>xxx</v>
      </c>
    </row>
    <row r="951" spans="4:10" x14ac:dyDescent="0.2">
      <c r="D951" s="18">
        <f>装备表!L1096</f>
        <v>0</v>
      </c>
      <c r="E951" s="18" t="str">
        <f>IF(装备表!$O1096=0,"xxx",IFERROR(IF(INT(IF($D951=E$3,装备表!$E1096,"xxx")/10000)=1,IF($D951=E$3,装备表!$E1096,"xxx")&amp;":2,1,1,"&amp;装备表!$O1096&amp;";","xxx"),"xxx"))</f>
        <v>xxx</v>
      </c>
      <c r="F951" s="18" t="str">
        <f>IF(装备表!$O1096=0,"xxx",IFERROR(IF(INT(IF($D951=F$3,装备表!$E1096,"xxx")/10000)=1,IF($D951=F$3,装备表!$E1096,"xxx")&amp;":2,1,1,"&amp;装备表!$O1096&amp;";","xxx"),"xxx"))</f>
        <v>xxx</v>
      </c>
      <c r="G951" s="18" t="str">
        <f>IF(装备表!$O1096=0,"xxx",IFERROR(IF(INT(IF($D951=G$3,装备表!$E1096,"xxx")/10000)=1,IF($D951=G$3,装备表!$E1096,"xxx")&amp;":2,1,1,"&amp;装备表!$O1096&amp;";","xxx"),"xxx"))</f>
        <v>xxx</v>
      </c>
      <c r="H951" s="18" t="str">
        <f>IF(装备表!$O1096=0,"xxx",IFERROR(IF(INT(IF($D951=H$3,装备表!$E1096,"xxx")/10000)=1,IF($D951=H$3,装备表!$E1096,"xxx")&amp;":2,1,1,"&amp;装备表!$O1096&amp;";","xxx"),"xxx"))</f>
        <v>xxx</v>
      </c>
      <c r="I951" s="18" t="str">
        <f>IF(装备表!$O1096=0,"xxx",IFERROR(IF(INT(IF($D951=I$3,装备表!$E1096,"xxx")/10000)=1,IF($D951=I$3,装备表!$E1096,"xxx")&amp;":2,1,1,"&amp;装备表!$O1096&amp;";","xxx"),"xxx"))</f>
        <v>xxx</v>
      </c>
      <c r="J951" s="18" t="str">
        <f>IF(装备表!$O1096=0,"xxx",IFERROR(IF(INT(IF($D951=J$3,装备表!$E1096,"xxx")/10000)=1,IF($D951=J$3,装备表!$E1096,"xxx")&amp;":2,1,1,"&amp;装备表!$O1096&amp;";","xxx"),"xxx"))</f>
        <v>xxx</v>
      </c>
    </row>
    <row r="952" spans="4:10" x14ac:dyDescent="0.2">
      <c r="D952" s="18">
        <f>装备表!L1097</f>
        <v>0</v>
      </c>
      <c r="E952" s="18" t="str">
        <f>IF(装备表!$O1097=0,"xxx",IFERROR(IF(INT(IF($D952=E$3,装备表!$E1097,"xxx")/10000)=1,IF($D952=E$3,装备表!$E1097,"xxx")&amp;":2,1,1,"&amp;装备表!$O1097&amp;";","xxx"),"xxx"))</f>
        <v>xxx</v>
      </c>
      <c r="F952" s="18" t="str">
        <f>IF(装备表!$O1097=0,"xxx",IFERROR(IF(INT(IF($D952=F$3,装备表!$E1097,"xxx")/10000)=1,IF($D952=F$3,装备表!$E1097,"xxx")&amp;":2,1,1,"&amp;装备表!$O1097&amp;";","xxx"),"xxx"))</f>
        <v>xxx</v>
      </c>
      <c r="G952" s="18" t="str">
        <f>IF(装备表!$O1097=0,"xxx",IFERROR(IF(INT(IF($D952=G$3,装备表!$E1097,"xxx")/10000)=1,IF($D952=G$3,装备表!$E1097,"xxx")&amp;":2,1,1,"&amp;装备表!$O1097&amp;";","xxx"),"xxx"))</f>
        <v>xxx</v>
      </c>
      <c r="H952" s="18" t="str">
        <f>IF(装备表!$O1097=0,"xxx",IFERROR(IF(INT(IF($D952=H$3,装备表!$E1097,"xxx")/10000)=1,IF($D952=H$3,装备表!$E1097,"xxx")&amp;":2,1,1,"&amp;装备表!$O1097&amp;";","xxx"),"xxx"))</f>
        <v>xxx</v>
      </c>
      <c r="I952" s="18" t="str">
        <f>IF(装备表!$O1097=0,"xxx",IFERROR(IF(INT(IF($D952=I$3,装备表!$E1097,"xxx")/10000)=1,IF($D952=I$3,装备表!$E1097,"xxx")&amp;":2,1,1,"&amp;装备表!$O1097&amp;";","xxx"),"xxx"))</f>
        <v>xxx</v>
      </c>
      <c r="J952" s="18" t="str">
        <f>IF(装备表!$O1097=0,"xxx",IFERROR(IF(INT(IF($D952=J$3,装备表!$E1097,"xxx")/10000)=1,IF($D952=J$3,装备表!$E1097,"xxx")&amp;":2,1,1,"&amp;装备表!$O1097&amp;";","xxx"),"xxx"))</f>
        <v>xxx</v>
      </c>
    </row>
    <row r="953" spans="4:10" x14ac:dyDescent="0.2">
      <c r="D953" s="18">
        <f>装备表!L1098</f>
        <v>0</v>
      </c>
      <c r="E953" s="18" t="str">
        <f>IF(装备表!$O1098=0,"xxx",IFERROR(IF(INT(IF($D953=E$3,装备表!$E1098,"xxx")/10000)=1,IF($D953=E$3,装备表!$E1098,"xxx")&amp;":2,1,1,"&amp;装备表!$O1098&amp;";","xxx"),"xxx"))</f>
        <v>xxx</v>
      </c>
      <c r="F953" s="18" t="str">
        <f>IF(装备表!$O1098=0,"xxx",IFERROR(IF(INT(IF($D953=F$3,装备表!$E1098,"xxx")/10000)=1,IF($D953=F$3,装备表!$E1098,"xxx")&amp;":2,1,1,"&amp;装备表!$O1098&amp;";","xxx"),"xxx"))</f>
        <v>xxx</v>
      </c>
      <c r="G953" s="18" t="str">
        <f>IF(装备表!$O1098=0,"xxx",IFERROR(IF(INT(IF($D953=G$3,装备表!$E1098,"xxx")/10000)=1,IF($D953=G$3,装备表!$E1098,"xxx")&amp;":2,1,1,"&amp;装备表!$O1098&amp;";","xxx"),"xxx"))</f>
        <v>xxx</v>
      </c>
      <c r="H953" s="18" t="str">
        <f>IF(装备表!$O1098=0,"xxx",IFERROR(IF(INT(IF($D953=H$3,装备表!$E1098,"xxx")/10000)=1,IF($D953=H$3,装备表!$E1098,"xxx")&amp;":2,1,1,"&amp;装备表!$O1098&amp;";","xxx"),"xxx"))</f>
        <v>xxx</v>
      </c>
      <c r="I953" s="18" t="str">
        <f>IF(装备表!$O1098=0,"xxx",IFERROR(IF(INT(IF($D953=I$3,装备表!$E1098,"xxx")/10000)=1,IF($D953=I$3,装备表!$E1098,"xxx")&amp;":2,1,1,"&amp;装备表!$O1098&amp;";","xxx"),"xxx"))</f>
        <v>xxx</v>
      </c>
      <c r="J953" s="18" t="str">
        <f>IF(装备表!$O1098=0,"xxx",IFERROR(IF(INT(IF($D953=J$3,装备表!$E1098,"xxx")/10000)=1,IF($D953=J$3,装备表!$E1098,"xxx")&amp;":2,1,1,"&amp;装备表!$O1098&amp;";","xxx"),"xxx"))</f>
        <v>xxx</v>
      </c>
    </row>
    <row r="954" spans="4:10" x14ac:dyDescent="0.2">
      <c r="D954" s="18">
        <f>装备表!L1099</f>
        <v>0</v>
      </c>
      <c r="E954" s="18" t="str">
        <f>IF(装备表!$O1099=0,"xxx",IFERROR(IF(INT(IF($D954=E$3,装备表!$E1099,"xxx")/10000)=1,IF($D954=E$3,装备表!$E1099,"xxx")&amp;":2,1,1,"&amp;装备表!$O1099&amp;";","xxx"),"xxx"))</f>
        <v>xxx</v>
      </c>
      <c r="F954" s="18" t="str">
        <f>IF(装备表!$O1099=0,"xxx",IFERROR(IF(INT(IF($D954=F$3,装备表!$E1099,"xxx")/10000)=1,IF($D954=F$3,装备表!$E1099,"xxx")&amp;":2,1,1,"&amp;装备表!$O1099&amp;";","xxx"),"xxx"))</f>
        <v>xxx</v>
      </c>
      <c r="G954" s="18" t="str">
        <f>IF(装备表!$O1099=0,"xxx",IFERROR(IF(INT(IF($D954=G$3,装备表!$E1099,"xxx")/10000)=1,IF($D954=G$3,装备表!$E1099,"xxx")&amp;":2,1,1,"&amp;装备表!$O1099&amp;";","xxx"),"xxx"))</f>
        <v>xxx</v>
      </c>
      <c r="H954" s="18" t="str">
        <f>IF(装备表!$O1099=0,"xxx",IFERROR(IF(INT(IF($D954=H$3,装备表!$E1099,"xxx")/10000)=1,IF($D954=H$3,装备表!$E1099,"xxx")&amp;":2,1,1,"&amp;装备表!$O1099&amp;";","xxx"),"xxx"))</f>
        <v>xxx</v>
      </c>
      <c r="I954" s="18" t="str">
        <f>IF(装备表!$O1099=0,"xxx",IFERROR(IF(INT(IF($D954=I$3,装备表!$E1099,"xxx")/10000)=1,IF($D954=I$3,装备表!$E1099,"xxx")&amp;":2,1,1,"&amp;装备表!$O1099&amp;";","xxx"),"xxx"))</f>
        <v>xxx</v>
      </c>
      <c r="J954" s="18" t="str">
        <f>IF(装备表!$O1099=0,"xxx",IFERROR(IF(INT(IF($D954=J$3,装备表!$E1099,"xxx")/10000)=1,IF($D954=J$3,装备表!$E1099,"xxx")&amp;":2,1,1,"&amp;装备表!$O1099&amp;";","xxx"),"xxx"))</f>
        <v>xxx</v>
      </c>
    </row>
    <row r="955" spans="4:10" x14ac:dyDescent="0.2">
      <c r="D955" s="18">
        <f>装备表!L1100</f>
        <v>0</v>
      </c>
      <c r="E955" s="18" t="str">
        <f>IF(装备表!$O1100=0,"xxx",IFERROR(IF(INT(IF($D955=E$3,装备表!$E1100,"xxx")/10000)=1,IF($D955=E$3,装备表!$E1100,"xxx")&amp;":2,1,1,"&amp;装备表!$O1100&amp;";","xxx"),"xxx"))</f>
        <v>xxx</v>
      </c>
      <c r="F955" s="18" t="str">
        <f>IF(装备表!$O1100=0,"xxx",IFERROR(IF(INT(IF($D955=F$3,装备表!$E1100,"xxx")/10000)=1,IF($D955=F$3,装备表!$E1100,"xxx")&amp;":2,1,1,"&amp;装备表!$O1100&amp;";","xxx"),"xxx"))</f>
        <v>xxx</v>
      </c>
      <c r="G955" s="18" t="str">
        <f>IF(装备表!$O1100=0,"xxx",IFERROR(IF(INT(IF($D955=G$3,装备表!$E1100,"xxx")/10000)=1,IF($D955=G$3,装备表!$E1100,"xxx")&amp;":2,1,1,"&amp;装备表!$O1100&amp;";","xxx"),"xxx"))</f>
        <v>xxx</v>
      </c>
      <c r="H955" s="18" t="str">
        <f>IF(装备表!$O1100=0,"xxx",IFERROR(IF(INT(IF($D955=H$3,装备表!$E1100,"xxx")/10000)=1,IF($D955=H$3,装备表!$E1100,"xxx")&amp;":2,1,1,"&amp;装备表!$O1100&amp;";","xxx"),"xxx"))</f>
        <v>xxx</v>
      </c>
      <c r="I955" s="18" t="str">
        <f>IF(装备表!$O1100=0,"xxx",IFERROR(IF(INT(IF($D955=I$3,装备表!$E1100,"xxx")/10000)=1,IF($D955=I$3,装备表!$E1100,"xxx")&amp;":2,1,1,"&amp;装备表!$O1100&amp;";","xxx"),"xxx"))</f>
        <v>xxx</v>
      </c>
      <c r="J955" s="18" t="str">
        <f>IF(装备表!$O1100=0,"xxx",IFERROR(IF(INT(IF($D955=J$3,装备表!$E1100,"xxx")/10000)=1,IF($D955=J$3,装备表!$E1100,"xxx")&amp;":2,1,1,"&amp;装备表!$O1100&amp;";","xxx"),"xxx"))</f>
        <v>xxx</v>
      </c>
    </row>
    <row r="956" spans="4:10" x14ac:dyDescent="0.2">
      <c r="D956" s="18">
        <f>装备表!L1101</f>
        <v>0</v>
      </c>
      <c r="E956" s="18" t="str">
        <f>IF(装备表!$O1101=0,"xxx",IFERROR(IF(INT(IF($D956=E$3,装备表!$E1101,"xxx")/10000)=1,IF($D956=E$3,装备表!$E1101,"xxx")&amp;":2,1,1,"&amp;装备表!$O1101&amp;";","xxx"),"xxx"))</f>
        <v>xxx</v>
      </c>
      <c r="F956" s="18" t="str">
        <f>IF(装备表!$O1101=0,"xxx",IFERROR(IF(INT(IF($D956=F$3,装备表!$E1101,"xxx")/10000)=1,IF($D956=F$3,装备表!$E1101,"xxx")&amp;":2,1,1,"&amp;装备表!$O1101&amp;";","xxx"),"xxx"))</f>
        <v>xxx</v>
      </c>
      <c r="G956" s="18" t="str">
        <f>IF(装备表!$O1101=0,"xxx",IFERROR(IF(INT(IF($D956=G$3,装备表!$E1101,"xxx")/10000)=1,IF($D956=G$3,装备表!$E1101,"xxx")&amp;":2,1,1,"&amp;装备表!$O1101&amp;";","xxx"),"xxx"))</f>
        <v>xxx</v>
      </c>
      <c r="H956" s="18" t="str">
        <f>IF(装备表!$O1101=0,"xxx",IFERROR(IF(INT(IF($D956=H$3,装备表!$E1101,"xxx")/10000)=1,IF($D956=H$3,装备表!$E1101,"xxx")&amp;":2,1,1,"&amp;装备表!$O1101&amp;";","xxx"),"xxx"))</f>
        <v>xxx</v>
      </c>
      <c r="I956" s="18" t="str">
        <f>IF(装备表!$O1101=0,"xxx",IFERROR(IF(INT(IF($D956=I$3,装备表!$E1101,"xxx")/10000)=1,IF($D956=I$3,装备表!$E1101,"xxx")&amp;":2,1,1,"&amp;装备表!$O1101&amp;";","xxx"),"xxx"))</f>
        <v>xxx</v>
      </c>
      <c r="J956" s="18" t="str">
        <f>IF(装备表!$O1101=0,"xxx",IFERROR(IF(INT(IF($D956=J$3,装备表!$E1101,"xxx")/10000)=1,IF($D956=J$3,装备表!$E1101,"xxx")&amp;":2,1,1,"&amp;装备表!$O1101&amp;";","xxx"),"xxx"))</f>
        <v>xxx</v>
      </c>
    </row>
    <row r="957" spans="4:10" x14ac:dyDescent="0.2">
      <c r="D957" s="18">
        <f>装备表!L1102</f>
        <v>0</v>
      </c>
      <c r="E957" s="18" t="str">
        <f>IF(装备表!$O1102=0,"xxx",IFERROR(IF(INT(IF($D957=E$3,装备表!$E1102,"xxx")/10000)=1,IF($D957=E$3,装备表!$E1102,"xxx")&amp;":2,1,1,"&amp;装备表!$O1102&amp;";","xxx"),"xxx"))</f>
        <v>xxx</v>
      </c>
      <c r="F957" s="18" t="str">
        <f>IF(装备表!$O1102=0,"xxx",IFERROR(IF(INT(IF($D957=F$3,装备表!$E1102,"xxx")/10000)=1,IF($D957=F$3,装备表!$E1102,"xxx")&amp;":2,1,1,"&amp;装备表!$O1102&amp;";","xxx"),"xxx"))</f>
        <v>xxx</v>
      </c>
      <c r="G957" s="18" t="str">
        <f>IF(装备表!$O1102=0,"xxx",IFERROR(IF(INT(IF($D957=G$3,装备表!$E1102,"xxx")/10000)=1,IF($D957=G$3,装备表!$E1102,"xxx")&amp;":2,1,1,"&amp;装备表!$O1102&amp;";","xxx"),"xxx"))</f>
        <v>xxx</v>
      </c>
      <c r="H957" s="18" t="str">
        <f>IF(装备表!$O1102=0,"xxx",IFERROR(IF(INT(IF($D957=H$3,装备表!$E1102,"xxx")/10000)=1,IF($D957=H$3,装备表!$E1102,"xxx")&amp;":2,1,1,"&amp;装备表!$O1102&amp;";","xxx"),"xxx"))</f>
        <v>xxx</v>
      </c>
      <c r="I957" s="18" t="str">
        <f>IF(装备表!$O1102=0,"xxx",IFERROR(IF(INT(IF($D957=I$3,装备表!$E1102,"xxx")/10000)=1,IF($D957=I$3,装备表!$E1102,"xxx")&amp;":2,1,1,"&amp;装备表!$O1102&amp;";","xxx"),"xxx"))</f>
        <v>xxx</v>
      </c>
      <c r="J957" s="18" t="str">
        <f>IF(装备表!$O1102=0,"xxx",IFERROR(IF(INT(IF($D957=J$3,装备表!$E1102,"xxx")/10000)=1,IF($D957=J$3,装备表!$E1102,"xxx")&amp;":2,1,1,"&amp;装备表!$O1102&amp;";","xxx"),"xxx"))</f>
        <v>xxx</v>
      </c>
    </row>
    <row r="958" spans="4:10" x14ac:dyDescent="0.2">
      <c r="D958" s="18">
        <f>装备表!L1103</f>
        <v>0</v>
      </c>
      <c r="E958" s="18" t="str">
        <f>IF(装备表!$O1103=0,"xxx",IFERROR(IF(INT(IF($D958=E$3,装备表!$E1103,"xxx")/10000)=1,IF($D958=E$3,装备表!$E1103,"xxx")&amp;":2,1,1,"&amp;装备表!$O1103&amp;";","xxx"),"xxx"))</f>
        <v>xxx</v>
      </c>
      <c r="F958" s="18" t="str">
        <f>IF(装备表!$O1103=0,"xxx",IFERROR(IF(INT(IF($D958=F$3,装备表!$E1103,"xxx")/10000)=1,IF($D958=F$3,装备表!$E1103,"xxx")&amp;":2,1,1,"&amp;装备表!$O1103&amp;";","xxx"),"xxx"))</f>
        <v>xxx</v>
      </c>
      <c r="G958" s="18" t="str">
        <f>IF(装备表!$O1103=0,"xxx",IFERROR(IF(INT(IF($D958=G$3,装备表!$E1103,"xxx")/10000)=1,IF($D958=G$3,装备表!$E1103,"xxx")&amp;":2,1,1,"&amp;装备表!$O1103&amp;";","xxx"),"xxx"))</f>
        <v>xxx</v>
      </c>
      <c r="H958" s="18" t="str">
        <f>IF(装备表!$O1103=0,"xxx",IFERROR(IF(INT(IF($D958=H$3,装备表!$E1103,"xxx")/10000)=1,IF($D958=H$3,装备表!$E1103,"xxx")&amp;":2,1,1,"&amp;装备表!$O1103&amp;";","xxx"),"xxx"))</f>
        <v>xxx</v>
      </c>
      <c r="I958" s="18" t="str">
        <f>IF(装备表!$O1103=0,"xxx",IFERROR(IF(INT(IF($D958=I$3,装备表!$E1103,"xxx")/10000)=1,IF($D958=I$3,装备表!$E1103,"xxx")&amp;":2,1,1,"&amp;装备表!$O1103&amp;";","xxx"),"xxx"))</f>
        <v>xxx</v>
      </c>
      <c r="J958" s="18" t="str">
        <f>IF(装备表!$O1103=0,"xxx",IFERROR(IF(INT(IF($D958=J$3,装备表!$E1103,"xxx")/10000)=1,IF($D958=J$3,装备表!$E1103,"xxx")&amp;":2,1,1,"&amp;装备表!$O1103&amp;";","xxx"),"xxx"))</f>
        <v>xxx</v>
      </c>
    </row>
    <row r="959" spans="4:10" x14ac:dyDescent="0.2">
      <c r="D959" s="18">
        <f>装备表!L1104</f>
        <v>0</v>
      </c>
      <c r="E959" s="18" t="str">
        <f>IF(装备表!$O1104=0,"xxx",IFERROR(IF(INT(IF($D959=E$3,装备表!$E1104,"xxx")/10000)=1,IF($D959=E$3,装备表!$E1104,"xxx")&amp;":2,1,1,"&amp;装备表!$O1104&amp;";","xxx"),"xxx"))</f>
        <v>xxx</v>
      </c>
      <c r="F959" s="18" t="str">
        <f>IF(装备表!$O1104=0,"xxx",IFERROR(IF(INT(IF($D959=F$3,装备表!$E1104,"xxx")/10000)=1,IF($D959=F$3,装备表!$E1104,"xxx")&amp;":2,1,1,"&amp;装备表!$O1104&amp;";","xxx"),"xxx"))</f>
        <v>xxx</v>
      </c>
      <c r="G959" s="18" t="str">
        <f>IF(装备表!$O1104=0,"xxx",IFERROR(IF(INT(IF($D959=G$3,装备表!$E1104,"xxx")/10000)=1,IF($D959=G$3,装备表!$E1104,"xxx")&amp;":2,1,1,"&amp;装备表!$O1104&amp;";","xxx"),"xxx"))</f>
        <v>xxx</v>
      </c>
      <c r="H959" s="18" t="str">
        <f>IF(装备表!$O1104=0,"xxx",IFERROR(IF(INT(IF($D959=H$3,装备表!$E1104,"xxx")/10000)=1,IF($D959=H$3,装备表!$E1104,"xxx")&amp;":2,1,1,"&amp;装备表!$O1104&amp;";","xxx"),"xxx"))</f>
        <v>xxx</v>
      </c>
      <c r="I959" s="18" t="str">
        <f>IF(装备表!$O1104=0,"xxx",IFERROR(IF(INT(IF($D959=I$3,装备表!$E1104,"xxx")/10000)=1,IF($D959=I$3,装备表!$E1104,"xxx")&amp;":2,1,1,"&amp;装备表!$O1104&amp;";","xxx"),"xxx"))</f>
        <v>xxx</v>
      </c>
      <c r="J959" s="18" t="str">
        <f>IF(装备表!$O1104=0,"xxx",IFERROR(IF(INT(IF($D959=J$3,装备表!$E1104,"xxx")/10000)=1,IF($D959=J$3,装备表!$E1104,"xxx")&amp;":2,1,1,"&amp;装备表!$O1104&amp;";","xxx"),"xxx"))</f>
        <v>xxx</v>
      </c>
    </row>
    <row r="960" spans="4:10" x14ac:dyDescent="0.2">
      <c r="D960" s="18">
        <f>装备表!L1105</f>
        <v>0</v>
      </c>
      <c r="E960" s="18" t="str">
        <f>IF(装备表!$O1105=0,"xxx",IFERROR(IF(INT(IF($D960=E$3,装备表!$E1105,"xxx")/10000)=1,IF($D960=E$3,装备表!$E1105,"xxx")&amp;":2,1,1,"&amp;装备表!$O1105&amp;";","xxx"),"xxx"))</f>
        <v>xxx</v>
      </c>
      <c r="F960" s="18" t="str">
        <f>IF(装备表!$O1105=0,"xxx",IFERROR(IF(INT(IF($D960=F$3,装备表!$E1105,"xxx")/10000)=1,IF($D960=F$3,装备表!$E1105,"xxx")&amp;":2,1,1,"&amp;装备表!$O1105&amp;";","xxx"),"xxx"))</f>
        <v>xxx</v>
      </c>
      <c r="G960" s="18" t="str">
        <f>IF(装备表!$O1105=0,"xxx",IFERROR(IF(INT(IF($D960=G$3,装备表!$E1105,"xxx")/10000)=1,IF($D960=G$3,装备表!$E1105,"xxx")&amp;":2,1,1,"&amp;装备表!$O1105&amp;";","xxx"),"xxx"))</f>
        <v>xxx</v>
      </c>
      <c r="H960" s="18" t="str">
        <f>IF(装备表!$O1105=0,"xxx",IFERROR(IF(INT(IF($D960=H$3,装备表!$E1105,"xxx")/10000)=1,IF($D960=H$3,装备表!$E1105,"xxx")&amp;":2,1,1,"&amp;装备表!$O1105&amp;";","xxx"),"xxx"))</f>
        <v>xxx</v>
      </c>
      <c r="I960" s="18" t="str">
        <f>IF(装备表!$O1105=0,"xxx",IFERROR(IF(INT(IF($D960=I$3,装备表!$E1105,"xxx")/10000)=1,IF($D960=I$3,装备表!$E1105,"xxx")&amp;":2,1,1,"&amp;装备表!$O1105&amp;";","xxx"),"xxx"))</f>
        <v>xxx</v>
      </c>
      <c r="J960" s="18" t="str">
        <f>IF(装备表!$O1105=0,"xxx",IFERROR(IF(INT(IF($D960=J$3,装备表!$E1105,"xxx")/10000)=1,IF($D960=J$3,装备表!$E1105,"xxx")&amp;":2,1,1,"&amp;装备表!$O1105&amp;";","xxx"),"xxx"))</f>
        <v>xxx</v>
      </c>
    </row>
    <row r="961" spans="4:10" x14ac:dyDescent="0.2">
      <c r="D961" s="18">
        <f>装备表!L1106</f>
        <v>0</v>
      </c>
      <c r="E961" s="18" t="str">
        <f>IF(装备表!$O1106=0,"xxx",IFERROR(IF(INT(IF($D961=E$3,装备表!$E1106,"xxx")/10000)=1,IF($D961=E$3,装备表!$E1106,"xxx")&amp;":2,1,1,"&amp;装备表!$O1106&amp;";","xxx"),"xxx"))</f>
        <v>xxx</v>
      </c>
      <c r="F961" s="18" t="str">
        <f>IF(装备表!$O1106=0,"xxx",IFERROR(IF(INT(IF($D961=F$3,装备表!$E1106,"xxx")/10000)=1,IF($D961=F$3,装备表!$E1106,"xxx")&amp;":2,1,1,"&amp;装备表!$O1106&amp;";","xxx"),"xxx"))</f>
        <v>xxx</v>
      </c>
      <c r="G961" s="18" t="str">
        <f>IF(装备表!$O1106=0,"xxx",IFERROR(IF(INT(IF($D961=G$3,装备表!$E1106,"xxx")/10000)=1,IF($D961=G$3,装备表!$E1106,"xxx")&amp;":2,1,1,"&amp;装备表!$O1106&amp;";","xxx"),"xxx"))</f>
        <v>xxx</v>
      </c>
      <c r="H961" s="18" t="str">
        <f>IF(装备表!$O1106=0,"xxx",IFERROR(IF(INT(IF($D961=H$3,装备表!$E1106,"xxx")/10000)=1,IF($D961=H$3,装备表!$E1106,"xxx")&amp;":2,1,1,"&amp;装备表!$O1106&amp;";","xxx"),"xxx"))</f>
        <v>xxx</v>
      </c>
      <c r="I961" s="18" t="str">
        <f>IF(装备表!$O1106=0,"xxx",IFERROR(IF(INT(IF($D961=I$3,装备表!$E1106,"xxx")/10000)=1,IF($D961=I$3,装备表!$E1106,"xxx")&amp;":2,1,1,"&amp;装备表!$O1106&amp;";","xxx"),"xxx"))</f>
        <v>xxx</v>
      </c>
      <c r="J961" s="18" t="str">
        <f>IF(装备表!$O1106=0,"xxx",IFERROR(IF(INT(IF($D961=J$3,装备表!$E1106,"xxx")/10000)=1,IF($D961=J$3,装备表!$E1106,"xxx")&amp;":2,1,1,"&amp;装备表!$O1106&amp;";","xxx"),"xxx"))</f>
        <v>xxx</v>
      </c>
    </row>
    <row r="962" spans="4:10" x14ac:dyDescent="0.2">
      <c r="D962" s="18">
        <f>装备表!L1107</f>
        <v>0</v>
      </c>
      <c r="E962" s="18" t="str">
        <f>IF(装备表!$O1107=0,"xxx",IFERROR(IF(INT(IF($D962=E$3,装备表!$E1107,"xxx")/10000)=1,IF($D962=E$3,装备表!$E1107,"xxx")&amp;":2,1,1,"&amp;装备表!$O1107&amp;";","xxx"),"xxx"))</f>
        <v>xxx</v>
      </c>
      <c r="F962" s="18" t="str">
        <f>IF(装备表!$O1107=0,"xxx",IFERROR(IF(INT(IF($D962=F$3,装备表!$E1107,"xxx")/10000)=1,IF($D962=F$3,装备表!$E1107,"xxx")&amp;":2,1,1,"&amp;装备表!$O1107&amp;";","xxx"),"xxx"))</f>
        <v>xxx</v>
      </c>
      <c r="G962" s="18" t="str">
        <f>IF(装备表!$O1107=0,"xxx",IFERROR(IF(INT(IF($D962=G$3,装备表!$E1107,"xxx")/10000)=1,IF($D962=G$3,装备表!$E1107,"xxx")&amp;":2,1,1,"&amp;装备表!$O1107&amp;";","xxx"),"xxx"))</f>
        <v>xxx</v>
      </c>
      <c r="H962" s="18" t="str">
        <f>IF(装备表!$O1107=0,"xxx",IFERROR(IF(INT(IF($D962=H$3,装备表!$E1107,"xxx")/10000)=1,IF($D962=H$3,装备表!$E1107,"xxx")&amp;":2,1,1,"&amp;装备表!$O1107&amp;";","xxx"),"xxx"))</f>
        <v>xxx</v>
      </c>
      <c r="I962" s="18" t="str">
        <f>IF(装备表!$O1107=0,"xxx",IFERROR(IF(INT(IF($D962=I$3,装备表!$E1107,"xxx")/10000)=1,IF($D962=I$3,装备表!$E1107,"xxx")&amp;":2,1,1,"&amp;装备表!$O1107&amp;";","xxx"),"xxx"))</f>
        <v>xxx</v>
      </c>
      <c r="J962" s="18" t="str">
        <f>IF(装备表!$O1107=0,"xxx",IFERROR(IF(INT(IF($D962=J$3,装备表!$E1107,"xxx")/10000)=1,IF($D962=J$3,装备表!$E1107,"xxx")&amp;":2,1,1,"&amp;装备表!$O1107&amp;";","xxx"),"xxx"))</f>
        <v>xxx</v>
      </c>
    </row>
    <row r="963" spans="4:10" x14ac:dyDescent="0.2">
      <c r="D963" s="18">
        <f>装备表!L1108</f>
        <v>0</v>
      </c>
      <c r="E963" s="18" t="str">
        <f>IF(装备表!$O1108=0,"xxx",IFERROR(IF(INT(IF($D963=E$3,装备表!$E1108,"xxx")/10000)=1,IF($D963=E$3,装备表!$E1108,"xxx")&amp;":2,1,1,"&amp;装备表!$O1108&amp;";","xxx"),"xxx"))</f>
        <v>xxx</v>
      </c>
      <c r="F963" s="18" t="str">
        <f>IF(装备表!$O1108=0,"xxx",IFERROR(IF(INT(IF($D963=F$3,装备表!$E1108,"xxx")/10000)=1,IF($D963=F$3,装备表!$E1108,"xxx")&amp;":2,1,1,"&amp;装备表!$O1108&amp;";","xxx"),"xxx"))</f>
        <v>xxx</v>
      </c>
      <c r="G963" s="18" t="str">
        <f>IF(装备表!$O1108=0,"xxx",IFERROR(IF(INT(IF($D963=G$3,装备表!$E1108,"xxx")/10000)=1,IF($D963=G$3,装备表!$E1108,"xxx")&amp;":2,1,1,"&amp;装备表!$O1108&amp;";","xxx"),"xxx"))</f>
        <v>xxx</v>
      </c>
      <c r="H963" s="18" t="str">
        <f>IF(装备表!$O1108=0,"xxx",IFERROR(IF(INT(IF($D963=H$3,装备表!$E1108,"xxx")/10000)=1,IF($D963=H$3,装备表!$E1108,"xxx")&amp;":2,1,1,"&amp;装备表!$O1108&amp;";","xxx"),"xxx"))</f>
        <v>xxx</v>
      </c>
      <c r="I963" s="18" t="str">
        <f>IF(装备表!$O1108=0,"xxx",IFERROR(IF(INT(IF($D963=I$3,装备表!$E1108,"xxx")/10000)=1,IF($D963=I$3,装备表!$E1108,"xxx")&amp;":2,1,1,"&amp;装备表!$O1108&amp;";","xxx"),"xxx"))</f>
        <v>xxx</v>
      </c>
      <c r="J963" s="18" t="str">
        <f>IF(装备表!$O1108=0,"xxx",IFERROR(IF(INT(IF($D963=J$3,装备表!$E1108,"xxx")/10000)=1,IF($D963=J$3,装备表!$E1108,"xxx")&amp;":2,1,1,"&amp;装备表!$O1108&amp;";","xxx"),"xxx"))</f>
        <v>xxx</v>
      </c>
    </row>
    <row r="964" spans="4:10" x14ac:dyDescent="0.2">
      <c r="D964" s="18">
        <f>装备表!L1109</f>
        <v>0</v>
      </c>
      <c r="E964" s="18" t="str">
        <f>IF(装备表!$O1109=0,"xxx",IFERROR(IF(INT(IF($D964=E$3,装备表!$E1109,"xxx")/10000)=1,IF($D964=E$3,装备表!$E1109,"xxx")&amp;":2,1,1,"&amp;装备表!$O1109&amp;";","xxx"),"xxx"))</f>
        <v>xxx</v>
      </c>
      <c r="F964" s="18" t="str">
        <f>IF(装备表!$O1109=0,"xxx",IFERROR(IF(INT(IF($D964=F$3,装备表!$E1109,"xxx")/10000)=1,IF($D964=F$3,装备表!$E1109,"xxx")&amp;":2,1,1,"&amp;装备表!$O1109&amp;";","xxx"),"xxx"))</f>
        <v>xxx</v>
      </c>
      <c r="G964" s="18" t="str">
        <f>IF(装备表!$O1109=0,"xxx",IFERROR(IF(INT(IF($D964=G$3,装备表!$E1109,"xxx")/10000)=1,IF($D964=G$3,装备表!$E1109,"xxx")&amp;":2,1,1,"&amp;装备表!$O1109&amp;";","xxx"),"xxx"))</f>
        <v>xxx</v>
      </c>
      <c r="H964" s="18" t="str">
        <f>IF(装备表!$O1109=0,"xxx",IFERROR(IF(INT(IF($D964=H$3,装备表!$E1109,"xxx")/10000)=1,IF($D964=H$3,装备表!$E1109,"xxx")&amp;":2,1,1,"&amp;装备表!$O1109&amp;";","xxx"),"xxx"))</f>
        <v>xxx</v>
      </c>
      <c r="I964" s="18" t="str">
        <f>IF(装备表!$O1109=0,"xxx",IFERROR(IF(INT(IF($D964=I$3,装备表!$E1109,"xxx")/10000)=1,IF($D964=I$3,装备表!$E1109,"xxx")&amp;":2,1,1,"&amp;装备表!$O1109&amp;";","xxx"),"xxx"))</f>
        <v>xxx</v>
      </c>
      <c r="J964" s="18" t="str">
        <f>IF(装备表!$O1109=0,"xxx",IFERROR(IF(INT(IF($D964=J$3,装备表!$E1109,"xxx")/10000)=1,IF($D964=J$3,装备表!$E1109,"xxx")&amp;":2,1,1,"&amp;装备表!$O1109&amp;";","xxx"),"xxx"))</f>
        <v>xxx</v>
      </c>
    </row>
    <row r="965" spans="4:10" x14ac:dyDescent="0.2">
      <c r="D965" s="18">
        <f>装备表!L1110</f>
        <v>0</v>
      </c>
      <c r="E965" s="18" t="str">
        <f>IF(装备表!$O1110=0,"xxx",IFERROR(IF(INT(IF($D965=E$3,装备表!$E1110,"xxx")/10000)=1,IF($D965=E$3,装备表!$E1110,"xxx")&amp;":2,1,1,"&amp;装备表!$O1110&amp;";","xxx"),"xxx"))</f>
        <v>xxx</v>
      </c>
      <c r="F965" s="18" t="str">
        <f>IF(装备表!$O1110=0,"xxx",IFERROR(IF(INT(IF($D965=F$3,装备表!$E1110,"xxx")/10000)=1,IF($D965=F$3,装备表!$E1110,"xxx")&amp;":2,1,1,"&amp;装备表!$O1110&amp;";","xxx"),"xxx"))</f>
        <v>xxx</v>
      </c>
      <c r="G965" s="18" t="str">
        <f>IF(装备表!$O1110=0,"xxx",IFERROR(IF(INT(IF($D965=G$3,装备表!$E1110,"xxx")/10000)=1,IF($D965=G$3,装备表!$E1110,"xxx")&amp;":2,1,1,"&amp;装备表!$O1110&amp;";","xxx"),"xxx"))</f>
        <v>xxx</v>
      </c>
      <c r="H965" s="18" t="str">
        <f>IF(装备表!$O1110=0,"xxx",IFERROR(IF(INT(IF($D965=H$3,装备表!$E1110,"xxx")/10000)=1,IF($D965=H$3,装备表!$E1110,"xxx")&amp;":2,1,1,"&amp;装备表!$O1110&amp;";","xxx"),"xxx"))</f>
        <v>xxx</v>
      </c>
      <c r="I965" s="18" t="str">
        <f>IF(装备表!$O1110=0,"xxx",IFERROR(IF(INT(IF($D965=I$3,装备表!$E1110,"xxx")/10000)=1,IF($D965=I$3,装备表!$E1110,"xxx")&amp;":2,1,1,"&amp;装备表!$O1110&amp;";","xxx"),"xxx"))</f>
        <v>xxx</v>
      </c>
      <c r="J965" s="18" t="str">
        <f>IF(装备表!$O1110=0,"xxx",IFERROR(IF(INT(IF($D965=J$3,装备表!$E1110,"xxx")/10000)=1,IF($D965=J$3,装备表!$E1110,"xxx")&amp;":2,1,1,"&amp;装备表!$O1110&amp;";","xxx"),"xxx"))</f>
        <v>xxx</v>
      </c>
    </row>
    <row r="966" spans="4:10" x14ac:dyDescent="0.2">
      <c r="D966" s="18">
        <f>装备表!L1111</f>
        <v>0</v>
      </c>
      <c r="E966" s="18" t="str">
        <f>IF(装备表!$O1111=0,"xxx",IFERROR(IF(INT(IF($D966=E$3,装备表!$E1111,"xxx")/10000)=1,IF($D966=E$3,装备表!$E1111,"xxx")&amp;":2,1,1,"&amp;装备表!$O1111&amp;";","xxx"),"xxx"))</f>
        <v>xxx</v>
      </c>
      <c r="F966" s="18" t="str">
        <f>IF(装备表!$O1111=0,"xxx",IFERROR(IF(INT(IF($D966=F$3,装备表!$E1111,"xxx")/10000)=1,IF($D966=F$3,装备表!$E1111,"xxx")&amp;":2,1,1,"&amp;装备表!$O1111&amp;";","xxx"),"xxx"))</f>
        <v>xxx</v>
      </c>
      <c r="G966" s="18" t="str">
        <f>IF(装备表!$O1111=0,"xxx",IFERROR(IF(INT(IF($D966=G$3,装备表!$E1111,"xxx")/10000)=1,IF($D966=G$3,装备表!$E1111,"xxx")&amp;":2,1,1,"&amp;装备表!$O1111&amp;";","xxx"),"xxx"))</f>
        <v>xxx</v>
      </c>
      <c r="H966" s="18" t="str">
        <f>IF(装备表!$O1111=0,"xxx",IFERROR(IF(INT(IF($D966=H$3,装备表!$E1111,"xxx")/10000)=1,IF($D966=H$3,装备表!$E1111,"xxx")&amp;":2,1,1,"&amp;装备表!$O1111&amp;";","xxx"),"xxx"))</f>
        <v>xxx</v>
      </c>
      <c r="I966" s="18" t="str">
        <f>IF(装备表!$O1111=0,"xxx",IFERROR(IF(INT(IF($D966=I$3,装备表!$E1111,"xxx")/10000)=1,IF($D966=I$3,装备表!$E1111,"xxx")&amp;":2,1,1,"&amp;装备表!$O1111&amp;";","xxx"),"xxx"))</f>
        <v>xxx</v>
      </c>
      <c r="J966" s="18" t="str">
        <f>IF(装备表!$O1111=0,"xxx",IFERROR(IF(INT(IF($D966=J$3,装备表!$E1111,"xxx")/10000)=1,IF($D966=J$3,装备表!$E1111,"xxx")&amp;":2,1,1,"&amp;装备表!$O1111&amp;";","xxx"),"xxx"))</f>
        <v>xxx</v>
      </c>
    </row>
    <row r="967" spans="4:10" x14ac:dyDescent="0.2">
      <c r="D967" s="18">
        <f>装备表!L1112</f>
        <v>0</v>
      </c>
      <c r="E967" s="18" t="str">
        <f>IF(装备表!$O1112=0,"xxx",IFERROR(IF(INT(IF($D967=E$3,装备表!$E1112,"xxx")/10000)=1,IF($D967=E$3,装备表!$E1112,"xxx")&amp;":2,1,1,"&amp;装备表!$O1112&amp;";","xxx"),"xxx"))</f>
        <v>xxx</v>
      </c>
      <c r="F967" s="18" t="str">
        <f>IF(装备表!$O1112=0,"xxx",IFERROR(IF(INT(IF($D967=F$3,装备表!$E1112,"xxx")/10000)=1,IF($D967=F$3,装备表!$E1112,"xxx")&amp;":2,1,1,"&amp;装备表!$O1112&amp;";","xxx"),"xxx"))</f>
        <v>xxx</v>
      </c>
      <c r="G967" s="18" t="str">
        <f>IF(装备表!$O1112=0,"xxx",IFERROR(IF(INT(IF($D967=G$3,装备表!$E1112,"xxx")/10000)=1,IF($D967=G$3,装备表!$E1112,"xxx")&amp;":2,1,1,"&amp;装备表!$O1112&amp;";","xxx"),"xxx"))</f>
        <v>xxx</v>
      </c>
      <c r="H967" s="18" t="str">
        <f>IF(装备表!$O1112=0,"xxx",IFERROR(IF(INT(IF($D967=H$3,装备表!$E1112,"xxx")/10000)=1,IF($D967=H$3,装备表!$E1112,"xxx")&amp;":2,1,1,"&amp;装备表!$O1112&amp;";","xxx"),"xxx"))</f>
        <v>xxx</v>
      </c>
      <c r="I967" s="18" t="str">
        <f>IF(装备表!$O1112=0,"xxx",IFERROR(IF(INT(IF($D967=I$3,装备表!$E1112,"xxx")/10000)=1,IF($D967=I$3,装备表!$E1112,"xxx")&amp;":2,1,1,"&amp;装备表!$O1112&amp;";","xxx"),"xxx"))</f>
        <v>xxx</v>
      </c>
      <c r="J967" s="18" t="str">
        <f>IF(装备表!$O1112=0,"xxx",IFERROR(IF(INT(IF($D967=J$3,装备表!$E1112,"xxx")/10000)=1,IF($D967=J$3,装备表!$E1112,"xxx")&amp;":2,1,1,"&amp;装备表!$O1112&amp;";","xxx"),"xxx"))</f>
        <v>xxx</v>
      </c>
    </row>
    <row r="968" spans="4:10" x14ac:dyDescent="0.2">
      <c r="D968" s="18">
        <f>装备表!L1113</f>
        <v>0</v>
      </c>
      <c r="E968" s="18" t="str">
        <f>IF(装备表!$O1113=0,"xxx",IFERROR(IF(INT(IF($D968=E$3,装备表!$E1113,"xxx")/10000)=1,IF($D968=E$3,装备表!$E1113,"xxx")&amp;":2,1,1,"&amp;装备表!$O1113&amp;";","xxx"),"xxx"))</f>
        <v>xxx</v>
      </c>
      <c r="F968" s="18" t="str">
        <f>IF(装备表!$O1113=0,"xxx",IFERROR(IF(INT(IF($D968=F$3,装备表!$E1113,"xxx")/10000)=1,IF($D968=F$3,装备表!$E1113,"xxx")&amp;":2,1,1,"&amp;装备表!$O1113&amp;";","xxx"),"xxx"))</f>
        <v>xxx</v>
      </c>
      <c r="G968" s="18" t="str">
        <f>IF(装备表!$O1113=0,"xxx",IFERROR(IF(INT(IF($D968=G$3,装备表!$E1113,"xxx")/10000)=1,IF($D968=G$3,装备表!$E1113,"xxx")&amp;":2,1,1,"&amp;装备表!$O1113&amp;";","xxx"),"xxx"))</f>
        <v>xxx</v>
      </c>
      <c r="H968" s="18" t="str">
        <f>IF(装备表!$O1113=0,"xxx",IFERROR(IF(INT(IF($D968=H$3,装备表!$E1113,"xxx")/10000)=1,IF($D968=H$3,装备表!$E1113,"xxx")&amp;":2,1,1,"&amp;装备表!$O1113&amp;";","xxx"),"xxx"))</f>
        <v>xxx</v>
      </c>
      <c r="I968" s="18" t="str">
        <f>IF(装备表!$O1113=0,"xxx",IFERROR(IF(INT(IF($D968=I$3,装备表!$E1113,"xxx")/10000)=1,IF($D968=I$3,装备表!$E1113,"xxx")&amp;":2,1,1,"&amp;装备表!$O1113&amp;";","xxx"),"xxx"))</f>
        <v>xxx</v>
      </c>
      <c r="J968" s="18" t="str">
        <f>IF(装备表!$O1113=0,"xxx",IFERROR(IF(INT(IF($D968=J$3,装备表!$E1113,"xxx")/10000)=1,IF($D968=J$3,装备表!$E1113,"xxx")&amp;":2,1,1,"&amp;装备表!$O1113&amp;";","xxx"),"xxx"))</f>
        <v>xxx</v>
      </c>
    </row>
    <row r="969" spans="4:10" x14ac:dyDescent="0.2">
      <c r="D969" s="18">
        <f>装备表!L1114</f>
        <v>0</v>
      </c>
      <c r="E969" s="18" t="str">
        <f>IF(装备表!$O1114=0,"xxx",IFERROR(IF(INT(IF($D969=E$3,装备表!$E1114,"xxx")/10000)=1,IF($D969=E$3,装备表!$E1114,"xxx")&amp;":2,1,1,"&amp;装备表!$O1114&amp;";","xxx"),"xxx"))</f>
        <v>xxx</v>
      </c>
      <c r="F969" s="18" t="str">
        <f>IF(装备表!$O1114=0,"xxx",IFERROR(IF(INT(IF($D969=F$3,装备表!$E1114,"xxx")/10000)=1,IF($D969=F$3,装备表!$E1114,"xxx")&amp;":2,1,1,"&amp;装备表!$O1114&amp;";","xxx"),"xxx"))</f>
        <v>xxx</v>
      </c>
      <c r="G969" s="18" t="str">
        <f>IF(装备表!$O1114=0,"xxx",IFERROR(IF(INT(IF($D969=G$3,装备表!$E1114,"xxx")/10000)=1,IF($D969=G$3,装备表!$E1114,"xxx")&amp;":2,1,1,"&amp;装备表!$O1114&amp;";","xxx"),"xxx"))</f>
        <v>xxx</v>
      </c>
      <c r="H969" s="18" t="str">
        <f>IF(装备表!$O1114=0,"xxx",IFERROR(IF(INT(IF($D969=H$3,装备表!$E1114,"xxx")/10000)=1,IF($D969=H$3,装备表!$E1114,"xxx")&amp;":2,1,1,"&amp;装备表!$O1114&amp;";","xxx"),"xxx"))</f>
        <v>xxx</v>
      </c>
      <c r="I969" s="18" t="str">
        <f>IF(装备表!$O1114=0,"xxx",IFERROR(IF(INT(IF($D969=I$3,装备表!$E1114,"xxx")/10000)=1,IF($D969=I$3,装备表!$E1114,"xxx")&amp;":2,1,1,"&amp;装备表!$O1114&amp;";","xxx"),"xxx"))</f>
        <v>xxx</v>
      </c>
      <c r="J969" s="18" t="str">
        <f>IF(装备表!$O1114=0,"xxx",IFERROR(IF(INT(IF($D969=J$3,装备表!$E1114,"xxx")/10000)=1,IF($D969=J$3,装备表!$E1114,"xxx")&amp;":2,1,1,"&amp;装备表!$O1114&amp;";","xxx"),"xxx"))</f>
        <v>xxx</v>
      </c>
    </row>
    <row r="970" spans="4:10" x14ac:dyDescent="0.2">
      <c r="D970" s="18">
        <f>装备表!L1115</f>
        <v>0</v>
      </c>
      <c r="E970" s="18" t="str">
        <f>IF(装备表!$O1115=0,"xxx",IFERROR(IF(INT(IF($D970=E$3,装备表!$E1115,"xxx")/10000)=1,IF($D970=E$3,装备表!$E1115,"xxx")&amp;":2,1,1,"&amp;装备表!$O1115&amp;";","xxx"),"xxx"))</f>
        <v>xxx</v>
      </c>
      <c r="F970" s="18" t="str">
        <f>IF(装备表!$O1115=0,"xxx",IFERROR(IF(INT(IF($D970=F$3,装备表!$E1115,"xxx")/10000)=1,IF($D970=F$3,装备表!$E1115,"xxx")&amp;":2,1,1,"&amp;装备表!$O1115&amp;";","xxx"),"xxx"))</f>
        <v>xxx</v>
      </c>
      <c r="G970" s="18" t="str">
        <f>IF(装备表!$O1115=0,"xxx",IFERROR(IF(INT(IF($D970=G$3,装备表!$E1115,"xxx")/10000)=1,IF($D970=G$3,装备表!$E1115,"xxx")&amp;":2,1,1,"&amp;装备表!$O1115&amp;";","xxx"),"xxx"))</f>
        <v>xxx</v>
      </c>
      <c r="H970" s="18" t="str">
        <f>IF(装备表!$O1115=0,"xxx",IFERROR(IF(INT(IF($D970=H$3,装备表!$E1115,"xxx")/10000)=1,IF($D970=H$3,装备表!$E1115,"xxx")&amp;":2,1,1,"&amp;装备表!$O1115&amp;";","xxx"),"xxx"))</f>
        <v>xxx</v>
      </c>
      <c r="I970" s="18" t="str">
        <f>IF(装备表!$O1115=0,"xxx",IFERROR(IF(INT(IF($D970=I$3,装备表!$E1115,"xxx")/10000)=1,IF($D970=I$3,装备表!$E1115,"xxx")&amp;":2,1,1,"&amp;装备表!$O1115&amp;";","xxx"),"xxx"))</f>
        <v>xxx</v>
      </c>
      <c r="J970" s="18" t="str">
        <f>IF(装备表!$O1115=0,"xxx",IFERROR(IF(INT(IF($D970=J$3,装备表!$E1115,"xxx")/10000)=1,IF($D970=J$3,装备表!$E1115,"xxx")&amp;":2,1,1,"&amp;装备表!$O1115&amp;";","xxx"),"xxx"))</f>
        <v>xxx</v>
      </c>
    </row>
    <row r="971" spans="4:10" x14ac:dyDescent="0.2">
      <c r="D971" s="18">
        <f>装备表!L1116</f>
        <v>0</v>
      </c>
      <c r="E971" s="18" t="str">
        <f>IF(装备表!$O1116=0,"xxx",IFERROR(IF(INT(IF($D971=E$3,装备表!$E1116,"xxx")/10000)=1,IF($D971=E$3,装备表!$E1116,"xxx")&amp;":2,1,1,"&amp;装备表!$O1116&amp;";","xxx"),"xxx"))</f>
        <v>xxx</v>
      </c>
      <c r="F971" s="18" t="str">
        <f>IF(装备表!$O1116=0,"xxx",IFERROR(IF(INT(IF($D971=F$3,装备表!$E1116,"xxx")/10000)=1,IF($D971=F$3,装备表!$E1116,"xxx")&amp;":2,1,1,"&amp;装备表!$O1116&amp;";","xxx"),"xxx"))</f>
        <v>xxx</v>
      </c>
      <c r="G971" s="18" t="str">
        <f>IF(装备表!$O1116=0,"xxx",IFERROR(IF(INT(IF($D971=G$3,装备表!$E1116,"xxx")/10000)=1,IF($D971=G$3,装备表!$E1116,"xxx")&amp;":2,1,1,"&amp;装备表!$O1116&amp;";","xxx"),"xxx"))</f>
        <v>xxx</v>
      </c>
      <c r="H971" s="18" t="str">
        <f>IF(装备表!$O1116=0,"xxx",IFERROR(IF(INT(IF($D971=H$3,装备表!$E1116,"xxx")/10000)=1,IF($D971=H$3,装备表!$E1116,"xxx")&amp;":2,1,1,"&amp;装备表!$O1116&amp;";","xxx"),"xxx"))</f>
        <v>xxx</v>
      </c>
      <c r="I971" s="18" t="str">
        <f>IF(装备表!$O1116=0,"xxx",IFERROR(IF(INT(IF($D971=I$3,装备表!$E1116,"xxx")/10000)=1,IF($D971=I$3,装备表!$E1116,"xxx")&amp;":2,1,1,"&amp;装备表!$O1116&amp;";","xxx"),"xxx"))</f>
        <v>xxx</v>
      </c>
      <c r="J971" s="18" t="str">
        <f>IF(装备表!$O1116=0,"xxx",IFERROR(IF(INT(IF($D971=J$3,装备表!$E1116,"xxx")/10000)=1,IF($D971=J$3,装备表!$E1116,"xxx")&amp;":2,1,1,"&amp;装备表!$O1116&amp;";","xxx"),"xxx"))</f>
        <v>xxx</v>
      </c>
    </row>
    <row r="972" spans="4:10" x14ac:dyDescent="0.2">
      <c r="D972" s="18">
        <f>装备表!L1117</f>
        <v>0</v>
      </c>
      <c r="E972" s="18" t="str">
        <f>IF(装备表!$O1117=0,"xxx",IFERROR(IF(INT(IF($D972=E$3,装备表!$E1117,"xxx")/10000)=1,IF($D972=E$3,装备表!$E1117,"xxx")&amp;":2,1,1,"&amp;装备表!$O1117&amp;";","xxx"),"xxx"))</f>
        <v>xxx</v>
      </c>
      <c r="F972" s="18" t="str">
        <f>IF(装备表!$O1117=0,"xxx",IFERROR(IF(INT(IF($D972=F$3,装备表!$E1117,"xxx")/10000)=1,IF($D972=F$3,装备表!$E1117,"xxx")&amp;":2,1,1,"&amp;装备表!$O1117&amp;";","xxx"),"xxx"))</f>
        <v>xxx</v>
      </c>
      <c r="G972" s="18" t="str">
        <f>IF(装备表!$O1117=0,"xxx",IFERROR(IF(INT(IF($D972=G$3,装备表!$E1117,"xxx")/10000)=1,IF($D972=G$3,装备表!$E1117,"xxx")&amp;":2,1,1,"&amp;装备表!$O1117&amp;";","xxx"),"xxx"))</f>
        <v>xxx</v>
      </c>
      <c r="H972" s="18" t="str">
        <f>IF(装备表!$O1117=0,"xxx",IFERROR(IF(INT(IF($D972=H$3,装备表!$E1117,"xxx")/10000)=1,IF($D972=H$3,装备表!$E1117,"xxx")&amp;":2,1,1,"&amp;装备表!$O1117&amp;";","xxx"),"xxx"))</f>
        <v>xxx</v>
      </c>
      <c r="I972" s="18" t="str">
        <f>IF(装备表!$O1117=0,"xxx",IFERROR(IF(INT(IF($D972=I$3,装备表!$E1117,"xxx")/10000)=1,IF($D972=I$3,装备表!$E1117,"xxx")&amp;":2,1,1,"&amp;装备表!$O1117&amp;";","xxx"),"xxx"))</f>
        <v>xxx</v>
      </c>
      <c r="J972" s="18" t="str">
        <f>IF(装备表!$O1117=0,"xxx",IFERROR(IF(INT(IF($D972=J$3,装备表!$E1117,"xxx")/10000)=1,IF($D972=J$3,装备表!$E1117,"xxx")&amp;":2,1,1,"&amp;装备表!$O1117&amp;";","xxx"),"xxx"))</f>
        <v>xxx</v>
      </c>
    </row>
    <row r="973" spans="4:10" x14ac:dyDescent="0.2">
      <c r="D973" s="18">
        <f>装备表!L1118</f>
        <v>0</v>
      </c>
      <c r="E973" s="18" t="str">
        <f>IF(装备表!$O1118=0,"xxx",IFERROR(IF(INT(IF($D973=E$3,装备表!$E1118,"xxx")/10000)=1,IF($D973=E$3,装备表!$E1118,"xxx")&amp;":2,1,1,"&amp;装备表!$O1118&amp;";","xxx"),"xxx"))</f>
        <v>xxx</v>
      </c>
      <c r="F973" s="18" t="str">
        <f>IF(装备表!$O1118=0,"xxx",IFERROR(IF(INT(IF($D973=F$3,装备表!$E1118,"xxx")/10000)=1,IF($D973=F$3,装备表!$E1118,"xxx")&amp;":2,1,1,"&amp;装备表!$O1118&amp;";","xxx"),"xxx"))</f>
        <v>xxx</v>
      </c>
      <c r="G973" s="18" t="str">
        <f>IF(装备表!$O1118=0,"xxx",IFERROR(IF(INT(IF($D973=G$3,装备表!$E1118,"xxx")/10000)=1,IF($D973=G$3,装备表!$E1118,"xxx")&amp;":2,1,1,"&amp;装备表!$O1118&amp;";","xxx"),"xxx"))</f>
        <v>xxx</v>
      </c>
      <c r="H973" s="18" t="str">
        <f>IF(装备表!$O1118=0,"xxx",IFERROR(IF(INT(IF($D973=H$3,装备表!$E1118,"xxx")/10000)=1,IF($D973=H$3,装备表!$E1118,"xxx")&amp;":2,1,1,"&amp;装备表!$O1118&amp;";","xxx"),"xxx"))</f>
        <v>xxx</v>
      </c>
      <c r="I973" s="18" t="str">
        <f>IF(装备表!$O1118=0,"xxx",IFERROR(IF(INT(IF($D973=I$3,装备表!$E1118,"xxx")/10000)=1,IF($D973=I$3,装备表!$E1118,"xxx")&amp;":2,1,1,"&amp;装备表!$O1118&amp;";","xxx"),"xxx"))</f>
        <v>xxx</v>
      </c>
      <c r="J973" s="18" t="str">
        <f>IF(装备表!$O1118=0,"xxx",IFERROR(IF(INT(IF($D973=J$3,装备表!$E1118,"xxx")/10000)=1,IF($D973=J$3,装备表!$E1118,"xxx")&amp;":2,1,1,"&amp;装备表!$O1118&amp;";","xxx"),"xxx"))</f>
        <v>xxx</v>
      </c>
    </row>
    <row r="974" spans="4:10" x14ac:dyDescent="0.2">
      <c r="D974" s="18">
        <f>装备表!L1119</f>
        <v>0</v>
      </c>
      <c r="E974" s="18" t="str">
        <f>IF(装备表!$O1119=0,"xxx",IFERROR(IF(INT(IF($D974=E$3,装备表!$E1119,"xxx")/10000)=1,IF($D974=E$3,装备表!$E1119,"xxx")&amp;":2,1,1,"&amp;装备表!$O1119&amp;";","xxx"),"xxx"))</f>
        <v>xxx</v>
      </c>
      <c r="F974" s="18" t="str">
        <f>IF(装备表!$O1119=0,"xxx",IFERROR(IF(INT(IF($D974=F$3,装备表!$E1119,"xxx")/10000)=1,IF($D974=F$3,装备表!$E1119,"xxx")&amp;":2,1,1,"&amp;装备表!$O1119&amp;";","xxx"),"xxx"))</f>
        <v>xxx</v>
      </c>
      <c r="G974" s="18" t="str">
        <f>IF(装备表!$O1119=0,"xxx",IFERROR(IF(INT(IF($D974=G$3,装备表!$E1119,"xxx")/10000)=1,IF($D974=G$3,装备表!$E1119,"xxx")&amp;":2,1,1,"&amp;装备表!$O1119&amp;";","xxx"),"xxx"))</f>
        <v>xxx</v>
      </c>
      <c r="H974" s="18" t="str">
        <f>IF(装备表!$O1119=0,"xxx",IFERROR(IF(INT(IF($D974=H$3,装备表!$E1119,"xxx")/10000)=1,IF($D974=H$3,装备表!$E1119,"xxx")&amp;":2,1,1,"&amp;装备表!$O1119&amp;";","xxx"),"xxx"))</f>
        <v>xxx</v>
      </c>
      <c r="I974" s="18" t="str">
        <f>IF(装备表!$O1119=0,"xxx",IFERROR(IF(INT(IF($D974=I$3,装备表!$E1119,"xxx")/10000)=1,IF($D974=I$3,装备表!$E1119,"xxx")&amp;":2,1,1,"&amp;装备表!$O1119&amp;";","xxx"),"xxx"))</f>
        <v>xxx</v>
      </c>
      <c r="J974" s="18" t="str">
        <f>IF(装备表!$O1119=0,"xxx",IFERROR(IF(INT(IF($D974=J$3,装备表!$E1119,"xxx")/10000)=1,IF($D974=J$3,装备表!$E1119,"xxx")&amp;":2,1,1,"&amp;装备表!$O1119&amp;";","xxx"),"xxx"))</f>
        <v>xxx</v>
      </c>
    </row>
    <row r="975" spans="4:10" x14ac:dyDescent="0.2">
      <c r="D975" s="18">
        <f>装备表!L1120</f>
        <v>0</v>
      </c>
      <c r="E975" s="18" t="str">
        <f>IF(装备表!$O1120=0,"xxx",IFERROR(IF(INT(IF($D975=E$3,装备表!$E1120,"xxx")/10000)=1,IF($D975=E$3,装备表!$E1120,"xxx")&amp;":2,1,1,"&amp;装备表!$O1120&amp;";","xxx"),"xxx"))</f>
        <v>xxx</v>
      </c>
      <c r="F975" s="18" t="str">
        <f>IF(装备表!$O1120=0,"xxx",IFERROR(IF(INT(IF($D975=F$3,装备表!$E1120,"xxx")/10000)=1,IF($D975=F$3,装备表!$E1120,"xxx")&amp;":2,1,1,"&amp;装备表!$O1120&amp;";","xxx"),"xxx"))</f>
        <v>xxx</v>
      </c>
      <c r="G975" s="18" t="str">
        <f>IF(装备表!$O1120=0,"xxx",IFERROR(IF(INT(IF($D975=G$3,装备表!$E1120,"xxx")/10000)=1,IF($D975=G$3,装备表!$E1120,"xxx")&amp;":2,1,1,"&amp;装备表!$O1120&amp;";","xxx"),"xxx"))</f>
        <v>xxx</v>
      </c>
      <c r="H975" s="18" t="str">
        <f>IF(装备表!$O1120=0,"xxx",IFERROR(IF(INT(IF($D975=H$3,装备表!$E1120,"xxx")/10000)=1,IF($D975=H$3,装备表!$E1120,"xxx")&amp;":2,1,1,"&amp;装备表!$O1120&amp;";","xxx"),"xxx"))</f>
        <v>xxx</v>
      </c>
      <c r="I975" s="18" t="str">
        <f>IF(装备表!$O1120=0,"xxx",IFERROR(IF(INT(IF($D975=I$3,装备表!$E1120,"xxx")/10000)=1,IF($D975=I$3,装备表!$E1120,"xxx")&amp;":2,1,1,"&amp;装备表!$O1120&amp;";","xxx"),"xxx"))</f>
        <v>xxx</v>
      </c>
      <c r="J975" s="18" t="str">
        <f>IF(装备表!$O1120=0,"xxx",IFERROR(IF(INT(IF($D975=J$3,装备表!$E1120,"xxx")/10000)=1,IF($D975=J$3,装备表!$E1120,"xxx")&amp;":2,1,1,"&amp;装备表!$O1120&amp;";","xxx"),"xxx"))</f>
        <v>xxx</v>
      </c>
    </row>
    <row r="976" spans="4:10" x14ac:dyDescent="0.2">
      <c r="D976" s="18">
        <f>装备表!L1121</f>
        <v>0</v>
      </c>
      <c r="E976" s="18" t="str">
        <f>IF(装备表!$O1121=0,"xxx",IFERROR(IF(INT(IF($D976=E$3,装备表!$E1121,"xxx")/10000)=1,IF($D976=E$3,装备表!$E1121,"xxx")&amp;":2,1,1,"&amp;装备表!$O1121&amp;";","xxx"),"xxx"))</f>
        <v>xxx</v>
      </c>
      <c r="F976" s="18" t="str">
        <f>IF(装备表!$O1121=0,"xxx",IFERROR(IF(INT(IF($D976=F$3,装备表!$E1121,"xxx")/10000)=1,IF($D976=F$3,装备表!$E1121,"xxx")&amp;":2,1,1,"&amp;装备表!$O1121&amp;";","xxx"),"xxx"))</f>
        <v>xxx</v>
      </c>
      <c r="G976" s="18" t="str">
        <f>IF(装备表!$O1121=0,"xxx",IFERROR(IF(INT(IF($D976=G$3,装备表!$E1121,"xxx")/10000)=1,IF($D976=G$3,装备表!$E1121,"xxx")&amp;":2,1,1,"&amp;装备表!$O1121&amp;";","xxx"),"xxx"))</f>
        <v>xxx</v>
      </c>
      <c r="H976" s="18" t="str">
        <f>IF(装备表!$O1121=0,"xxx",IFERROR(IF(INT(IF($D976=H$3,装备表!$E1121,"xxx")/10000)=1,IF($D976=H$3,装备表!$E1121,"xxx")&amp;":2,1,1,"&amp;装备表!$O1121&amp;";","xxx"),"xxx"))</f>
        <v>xxx</v>
      </c>
      <c r="I976" s="18" t="str">
        <f>IF(装备表!$O1121=0,"xxx",IFERROR(IF(INT(IF($D976=I$3,装备表!$E1121,"xxx")/10000)=1,IF($D976=I$3,装备表!$E1121,"xxx")&amp;":2,1,1,"&amp;装备表!$O1121&amp;";","xxx"),"xxx"))</f>
        <v>xxx</v>
      </c>
      <c r="J976" s="18" t="str">
        <f>IF(装备表!$O1121=0,"xxx",IFERROR(IF(INT(IF($D976=J$3,装备表!$E1121,"xxx")/10000)=1,IF($D976=J$3,装备表!$E1121,"xxx")&amp;":2,1,1,"&amp;装备表!$O1121&amp;";","xxx"),"xxx"))</f>
        <v>xxx</v>
      </c>
    </row>
    <row r="977" spans="4:10" x14ac:dyDescent="0.2">
      <c r="D977" s="18">
        <f>装备表!L1122</f>
        <v>0</v>
      </c>
      <c r="E977" s="18" t="str">
        <f>IF(装备表!$O1122=0,"xxx",IFERROR(IF(INT(IF($D977=E$3,装备表!$E1122,"xxx")/10000)=1,IF($D977=E$3,装备表!$E1122,"xxx")&amp;":2,1,1,"&amp;装备表!$O1122&amp;";","xxx"),"xxx"))</f>
        <v>xxx</v>
      </c>
      <c r="F977" s="18" t="str">
        <f>IF(装备表!$O1122=0,"xxx",IFERROR(IF(INT(IF($D977=F$3,装备表!$E1122,"xxx")/10000)=1,IF($D977=F$3,装备表!$E1122,"xxx")&amp;":2,1,1,"&amp;装备表!$O1122&amp;";","xxx"),"xxx"))</f>
        <v>xxx</v>
      </c>
      <c r="G977" s="18" t="str">
        <f>IF(装备表!$O1122=0,"xxx",IFERROR(IF(INT(IF($D977=G$3,装备表!$E1122,"xxx")/10000)=1,IF($D977=G$3,装备表!$E1122,"xxx")&amp;":2,1,1,"&amp;装备表!$O1122&amp;";","xxx"),"xxx"))</f>
        <v>xxx</v>
      </c>
      <c r="H977" s="18" t="str">
        <f>IF(装备表!$O1122=0,"xxx",IFERROR(IF(INT(IF($D977=H$3,装备表!$E1122,"xxx")/10000)=1,IF($D977=H$3,装备表!$E1122,"xxx")&amp;":2,1,1,"&amp;装备表!$O1122&amp;";","xxx"),"xxx"))</f>
        <v>xxx</v>
      </c>
      <c r="I977" s="18" t="str">
        <f>IF(装备表!$O1122=0,"xxx",IFERROR(IF(INT(IF($D977=I$3,装备表!$E1122,"xxx")/10000)=1,IF($D977=I$3,装备表!$E1122,"xxx")&amp;":2,1,1,"&amp;装备表!$O1122&amp;";","xxx"),"xxx"))</f>
        <v>xxx</v>
      </c>
      <c r="J977" s="18" t="str">
        <f>IF(装备表!$O1122=0,"xxx",IFERROR(IF(INT(IF($D977=J$3,装备表!$E1122,"xxx")/10000)=1,IF($D977=J$3,装备表!$E1122,"xxx")&amp;":2,1,1,"&amp;装备表!$O1122&amp;";","xxx"),"xxx"))</f>
        <v>xxx</v>
      </c>
    </row>
    <row r="978" spans="4:10" x14ac:dyDescent="0.2">
      <c r="D978" s="18">
        <f>装备表!L1123</f>
        <v>0</v>
      </c>
      <c r="E978" s="18" t="str">
        <f>IF(装备表!$O1123=0,"xxx",IFERROR(IF(INT(IF($D978=E$3,装备表!$E1123,"xxx")/10000)=1,IF($D978=E$3,装备表!$E1123,"xxx")&amp;":2,1,1,"&amp;装备表!$O1123&amp;";","xxx"),"xxx"))</f>
        <v>xxx</v>
      </c>
      <c r="F978" s="18" t="str">
        <f>IF(装备表!$O1123=0,"xxx",IFERROR(IF(INT(IF($D978=F$3,装备表!$E1123,"xxx")/10000)=1,IF($D978=F$3,装备表!$E1123,"xxx")&amp;":2,1,1,"&amp;装备表!$O1123&amp;";","xxx"),"xxx"))</f>
        <v>xxx</v>
      </c>
      <c r="G978" s="18" t="str">
        <f>IF(装备表!$O1123=0,"xxx",IFERROR(IF(INT(IF($D978=G$3,装备表!$E1123,"xxx")/10000)=1,IF($D978=G$3,装备表!$E1123,"xxx")&amp;":2,1,1,"&amp;装备表!$O1123&amp;";","xxx"),"xxx"))</f>
        <v>xxx</v>
      </c>
      <c r="H978" s="18" t="str">
        <f>IF(装备表!$O1123=0,"xxx",IFERROR(IF(INT(IF($D978=H$3,装备表!$E1123,"xxx")/10000)=1,IF($D978=H$3,装备表!$E1123,"xxx")&amp;":2,1,1,"&amp;装备表!$O1123&amp;";","xxx"),"xxx"))</f>
        <v>xxx</v>
      </c>
      <c r="I978" s="18" t="str">
        <f>IF(装备表!$O1123=0,"xxx",IFERROR(IF(INT(IF($D978=I$3,装备表!$E1123,"xxx")/10000)=1,IF($D978=I$3,装备表!$E1123,"xxx")&amp;":2,1,1,"&amp;装备表!$O1123&amp;";","xxx"),"xxx"))</f>
        <v>xxx</v>
      </c>
      <c r="J978" s="18" t="str">
        <f>IF(装备表!$O1123=0,"xxx",IFERROR(IF(INT(IF($D978=J$3,装备表!$E1123,"xxx")/10000)=1,IF($D978=J$3,装备表!$E1123,"xxx")&amp;":2,1,1,"&amp;装备表!$O1123&amp;";","xxx"),"xxx"))</f>
        <v>xxx</v>
      </c>
    </row>
    <row r="979" spans="4:10" x14ac:dyDescent="0.2">
      <c r="D979" s="18">
        <f>装备表!L1124</f>
        <v>0</v>
      </c>
      <c r="E979" s="18" t="str">
        <f>IF(装备表!$O1124=0,"xxx",IFERROR(IF(INT(IF($D979=E$3,装备表!$E1124,"xxx")/10000)=1,IF($D979=E$3,装备表!$E1124,"xxx")&amp;":2,1,1,"&amp;装备表!$O1124&amp;";","xxx"),"xxx"))</f>
        <v>xxx</v>
      </c>
      <c r="F979" s="18" t="str">
        <f>IF(装备表!$O1124=0,"xxx",IFERROR(IF(INT(IF($D979=F$3,装备表!$E1124,"xxx")/10000)=1,IF($D979=F$3,装备表!$E1124,"xxx")&amp;":2,1,1,"&amp;装备表!$O1124&amp;";","xxx"),"xxx"))</f>
        <v>xxx</v>
      </c>
      <c r="G979" s="18" t="str">
        <f>IF(装备表!$O1124=0,"xxx",IFERROR(IF(INT(IF($D979=G$3,装备表!$E1124,"xxx")/10000)=1,IF($D979=G$3,装备表!$E1124,"xxx")&amp;":2,1,1,"&amp;装备表!$O1124&amp;";","xxx"),"xxx"))</f>
        <v>xxx</v>
      </c>
      <c r="H979" s="18" t="str">
        <f>IF(装备表!$O1124=0,"xxx",IFERROR(IF(INT(IF($D979=H$3,装备表!$E1124,"xxx")/10000)=1,IF($D979=H$3,装备表!$E1124,"xxx")&amp;":2,1,1,"&amp;装备表!$O1124&amp;";","xxx"),"xxx"))</f>
        <v>xxx</v>
      </c>
      <c r="I979" s="18" t="str">
        <f>IF(装备表!$O1124=0,"xxx",IFERROR(IF(INT(IF($D979=I$3,装备表!$E1124,"xxx")/10000)=1,IF($D979=I$3,装备表!$E1124,"xxx")&amp;":2,1,1,"&amp;装备表!$O1124&amp;";","xxx"),"xxx"))</f>
        <v>xxx</v>
      </c>
      <c r="J979" s="18" t="str">
        <f>IF(装备表!$O1124=0,"xxx",IFERROR(IF(INT(IF($D979=J$3,装备表!$E1124,"xxx")/10000)=1,IF($D979=J$3,装备表!$E1124,"xxx")&amp;":2,1,1,"&amp;装备表!$O1124&amp;";","xxx"),"xxx"))</f>
        <v>xxx</v>
      </c>
    </row>
    <row r="980" spans="4:10" x14ac:dyDescent="0.2">
      <c r="D980" s="18">
        <f>装备表!L1125</f>
        <v>0</v>
      </c>
      <c r="E980" s="18" t="str">
        <f>IF(装备表!$O1125=0,"xxx",IFERROR(IF(INT(IF($D980=E$3,装备表!$E1125,"xxx")/10000)=1,IF($D980=E$3,装备表!$E1125,"xxx")&amp;":2,1,1,"&amp;装备表!$O1125&amp;";","xxx"),"xxx"))</f>
        <v>xxx</v>
      </c>
      <c r="F980" s="18" t="str">
        <f>IF(装备表!$O1125=0,"xxx",IFERROR(IF(INT(IF($D980=F$3,装备表!$E1125,"xxx")/10000)=1,IF($D980=F$3,装备表!$E1125,"xxx")&amp;":2,1,1,"&amp;装备表!$O1125&amp;";","xxx"),"xxx"))</f>
        <v>xxx</v>
      </c>
      <c r="G980" s="18" t="str">
        <f>IF(装备表!$O1125=0,"xxx",IFERROR(IF(INT(IF($D980=G$3,装备表!$E1125,"xxx")/10000)=1,IF($D980=G$3,装备表!$E1125,"xxx")&amp;":2,1,1,"&amp;装备表!$O1125&amp;";","xxx"),"xxx"))</f>
        <v>xxx</v>
      </c>
      <c r="H980" s="18" t="str">
        <f>IF(装备表!$O1125=0,"xxx",IFERROR(IF(INT(IF($D980=H$3,装备表!$E1125,"xxx")/10000)=1,IF($D980=H$3,装备表!$E1125,"xxx")&amp;":2,1,1,"&amp;装备表!$O1125&amp;";","xxx"),"xxx"))</f>
        <v>xxx</v>
      </c>
      <c r="I980" s="18" t="str">
        <f>IF(装备表!$O1125=0,"xxx",IFERROR(IF(INT(IF($D980=I$3,装备表!$E1125,"xxx")/10000)=1,IF($D980=I$3,装备表!$E1125,"xxx")&amp;":2,1,1,"&amp;装备表!$O1125&amp;";","xxx"),"xxx"))</f>
        <v>xxx</v>
      </c>
      <c r="J980" s="18" t="str">
        <f>IF(装备表!$O1125=0,"xxx",IFERROR(IF(INT(IF($D980=J$3,装备表!$E1125,"xxx")/10000)=1,IF($D980=J$3,装备表!$E1125,"xxx")&amp;":2,1,1,"&amp;装备表!$O1125&amp;";","xxx"),"xxx"))</f>
        <v>xxx</v>
      </c>
    </row>
    <row r="981" spans="4:10" x14ac:dyDescent="0.2">
      <c r="D981" s="18">
        <f>装备表!L1126</f>
        <v>0</v>
      </c>
      <c r="E981" s="18" t="str">
        <f>IF(装备表!$O1126=0,"xxx",IFERROR(IF(INT(IF($D981=E$3,装备表!$E1126,"xxx")/10000)=1,IF($D981=E$3,装备表!$E1126,"xxx")&amp;":2,1,1,"&amp;装备表!$O1126&amp;";","xxx"),"xxx"))</f>
        <v>xxx</v>
      </c>
      <c r="F981" s="18" t="str">
        <f>IF(装备表!$O1126=0,"xxx",IFERROR(IF(INT(IF($D981=F$3,装备表!$E1126,"xxx")/10000)=1,IF($D981=F$3,装备表!$E1126,"xxx")&amp;":2,1,1,"&amp;装备表!$O1126&amp;";","xxx"),"xxx"))</f>
        <v>xxx</v>
      </c>
      <c r="G981" s="18" t="str">
        <f>IF(装备表!$O1126=0,"xxx",IFERROR(IF(INT(IF($D981=G$3,装备表!$E1126,"xxx")/10000)=1,IF($D981=G$3,装备表!$E1126,"xxx")&amp;":2,1,1,"&amp;装备表!$O1126&amp;";","xxx"),"xxx"))</f>
        <v>xxx</v>
      </c>
      <c r="H981" s="18" t="str">
        <f>IF(装备表!$O1126=0,"xxx",IFERROR(IF(INT(IF($D981=H$3,装备表!$E1126,"xxx")/10000)=1,IF($D981=H$3,装备表!$E1126,"xxx")&amp;":2,1,1,"&amp;装备表!$O1126&amp;";","xxx"),"xxx"))</f>
        <v>xxx</v>
      </c>
      <c r="I981" s="18" t="str">
        <f>IF(装备表!$O1126=0,"xxx",IFERROR(IF(INT(IF($D981=I$3,装备表!$E1126,"xxx")/10000)=1,IF($D981=I$3,装备表!$E1126,"xxx")&amp;":2,1,1,"&amp;装备表!$O1126&amp;";","xxx"),"xxx"))</f>
        <v>xxx</v>
      </c>
      <c r="J981" s="18" t="str">
        <f>IF(装备表!$O1126=0,"xxx",IFERROR(IF(INT(IF($D981=J$3,装备表!$E1126,"xxx")/10000)=1,IF($D981=J$3,装备表!$E1126,"xxx")&amp;":2,1,1,"&amp;装备表!$O1126&amp;";","xxx"),"xxx"))</f>
        <v>xxx</v>
      </c>
    </row>
    <row r="982" spans="4:10" x14ac:dyDescent="0.2">
      <c r="D982" s="18">
        <f>装备表!L1127</f>
        <v>0</v>
      </c>
      <c r="E982" s="18" t="str">
        <f>IF(装备表!$O1127=0,"xxx",IFERROR(IF(INT(IF($D982=E$3,装备表!$E1127,"xxx")/10000)=1,IF($D982=E$3,装备表!$E1127,"xxx")&amp;":2,1,1,"&amp;装备表!$O1127&amp;";","xxx"),"xxx"))</f>
        <v>xxx</v>
      </c>
      <c r="F982" s="18" t="str">
        <f>IF(装备表!$O1127=0,"xxx",IFERROR(IF(INT(IF($D982=F$3,装备表!$E1127,"xxx")/10000)=1,IF($D982=F$3,装备表!$E1127,"xxx")&amp;":2,1,1,"&amp;装备表!$O1127&amp;";","xxx"),"xxx"))</f>
        <v>xxx</v>
      </c>
      <c r="G982" s="18" t="str">
        <f>IF(装备表!$O1127=0,"xxx",IFERROR(IF(INT(IF($D982=G$3,装备表!$E1127,"xxx")/10000)=1,IF($D982=G$3,装备表!$E1127,"xxx")&amp;":2,1,1,"&amp;装备表!$O1127&amp;";","xxx"),"xxx"))</f>
        <v>xxx</v>
      </c>
      <c r="H982" s="18" t="str">
        <f>IF(装备表!$O1127=0,"xxx",IFERROR(IF(INT(IF($D982=H$3,装备表!$E1127,"xxx")/10000)=1,IF($D982=H$3,装备表!$E1127,"xxx")&amp;":2,1,1,"&amp;装备表!$O1127&amp;";","xxx"),"xxx"))</f>
        <v>xxx</v>
      </c>
      <c r="I982" s="18" t="str">
        <f>IF(装备表!$O1127=0,"xxx",IFERROR(IF(INT(IF($D982=I$3,装备表!$E1127,"xxx")/10000)=1,IF($D982=I$3,装备表!$E1127,"xxx")&amp;":2,1,1,"&amp;装备表!$O1127&amp;";","xxx"),"xxx"))</f>
        <v>xxx</v>
      </c>
      <c r="J982" s="18" t="str">
        <f>IF(装备表!$O1127=0,"xxx",IFERROR(IF(INT(IF($D982=J$3,装备表!$E1127,"xxx")/10000)=1,IF($D982=J$3,装备表!$E1127,"xxx")&amp;":2,1,1,"&amp;装备表!$O1127&amp;";","xxx"),"xxx"))</f>
        <v>xxx</v>
      </c>
    </row>
    <row r="983" spans="4:10" x14ac:dyDescent="0.2">
      <c r="D983" s="18">
        <f>装备表!L1128</f>
        <v>0</v>
      </c>
      <c r="E983" s="18" t="str">
        <f>IF(装备表!$O1128=0,"xxx",IFERROR(IF(INT(IF($D983=E$3,装备表!$E1128,"xxx")/10000)=1,IF($D983=E$3,装备表!$E1128,"xxx")&amp;":2,1,1,"&amp;装备表!$O1128&amp;";","xxx"),"xxx"))</f>
        <v>xxx</v>
      </c>
      <c r="F983" s="18" t="str">
        <f>IF(装备表!$O1128=0,"xxx",IFERROR(IF(INT(IF($D983=F$3,装备表!$E1128,"xxx")/10000)=1,IF($D983=F$3,装备表!$E1128,"xxx")&amp;":2,1,1,"&amp;装备表!$O1128&amp;";","xxx"),"xxx"))</f>
        <v>xxx</v>
      </c>
      <c r="G983" s="18" t="str">
        <f>IF(装备表!$O1128=0,"xxx",IFERROR(IF(INT(IF($D983=G$3,装备表!$E1128,"xxx")/10000)=1,IF($D983=G$3,装备表!$E1128,"xxx")&amp;":2,1,1,"&amp;装备表!$O1128&amp;";","xxx"),"xxx"))</f>
        <v>xxx</v>
      </c>
      <c r="H983" s="18" t="str">
        <f>IF(装备表!$O1128=0,"xxx",IFERROR(IF(INT(IF($D983=H$3,装备表!$E1128,"xxx")/10000)=1,IF($D983=H$3,装备表!$E1128,"xxx")&amp;":2,1,1,"&amp;装备表!$O1128&amp;";","xxx"),"xxx"))</f>
        <v>xxx</v>
      </c>
      <c r="I983" s="18" t="str">
        <f>IF(装备表!$O1128=0,"xxx",IFERROR(IF(INT(IF($D983=I$3,装备表!$E1128,"xxx")/10000)=1,IF($D983=I$3,装备表!$E1128,"xxx")&amp;":2,1,1,"&amp;装备表!$O1128&amp;";","xxx"),"xxx"))</f>
        <v>xxx</v>
      </c>
      <c r="J983" s="18" t="str">
        <f>IF(装备表!$O1128=0,"xxx",IFERROR(IF(INT(IF($D983=J$3,装备表!$E1128,"xxx")/10000)=1,IF($D983=J$3,装备表!$E1128,"xxx")&amp;":2,1,1,"&amp;装备表!$O1128&amp;";","xxx"),"xxx"))</f>
        <v>xxx</v>
      </c>
    </row>
    <row r="984" spans="4:10" x14ac:dyDescent="0.2">
      <c r="D984" s="18">
        <f>装备表!L1129</f>
        <v>0</v>
      </c>
      <c r="E984" s="18" t="str">
        <f>IF(装备表!$O1129=0,"xxx",IFERROR(IF(INT(IF($D984=E$3,装备表!$E1129,"xxx")/10000)=1,IF($D984=E$3,装备表!$E1129,"xxx")&amp;":2,1,1,"&amp;装备表!$O1129&amp;";","xxx"),"xxx"))</f>
        <v>xxx</v>
      </c>
      <c r="F984" s="18" t="str">
        <f>IF(装备表!$O1129=0,"xxx",IFERROR(IF(INT(IF($D984=F$3,装备表!$E1129,"xxx")/10000)=1,IF($D984=F$3,装备表!$E1129,"xxx")&amp;":2,1,1,"&amp;装备表!$O1129&amp;";","xxx"),"xxx"))</f>
        <v>xxx</v>
      </c>
      <c r="G984" s="18" t="str">
        <f>IF(装备表!$O1129=0,"xxx",IFERROR(IF(INT(IF($D984=G$3,装备表!$E1129,"xxx")/10000)=1,IF($D984=G$3,装备表!$E1129,"xxx")&amp;":2,1,1,"&amp;装备表!$O1129&amp;";","xxx"),"xxx"))</f>
        <v>xxx</v>
      </c>
      <c r="H984" s="18" t="str">
        <f>IF(装备表!$O1129=0,"xxx",IFERROR(IF(INT(IF($D984=H$3,装备表!$E1129,"xxx")/10000)=1,IF($D984=H$3,装备表!$E1129,"xxx")&amp;":2,1,1,"&amp;装备表!$O1129&amp;";","xxx"),"xxx"))</f>
        <v>xxx</v>
      </c>
      <c r="I984" s="18" t="str">
        <f>IF(装备表!$O1129=0,"xxx",IFERROR(IF(INT(IF($D984=I$3,装备表!$E1129,"xxx")/10000)=1,IF($D984=I$3,装备表!$E1129,"xxx")&amp;":2,1,1,"&amp;装备表!$O1129&amp;";","xxx"),"xxx"))</f>
        <v>xxx</v>
      </c>
      <c r="J984" s="18" t="str">
        <f>IF(装备表!$O1129=0,"xxx",IFERROR(IF(INT(IF($D984=J$3,装备表!$E1129,"xxx")/10000)=1,IF($D984=J$3,装备表!$E1129,"xxx")&amp;":2,1,1,"&amp;装备表!$O1129&amp;";","xxx"),"xxx"))</f>
        <v>xxx</v>
      </c>
    </row>
    <row r="985" spans="4:10" x14ac:dyDescent="0.2">
      <c r="D985" s="18">
        <f>装备表!L1130</f>
        <v>0</v>
      </c>
      <c r="E985" s="18" t="str">
        <f>IF(装备表!$O1130=0,"xxx",IFERROR(IF(INT(IF($D985=E$3,装备表!$E1130,"xxx")/10000)=1,IF($D985=E$3,装备表!$E1130,"xxx")&amp;":2,1,1,"&amp;装备表!$O1130&amp;";","xxx"),"xxx"))</f>
        <v>xxx</v>
      </c>
      <c r="F985" s="18" t="str">
        <f>IF(装备表!$O1130=0,"xxx",IFERROR(IF(INT(IF($D985=F$3,装备表!$E1130,"xxx")/10000)=1,IF($D985=F$3,装备表!$E1130,"xxx")&amp;":2,1,1,"&amp;装备表!$O1130&amp;";","xxx"),"xxx"))</f>
        <v>xxx</v>
      </c>
      <c r="G985" s="18" t="str">
        <f>IF(装备表!$O1130=0,"xxx",IFERROR(IF(INT(IF($D985=G$3,装备表!$E1130,"xxx")/10000)=1,IF($D985=G$3,装备表!$E1130,"xxx")&amp;":2,1,1,"&amp;装备表!$O1130&amp;";","xxx"),"xxx"))</f>
        <v>xxx</v>
      </c>
      <c r="H985" s="18" t="str">
        <f>IF(装备表!$O1130=0,"xxx",IFERROR(IF(INT(IF($D985=H$3,装备表!$E1130,"xxx")/10000)=1,IF($D985=H$3,装备表!$E1130,"xxx")&amp;":2,1,1,"&amp;装备表!$O1130&amp;";","xxx"),"xxx"))</f>
        <v>xxx</v>
      </c>
      <c r="I985" s="18" t="str">
        <f>IF(装备表!$O1130=0,"xxx",IFERROR(IF(INT(IF($D985=I$3,装备表!$E1130,"xxx")/10000)=1,IF($D985=I$3,装备表!$E1130,"xxx")&amp;":2,1,1,"&amp;装备表!$O1130&amp;";","xxx"),"xxx"))</f>
        <v>xxx</v>
      </c>
      <c r="J985" s="18" t="str">
        <f>IF(装备表!$O1130=0,"xxx",IFERROR(IF(INT(IF($D985=J$3,装备表!$E1130,"xxx")/10000)=1,IF($D985=J$3,装备表!$E1130,"xxx")&amp;":2,1,1,"&amp;装备表!$O1130&amp;";","xxx"),"xxx"))</f>
        <v>xxx</v>
      </c>
    </row>
    <row r="986" spans="4:10" x14ac:dyDescent="0.2">
      <c r="D986" s="18">
        <f>装备表!L1131</f>
        <v>0</v>
      </c>
      <c r="E986" s="18" t="str">
        <f>IF(装备表!$O1131=0,"xxx",IFERROR(IF(INT(IF($D986=E$3,装备表!$E1131,"xxx")/10000)=1,IF($D986=E$3,装备表!$E1131,"xxx")&amp;":2,1,1,"&amp;装备表!$O1131&amp;";","xxx"),"xxx"))</f>
        <v>xxx</v>
      </c>
      <c r="F986" s="18" t="str">
        <f>IF(装备表!$O1131=0,"xxx",IFERROR(IF(INT(IF($D986=F$3,装备表!$E1131,"xxx")/10000)=1,IF($D986=F$3,装备表!$E1131,"xxx")&amp;":2,1,1,"&amp;装备表!$O1131&amp;";","xxx"),"xxx"))</f>
        <v>xxx</v>
      </c>
      <c r="G986" s="18" t="str">
        <f>IF(装备表!$O1131=0,"xxx",IFERROR(IF(INT(IF($D986=G$3,装备表!$E1131,"xxx")/10000)=1,IF($D986=G$3,装备表!$E1131,"xxx")&amp;":2,1,1,"&amp;装备表!$O1131&amp;";","xxx"),"xxx"))</f>
        <v>xxx</v>
      </c>
      <c r="H986" s="18" t="str">
        <f>IF(装备表!$O1131=0,"xxx",IFERROR(IF(INT(IF($D986=H$3,装备表!$E1131,"xxx")/10000)=1,IF($D986=H$3,装备表!$E1131,"xxx")&amp;":2,1,1,"&amp;装备表!$O1131&amp;";","xxx"),"xxx"))</f>
        <v>xxx</v>
      </c>
      <c r="I986" s="18" t="str">
        <f>IF(装备表!$O1131=0,"xxx",IFERROR(IF(INT(IF($D986=I$3,装备表!$E1131,"xxx")/10000)=1,IF($D986=I$3,装备表!$E1131,"xxx")&amp;":2,1,1,"&amp;装备表!$O1131&amp;";","xxx"),"xxx"))</f>
        <v>xxx</v>
      </c>
      <c r="J986" s="18" t="str">
        <f>IF(装备表!$O1131=0,"xxx",IFERROR(IF(INT(IF($D986=J$3,装备表!$E1131,"xxx")/10000)=1,IF($D986=J$3,装备表!$E1131,"xxx")&amp;":2,1,1,"&amp;装备表!$O1131&amp;";","xxx"),"xxx"))</f>
        <v>xxx</v>
      </c>
    </row>
    <row r="987" spans="4:10" x14ac:dyDescent="0.2">
      <c r="D987" s="18">
        <f>装备表!L1132</f>
        <v>0</v>
      </c>
      <c r="E987" s="18" t="str">
        <f>IF(装备表!$O1132=0,"xxx",IFERROR(IF(INT(IF($D987=E$3,装备表!$E1132,"xxx")/10000)=1,IF($D987=E$3,装备表!$E1132,"xxx")&amp;":2,1,1,"&amp;装备表!$O1132&amp;";","xxx"),"xxx"))</f>
        <v>xxx</v>
      </c>
      <c r="F987" s="18" t="str">
        <f>IF(装备表!$O1132=0,"xxx",IFERROR(IF(INT(IF($D987=F$3,装备表!$E1132,"xxx")/10000)=1,IF($D987=F$3,装备表!$E1132,"xxx")&amp;":2,1,1,"&amp;装备表!$O1132&amp;";","xxx"),"xxx"))</f>
        <v>xxx</v>
      </c>
      <c r="G987" s="18" t="str">
        <f>IF(装备表!$O1132=0,"xxx",IFERROR(IF(INT(IF($D987=G$3,装备表!$E1132,"xxx")/10000)=1,IF($D987=G$3,装备表!$E1132,"xxx")&amp;":2,1,1,"&amp;装备表!$O1132&amp;";","xxx"),"xxx"))</f>
        <v>xxx</v>
      </c>
      <c r="H987" s="18" t="str">
        <f>IF(装备表!$O1132=0,"xxx",IFERROR(IF(INT(IF($D987=H$3,装备表!$E1132,"xxx")/10000)=1,IF($D987=H$3,装备表!$E1132,"xxx")&amp;":2,1,1,"&amp;装备表!$O1132&amp;";","xxx"),"xxx"))</f>
        <v>xxx</v>
      </c>
      <c r="I987" s="18" t="str">
        <f>IF(装备表!$O1132=0,"xxx",IFERROR(IF(INT(IF($D987=I$3,装备表!$E1132,"xxx")/10000)=1,IF($D987=I$3,装备表!$E1132,"xxx")&amp;":2,1,1,"&amp;装备表!$O1132&amp;";","xxx"),"xxx"))</f>
        <v>xxx</v>
      </c>
      <c r="J987" s="18" t="str">
        <f>IF(装备表!$O1132=0,"xxx",IFERROR(IF(INT(IF($D987=J$3,装备表!$E1132,"xxx")/10000)=1,IF($D987=J$3,装备表!$E1132,"xxx")&amp;":2,1,1,"&amp;装备表!$O1132&amp;";","xxx"),"xxx"))</f>
        <v>xxx</v>
      </c>
    </row>
    <row r="988" spans="4:10" x14ac:dyDescent="0.2">
      <c r="D988" s="18">
        <f>装备表!L1133</f>
        <v>0</v>
      </c>
      <c r="E988" s="18" t="str">
        <f>IF(装备表!$O1133=0,"xxx",IFERROR(IF(INT(IF($D988=E$3,装备表!$E1133,"xxx")/10000)=1,IF($D988=E$3,装备表!$E1133,"xxx")&amp;":2,1,1,"&amp;装备表!$O1133&amp;";","xxx"),"xxx"))</f>
        <v>xxx</v>
      </c>
      <c r="F988" s="18" t="str">
        <f>IF(装备表!$O1133=0,"xxx",IFERROR(IF(INT(IF($D988=F$3,装备表!$E1133,"xxx")/10000)=1,IF($D988=F$3,装备表!$E1133,"xxx")&amp;":2,1,1,"&amp;装备表!$O1133&amp;";","xxx"),"xxx"))</f>
        <v>xxx</v>
      </c>
      <c r="G988" s="18" t="str">
        <f>IF(装备表!$O1133=0,"xxx",IFERROR(IF(INT(IF($D988=G$3,装备表!$E1133,"xxx")/10000)=1,IF($D988=G$3,装备表!$E1133,"xxx")&amp;":2,1,1,"&amp;装备表!$O1133&amp;";","xxx"),"xxx"))</f>
        <v>xxx</v>
      </c>
      <c r="H988" s="18" t="str">
        <f>IF(装备表!$O1133=0,"xxx",IFERROR(IF(INT(IF($D988=H$3,装备表!$E1133,"xxx")/10000)=1,IF($D988=H$3,装备表!$E1133,"xxx")&amp;":2,1,1,"&amp;装备表!$O1133&amp;";","xxx"),"xxx"))</f>
        <v>xxx</v>
      </c>
      <c r="I988" s="18" t="str">
        <f>IF(装备表!$O1133=0,"xxx",IFERROR(IF(INT(IF($D988=I$3,装备表!$E1133,"xxx")/10000)=1,IF($D988=I$3,装备表!$E1133,"xxx")&amp;":2,1,1,"&amp;装备表!$O1133&amp;";","xxx"),"xxx"))</f>
        <v>xxx</v>
      </c>
      <c r="J988" s="18" t="str">
        <f>IF(装备表!$O1133=0,"xxx",IFERROR(IF(INT(IF($D988=J$3,装备表!$E1133,"xxx")/10000)=1,IF($D988=J$3,装备表!$E1133,"xxx")&amp;":2,1,1,"&amp;装备表!$O1133&amp;";","xxx"),"xxx"))</f>
        <v>xxx</v>
      </c>
    </row>
    <row r="989" spans="4:10" x14ac:dyDescent="0.2">
      <c r="D989" s="18">
        <f>装备表!L1134</f>
        <v>0</v>
      </c>
      <c r="E989" s="18" t="str">
        <f>IF(装备表!$O1134=0,"xxx",IFERROR(IF(INT(IF($D989=E$3,装备表!$E1134,"xxx")/10000)=1,IF($D989=E$3,装备表!$E1134,"xxx")&amp;":2,1,1,"&amp;装备表!$O1134&amp;";","xxx"),"xxx"))</f>
        <v>xxx</v>
      </c>
      <c r="F989" s="18" t="str">
        <f>IF(装备表!$O1134=0,"xxx",IFERROR(IF(INT(IF($D989=F$3,装备表!$E1134,"xxx")/10000)=1,IF($D989=F$3,装备表!$E1134,"xxx")&amp;":2,1,1,"&amp;装备表!$O1134&amp;";","xxx"),"xxx"))</f>
        <v>xxx</v>
      </c>
      <c r="G989" s="18" t="str">
        <f>IF(装备表!$O1134=0,"xxx",IFERROR(IF(INT(IF($D989=G$3,装备表!$E1134,"xxx")/10000)=1,IF($D989=G$3,装备表!$E1134,"xxx")&amp;":2,1,1,"&amp;装备表!$O1134&amp;";","xxx"),"xxx"))</f>
        <v>xxx</v>
      </c>
      <c r="H989" s="18" t="str">
        <f>IF(装备表!$O1134=0,"xxx",IFERROR(IF(INT(IF($D989=H$3,装备表!$E1134,"xxx")/10000)=1,IF($D989=H$3,装备表!$E1134,"xxx")&amp;":2,1,1,"&amp;装备表!$O1134&amp;";","xxx"),"xxx"))</f>
        <v>xxx</v>
      </c>
      <c r="I989" s="18" t="str">
        <f>IF(装备表!$O1134=0,"xxx",IFERROR(IF(INT(IF($D989=I$3,装备表!$E1134,"xxx")/10000)=1,IF($D989=I$3,装备表!$E1134,"xxx")&amp;":2,1,1,"&amp;装备表!$O1134&amp;";","xxx"),"xxx"))</f>
        <v>xxx</v>
      </c>
      <c r="J989" s="18" t="str">
        <f>IF(装备表!$O1134=0,"xxx",IFERROR(IF(INT(IF($D989=J$3,装备表!$E1134,"xxx")/10000)=1,IF($D989=J$3,装备表!$E1134,"xxx")&amp;":2,1,1,"&amp;装备表!$O1134&amp;";","xxx"),"xxx"))</f>
        <v>xxx</v>
      </c>
    </row>
    <row r="990" spans="4:10" x14ac:dyDescent="0.2">
      <c r="D990" s="18">
        <f>装备表!L1135</f>
        <v>0</v>
      </c>
      <c r="E990" s="18" t="str">
        <f>IF(装备表!$O1135=0,"xxx",IFERROR(IF(INT(IF($D990=E$3,装备表!$E1135,"xxx")/10000)=1,IF($D990=E$3,装备表!$E1135,"xxx")&amp;":2,1,1,"&amp;装备表!$O1135&amp;";","xxx"),"xxx"))</f>
        <v>xxx</v>
      </c>
      <c r="F990" s="18" t="str">
        <f>IF(装备表!$O1135=0,"xxx",IFERROR(IF(INT(IF($D990=F$3,装备表!$E1135,"xxx")/10000)=1,IF($D990=F$3,装备表!$E1135,"xxx")&amp;":2,1,1,"&amp;装备表!$O1135&amp;";","xxx"),"xxx"))</f>
        <v>xxx</v>
      </c>
      <c r="G990" s="18" t="str">
        <f>IF(装备表!$O1135=0,"xxx",IFERROR(IF(INT(IF($D990=G$3,装备表!$E1135,"xxx")/10000)=1,IF($D990=G$3,装备表!$E1135,"xxx")&amp;":2,1,1,"&amp;装备表!$O1135&amp;";","xxx"),"xxx"))</f>
        <v>xxx</v>
      </c>
      <c r="H990" s="18" t="str">
        <f>IF(装备表!$O1135=0,"xxx",IFERROR(IF(INT(IF($D990=H$3,装备表!$E1135,"xxx")/10000)=1,IF($D990=H$3,装备表!$E1135,"xxx")&amp;":2,1,1,"&amp;装备表!$O1135&amp;";","xxx"),"xxx"))</f>
        <v>xxx</v>
      </c>
      <c r="I990" s="18" t="str">
        <f>IF(装备表!$O1135=0,"xxx",IFERROR(IF(INT(IF($D990=I$3,装备表!$E1135,"xxx")/10000)=1,IF($D990=I$3,装备表!$E1135,"xxx")&amp;":2,1,1,"&amp;装备表!$O1135&amp;";","xxx"),"xxx"))</f>
        <v>xxx</v>
      </c>
      <c r="J990" s="18" t="str">
        <f>IF(装备表!$O1135=0,"xxx",IFERROR(IF(INT(IF($D990=J$3,装备表!$E1135,"xxx")/10000)=1,IF($D990=J$3,装备表!$E1135,"xxx")&amp;":2,1,1,"&amp;装备表!$O1135&amp;";","xxx"),"xxx"))</f>
        <v>xxx</v>
      </c>
    </row>
    <row r="991" spans="4:10" x14ac:dyDescent="0.2">
      <c r="D991" s="18">
        <f>装备表!L1136</f>
        <v>0</v>
      </c>
      <c r="E991" s="18" t="str">
        <f>IF(装备表!$O1136=0,"xxx",IFERROR(IF(INT(IF($D991=E$3,装备表!$E1136,"xxx")/10000)=1,IF($D991=E$3,装备表!$E1136,"xxx")&amp;":2,1,1,"&amp;装备表!$O1136&amp;";","xxx"),"xxx"))</f>
        <v>xxx</v>
      </c>
      <c r="F991" s="18" t="str">
        <f>IF(装备表!$O1136=0,"xxx",IFERROR(IF(INT(IF($D991=F$3,装备表!$E1136,"xxx")/10000)=1,IF($D991=F$3,装备表!$E1136,"xxx")&amp;":2,1,1,"&amp;装备表!$O1136&amp;";","xxx"),"xxx"))</f>
        <v>xxx</v>
      </c>
      <c r="G991" s="18" t="str">
        <f>IF(装备表!$O1136=0,"xxx",IFERROR(IF(INT(IF($D991=G$3,装备表!$E1136,"xxx")/10000)=1,IF($D991=G$3,装备表!$E1136,"xxx")&amp;":2,1,1,"&amp;装备表!$O1136&amp;";","xxx"),"xxx"))</f>
        <v>xxx</v>
      </c>
      <c r="H991" s="18" t="str">
        <f>IF(装备表!$O1136=0,"xxx",IFERROR(IF(INT(IF($D991=H$3,装备表!$E1136,"xxx")/10000)=1,IF($D991=H$3,装备表!$E1136,"xxx")&amp;":2,1,1,"&amp;装备表!$O1136&amp;";","xxx"),"xxx"))</f>
        <v>xxx</v>
      </c>
      <c r="I991" s="18" t="str">
        <f>IF(装备表!$O1136=0,"xxx",IFERROR(IF(INT(IF($D991=I$3,装备表!$E1136,"xxx")/10000)=1,IF($D991=I$3,装备表!$E1136,"xxx")&amp;":2,1,1,"&amp;装备表!$O1136&amp;";","xxx"),"xxx"))</f>
        <v>xxx</v>
      </c>
      <c r="J991" s="18" t="str">
        <f>IF(装备表!$O1136=0,"xxx",IFERROR(IF(INT(IF($D991=J$3,装备表!$E1136,"xxx")/10000)=1,IF($D991=J$3,装备表!$E1136,"xxx")&amp;":2,1,1,"&amp;装备表!$O1136&amp;";","xxx"),"xxx"))</f>
        <v>xxx</v>
      </c>
    </row>
    <row r="992" spans="4:10" x14ac:dyDescent="0.2">
      <c r="D992" s="18">
        <f>装备表!L1137</f>
        <v>0</v>
      </c>
      <c r="E992" s="18" t="str">
        <f>IF(装备表!$O1137=0,"xxx",IFERROR(IF(INT(IF($D992=E$3,装备表!$E1137,"xxx")/10000)=1,IF($D992=E$3,装备表!$E1137,"xxx")&amp;":2,1,1,"&amp;装备表!$O1137&amp;";","xxx"),"xxx"))</f>
        <v>xxx</v>
      </c>
      <c r="F992" s="18" t="str">
        <f>IF(装备表!$O1137=0,"xxx",IFERROR(IF(INT(IF($D992=F$3,装备表!$E1137,"xxx")/10000)=1,IF($D992=F$3,装备表!$E1137,"xxx")&amp;":2,1,1,"&amp;装备表!$O1137&amp;";","xxx"),"xxx"))</f>
        <v>xxx</v>
      </c>
      <c r="G992" s="18" t="str">
        <f>IF(装备表!$O1137=0,"xxx",IFERROR(IF(INT(IF($D992=G$3,装备表!$E1137,"xxx")/10000)=1,IF($D992=G$3,装备表!$E1137,"xxx")&amp;":2,1,1,"&amp;装备表!$O1137&amp;";","xxx"),"xxx"))</f>
        <v>xxx</v>
      </c>
      <c r="H992" s="18" t="str">
        <f>IF(装备表!$O1137=0,"xxx",IFERROR(IF(INT(IF($D992=H$3,装备表!$E1137,"xxx")/10000)=1,IF($D992=H$3,装备表!$E1137,"xxx")&amp;":2,1,1,"&amp;装备表!$O1137&amp;";","xxx"),"xxx"))</f>
        <v>xxx</v>
      </c>
      <c r="I992" s="18" t="str">
        <f>IF(装备表!$O1137=0,"xxx",IFERROR(IF(INT(IF($D992=I$3,装备表!$E1137,"xxx")/10000)=1,IF($D992=I$3,装备表!$E1137,"xxx")&amp;":2,1,1,"&amp;装备表!$O1137&amp;";","xxx"),"xxx"))</f>
        <v>xxx</v>
      </c>
      <c r="J992" s="18" t="str">
        <f>IF(装备表!$O1137=0,"xxx",IFERROR(IF(INT(IF($D992=J$3,装备表!$E1137,"xxx")/10000)=1,IF($D992=J$3,装备表!$E1137,"xxx")&amp;":2,1,1,"&amp;装备表!$O1137&amp;";","xxx"),"xxx"))</f>
        <v>xxx</v>
      </c>
    </row>
    <row r="993" spans="4:10" x14ac:dyDescent="0.2">
      <c r="D993" s="18">
        <f>装备表!L1138</f>
        <v>0</v>
      </c>
      <c r="E993" s="18" t="str">
        <f>IF(装备表!$O1138=0,"xxx",IFERROR(IF(INT(IF($D993=E$3,装备表!$E1138,"xxx")/10000)=1,IF($D993=E$3,装备表!$E1138,"xxx")&amp;":2,1,1,"&amp;装备表!$O1138&amp;";","xxx"),"xxx"))</f>
        <v>xxx</v>
      </c>
      <c r="F993" s="18" t="str">
        <f>IF(装备表!$O1138=0,"xxx",IFERROR(IF(INT(IF($D993=F$3,装备表!$E1138,"xxx")/10000)=1,IF($D993=F$3,装备表!$E1138,"xxx")&amp;":2,1,1,"&amp;装备表!$O1138&amp;";","xxx"),"xxx"))</f>
        <v>xxx</v>
      </c>
      <c r="G993" s="18" t="str">
        <f>IF(装备表!$O1138=0,"xxx",IFERROR(IF(INT(IF($D993=G$3,装备表!$E1138,"xxx")/10000)=1,IF($D993=G$3,装备表!$E1138,"xxx")&amp;":2,1,1,"&amp;装备表!$O1138&amp;";","xxx"),"xxx"))</f>
        <v>xxx</v>
      </c>
      <c r="H993" s="18" t="str">
        <f>IF(装备表!$O1138=0,"xxx",IFERROR(IF(INT(IF($D993=H$3,装备表!$E1138,"xxx")/10000)=1,IF($D993=H$3,装备表!$E1138,"xxx")&amp;":2,1,1,"&amp;装备表!$O1138&amp;";","xxx"),"xxx"))</f>
        <v>xxx</v>
      </c>
      <c r="I993" s="18" t="str">
        <f>IF(装备表!$O1138=0,"xxx",IFERROR(IF(INT(IF($D993=I$3,装备表!$E1138,"xxx")/10000)=1,IF($D993=I$3,装备表!$E1138,"xxx")&amp;":2,1,1,"&amp;装备表!$O1138&amp;";","xxx"),"xxx"))</f>
        <v>xxx</v>
      </c>
      <c r="J993" s="18" t="str">
        <f>IF(装备表!$O1138=0,"xxx",IFERROR(IF(INT(IF($D993=J$3,装备表!$E1138,"xxx")/10000)=1,IF($D993=J$3,装备表!$E1138,"xxx")&amp;":2,1,1,"&amp;装备表!$O1138&amp;";","xxx"),"xxx"))</f>
        <v>xxx</v>
      </c>
    </row>
    <row r="994" spans="4:10" x14ac:dyDescent="0.2">
      <c r="D994" s="18">
        <f>装备表!L1139</f>
        <v>0</v>
      </c>
      <c r="E994" s="18" t="str">
        <f>IF(装备表!$O1139=0,"xxx",IFERROR(IF(INT(IF($D994=E$3,装备表!$E1139,"xxx")/10000)=1,IF($D994=E$3,装备表!$E1139,"xxx")&amp;":2,1,1,"&amp;装备表!$O1139&amp;";","xxx"),"xxx"))</f>
        <v>xxx</v>
      </c>
      <c r="F994" s="18" t="str">
        <f>IF(装备表!$O1139=0,"xxx",IFERROR(IF(INT(IF($D994=F$3,装备表!$E1139,"xxx")/10000)=1,IF($D994=F$3,装备表!$E1139,"xxx")&amp;":2,1,1,"&amp;装备表!$O1139&amp;";","xxx"),"xxx"))</f>
        <v>xxx</v>
      </c>
      <c r="G994" s="18" t="str">
        <f>IF(装备表!$O1139=0,"xxx",IFERROR(IF(INT(IF($D994=G$3,装备表!$E1139,"xxx")/10000)=1,IF($D994=G$3,装备表!$E1139,"xxx")&amp;":2,1,1,"&amp;装备表!$O1139&amp;";","xxx"),"xxx"))</f>
        <v>xxx</v>
      </c>
      <c r="H994" s="18" t="str">
        <f>IF(装备表!$O1139=0,"xxx",IFERROR(IF(INT(IF($D994=H$3,装备表!$E1139,"xxx")/10000)=1,IF($D994=H$3,装备表!$E1139,"xxx")&amp;":2,1,1,"&amp;装备表!$O1139&amp;";","xxx"),"xxx"))</f>
        <v>xxx</v>
      </c>
      <c r="I994" s="18" t="str">
        <f>IF(装备表!$O1139=0,"xxx",IFERROR(IF(INT(IF($D994=I$3,装备表!$E1139,"xxx")/10000)=1,IF($D994=I$3,装备表!$E1139,"xxx")&amp;":2,1,1,"&amp;装备表!$O1139&amp;";","xxx"),"xxx"))</f>
        <v>xxx</v>
      </c>
      <c r="J994" s="18" t="str">
        <f>IF(装备表!$O1139=0,"xxx",IFERROR(IF(INT(IF($D994=J$3,装备表!$E1139,"xxx")/10000)=1,IF($D994=J$3,装备表!$E1139,"xxx")&amp;":2,1,1,"&amp;装备表!$O1139&amp;";","xxx"),"xxx"))</f>
        <v>xxx</v>
      </c>
    </row>
    <row r="995" spans="4:10" x14ac:dyDescent="0.2">
      <c r="D995" s="18">
        <f>装备表!L1140</f>
        <v>0</v>
      </c>
      <c r="E995" s="18" t="str">
        <f>IF(装备表!$O1140=0,"xxx",IFERROR(IF(INT(IF($D995=E$3,装备表!$E1140,"xxx")/10000)=1,IF($D995=E$3,装备表!$E1140,"xxx")&amp;":2,1,1,"&amp;装备表!$O1140&amp;";","xxx"),"xxx"))</f>
        <v>xxx</v>
      </c>
      <c r="F995" s="18" t="str">
        <f>IF(装备表!$O1140=0,"xxx",IFERROR(IF(INT(IF($D995=F$3,装备表!$E1140,"xxx")/10000)=1,IF($D995=F$3,装备表!$E1140,"xxx")&amp;":2,1,1,"&amp;装备表!$O1140&amp;";","xxx"),"xxx"))</f>
        <v>xxx</v>
      </c>
      <c r="G995" s="18" t="str">
        <f>IF(装备表!$O1140=0,"xxx",IFERROR(IF(INT(IF($D995=G$3,装备表!$E1140,"xxx")/10000)=1,IF($D995=G$3,装备表!$E1140,"xxx")&amp;":2,1,1,"&amp;装备表!$O1140&amp;";","xxx"),"xxx"))</f>
        <v>xxx</v>
      </c>
      <c r="H995" s="18" t="str">
        <f>IF(装备表!$O1140=0,"xxx",IFERROR(IF(INT(IF($D995=H$3,装备表!$E1140,"xxx")/10000)=1,IF($D995=H$3,装备表!$E1140,"xxx")&amp;":2,1,1,"&amp;装备表!$O1140&amp;";","xxx"),"xxx"))</f>
        <v>xxx</v>
      </c>
      <c r="I995" s="18" t="str">
        <f>IF(装备表!$O1140=0,"xxx",IFERROR(IF(INT(IF($D995=I$3,装备表!$E1140,"xxx")/10000)=1,IF($D995=I$3,装备表!$E1140,"xxx")&amp;":2,1,1,"&amp;装备表!$O1140&amp;";","xxx"),"xxx"))</f>
        <v>xxx</v>
      </c>
      <c r="J995" s="18" t="str">
        <f>IF(装备表!$O1140=0,"xxx",IFERROR(IF(INT(IF($D995=J$3,装备表!$E1140,"xxx")/10000)=1,IF($D995=J$3,装备表!$E1140,"xxx")&amp;":2,1,1,"&amp;装备表!$O1140&amp;";","xxx"),"xxx"))</f>
        <v>xxx</v>
      </c>
    </row>
    <row r="996" spans="4:10" x14ac:dyDescent="0.2">
      <c r="D996" s="18">
        <f>装备表!L1141</f>
        <v>0</v>
      </c>
      <c r="E996" s="18" t="str">
        <f>IF(装备表!$O1141=0,"xxx",IFERROR(IF(INT(IF($D996=E$3,装备表!$E1141,"xxx")/10000)=1,IF($D996=E$3,装备表!$E1141,"xxx")&amp;":2,1,1,"&amp;装备表!$O1141&amp;";","xxx"),"xxx"))</f>
        <v>xxx</v>
      </c>
      <c r="F996" s="18" t="str">
        <f>IF(装备表!$O1141=0,"xxx",IFERROR(IF(INT(IF($D996=F$3,装备表!$E1141,"xxx")/10000)=1,IF($D996=F$3,装备表!$E1141,"xxx")&amp;":2,1,1,"&amp;装备表!$O1141&amp;";","xxx"),"xxx"))</f>
        <v>xxx</v>
      </c>
      <c r="G996" s="18" t="str">
        <f>IF(装备表!$O1141=0,"xxx",IFERROR(IF(INT(IF($D996=G$3,装备表!$E1141,"xxx")/10000)=1,IF($D996=G$3,装备表!$E1141,"xxx")&amp;":2,1,1,"&amp;装备表!$O1141&amp;";","xxx"),"xxx"))</f>
        <v>xxx</v>
      </c>
      <c r="H996" s="18" t="str">
        <f>IF(装备表!$O1141=0,"xxx",IFERROR(IF(INT(IF($D996=H$3,装备表!$E1141,"xxx")/10000)=1,IF($D996=H$3,装备表!$E1141,"xxx")&amp;":2,1,1,"&amp;装备表!$O1141&amp;";","xxx"),"xxx"))</f>
        <v>xxx</v>
      </c>
      <c r="I996" s="18" t="str">
        <f>IF(装备表!$O1141=0,"xxx",IFERROR(IF(INT(IF($D996=I$3,装备表!$E1141,"xxx")/10000)=1,IF($D996=I$3,装备表!$E1141,"xxx")&amp;":2,1,1,"&amp;装备表!$O1141&amp;";","xxx"),"xxx"))</f>
        <v>xxx</v>
      </c>
      <c r="J996" s="18" t="str">
        <f>IF(装备表!$O1141=0,"xxx",IFERROR(IF(INT(IF($D996=J$3,装备表!$E1141,"xxx")/10000)=1,IF($D996=J$3,装备表!$E1141,"xxx")&amp;":2,1,1,"&amp;装备表!$O1141&amp;";","xxx"),"xxx"))</f>
        <v>xxx</v>
      </c>
    </row>
    <row r="997" spans="4:10" x14ac:dyDescent="0.2">
      <c r="D997" s="18">
        <f>装备表!L1142</f>
        <v>0</v>
      </c>
      <c r="E997" s="18" t="str">
        <f>IF(装备表!$O1142=0,"xxx",IFERROR(IF(INT(IF($D997=E$3,装备表!$E1142,"xxx")/10000)=1,IF($D997=E$3,装备表!$E1142,"xxx")&amp;":2,1,1,"&amp;装备表!$O1142&amp;";","xxx"),"xxx"))</f>
        <v>xxx</v>
      </c>
      <c r="F997" s="18" t="str">
        <f>IF(装备表!$O1142=0,"xxx",IFERROR(IF(INT(IF($D997=F$3,装备表!$E1142,"xxx")/10000)=1,IF($D997=F$3,装备表!$E1142,"xxx")&amp;":2,1,1,"&amp;装备表!$O1142&amp;";","xxx"),"xxx"))</f>
        <v>xxx</v>
      </c>
      <c r="G997" s="18" t="str">
        <f>IF(装备表!$O1142=0,"xxx",IFERROR(IF(INT(IF($D997=G$3,装备表!$E1142,"xxx")/10000)=1,IF($D997=G$3,装备表!$E1142,"xxx")&amp;":2,1,1,"&amp;装备表!$O1142&amp;";","xxx"),"xxx"))</f>
        <v>xxx</v>
      </c>
      <c r="H997" s="18" t="str">
        <f>IF(装备表!$O1142=0,"xxx",IFERROR(IF(INT(IF($D997=H$3,装备表!$E1142,"xxx")/10000)=1,IF($D997=H$3,装备表!$E1142,"xxx")&amp;":2,1,1,"&amp;装备表!$O1142&amp;";","xxx"),"xxx"))</f>
        <v>xxx</v>
      </c>
      <c r="I997" s="18" t="str">
        <f>IF(装备表!$O1142=0,"xxx",IFERROR(IF(INT(IF($D997=I$3,装备表!$E1142,"xxx")/10000)=1,IF($D997=I$3,装备表!$E1142,"xxx")&amp;":2,1,1,"&amp;装备表!$O1142&amp;";","xxx"),"xxx"))</f>
        <v>xxx</v>
      </c>
      <c r="J997" s="18" t="str">
        <f>IF(装备表!$O1142=0,"xxx",IFERROR(IF(INT(IF($D997=J$3,装备表!$E1142,"xxx")/10000)=1,IF($D997=J$3,装备表!$E1142,"xxx")&amp;":2,1,1,"&amp;装备表!$O1142&amp;";","xxx"),"xxx"))</f>
        <v>xxx</v>
      </c>
    </row>
    <row r="998" spans="4:10" x14ac:dyDescent="0.2">
      <c r="D998" s="18">
        <f>装备表!L1143</f>
        <v>0</v>
      </c>
      <c r="E998" s="18" t="str">
        <f>IF(装备表!$O1143=0,"xxx",IFERROR(IF(INT(IF($D998=E$3,装备表!$E1143,"xxx")/10000)=1,IF($D998=E$3,装备表!$E1143,"xxx")&amp;":2,1,1,"&amp;装备表!$O1143&amp;";","xxx"),"xxx"))</f>
        <v>xxx</v>
      </c>
      <c r="F998" s="18" t="str">
        <f>IF(装备表!$O1143=0,"xxx",IFERROR(IF(INT(IF($D998=F$3,装备表!$E1143,"xxx")/10000)=1,IF($D998=F$3,装备表!$E1143,"xxx")&amp;":2,1,1,"&amp;装备表!$O1143&amp;";","xxx"),"xxx"))</f>
        <v>xxx</v>
      </c>
      <c r="G998" s="18" t="str">
        <f>IF(装备表!$O1143=0,"xxx",IFERROR(IF(INT(IF($D998=G$3,装备表!$E1143,"xxx")/10000)=1,IF($D998=G$3,装备表!$E1143,"xxx")&amp;":2,1,1,"&amp;装备表!$O1143&amp;";","xxx"),"xxx"))</f>
        <v>xxx</v>
      </c>
      <c r="H998" s="18" t="str">
        <f>IF(装备表!$O1143=0,"xxx",IFERROR(IF(INT(IF($D998=H$3,装备表!$E1143,"xxx")/10000)=1,IF($D998=H$3,装备表!$E1143,"xxx")&amp;":2,1,1,"&amp;装备表!$O1143&amp;";","xxx"),"xxx"))</f>
        <v>xxx</v>
      </c>
      <c r="I998" s="18" t="str">
        <f>IF(装备表!$O1143=0,"xxx",IFERROR(IF(INT(IF($D998=I$3,装备表!$E1143,"xxx")/10000)=1,IF($D998=I$3,装备表!$E1143,"xxx")&amp;":2,1,1,"&amp;装备表!$O1143&amp;";","xxx"),"xxx"))</f>
        <v>xxx</v>
      </c>
      <c r="J998" s="18" t="str">
        <f>IF(装备表!$O1143=0,"xxx",IFERROR(IF(INT(IF($D998=J$3,装备表!$E1143,"xxx")/10000)=1,IF($D998=J$3,装备表!$E1143,"xxx")&amp;":2,1,1,"&amp;装备表!$O1143&amp;";","xxx"),"xxx"))</f>
        <v>xxx</v>
      </c>
    </row>
    <row r="999" spans="4:10" x14ac:dyDescent="0.2">
      <c r="D999" s="18">
        <f>装备表!L1144</f>
        <v>0</v>
      </c>
      <c r="E999" s="18" t="str">
        <f>IF(装备表!$O1144=0,"xxx",IFERROR(IF(INT(IF($D999=E$3,装备表!$E1144,"xxx")/10000)=1,IF($D999=E$3,装备表!$E1144,"xxx")&amp;":2,1,1,"&amp;装备表!$O1144&amp;";","xxx"),"xxx"))</f>
        <v>xxx</v>
      </c>
      <c r="F999" s="18" t="str">
        <f>IF(装备表!$O1144=0,"xxx",IFERROR(IF(INT(IF($D999=F$3,装备表!$E1144,"xxx")/10000)=1,IF($D999=F$3,装备表!$E1144,"xxx")&amp;":2,1,1,"&amp;装备表!$O1144&amp;";","xxx"),"xxx"))</f>
        <v>xxx</v>
      </c>
      <c r="G999" s="18" t="str">
        <f>IF(装备表!$O1144=0,"xxx",IFERROR(IF(INT(IF($D999=G$3,装备表!$E1144,"xxx")/10000)=1,IF($D999=G$3,装备表!$E1144,"xxx")&amp;":2,1,1,"&amp;装备表!$O1144&amp;";","xxx"),"xxx"))</f>
        <v>xxx</v>
      </c>
      <c r="H999" s="18" t="str">
        <f>IF(装备表!$O1144=0,"xxx",IFERROR(IF(INT(IF($D999=H$3,装备表!$E1144,"xxx")/10000)=1,IF($D999=H$3,装备表!$E1144,"xxx")&amp;":2,1,1,"&amp;装备表!$O1144&amp;";","xxx"),"xxx"))</f>
        <v>xxx</v>
      </c>
      <c r="I999" s="18" t="str">
        <f>IF(装备表!$O1144=0,"xxx",IFERROR(IF(INT(IF($D999=I$3,装备表!$E1144,"xxx")/10000)=1,IF($D999=I$3,装备表!$E1144,"xxx")&amp;":2,1,1,"&amp;装备表!$O1144&amp;";","xxx"),"xxx"))</f>
        <v>xxx</v>
      </c>
      <c r="J999" s="18" t="str">
        <f>IF(装备表!$O1144=0,"xxx",IFERROR(IF(INT(IF($D999=J$3,装备表!$E1144,"xxx")/10000)=1,IF($D999=J$3,装备表!$E1144,"xxx")&amp;":2,1,1,"&amp;装备表!$O1144&amp;";","xxx"),"xxx"))</f>
        <v>xxx</v>
      </c>
    </row>
    <row r="1000" spans="4:10" x14ac:dyDescent="0.2">
      <c r="D1000" s="18">
        <f>装备表!L1145</f>
        <v>0</v>
      </c>
      <c r="E1000" s="18" t="str">
        <f>IF(装备表!$O1145=0,"xxx",IFERROR(IF(INT(IF($D1000=E$3,装备表!$E1145,"xxx")/10000)=1,IF($D1000=E$3,装备表!$E1145,"xxx")&amp;":2,1,1,"&amp;装备表!$O1145&amp;";","xxx"),"xxx"))</f>
        <v>xxx</v>
      </c>
      <c r="F1000" s="18" t="str">
        <f>IF(装备表!$O1145=0,"xxx",IFERROR(IF(INT(IF($D1000=F$3,装备表!$E1145,"xxx")/10000)=1,IF($D1000=F$3,装备表!$E1145,"xxx")&amp;":2,1,1,"&amp;装备表!$O1145&amp;";","xxx"),"xxx"))</f>
        <v>xxx</v>
      </c>
      <c r="G1000" s="18" t="str">
        <f>IF(装备表!$O1145=0,"xxx",IFERROR(IF(INT(IF($D1000=G$3,装备表!$E1145,"xxx")/10000)=1,IF($D1000=G$3,装备表!$E1145,"xxx")&amp;":2,1,1,"&amp;装备表!$O1145&amp;";","xxx"),"xxx"))</f>
        <v>xxx</v>
      </c>
      <c r="H1000" s="18" t="str">
        <f>IF(装备表!$O1145=0,"xxx",IFERROR(IF(INT(IF($D1000=H$3,装备表!$E1145,"xxx")/10000)=1,IF($D1000=H$3,装备表!$E1145,"xxx")&amp;":2,1,1,"&amp;装备表!$O1145&amp;";","xxx"),"xxx"))</f>
        <v>xxx</v>
      </c>
      <c r="I1000" s="18" t="str">
        <f>IF(装备表!$O1145=0,"xxx",IFERROR(IF(INT(IF($D1000=I$3,装备表!$E1145,"xxx")/10000)=1,IF($D1000=I$3,装备表!$E1145,"xxx")&amp;":2,1,1,"&amp;装备表!$O1145&amp;";","xxx"),"xxx"))</f>
        <v>xxx</v>
      </c>
      <c r="J1000" s="18" t="str">
        <f>IF(装备表!$O1145=0,"xxx",IFERROR(IF(INT(IF($D1000=J$3,装备表!$E1145,"xxx")/10000)=1,IF($D1000=J$3,装备表!$E1145,"xxx")&amp;":2,1,1,"&amp;装备表!$O1145&amp;";","xxx"),"xxx"))</f>
        <v>xxx</v>
      </c>
    </row>
    <row r="1001" spans="4:10" x14ac:dyDescent="0.2">
      <c r="D1001" s="18">
        <f>装备表!L1146</f>
        <v>0</v>
      </c>
      <c r="E1001" s="18" t="str">
        <f>IF(装备表!$O1146=0,"xxx",IFERROR(IF(INT(IF($D1001=E$3,装备表!$E1146,"xxx")/10000)=1,IF($D1001=E$3,装备表!$E1146,"xxx")&amp;":2,1,1,"&amp;装备表!$O1146&amp;";","xxx"),"xxx"))</f>
        <v>xxx</v>
      </c>
      <c r="F1001" s="18" t="str">
        <f>IF(装备表!$O1146=0,"xxx",IFERROR(IF(INT(IF($D1001=F$3,装备表!$E1146,"xxx")/10000)=1,IF($D1001=F$3,装备表!$E1146,"xxx")&amp;":2,1,1,"&amp;装备表!$O1146&amp;";","xxx"),"xxx"))</f>
        <v>xxx</v>
      </c>
      <c r="G1001" s="18" t="str">
        <f>IF(装备表!$O1146=0,"xxx",IFERROR(IF(INT(IF($D1001=G$3,装备表!$E1146,"xxx")/10000)=1,IF($D1001=G$3,装备表!$E1146,"xxx")&amp;":2,1,1,"&amp;装备表!$O1146&amp;";","xxx"),"xxx"))</f>
        <v>xxx</v>
      </c>
      <c r="H1001" s="18" t="str">
        <f>IF(装备表!$O1146=0,"xxx",IFERROR(IF(INT(IF($D1001=H$3,装备表!$E1146,"xxx")/10000)=1,IF($D1001=H$3,装备表!$E1146,"xxx")&amp;":2,1,1,"&amp;装备表!$O1146&amp;";","xxx"),"xxx"))</f>
        <v>xxx</v>
      </c>
      <c r="I1001" s="18" t="str">
        <f>IF(装备表!$O1146=0,"xxx",IFERROR(IF(INT(IF($D1001=I$3,装备表!$E1146,"xxx")/10000)=1,IF($D1001=I$3,装备表!$E1146,"xxx")&amp;":2,1,1,"&amp;装备表!$O1146&amp;";","xxx"),"xxx"))</f>
        <v>xxx</v>
      </c>
      <c r="J1001" s="18" t="str">
        <f>IF(装备表!$O1146=0,"xxx",IFERROR(IF(INT(IF($D1001=J$3,装备表!$E1146,"xxx")/10000)=1,IF($D1001=J$3,装备表!$E1146,"xxx")&amp;":2,1,1,"&amp;装备表!$O1146&amp;";","xxx"),"xxx"))</f>
        <v>xxx</v>
      </c>
    </row>
    <row r="1002" spans="4:10" x14ac:dyDescent="0.2">
      <c r="D1002" s="18">
        <f>装备表!L1147</f>
        <v>0</v>
      </c>
      <c r="E1002" s="18" t="str">
        <f>IF(装备表!$O1147=0,"xxx",IFERROR(IF(INT(IF($D1002=E$3,装备表!$E1147,"xxx")/10000)=1,IF($D1002=E$3,装备表!$E1147,"xxx")&amp;":2,1,1,"&amp;装备表!$O1147&amp;";","xxx"),"xxx"))</f>
        <v>xxx</v>
      </c>
      <c r="F1002" s="18" t="str">
        <f>IF(装备表!$O1147=0,"xxx",IFERROR(IF(INT(IF($D1002=F$3,装备表!$E1147,"xxx")/10000)=1,IF($D1002=F$3,装备表!$E1147,"xxx")&amp;":2,1,1,"&amp;装备表!$O1147&amp;";","xxx"),"xxx"))</f>
        <v>xxx</v>
      </c>
      <c r="G1002" s="18" t="str">
        <f>IF(装备表!$O1147=0,"xxx",IFERROR(IF(INT(IF($D1002=G$3,装备表!$E1147,"xxx")/10000)=1,IF($D1002=G$3,装备表!$E1147,"xxx")&amp;":2,1,1,"&amp;装备表!$O1147&amp;";","xxx"),"xxx"))</f>
        <v>xxx</v>
      </c>
      <c r="H1002" s="18" t="str">
        <f>IF(装备表!$O1147=0,"xxx",IFERROR(IF(INT(IF($D1002=H$3,装备表!$E1147,"xxx")/10000)=1,IF($D1002=H$3,装备表!$E1147,"xxx")&amp;":2,1,1,"&amp;装备表!$O1147&amp;";","xxx"),"xxx"))</f>
        <v>xxx</v>
      </c>
      <c r="I1002" s="18" t="str">
        <f>IF(装备表!$O1147=0,"xxx",IFERROR(IF(INT(IF($D1002=I$3,装备表!$E1147,"xxx")/10000)=1,IF($D1002=I$3,装备表!$E1147,"xxx")&amp;":2,1,1,"&amp;装备表!$O1147&amp;";","xxx"),"xxx"))</f>
        <v>xxx</v>
      </c>
      <c r="J1002" s="18" t="str">
        <f>IF(装备表!$O1147=0,"xxx",IFERROR(IF(INT(IF($D1002=J$3,装备表!$E1147,"xxx")/10000)=1,IF($D1002=J$3,装备表!$E1147,"xxx")&amp;":2,1,1,"&amp;装备表!$O1147&amp;";","xxx"),"xxx"))</f>
        <v>xxx</v>
      </c>
    </row>
    <row r="1003" spans="4:10" x14ac:dyDescent="0.2">
      <c r="D1003" s="18">
        <f>装备表!L1148</f>
        <v>0</v>
      </c>
      <c r="E1003" s="18" t="str">
        <f>IF(装备表!$O1148=0,"xxx",IFERROR(IF(INT(IF($D1003=E$3,装备表!$E1148,"xxx")/10000)=1,IF($D1003=E$3,装备表!$E1148,"xxx")&amp;":2,1,1,"&amp;装备表!$O1148&amp;";","xxx"),"xxx"))</f>
        <v>xxx</v>
      </c>
      <c r="F1003" s="18" t="str">
        <f>IF(装备表!$O1148=0,"xxx",IFERROR(IF(INT(IF($D1003=F$3,装备表!$E1148,"xxx")/10000)=1,IF($D1003=F$3,装备表!$E1148,"xxx")&amp;":2,1,1,"&amp;装备表!$O1148&amp;";","xxx"),"xxx"))</f>
        <v>xxx</v>
      </c>
      <c r="G1003" s="18" t="str">
        <f>IF(装备表!$O1148=0,"xxx",IFERROR(IF(INT(IF($D1003=G$3,装备表!$E1148,"xxx")/10000)=1,IF($D1003=G$3,装备表!$E1148,"xxx")&amp;":2,1,1,"&amp;装备表!$O1148&amp;";","xxx"),"xxx"))</f>
        <v>xxx</v>
      </c>
      <c r="H1003" s="18" t="str">
        <f>IF(装备表!$O1148=0,"xxx",IFERROR(IF(INT(IF($D1003=H$3,装备表!$E1148,"xxx")/10000)=1,IF($D1003=H$3,装备表!$E1148,"xxx")&amp;":2,1,1,"&amp;装备表!$O1148&amp;";","xxx"),"xxx"))</f>
        <v>xxx</v>
      </c>
      <c r="I1003" s="18" t="str">
        <f>IF(装备表!$O1148=0,"xxx",IFERROR(IF(INT(IF($D1003=I$3,装备表!$E1148,"xxx")/10000)=1,IF($D1003=I$3,装备表!$E1148,"xxx")&amp;":2,1,1,"&amp;装备表!$O1148&amp;";","xxx"),"xxx"))</f>
        <v>xxx</v>
      </c>
      <c r="J1003" s="18" t="str">
        <f>IF(装备表!$O1148=0,"xxx",IFERROR(IF(INT(IF($D1003=J$3,装备表!$E1148,"xxx")/10000)=1,IF($D1003=J$3,装备表!$E1148,"xxx")&amp;":2,1,1,"&amp;装备表!$O1148&amp;";","xxx"),"xxx"))</f>
        <v>xxx</v>
      </c>
    </row>
    <row r="1004" spans="4:10" x14ac:dyDescent="0.2">
      <c r="D1004" s="18">
        <f>装备表!L1149</f>
        <v>0</v>
      </c>
      <c r="E1004" s="18" t="str">
        <f>IF(装备表!$O1149=0,"xxx",IFERROR(IF(INT(IF($D1004=E$3,装备表!$E1149,"xxx")/10000)=1,IF($D1004=E$3,装备表!$E1149,"xxx")&amp;":2,1,1,"&amp;装备表!$O1149&amp;";","xxx"),"xxx"))</f>
        <v>xxx</v>
      </c>
      <c r="F1004" s="18" t="str">
        <f>IF(装备表!$O1149=0,"xxx",IFERROR(IF(INT(IF($D1004=F$3,装备表!$E1149,"xxx")/10000)=1,IF($D1004=F$3,装备表!$E1149,"xxx")&amp;":2,1,1,"&amp;装备表!$O1149&amp;";","xxx"),"xxx"))</f>
        <v>xxx</v>
      </c>
      <c r="G1004" s="18" t="str">
        <f>IF(装备表!$O1149=0,"xxx",IFERROR(IF(INT(IF($D1004=G$3,装备表!$E1149,"xxx")/10000)=1,IF($D1004=G$3,装备表!$E1149,"xxx")&amp;":2,1,1,"&amp;装备表!$O1149&amp;";","xxx"),"xxx"))</f>
        <v>xxx</v>
      </c>
      <c r="H1004" s="18" t="str">
        <f>IF(装备表!$O1149=0,"xxx",IFERROR(IF(INT(IF($D1004=H$3,装备表!$E1149,"xxx")/10000)=1,IF($D1004=H$3,装备表!$E1149,"xxx")&amp;":2,1,1,"&amp;装备表!$O1149&amp;";","xxx"),"xxx"))</f>
        <v>xxx</v>
      </c>
      <c r="I1004" s="18" t="str">
        <f>IF(装备表!$O1149=0,"xxx",IFERROR(IF(INT(IF($D1004=I$3,装备表!$E1149,"xxx")/10000)=1,IF($D1004=I$3,装备表!$E1149,"xxx")&amp;":2,1,1,"&amp;装备表!$O1149&amp;";","xxx"),"xxx"))</f>
        <v>xxx</v>
      </c>
      <c r="J1004" s="18" t="str">
        <f>IF(装备表!$O1149=0,"xxx",IFERROR(IF(INT(IF($D1004=J$3,装备表!$E1149,"xxx")/10000)=1,IF($D1004=J$3,装备表!$E1149,"xxx")&amp;":2,1,1,"&amp;装备表!$O1149&amp;";","xxx"),"xxx"))</f>
        <v>xxx</v>
      </c>
    </row>
    <row r="1005" spans="4:10" x14ac:dyDescent="0.2">
      <c r="D1005" s="18">
        <f>装备表!L1150</f>
        <v>0</v>
      </c>
      <c r="E1005" s="18" t="str">
        <f>IF(装备表!$O1150=0,"xxx",IFERROR(IF(INT(IF($D1005=E$3,装备表!$E1150,"xxx")/10000)=1,IF($D1005=E$3,装备表!$E1150,"xxx")&amp;":2,1,1,"&amp;装备表!$O1150&amp;";","xxx"),"xxx"))</f>
        <v>xxx</v>
      </c>
      <c r="F1005" s="18" t="str">
        <f>IF(装备表!$O1150=0,"xxx",IFERROR(IF(INT(IF($D1005=F$3,装备表!$E1150,"xxx")/10000)=1,IF($D1005=F$3,装备表!$E1150,"xxx")&amp;":2,1,1,"&amp;装备表!$O1150&amp;";","xxx"),"xxx"))</f>
        <v>xxx</v>
      </c>
      <c r="G1005" s="18" t="str">
        <f>IF(装备表!$O1150=0,"xxx",IFERROR(IF(INT(IF($D1005=G$3,装备表!$E1150,"xxx")/10000)=1,IF($D1005=G$3,装备表!$E1150,"xxx")&amp;":2,1,1,"&amp;装备表!$O1150&amp;";","xxx"),"xxx"))</f>
        <v>xxx</v>
      </c>
      <c r="H1005" s="18" t="str">
        <f>IF(装备表!$O1150=0,"xxx",IFERROR(IF(INT(IF($D1005=H$3,装备表!$E1150,"xxx")/10000)=1,IF($D1005=H$3,装备表!$E1150,"xxx")&amp;":2,1,1,"&amp;装备表!$O1150&amp;";","xxx"),"xxx"))</f>
        <v>xxx</v>
      </c>
      <c r="I1005" s="18" t="str">
        <f>IF(装备表!$O1150=0,"xxx",IFERROR(IF(INT(IF($D1005=I$3,装备表!$E1150,"xxx")/10000)=1,IF($D1005=I$3,装备表!$E1150,"xxx")&amp;":2,1,1,"&amp;装备表!$O1150&amp;";","xxx"),"xxx"))</f>
        <v>xxx</v>
      </c>
      <c r="J1005" s="18" t="str">
        <f>IF(装备表!$O1150=0,"xxx",IFERROR(IF(INT(IF($D1005=J$3,装备表!$E1150,"xxx")/10000)=1,IF($D1005=J$3,装备表!$E1150,"xxx")&amp;":2,1,1,"&amp;装备表!$O1150&amp;";","xxx"),"xxx"))</f>
        <v>xxx</v>
      </c>
    </row>
    <row r="1006" spans="4:10" x14ac:dyDescent="0.2">
      <c r="D1006" s="18">
        <f>装备表!L1151</f>
        <v>0</v>
      </c>
      <c r="E1006" s="18" t="str">
        <f>IF(装备表!$O1151=0,"xxx",IFERROR(IF(INT(IF($D1006=E$3,装备表!$E1151,"xxx")/10000)=1,IF($D1006=E$3,装备表!$E1151,"xxx")&amp;":2,1,1,"&amp;装备表!$O1151&amp;";","xxx"),"xxx"))</f>
        <v>xxx</v>
      </c>
      <c r="F1006" s="18" t="str">
        <f>IF(装备表!$O1151=0,"xxx",IFERROR(IF(INT(IF($D1006=F$3,装备表!$E1151,"xxx")/10000)=1,IF($D1006=F$3,装备表!$E1151,"xxx")&amp;":2,1,1,"&amp;装备表!$O1151&amp;";","xxx"),"xxx"))</f>
        <v>xxx</v>
      </c>
      <c r="G1006" s="18" t="str">
        <f>IF(装备表!$O1151=0,"xxx",IFERROR(IF(INT(IF($D1006=G$3,装备表!$E1151,"xxx")/10000)=1,IF($D1006=G$3,装备表!$E1151,"xxx")&amp;":2,1,1,"&amp;装备表!$O1151&amp;";","xxx"),"xxx"))</f>
        <v>xxx</v>
      </c>
      <c r="H1006" s="18" t="str">
        <f>IF(装备表!$O1151=0,"xxx",IFERROR(IF(INT(IF($D1006=H$3,装备表!$E1151,"xxx")/10000)=1,IF($D1006=H$3,装备表!$E1151,"xxx")&amp;":2,1,1,"&amp;装备表!$O1151&amp;";","xxx"),"xxx"))</f>
        <v>xxx</v>
      </c>
      <c r="I1006" s="18" t="str">
        <f>IF(装备表!$O1151=0,"xxx",IFERROR(IF(INT(IF($D1006=I$3,装备表!$E1151,"xxx")/10000)=1,IF($D1006=I$3,装备表!$E1151,"xxx")&amp;":2,1,1,"&amp;装备表!$O1151&amp;";","xxx"),"xxx"))</f>
        <v>xxx</v>
      </c>
      <c r="J1006" s="18" t="str">
        <f>IF(装备表!$O1151=0,"xxx",IFERROR(IF(INT(IF($D1006=J$3,装备表!$E1151,"xxx")/10000)=1,IF($D1006=J$3,装备表!$E1151,"xxx")&amp;":2,1,1,"&amp;装备表!$O1151&amp;";","xxx"),"xxx"))</f>
        <v>xxx</v>
      </c>
    </row>
    <row r="1007" spans="4:10" x14ac:dyDescent="0.2">
      <c r="D1007" s="18">
        <f>装备表!L1152</f>
        <v>0</v>
      </c>
      <c r="E1007" s="18" t="str">
        <f>IF(装备表!$O1152=0,"xxx",IFERROR(IF(INT(IF($D1007=E$3,装备表!$E1152,"xxx")/10000)=1,IF($D1007=E$3,装备表!$E1152,"xxx")&amp;":2,1,1,"&amp;装备表!$O1152&amp;";","xxx"),"xxx"))</f>
        <v>xxx</v>
      </c>
      <c r="F1007" s="18" t="str">
        <f>IF(装备表!$O1152=0,"xxx",IFERROR(IF(INT(IF($D1007=F$3,装备表!$E1152,"xxx")/10000)=1,IF($D1007=F$3,装备表!$E1152,"xxx")&amp;":2,1,1,"&amp;装备表!$O1152&amp;";","xxx"),"xxx"))</f>
        <v>xxx</v>
      </c>
      <c r="G1007" s="18" t="str">
        <f>IF(装备表!$O1152=0,"xxx",IFERROR(IF(INT(IF($D1007=G$3,装备表!$E1152,"xxx")/10000)=1,IF($D1007=G$3,装备表!$E1152,"xxx")&amp;":2,1,1,"&amp;装备表!$O1152&amp;";","xxx"),"xxx"))</f>
        <v>xxx</v>
      </c>
      <c r="H1007" s="18" t="str">
        <f>IF(装备表!$O1152=0,"xxx",IFERROR(IF(INT(IF($D1007=H$3,装备表!$E1152,"xxx")/10000)=1,IF($D1007=H$3,装备表!$E1152,"xxx")&amp;":2,1,1,"&amp;装备表!$O1152&amp;";","xxx"),"xxx"))</f>
        <v>xxx</v>
      </c>
      <c r="I1007" s="18" t="str">
        <f>IF(装备表!$O1152=0,"xxx",IFERROR(IF(INT(IF($D1007=I$3,装备表!$E1152,"xxx")/10000)=1,IF($D1007=I$3,装备表!$E1152,"xxx")&amp;":2,1,1,"&amp;装备表!$O1152&amp;";","xxx"),"xxx"))</f>
        <v>xxx</v>
      </c>
      <c r="J1007" s="18" t="str">
        <f>IF(装备表!$O1152=0,"xxx",IFERROR(IF(INT(IF($D1007=J$3,装备表!$E1152,"xxx")/10000)=1,IF($D1007=J$3,装备表!$E1152,"xxx")&amp;":2,1,1,"&amp;装备表!$O1152&amp;";","xxx"),"xxx"))</f>
        <v>xxx</v>
      </c>
    </row>
    <row r="1008" spans="4:10" x14ac:dyDescent="0.2">
      <c r="D1008" s="18">
        <f>装备表!L1153</f>
        <v>0</v>
      </c>
      <c r="E1008" s="18" t="str">
        <f>IF(装备表!$O1153=0,"xxx",IFERROR(IF(INT(IF($D1008=E$3,装备表!$E1153,"xxx")/10000)=1,IF($D1008=E$3,装备表!$E1153,"xxx")&amp;":2,1,1,"&amp;装备表!$O1153&amp;";","xxx"),"xxx"))</f>
        <v>xxx</v>
      </c>
      <c r="F1008" s="18" t="str">
        <f>IF(装备表!$O1153=0,"xxx",IFERROR(IF(INT(IF($D1008=F$3,装备表!$E1153,"xxx")/10000)=1,IF($D1008=F$3,装备表!$E1153,"xxx")&amp;":2,1,1,"&amp;装备表!$O1153&amp;";","xxx"),"xxx"))</f>
        <v>xxx</v>
      </c>
      <c r="G1008" s="18" t="str">
        <f>IF(装备表!$O1153=0,"xxx",IFERROR(IF(INT(IF($D1008=G$3,装备表!$E1153,"xxx")/10000)=1,IF($D1008=G$3,装备表!$E1153,"xxx")&amp;":2,1,1,"&amp;装备表!$O1153&amp;";","xxx"),"xxx"))</f>
        <v>xxx</v>
      </c>
      <c r="H1008" s="18" t="str">
        <f>IF(装备表!$O1153=0,"xxx",IFERROR(IF(INT(IF($D1008=H$3,装备表!$E1153,"xxx")/10000)=1,IF($D1008=H$3,装备表!$E1153,"xxx")&amp;":2,1,1,"&amp;装备表!$O1153&amp;";","xxx"),"xxx"))</f>
        <v>xxx</v>
      </c>
      <c r="I1008" s="18" t="str">
        <f>IF(装备表!$O1153=0,"xxx",IFERROR(IF(INT(IF($D1008=I$3,装备表!$E1153,"xxx")/10000)=1,IF($D1008=I$3,装备表!$E1153,"xxx")&amp;":2,1,1,"&amp;装备表!$O1153&amp;";","xxx"),"xxx"))</f>
        <v>xxx</v>
      </c>
      <c r="J1008" s="18" t="str">
        <f>IF(装备表!$O1153=0,"xxx",IFERROR(IF(INT(IF($D1008=J$3,装备表!$E1153,"xxx")/10000)=1,IF($D1008=J$3,装备表!$E1153,"xxx")&amp;":2,1,1,"&amp;装备表!$O1153&amp;";","xxx"),"xxx"))</f>
        <v>xxx</v>
      </c>
    </row>
    <row r="1009" spans="4:10" x14ac:dyDescent="0.2">
      <c r="D1009" s="18">
        <f>装备表!L1154</f>
        <v>0</v>
      </c>
      <c r="E1009" s="18" t="str">
        <f>IF(装备表!$O1154=0,"xxx",IFERROR(IF(INT(IF($D1009=E$3,装备表!$E1154,"xxx")/10000)=1,IF($D1009=E$3,装备表!$E1154,"xxx")&amp;":2,1,1,"&amp;装备表!$O1154&amp;";","xxx"),"xxx"))</f>
        <v>xxx</v>
      </c>
      <c r="F1009" s="18" t="str">
        <f>IF(装备表!$O1154=0,"xxx",IFERROR(IF(INT(IF($D1009=F$3,装备表!$E1154,"xxx")/10000)=1,IF($D1009=F$3,装备表!$E1154,"xxx")&amp;":2,1,1,"&amp;装备表!$O1154&amp;";","xxx"),"xxx"))</f>
        <v>xxx</v>
      </c>
      <c r="G1009" s="18" t="str">
        <f>IF(装备表!$O1154=0,"xxx",IFERROR(IF(INT(IF($D1009=G$3,装备表!$E1154,"xxx")/10000)=1,IF($D1009=G$3,装备表!$E1154,"xxx")&amp;":2,1,1,"&amp;装备表!$O1154&amp;";","xxx"),"xxx"))</f>
        <v>xxx</v>
      </c>
      <c r="H1009" s="18" t="str">
        <f>IF(装备表!$O1154=0,"xxx",IFERROR(IF(INT(IF($D1009=H$3,装备表!$E1154,"xxx")/10000)=1,IF($D1009=H$3,装备表!$E1154,"xxx")&amp;":2,1,1,"&amp;装备表!$O1154&amp;";","xxx"),"xxx"))</f>
        <v>xxx</v>
      </c>
      <c r="I1009" s="18" t="str">
        <f>IF(装备表!$O1154=0,"xxx",IFERROR(IF(INT(IF($D1009=I$3,装备表!$E1154,"xxx")/10000)=1,IF($D1009=I$3,装备表!$E1154,"xxx")&amp;":2,1,1,"&amp;装备表!$O1154&amp;";","xxx"),"xxx"))</f>
        <v>xxx</v>
      </c>
      <c r="J1009" s="18" t="str">
        <f>IF(装备表!$O1154=0,"xxx",IFERROR(IF(INT(IF($D1009=J$3,装备表!$E1154,"xxx")/10000)=1,IF($D1009=J$3,装备表!$E1154,"xxx")&amp;":2,1,1,"&amp;装备表!$O1154&amp;";","xxx"),"xxx"))</f>
        <v>xxx</v>
      </c>
    </row>
    <row r="1010" spans="4:10" x14ac:dyDescent="0.2">
      <c r="D1010" s="18">
        <f>装备表!L1155</f>
        <v>0</v>
      </c>
      <c r="E1010" s="18" t="str">
        <f>IF(装备表!$O1155=0,"xxx",IFERROR(IF(INT(IF($D1010=E$3,装备表!$E1155,"xxx")/10000)=1,IF($D1010=E$3,装备表!$E1155,"xxx")&amp;":2,1,1,"&amp;装备表!$O1155&amp;";","xxx"),"xxx"))</f>
        <v>xxx</v>
      </c>
      <c r="F1010" s="18" t="str">
        <f>IF(装备表!$O1155=0,"xxx",IFERROR(IF(INT(IF($D1010=F$3,装备表!$E1155,"xxx")/10000)=1,IF($D1010=F$3,装备表!$E1155,"xxx")&amp;":2,1,1,"&amp;装备表!$O1155&amp;";","xxx"),"xxx"))</f>
        <v>xxx</v>
      </c>
      <c r="G1010" s="18" t="str">
        <f>IF(装备表!$O1155=0,"xxx",IFERROR(IF(INT(IF($D1010=G$3,装备表!$E1155,"xxx")/10000)=1,IF($D1010=G$3,装备表!$E1155,"xxx")&amp;":2,1,1,"&amp;装备表!$O1155&amp;";","xxx"),"xxx"))</f>
        <v>xxx</v>
      </c>
      <c r="H1010" s="18" t="str">
        <f>IF(装备表!$O1155=0,"xxx",IFERROR(IF(INT(IF($D1010=H$3,装备表!$E1155,"xxx")/10000)=1,IF($D1010=H$3,装备表!$E1155,"xxx")&amp;":2,1,1,"&amp;装备表!$O1155&amp;";","xxx"),"xxx"))</f>
        <v>xxx</v>
      </c>
      <c r="I1010" s="18" t="str">
        <f>IF(装备表!$O1155=0,"xxx",IFERROR(IF(INT(IF($D1010=I$3,装备表!$E1155,"xxx")/10000)=1,IF($D1010=I$3,装备表!$E1155,"xxx")&amp;":2,1,1,"&amp;装备表!$O1155&amp;";","xxx"),"xxx"))</f>
        <v>xxx</v>
      </c>
      <c r="J1010" s="18" t="str">
        <f>IF(装备表!$O1155=0,"xxx",IFERROR(IF(INT(IF($D1010=J$3,装备表!$E1155,"xxx")/10000)=1,IF($D1010=J$3,装备表!$E1155,"xxx")&amp;":2,1,1,"&amp;装备表!$O1155&amp;";","xxx"),"xxx"))</f>
        <v>xxx</v>
      </c>
    </row>
    <row r="1011" spans="4:10" x14ac:dyDescent="0.2">
      <c r="D1011" s="18">
        <f>装备表!L1156</f>
        <v>0</v>
      </c>
      <c r="E1011" s="18" t="str">
        <f>IF(装备表!$O1156=0,"xxx",IFERROR(IF(INT(IF($D1011=E$3,装备表!$E1156,"xxx")/10000)=1,IF($D1011=E$3,装备表!$E1156,"xxx")&amp;":2,1,1,"&amp;装备表!$O1156&amp;";","xxx"),"xxx"))</f>
        <v>xxx</v>
      </c>
      <c r="F1011" s="18" t="str">
        <f>IF(装备表!$O1156=0,"xxx",IFERROR(IF(INT(IF($D1011=F$3,装备表!$E1156,"xxx")/10000)=1,IF($D1011=F$3,装备表!$E1156,"xxx")&amp;":2,1,1,"&amp;装备表!$O1156&amp;";","xxx"),"xxx"))</f>
        <v>xxx</v>
      </c>
      <c r="G1011" s="18" t="str">
        <f>IF(装备表!$O1156=0,"xxx",IFERROR(IF(INT(IF($D1011=G$3,装备表!$E1156,"xxx")/10000)=1,IF($D1011=G$3,装备表!$E1156,"xxx")&amp;":2,1,1,"&amp;装备表!$O1156&amp;";","xxx"),"xxx"))</f>
        <v>xxx</v>
      </c>
      <c r="H1011" s="18" t="str">
        <f>IF(装备表!$O1156=0,"xxx",IFERROR(IF(INT(IF($D1011=H$3,装备表!$E1156,"xxx")/10000)=1,IF($D1011=H$3,装备表!$E1156,"xxx")&amp;":2,1,1,"&amp;装备表!$O1156&amp;";","xxx"),"xxx"))</f>
        <v>xxx</v>
      </c>
      <c r="I1011" s="18" t="str">
        <f>IF(装备表!$O1156=0,"xxx",IFERROR(IF(INT(IF($D1011=I$3,装备表!$E1156,"xxx")/10000)=1,IF($D1011=I$3,装备表!$E1156,"xxx")&amp;":2,1,1,"&amp;装备表!$O1156&amp;";","xxx"),"xxx"))</f>
        <v>xxx</v>
      </c>
      <c r="J1011" s="18" t="str">
        <f>IF(装备表!$O1156=0,"xxx",IFERROR(IF(INT(IF($D1011=J$3,装备表!$E1156,"xxx")/10000)=1,IF($D1011=J$3,装备表!$E1156,"xxx")&amp;":2,1,1,"&amp;装备表!$O1156&amp;";","xxx"),"xxx"))</f>
        <v>xxx</v>
      </c>
    </row>
    <row r="1012" spans="4:10" x14ac:dyDescent="0.2">
      <c r="D1012" s="18">
        <f>装备表!L1157</f>
        <v>0</v>
      </c>
      <c r="E1012" s="18" t="str">
        <f>IF(装备表!$O1157=0,"xxx",IFERROR(IF(INT(IF($D1012=E$3,装备表!$E1157,"xxx")/10000)=1,IF($D1012=E$3,装备表!$E1157,"xxx")&amp;":2,1,1,"&amp;装备表!$O1157&amp;";","xxx"),"xxx"))</f>
        <v>xxx</v>
      </c>
      <c r="F1012" s="18" t="str">
        <f>IF(装备表!$O1157=0,"xxx",IFERROR(IF(INT(IF($D1012=F$3,装备表!$E1157,"xxx")/10000)=1,IF($D1012=F$3,装备表!$E1157,"xxx")&amp;":2,1,1,"&amp;装备表!$O1157&amp;";","xxx"),"xxx"))</f>
        <v>xxx</v>
      </c>
      <c r="G1012" s="18" t="str">
        <f>IF(装备表!$O1157=0,"xxx",IFERROR(IF(INT(IF($D1012=G$3,装备表!$E1157,"xxx")/10000)=1,IF($D1012=G$3,装备表!$E1157,"xxx")&amp;":2,1,1,"&amp;装备表!$O1157&amp;";","xxx"),"xxx"))</f>
        <v>xxx</v>
      </c>
      <c r="H1012" s="18" t="str">
        <f>IF(装备表!$O1157=0,"xxx",IFERROR(IF(INT(IF($D1012=H$3,装备表!$E1157,"xxx")/10000)=1,IF($D1012=H$3,装备表!$E1157,"xxx")&amp;":2,1,1,"&amp;装备表!$O1157&amp;";","xxx"),"xxx"))</f>
        <v>xxx</v>
      </c>
      <c r="I1012" s="18" t="str">
        <f>IF(装备表!$O1157=0,"xxx",IFERROR(IF(INT(IF($D1012=I$3,装备表!$E1157,"xxx")/10000)=1,IF($D1012=I$3,装备表!$E1157,"xxx")&amp;":2,1,1,"&amp;装备表!$O1157&amp;";","xxx"),"xxx"))</f>
        <v>xxx</v>
      </c>
      <c r="J1012" s="18" t="str">
        <f>IF(装备表!$O1157=0,"xxx",IFERROR(IF(INT(IF($D1012=J$3,装备表!$E1157,"xxx")/10000)=1,IF($D1012=J$3,装备表!$E1157,"xxx")&amp;":2,1,1,"&amp;装备表!$O1157&amp;";","xxx"),"xxx"))</f>
        <v>xxx</v>
      </c>
    </row>
    <row r="1013" spans="4:10" x14ac:dyDescent="0.2">
      <c r="D1013" s="18">
        <f>装备表!L1158</f>
        <v>0</v>
      </c>
      <c r="E1013" s="18" t="str">
        <f>IF(装备表!$O1158=0,"xxx",IFERROR(IF(INT(IF($D1013=E$3,装备表!$E1158,"xxx")/10000)=1,IF($D1013=E$3,装备表!$E1158,"xxx")&amp;":2,1,1,"&amp;装备表!$O1158&amp;";","xxx"),"xxx"))</f>
        <v>xxx</v>
      </c>
      <c r="F1013" s="18" t="str">
        <f>IF(装备表!$O1158=0,"xxx",IFERROR(IF(INT(IF($D1013=F$3,装备表!$E1158,"xxx")/10000)=1,IF($D1013=F$3,装备表!$E1158,"xxx")&amp;":2,1,1,"&amp;装备表!$O1158&amp;";","xxx"),"xxx"))</f>
        <v>xxx</v>
      </c>
      <c r="G1013" s="18" t="str">
        <f>IF(装备表!$O1158=0,"xxx",IFERROR(IF(INT(IF($D1013=G$3,装备表!$E1158,"xxx")/10000)=1,IF($D1013=G$3,装备表!$E1158,"xxx")&amp;":2,1,1,"&amp;装备表!$O1158&amp;";","xxx"),"xxx"))</f>
        <v>xxx</v>
      </c>
      <c r="H1013" s="18" t="str">
        <f>IF(装备表!$O1158=0,"xxx",IFERROR(IF(INT(IF($D1013=H$3,装备表!$E1158,"xxx")/10000)=1,IF($D1013=H$3,装备表!$E1158,"xxx")&amp;":2,1,1,"&amp;装备表!$O1158&amp;";","xxx"),"xxx"))</f>
        <v>xxx</v>
      </c>
      <c r="I1013" s="18" t="str">
        <f>IF(装备表!$O1158=0,"xxx",IFERROR(IF(INT(IF($D1013=I$3,装备表!$E1158,"xxx")/10000)=1,IF($D1013=I$3,装备表!$E1158,"xxx")&amp;":2,1,1,"&amp;装备表!$O1158&amp;";","xxx"),"xxx"))</f>
        <v>xxx</v>
      </c>
      <c r="J1013" s="18" t="str">
        <f>IF(装备表!$O1158=0,"xxx",IFERROR(IF(INT(IF($D1013=J$3,装备表!$E1158,"xxx")/10000)=1,IF($D1013=J$3,装备表!$E1158,"xxx")&amp;":2,1,1,"&amp;装备表!$O1158&amp;";","xxx"),"xxx"))</f>
        <v>xxx</v>
      </c>
    </row>
    <row r="1014" spans="4:10" x14ac:dyDescent="0.2">
      <c r="D1014" s="18">
        <f>装备表!L1159</f>
        <v>0</v>
      </c>
      <c r="E1014" s="18" t="str">
        <f>IF(装备表!$O1159=0,"xxx",IFERROR(IF(INT(IF($D1014=E$3,装备表!$E1159,"xxx")/10000)=1,IF($D1014=E$3,装备表!$E1159,"xxx")&amp;":2,1,1,"&amp;装备表!$O1159&amp;";","xxx"),"xxx"))</f>
        <v>xxx</v>
      </c>
      <c r="F1014" s="18" t="str">
        <f>IF(装备表!$O1159=0,"xxx",IFERROR(IF(INT(IF($D1014=F$3,装备表!$E1159,"xxx")/10000)=1,IF($D1014=F$3,装备表!$E1159,"xxx")&amp;":2,1,1,"&amp;装备表!$O1159&amp;";","xxx"),"xxx"))</f>
        <v>xxx</v>
      </c>
      <c r="G1014" s="18" t="str">
        <f>IF(装备表!$O1159=0,"xxx",IFERROR(IF(INT(IF($D1014=G$3,装备表!$E1159,"xxx")/10000)=1,IF($D1014=G$3,装备表!$E1159,"xxx")&amp;":2,1,1,"&amp;装备表!$O1159&amp;";","xxx"),"xxx"))</f>
        <v>xxx</v>
      </c>
      <c r="H1014" s="18" t="str">
        <f>IF(装备表!$O1159=0,"xxx",IFERROR(IF(INT(IF($D1014=H$3,装备表!$E1159,"xxx")/10000)=1,IF($D1014=H$3,装备表!$E1159,"xxx")&amp;":2,1,1,"&amp;装备表!$O1159&amp;";","xxx"),"xxx"))</f>
        <v>xxx</v>
      </c>
      <c r="I1014" s="18" t="str">
        <f>IF(装备表!$O1159=0,"xxx",IFERROR(IF(INT(IF($D1014=I$3,装备表!$E1159,"xxx")/10000)=1,IF($D1014=I$3,装备表!$E1159,"xxx")&amp;":2,1,1,"&amp;装备表!$O1159&amp;";","xxx"),"xxx"))</f>
        <v>xxx</v>
      </c>
      <c r="J1014" s="18" t="str">
        <f>IF(装备表!$O1159=0,"xxx",IFERROR(IF(INT(IF($D1014=J$3,装备表!$E1159,"xxx")/10000)=1,IF($D1014=J$3,装备表!$E1159,"xxx")&amp;":2,1,1,"&amp;装备表!$O1159&amp;";","xxx"),"xxx"))</f>
        <v>xxx</v>
      </c>
    </row>
    <row r="1015" spans="4:10" x14ac:dyDescent="0.2">
      <c r="D1015" s="18">
        <f>装备表!L1160</f>
        <v>0</v>
      </c>
      <c r="E1015" s="18" t="str">
        <f>IF(装备表!$O1160=0,"xxx",IFERROR(IF(INT(IF($D1015=E$3,装备表!$E1160,"xxx")/10000)=1,IF($D1015=E$3,装备表!$E1160,"xxx")&amp;":2,1,1,"&amp;装备表!$O1160&amp;";","xxx"),"xxx"))</f>
        <v>xxx</v>
      </c>
      <c r="F1015" s="18" t="str">
        <f>IF(装备表!$O1160=0,"xxx",IFERROR(IF(INT(IF($D1015=F$3,装备表!$E1160,"xxx")/10000)=1,IF($D1015=F$3,装备表!$E1160,"xxx")&amp;":2,1,1,"&amp;装备表!$O1160&amp;";","xxx"),"xxx"))</f>
        <v>xxx</v>
      </c>
      <c r="G1015" s="18" t="str">
        <f>IF(装备表!$O1160=0,"xxx",IFERROR(IF(INT(IF($D1015=G$3,装备表!$E1160,"xxx")/10000)=1,IF($D1015=G$3,装备表!$E1160,"xxx")&amp;":2,1,1,"&amp;装备表!$O1160&amp;";","xxx"),"xxx"))</f>
        <v>xxx</v>
      </c>
      <c r="H1015" s="18" t="str">
        <f>IF(装备表!$O1160=0,"xxx",IFERROR(IF(INT(IF($D1015=H$3,装备表!$E1160,"xxx")/10000)=1,IF($D1015=H$3,装备表!$E1160,"xxx")&amp;":2,1,1,"&amp;装备表!$O1160&amp;";","xxx"),"xxx"))</f>
        <v>xxx</v>
      </c>
      <c r="I1015" s="18" t="str">
        <f>IF(装备表!$O1160=0,"xxx",IFERROR(IF(INT(IF($D1015=I$3,装备表!$E1160,"xxx")/10000)=1,IF($D1015=I$3,装备表!$E1160,"xxx")&amp;":2,1,1,"&amp;装备表!$O1160&amp;";","xxx"),"xxx"))</f>
        <v>xxx</v>
      </c>
      <c r="J1015" s="18" t="str">
        <f>IF(装备表!$O1160=0,"xxx",IFERROR(IF(INT(IF($D1015=J$3,装备表!$E1160,"xxx")/10000)=1,IF($D1015=J$3,装备表!$E1160,"xxx")&amp;":2,1,1,"&amp;装备表!$O1160&amp;";","xxx"),"xxx"))</f>
        <v>xxx</v>
      </c>
    </row>
    <row r="1016" spans="4:10" x14ac:dyDescent="0.2">
      <c r="D1016" s="18">
        <f>装备表!L1161</f>
        <v>0</v>
      </c>
      <c r="E1016" s="18" t="str">
        <f>IF(装备表!$O1161=0,"xxx",IFERROR(IF(INT(IF($D1016=E$3,装备表!$E1161,"xxx")/10000)=1,IF($D1016=E$3,装备表!$E1161,"xxx")&amp;":2,1,1,"&amp;装备表!$O1161&amp;";","xxx"),"xxx"))</f>
        <v>xxx</v>
      </c>
      <c r="F1016" s="18" t="str">
        <f>IF(装备表!$O1161=0,"xxx",IFERROR(IF(INT(IF($D1016=F$3,装备表!$E1161,"xxx")/10000)=1,IF($D1016=F$3,装备表!$E1161,"xxx")&amp;":2,1,1,"&amp;装备表!$O1161&amp;";","xxx"),"xxx"))</f>
        <v>xxx</v>
      </c>
      <c r="G1016" s="18" t="str">
        <f>IF(装备表!$O1161=0,"xxx",IFERROR(IF(INT(IF($D1016=G$3,装备表!$E1161,"xxx")/10000)=1,IF($D1016=G$3,装备表!$E1161,"xxx")&amp;":2,1,1,"&amp;装备表!$O1161&amp;";","xxx"),"xxx"))</f>
        <v>xxx</v>
      </c>
      <c r="H1016" s="18" t="str">
        <f>IF(装备表!$O1161=0,"xxx",IFERROR(IF(INT(IF($D1016=H$3,装备表!$E1161,"xxx")/10000)=1,IF($D1016=H$3,装备表!$E1161,"xxx")&amp;":2,1,1,"&amp;装备表!$O1161&amp;";","xxx"),"xxx"))</f>
        <v>xxx</v>
      </c>
      <c r="I1016" s="18" t="str">
        <f>IF(装备表!$O1161=0,"xxx",IFERROR(IF(INT(IF($D1016=I$3,装备表!$E1161,"xxx")/10000)=1,IF($D1016=I$3,装备表!$E1161,"xxx")&amp;":2,1,1,"&amp;装备表!$O1161&amp;";","xxx"),"xxx"))</f>
        <v>xxx</v>
      </c>
      <c r="J1016" s="18" t="str">
        <f>IF(装备表!$O1161=0,"xxx",IFERROR(IF(INT(IF($D1016=J$3,装备表!$E1161,"xxx")/10000)=1,IF($D1016=J$3,装备表!$E1161,"xxx")&amp;":2,1,1,"&amp;装备表!$O1161&amp;";","xxx"),"xxx"))</f>
        <v>xxx</v>
      </c>
    </row>
    <row r="1017" spans="4:10" x14ac:dyDescent="0.2">
      <c r="D1017" s="18">
        <f>装备表!L1162</f>
        <v>0</v>
      </c>
      <c r="E1017" s="18" t="str">
        <f>IF(装备表!$O1162=0,"xxx",IFERROR(IF(INT(IF($D1017=E$3,装备表!$E1162,"xxx")/10000)=1,IF($D1017=E$3,装备表!$E1162,"xxx")&amp;":2,1,1,"&amp;装备表!$O1162&amp;";","xxx"),"xxx"))</f>
        <v>xxx</v>
      </c>
      <c r="F1017" s="18" t="str">
        <f>IF(装备表!$O1162=0,"xxx",IFERROR(IF(INT(IF($D1017=F$3,装备表!$E1162,"xxx")/10000)=1,IF($D1017=F$3,装备表!$E1162,"xxx")&amp;":2,1,1,"&amp;装备表!$O1162&amp;";","xxx"),"xxx"))</f>
        <v>xxx</v>
      </c>
      <c r="G1017" s="18" t="str">
        <f>IF(装备表!$O1162=0,"xxx",IFERROR(IF(INT(IF($D1017=G$3,装备表!$E1162,"xxx")/10000)=1,IF($D1017=G$3,装备表!$E1162,"xxx")&amp;":2,1,1,"&amp;装备表!$O1162&amp;";","xxx"),"xxx"))</f>
        <v>xxx</v>
      </c>
      <c r="H1017" s="18" t="str">
        <f>IF(装备表!$O1162=0,"xxx",IFERROR(IF(INT(IF($D1017=H$3,装备表!$E1162,"xxx")/10000)=1,IF($D1017=H$3,装备表!$E1162,"xxx")&amp;":2,1,1,"&amp;装备表!$O1162&amp;";","xxx"),"xxx"))</f>
        <v>xxx</v>
      </c>
      <c r="I1017" s="18" t="str">
        <f>IF(装备表!$O1162=0,"xxx",IFERROR(IF(INT(IF($D1017=I$3,装备表!$E1162,"xxx")/10000)=1,IF($D1017=I$3,装备表!$E1162,"xxx")&amp;":2,1,1,"&amp;装备表!$O1162&amp;";","xxx"),"xxx"))</f>
        <v>xxx</v>
      </c>
      <c r="J1017" s="18" t="str">
        <f>IF(装备表!$O1162=0,"xxx",IFERROR(IF(INT(IF($D1017=J$3,装备表!$E1162,"xxx")/10000)=1,IF($D1017=J$3,装备表!$E1162,"xxx")&amp;":2,1,1,"&amp;装备表!$O1162&amp;";","xxx"),"xxx"))</f>
        <v>xxx</v>
      </c>
    </row>
    <row r="1018" spans="4:10" x14ac:dyDescent="0.2">
      <c r="D1018" s="18">
        <f>装备表!L1163</f>
        <v>0</v>
      </c>
      <c r="E1018" s="18" t="str">
        <f>IF(装备表!$O1163=0,"xxx",IFERROR(IF(INT(IF($D1018=E$3,装备表!$E1163,"xxx")/10000)=1,IF($D1018=E$3,装备表!$E1163,"xxx")&amp;":2,1,1,"&amp;装备表!$O1163&amp;";","xxx"),"xxx"))</f>
        <v>xxx</v>
      </c>
      <c r="F1018" s="18" t="str">
        <f>IF(装备表!$O1163=0,"xxx",IFERROR(IF(INT(IF($D1018=F$3,装备表!$E1163,"xxx")/10000)=1,IF($D1018=F$3,装备表!$E1163,"xxx")&amp;":2,1,1,"&amp;装备表!$O1163&amp;";","xxx"),"xxx"))</f>
        <v>xxx</v>
      </c>
      <c r="G1018" s="18" t="str">
        <f>IF(装备表!$O1163=0,"xxx",IFERROR(IF(INT(IF($D1018=G$3,装备表!$E1163,"xxx")/10000)=1,IF($D1018=G$3,装备表!$E1163,"xxx")&amp;":2,1,1,"&amp;装备表!$O1163&amp;";","xxx"),"xxx"))</f>
        <v>xxx</v>
      </c>
      <c r="H1018" s="18" t="str">
        <f>IF(装备表!$O1163=0,"xxx",IFERROR(IF(INT(IF($D1018=H$3,装备表!$E1163,"xxx")/10000)=1,IF($D1018=H$3,装备表!$E1163,"xxx")&amp;":2,1,1,"&amp;装备表!$O1163&amp;";","xxx"),"xxx"))</f>
        <v>xxx</v>
      </c>
      <c r="I1018" s="18" t="str">
        <f>IF(装备表!$O1163=0,"xxx",IFERROR(IF(INT(IF($D1018=I$3,装备表!$E1163,"xxx")/10000)=1,IF($D1018=I$3,装备表!$E1163,"xxx")&amp;":2,1,1,"&amp;装备表!$O1163&amp;";","xxx"),"xxx"))</f>
        <v>xxx</v>
      </c>
      <c r="J1018" s="18" t="str">
        <f>IF(装备表!$O1163=0,"xxx",IFERROR(IF(INT(IF($D1018=J$3,装备表!$E1163,"xxx")/10000)=1,IF($D1018=J$3,装备表!$E1163,"xxx")&amp;":2,1,1,"&amp;装备表!$O1163&amp;";","xxx"),"xxx"))</f>
        <v>xxx</v>
      </c>
    </row>
    <row r="1019" spans="4:10" x14ac:dyDescent="0.2">
      <c r="D1019" s="18">
        <f>装备表!L1164</f>
        <v>0</v>
      </c>
      <c r="E1019" s="18" t="str">
        <f>IF(装备表!$O1164=0,"xxx",IFERROR(IF(INT(IF($D1019=E$3,装备表!$E1164,"xxx")/10000)=1,IF($D1019=E$3,装备表!$E1164,"xxx")&amp;":2,1,1,"&amp;装备表!$O1164&amp;";","xxx"),"xxx"))</f>
        <v>xxx</v>
      </c>
      <c r="F1019" s="18" t="str">
        <f>IF(装备表!$O1164=0,"xxx",IFERROR(IF(INT(IF($D1019=F$3,装备表!$E1164,"xxx")/10000)=1,IF($D1019=F$3,装备表!$E1164,"xxx")&amp;":2,1,1,"&amp;装备表!$O1164&amp;";","xxx"),"xxx"))</f>
        <v>xxx</v>
      </c>
      <c r="G1019" s="18" t="str">
        <f>IF(装备表!$O1164=0,"xxx",IFERROR(IF(INT(IF($D1019=G$3,装备表!$E1164,"xxx")/10000)=1,IF($D1019=G$3,装备表!$E1164,"xxx")&amp;":2,1,1,"&amp;装备表!$O1164&amp;";","xxx"),"xxx"))</f>
        <v>xxx</v>
      </c>
      <c r="H1019" s="18" t="str">
        <f>IF(装备表!$O1164=0,"xxx",IFERROR(IF(INT(IF($D1019=H$3,装备表!$E1164,"xxx")/10000)=1,IF($D1019=H$3,装备表!$E1164,"xxx")&amp;":2,1,1,"&amp;装备表!$O1164&amp;";","xxx"),"xxx"))</f>
        <v>xxx</v>
      </c>
      <c r="I1019" s="18" t="str">
        <f>IF(装备表!$O1164=0,"xxx",IFERROR(IF(INT(IF($D1019=I$3,装备表!$E1164,"xxx")/10000)=1,IF($D1019=I$3,装备表!$E1164,"xxx")&amp;":2,1,1,"&amp;装备表!$O1164&amp;";","xxx"),"xxx"))</f>
        <v>xxx</v>
      </c>
      <c r="J1019" s="18" t="str">
        <f>IF(装备表!$O1164=0,"xxx",IFERROR(IF(INT(IF($D1019=J$3,装备表!$E1164,"xxx")/10000)=1,IF($D1019=J$3,装备表!$E1164,"xxx")&amp;":2,1,1,"&amp;装备表!$O1164&amp;";","xxx"),"xxx"))</f>
        <v>xxx</v>
      </c>
    </row>
    <row r="1020" spans="4:10" x14ac:dyDescent="0.2">
      <c r="D1020" s="18">
        <f>装备表!L1165</f>
        <v>0</v>
      </c>
      <c r="E1020" s="18" t="str">
        <f>IF(装备表!$O1165=0,"xxx",IFERROR(IF(INT(IF($D1020=E$3,装备表!$E1165,"xxx")/10000)=1,IF($D1020=E$3,装备表!$E1165,"xxx")&amp;":2,1,1,"&amp;装备表!$O1165&amp;";","xxx"),"xxx"))</f>
        <v>xxx</v>
      </c>
      <c r="F1020" s="18" t="str">
        <f>IF(装备表!$O1165=0,"xxx",IFERROR(IF(INT(IF($D1020=F$3,装备表!$E1165,"xxx")/10000)=1,IF($D1020=F$3,装备表!$E1165,"xxx")&amp;":2,1,1,"&amp;装备表!$O1165&amp;";","xxx"),"xxx"))</f>
        <v>xxx</v>
      </c>
      <c r="G1020" s="18" t="str">
        <f>IF(装备表!$O1165=0,"xxx",IFERROR(IF(INT(IF($D1020=G$3,装备表!$E1165,"xxx")/10000)=1,IF($D1020=G$3,装备表!$E1165,"xxx")&amp;":2,1,1,"&amp;装备表!$O1165&amp;";","xxx"),"xxx"))</f>
        <v>xxx</v>
      </c>
      <c r="H1020" s="18" t="str">
        <f>IF(装备表!$O1165=0,"xxx",IFERROR(IF(INT(IF($D1020=H$3,装备表!$E1165,"xxx")/10000)=1,IF($D1020=H$3,装备表!$E1165,"xxx")&amp;":2,1,1,"&amp;装备表!$O1165&amp;";","xxx"),"xxx"))</f>
        <v>xxx</v>
      </c>
      <c r="I1020" s="18" t="str">
        <f>IF(装备表!$O1165=0,"xxx",IFERROR(IF(INT(IF($D1020=I$3,装备表!$E1165,"xxx")/10000)=1,IF($D1020=I$3,装备表!$E1165,"xxx")&amp;":2,1,1,"&amp;装备表!$O1165&amp;";","xxx"),"xxx"))</f>
        <v>xxx</v>
      </c>
      <c r="J1020" s="18" t="str">
        <f>IF(装备表!$O1165=0,"xxx",IFERROR(IF(INT(IF($D1020=J$3,装备表!$E1165,"xxx")/10000)=1,IF($D1020=J$3,装备表!$E1165,"xxx")&amp;":2,1,1,"&amp;装备表!$O1165&amp;";","xxx"),"xxx"))</f>
        <v>xxx</v>
      </c>
    </row>
    <row r="1021" spans="4:10" x14ac:dyDescent="0.2">
      <c r="D1021" s="18">
        <f>装备表!L1166</f>
        <v>0</v>
      </c>
      <c r="E1021" s="18" t="str">
        <f>IF(装备表!$O1166=0,"xxx",IFERROR(IF(INT(IF($D1021=E$3,装备表!$E1166,"xxx")/10000)=1,IF($D1021=E$3,装备表!$E1166,"xxx")&amp;":2,1,1,"&amp;装备表!$O1166&amp;";","xxx"),"xxx"))</f>
        <v>xxx</v>
      </c>
      <c r="F1021" s="18" t="str">
        <f>IF(装备表!$O1166=0,"xxx",IFERROR(IF(INT(IF($D1021=F$3,装备表!$E1166,"xxx")/10000)=1,IF($D1021=F$3,装备表!$E1166,"xxx")&amp;":2,1,1,"&amp;装备表!$O1166&amp;";","xxx"),"xxx"))</f>
        <v>xxx</v>
      </c>
      <c r="G1021" s="18" t="str">
        <f>IF(装备表!$O1166=0,"xxx",IFERROR(IF(INT(IF($D1021=G$3,装备表!$E1166,"xxx")/10000)=1,IF($D1021=G$3,装备表!$E1166,"xxx")&amp;":2,1,1,"&amp;装备表!$O1166&amp;";","xxx"),"xxx"))</f>
        <v>xxx</v>
      </c>
      <c r="H1021" s="18" t="str">
        <f>IF(装备表!$O1166=0,"xxx",IFERROR(IF(INT(IF($D1021=H$3,装备表!$E1166,"xxx")/10000)=1,IF($D1021=H$3,装备表!$E1166,"xxx")&amp;":2,1,1,"&amp;装备表!$O1166&amp;";","xxx"),"xxx"))</f>
        <v>xxx</v>
      </c>
      <c r="I1021" s="18" t="str">
        <f>IF(装备表!$O1166=0,"xxx",IFERROR(IF(INT(IF($D1021=I$3,装备表!$E1166,"xxx")/10000)=1,IF($D1021=I$3,装备表!$E1166,"xxx")&amp;":2,1,1,"&amp;装备表!$O1166&amp;";","xxx"),"xxx"))</f>
        <v>xxx</v>
      </c>
      <c r="J1021" s="18" t="str">
        <f>IF(装备表!$O1166=0,"xxx",IFERROR(IF(INT(IF($D1021=J$3,装备表!$E1166,"xxx")/10000)=1,IF($D1021=J$3,装备表!$E1166,"xxx")&amp;":2,1,1,"&amp;装备表!$O1166&amp;";","xxx"),"xxx"))</f>
        <v>xxx</v>
      </c>
    </row>
    <row r="1022" spans="4:10" x14ac:dyDescent="0.2">
      <c r="D1022" s="18">
        <f>装备表!L1167</f>
        <v>0</v>
      </c>
      <c r="E1022" s="18" t="str">
        <f>IF(装备表!$O1167=0,"xxx",IFERROR(IF(INT(IF($D1022=E$3,装备表!$E1167,"xxx")/10000)=1,IF($D1022=E$3,装备表!$E1167,"xxx")&amp;":2,1,1,"&amp;装备表!$O1167&amp;";","xxx"),"xxx"))</f>
        <v>xxx</v>
      </c>
      <c r="F1022" s="18" t="str">
        <f>IF(装备表!$O1167=0,"xxx",IFERROR(IF(INT(IF($D1022=F$3,装备表!$E1167,"xxx")/10000)=1,IF($D1022=F$3,装备表!$E1167,"xxx")&amp;":2,1,1,"&amp;装备表!$O1167&amp;";","xxx"),"xxx"))</f>
        <v>xxx</v>
      </c>
      <c r="G1022" s="18" t="str">
        <f>IF(装备表!$O1167=0,"xxx",IFERROR(IF(INT(IF($D1022=G$3,装备表!$E1167,"xxx")/10000)=1,IF($D1022=G$3,装备表!$E1167,"xxx")&amp;":2,1,1,"&amp;装备表!$O1167&amp;";","xxx"),"xxx"))</f>
        <v>xxx</v>
      </c>
      <c r="H1022" s="18" t="str">
        <f>IF(装备表!$O1167=0,"xxx",IFERROR(IF(INT(IF($D1022=H$3,装备表!$E1167,"xxx")/10000)=1,IF($D1022=H$3,装备表!$E1167,"xxx")&amp;":2,1,1,"&amp;装备表!$O1167&amp;";","xxx"),"xxx"))</f>
        <v>xxx</v>
      </c>
      <c r="I1022" s="18" t="str">
        <f>IF(装备表!$O1167=0,"xxx",IFERROR(IF(INT(IF($D1022=I$3,装备表!$E1167,"xxx")/10000)=1,IF($D1022=I$3,装备表!$E1167,"xxx")&amp;":2,1,1,"&amp;装备表!$O1167&amp;";","xxx"),"xxx"))</f>
        <v>xxx</v>
      </c>
      <c r="J1022" s="18" t="str">
        <f>IF(装备表!$O1167=0,"xxx",IFERROR(IF(INT(IF($D1022=J$3,装备表!$E1167,"xxx")/10000)=1,IF($D1022=J$3,装备表!$E1167,"xxx")&amp;":2,1,1,"&amp;装备表!$O1167&amp;";","xxx"),"xxx"))</f>
        <v>xxx</v>
      </c>
    </row>
    <row r="1023" spans="4:10" x14ac:dyDescent="0.2">
      <c r="D1023" s="18">
        <f>装备表!L1168</f>
        <v>0</v>
      </c>
      <c r="E1023" s="18" t="str">
        <f>IF(装备表!$O1168=0,"xxx",IFERROR(IF(INT(IF($D1023=E$3,装备表!$E1168,"xxx")/10000)=1,IF($D1023=E$3,装备表!$E1168,"xxx")&amp;":2,1,1,"&amp;装备表!$O1168&amp;";","xxx"),"xxx"))</f>
        <v>xxx</v>
      </c>
      <c r="F1023" s="18" t="str">
        <f>IF(装备表!$O1168=0,"xxx",IFERROR(IF(INT(IF($D1023=F$3,装备表!$E1168,"xxx")/10000)=1,IF($D1023=F$3,装备表!$E1168,"xxx")&amp;":2,1,1,"&amp;装备表!$O1168&amp;";","xxx"),"xxx"))</f>
        <v>xxx</v>
      </c>
      <c r="G1023" s="18" t="str">
        <f>IF(装备表!$O1168=0,"xxx",IFERROR(IF(INT(IF($D1023=G$3,装备表!$E1168,"xxx")/10000)=1,IF($D1023=G$3,装备表!$E1168,"xxx")&amp;":2,1,1,"&amp;装备表!$O1168&amp;";","xxx"),"xxx"))</f>
        <v>xxx</v>
      </c>
      <c r="H1023" s="18" t="str">
        <f>IF(装备表!$O1168=0,"xxx",IFERROR(IF(INT(IF($D1023=H$3,装备表!$E1168,"xxx")/10000)=1,IF($D1023=H$3,装备表!$E1168,"xxx")&amp;":2,1,1,"&amp;装备表!$O1168&amp;";","xxx"),"xxx"))</f>
        <v>xxx</v>
      </c>
      <c r="I1023" s="18" t="str">
        <f>IF(装备表!$O1168=0,"xxx",IFERROR(IF(INT(IF($D1023=I$3,装备表!$E1168,"xxx")/10000)=1,IF($D1023=I$3,装备表!$E1168,"xxx")&amp;":2,1,1,"&amp;装备表!$O1168&amp;";","xxx"),"xxx"))</f>
        <v>xxx</v>
      </c>
      <c r="J1023" s="18" t="str">
        <f>IF(装备表!$O1168=0,"xxx",IFERROR(IF(INT(IF($D1023=J$3,装备表!$E1168,"xxx")/10000)=1,IF($D1023=J$3,装备表!$E1168,"xxx")&amp;":2,1,1,"&amp;装备表!$O1168&amp;";","xxx"),"xxx"))</f>
        <v>xxx</v>
      </c>
    </row>
    <row r="1024" spans="4:10" x14ac:dyDescent="0.2">
      <c r="D1024" s="18">
        <f>装备表!L1169</f>
        <v>0</v>
      </c>
      <c r="E1024" s="18" t="str">
        <f>IF(装备表!$O1169=0,"xxx",IFERROR(IF(INT(IF($D1024=E$3,装备表!$E1169,"xxx")/10000)=1,IF($D1024=E$3,装备表!$E1169,"xxx")&amp;":2,1,1,"&amp;装备表!$O1169&amp;";","xxx"),"xxx"))</f>
        <v>xxx</v>
      </c>
      <c r="F1024" s="18" t="str">
        <f>IF(装备表!$O1169=0,"xxx",IFERROR(IF(INT(IF($D1024=F$3,装备表!$E1169,"xxx")/10000)=1,IF($D1024=F$3,装备表!$E1169,"xxx")&amp;":2,1,1,"&amp;装备表!$O1169&amp;";","xxx"),"xxx"))</f>
        <v>xxx</v>
      </c>
      <c r="G1024" s="18" t="str">
        <f>IF(装备表!$O1169=0,"xxx",IFERROR(IF(INT(IF($D1024=G$3,装备表!$E1169,"xxx")/10000)=1,IF($D1024=G$3,装备表!$E1169,"xxx")&amp;":2,1,1,"&amp;装备表!$O1169&amp;";","xxx"),"xxx"))</f>
        <v>xxx</v>
      </c>
      <c r="H1024" s="18" t="str">
        <f>IF(装备表!$O1169=0,"xxx",IFERROR(IF(INT(IF($D1024=H$3,装备表!$E1169,"xxx")/10000)=1,IF($D1024=H$3,装备表!$E1169,"xxx")&amp;":2,1,1,"&amp;装备表!$O1169&amp;";","xxx"),"xxx"))</f>
        <v>xxx</v>
      </c>
      <c r="I1024" s="18" t="str">
        <f>IF(装备表!$O1169=0,"xxx",IFERROR(IF(INT(IF($D1024=I$3,装备表!$E1169,"xxx")/10000)=1,IF($D1024=I$3,装备表!$E1169,"xxx")&amp;":2,1,1,"&amp;装备表!$O1169&amp;";","xxx"),"xxx"))</f>
        <v>xxx</v>
      </c>
      <c r="J1024" s="18" t="str">
        <f>IF(装备表!$O1169=0,"xxx",IFERROR(IF(INT(IF($D1024=J$3,装备表!$E1169,"xxx")/10000)=1,IF($D1024=J$3,装备表!$E1169,"xxx")&amp;":2,1,1,"&amp;装备表!$O1169&amp;";","xxx"),"xxx"))</f>
        <v>xxx</v>
      </c>
    </row>
    <row r="1025" spans="4:10" x14ac:dyDescent="0.2">
      <c r="D1025" s="18">
        <f>装备表!L1170</f>
        <v>0</v>
      </c>
      <c r="E1025" s="18" t="str">
        <f>IF(装备表!$O1170=0,"xxx",IFERROR(IF(INT(IF($D1025=E$3,装备表!$E1170,"xxx")/10000)=1,IF($D1025=E$3,装备表!$E1170,"xxx")&amp;":2,1,1,"&amp;装备表!$O1170&amp;";","xxx"),"xxx"))</f>
        <v>xxx</v>
      </c>
      <c r="F1025" s="18" t="str">
        <f>IF(装备表!$O1170=0,"xxx",IFERROR(IF(INT(IF($D1025=F$3,装备表!$E1170,"xxx")/10000)=1,IF($D1025=F$3,装备表!$E1170,"xxx")&amp;":2,1,1,"&amp;装备表!$O1170&amp;";","xxx"),"xxx"))</f>
        <v>xxx</v>
      </c>
      <c r="G1025" s="18" t="str">
        <f>IF(装备表!$O1170=0,"xxx",IFERROR(IF(INT(IF($D1025=G$3,装备表!$E1170,"xxx")/10000)=1,IF($D1025=G$3,装备表!$E1170,"xxx")&amp;":2,1,1,"&amp;装备表!$O1170&amp;";","xxx"),"xxx"))</f>
        <v>xxx</v>
      </c>
      <c r="H1025" s="18" t="str">
        <f>IF(装备表!$O1170=0,"xxx",IFERROR(IF(INT(IF($D1025=H$3,装备表!$E1170,"xxx")/10000)=1,IF($D1025=H$3,装备表!$E1170,"xxx")&amp;":2,1,1,"&amp;装备表!$O1170&amp;";","xxx"),"xxx"))</f>
        <v>xxx</v>
      </c>
      <c r="I1025" s="18" t="str">
        <f>IF(装备表!$O1170=0,"xxx",IFERROR(IF(INT(IF($D1025=I$3,装备表!$E1170,"xxx")/10000)=1,IF($D1025=I$3,装备表!$E1170,"xxx")&amp;":2,1,1,"&amp;装备表!$O1170&amp;";","xxx"),"xxx"))</f>
        <v>xxx</v>
      </c>
      <c r="J1025" s="18" t="str">
        <f>IF(装备表!$O1170=0,"xxx",IFERROR(IF(INT(IF($D1025=J$3,装备表!$E1170,"xxx")/10000)=1,IF($D1025=J$3,装备表!$E1170,"xxx")&amp;":2,1,1,"&amp;装备表!$O1170&amp;";","xxx"),"xxx"))</f>
        <v>xxx</v>
      </c>
    </row>
    <row r="1026" spans="4:10" x14ac:dyDescent="0.2">
      <c r="D1026" s="18">
        <f>装备表!L1171</f>
        <v>0</v>
      </c>
      <c r="E1026" s="18" t="str">
        <f>IF(装备表!$O1171=0,"xxx",IFERROR(IF(INT(IF($D1026=E$3,装备表!$E1171,"xxx")/10000)=1,IF($D1026=E$3,装备表!$E1171,"xxx")&amp;":2,1,1,"&amp;装备表!$O1171&amp;";","xxx"),"xxx"))</f>
        <v>xxx</v>
      </c>
      <c r="F1026" s="18" t="str">
        <f>IF(装备表!$O1171=0,"xxx",IFERROR(IF(INT(IF($D1026=F$3,装备表!$E1171,"xxx")/10000)=1,IF($D1026=F$3,装备表!$E1171,"xxx")&amp;":2,1,1,"&amp;装备表!$O1171&amp;";","xxx"),"xxx"))</f>
        <v>xxx</v>
      </c>
      <c r="G1026" s="18" t="str">
        <f>IF(装备表!$O1171=0,"xxx",IFERROR(IF(INT(IF($D1026=G$3,装备表!$E1171,"xxx")/10000)=1,IF($D1026=G$3,装备表!$E1171,"xxx")&amp;":2,1,1,"&amp;装备表!$O1171&amp;";","xxx"),"xxx"))</f>
        <v>xxx</v>
      </c>
      <c r="H1026" s="18" t="str">
        <f>IF(装备表!$O1171=0,"xxx",IFERROR(IF(INT(IF($D1026=H$3,装备表!$E1171,"xxx")/10000)=1,IF($D1026=H$3,装备表!$E1171,"xxx")&amp;":2,1,1,"&amp;装备表!$O1171&amp;";","xxx"),"xxx"))</f>
        <v>xxx</v>
      </c>
      <c r="I1026" s="18" t="str">
        <f>IF(装备表!$O1171=0,"xxx",IFERROR(IF(INT(IF($D1026=I$3,装备表!$E1171,"xxx")/10000)=1,IF($D1026=I$3,装备表!$E1171,"xxx")&amp;":2,1,1,"&amp;装备表!$O1171&amp;";","xxx"),"xxx"))</f>
        <v>xxx</v>
      </c>
      <c r="J1026" s="18" t="str">
        <f>IF(装备表!$O1171=0,"xxx",IFERROR(IF(INT(IF($D1026=J$3,装备表!$E1171,"xxx")/10000)=1,IF($D1026=J$3,装备表!$E1171,"xxx")&amp;":2,1,1,"&amp;装备表!$O1171&amp;";","xxx"),"xxx"))</f>
        <v>xxx</v>
      </c>
    </row>
    <row r="1027" spans="4:10" x14ac:dyDescent="0.2">
      <c r="D1027" s="18">
        <f>装备表!L1172</f>
        <v>0</v>
      </c>
      <c r="E1027" s="18" t="str">
        <f>IF(装备表!$O1172=0,"xxx",IFERROR(IF(INT(IF($D1027=E$3,装备表!$E1172,"xxx")/10000)=1,IF($D1027=E$3,装备表!$E1172,"xxx")&amp;":2,1,1,"&amp;装备表!$O1172&amp;";","xxx"),"xxx"))</f>
        <v>xxx</v>
      </c>
      <c r="F1027" s="18" t="str">
        <f>IF(装备表!$O1172=0,"xxx",IFERROR(IF(INT(IF($D1027=F$3,装备表!$E1172,"xxx")/10000)=1,IF($D1027=F$3,装备表!$E1172,"xxx")&amp;":2,1,1,"&amp;装备表!$O1172&amp;";","xxx"),"xxx"))</f>
        <v>xxx</v>
      </c>
      <c r="G1027" s="18" t="str">
        <f>IF(装备表!$O1172=0,"xxx",IFERROR(IF(INT(IF($D1027=G$3,装备表!$E1172,"xxx")/10000)=1,IF($D1027=G$3,装备表!$E1172,"xxx")&amp;":2,1,1,"&amp;装备表!$O1172&amp;";","xxx"),"xxx"))</f>
        <v>xxx</v>
      </c>
      <c r="H1027" s="18" t="str">
        <f>IF(装备表!$O1172=0,"xxx",IFERROR(IF(INT(IF($D1027=H$3,装备表!$E1172,"xxx")/10000)=1,IF($D1027=H$3,装备表!$E1172,"xxx")&amp;":2,1,1,"&amp;装备表!$O1172&amp;";","xxx"),"xxx"))</f>
        <v>xxx</v>
      </c>
      <c r="I1027" s="18" t="str">
        <f>IF(装备表!$O1172=0,"xxx",IFERROR(IF(INT(IF($D1027=I$3,装备表!$E1172,"xxx")/10000)=1,IF($D1027=I$3,装备表!$E1172,"xxx")&amp;":2,1,1,"&amp;装备表!$O1172&amp;";","xxx"),"xxx"))</f>
        <v>xxx</v>
      </c>
      <c r="J1027" s="18" t="str">
        <f>IF(装备表!$O1172=0,"xxx",IFERROR(IF(INT(IF($D1027=J$3,装备表!$E1172,"xxx")/10000)=1,IF($D1027=J$3,装备表!$E1172,"xxx")&amp;":2,1,1,"&amp;装备表!$O1172&amp;";","xxx"),"xxx"))</f>
        <v>xxx</v>
      </c>
    </row>
    <row r="1028" spans="4:10" x14ac:dyDescent="0.2">
      <c r="D1028" s="18">
        <f>装备表!L1173</f>
        <v>0</v>
      </c>
      <c r="E1028" s="18" t="str">
        <f>IF(装备表!$O1173=0,"xxx",IFERROR(IF(INT(IF($D1028=E$3,装备表!$E1173,"xxx")/10000)=1,IF($D1028=E$3,装备表!$E1173,"xxx")&amp;":2,1,1,"&amp;装备表!$O1173&amp;";","xxx"),"xxx"))</f>
        <v>xxx</v>
      </c>
      <c r="F1028" s="18" t="str">
        <f>IF(装备表!$O1173=0,"xxx",IFERROR(IF(INT(IF($D1028=F$3,装备表!$E1173,"xxx")/10000)=1,IF($D1028=F$3,装备表!$E1173,"xxx")&amp;":2,1,1,"&amp;装备表!$O1173&amp;";","xxx"),"xxx"))</f>
        <v>xxx</v>
      </c>
      <c r="G1028" s="18" t="str">
        <f>IF(装备表!$O1173=0,"xxx",IFERROR(IF(INT(IF($D1028=G$3,装备表!$E1173,"xxx")/10000)=1,IF($D1028=G$3,装备表!$E1173,"xxx")&amp;":2,1,1,"&amp;装备表!$O1173&amp;";","xxx"),"xxx"))</f>
        <v>xxx</v>
      </c>
      <c r="H1028" s="18" t="str">
        <f>IF(装备表!$O1173=0,"xxx",IFERROR(IF(INT(IF($D1028=H$3,装备表!$E1173,"xxx")/10000)=1,IF($D1028=H$3,装备表!$E1173,"xxx")&amp;":2,1,1,"&amp;装备表!$O1173&amp;";","xxx"),"xxx"))</f>
        <v>xxx</v>
      </c>
      <c r="I1028" s="18" t="str">
        <f>IF(装备表!$O1173=0,"xxx",IFERROR(IF(INT(IF($D1028=I$3,装备表!$E1173,"xxx")/10000)=1,IF($D1028=I$3,装备表!$E1173,"xxx")&amp;":2,1,1,"&amp;装备表!$O1173&amp;";","xxx"),"xxx"))</f>
        <v>xxx</v>
      </c>
      <c r="J1028" s="18" t="str">
        <f>IF(装备表!$O1173=0,"xxx",IFERROR(IF(INT(IF($D1028=J$3,装备表!$E1173,"xxx")/10000)=1,IF($D1028=J$3,装备表!$E1173,"xxx")&amp;":2,1,1,"&amp;装备表!$O1173&amp;";","xxx"),"xxx"))</f>
        <v>xxx</v>
      </c>
    </row>
    <row r="1029" spans="4:10" x14ac:dyDescent="0.2">
      <c r="D1029" s="18">
        <f>装备表!L1174</f>
        <v>0</v>
      </c>
      <c r="E1029" s="18" t="str">
        <f>IF(装备表!$O1174=0,"xxx",IFERROR(IF(INT(IF($D1029=E$3,装备表!$E1174,"xxx")/10000)=1,IF($D1029=E$3,装备表!$E1174,"xxx")&amp;":2,1,1,"&amp;装备表!$O1174&amp;";","xxx"),"xxx"))</f>
        <v>xxx</v>
      </c>
      <c r="F1029" s="18" t="str">
        <f>IF(装备表!$O1174=0,"xxx",IFERROR(IF(INT(IF($D1029=F$3,装备表!$E1174,"xxx")/10000)=1,IF($D1029=F$3,装备表!$E1174,"xxx")&amp;":2,1,1,"&amp;装备表!$O1174&amp;";","xxx"),"xxx"))</f>
        <v>xxx</v>
      </c>
      <c r="G1029" s="18" t="str">
        <f>IF(装备表!$O1174=0,"xxx",IFERROR(IF(INT(IF($D1029=G$3,装备表!$E1174,"xxx")/10000)=1,IF($D1029=G$3,装备表!$E1174,"xxx")&amp;":2,1,1,"&amp;装备表!$O1174&amp;";","xxx"),"xxx"))</f>
        <v>xxx</v>
      </c>
      <c r="H1029" s="18" t="str">
        <f>IF(装备表!$O1174=0,"xxx",IFERROR(IF(INT(IF($D1029=H$3,装备表!$E1174,"xxx")/10000)=1,IF($D1029=H$3,装备表!$E1174,"xxx")&amp;":2,1,1,"&amp;装备表!$O1174&amp;";","xxx"),"xxx"))</f>
        <v>xxx</v>
      </c>
      <c r="I1029" s="18" t="str">
        <f>IF(装备表!$O1174=0,"xxx",IFERROR(IF(INT(IF($D1029=I$3,装备表!$E1174,"xxx")/10000)=1,IF($D1029=I$3,装备表!$E1174,"xxx")&amp;":2,1,1,"&amp;装备表!$O1174&amp;";","xxx"),"xxx"))</f>
        <v>xxx</v>
      </c>
      <c r="J1029" s="18" t="str">
        <f>IF(装备表!$O1174=0,"xxx",IFERROR(IF(INT(IF($D1029=J$3,装备表!$E1174,"xxx")/10000)=1,IF($D1029=J$3,装备表!$E1174,"xxx")&amp;":2,1,1,"&amp;装备表!$O1174&amp;";","xxx"),"xxx"))</f>
        <v>xxx</v>
      </c>
    </row>
    <row r="1030" spans="4:10" x14ac:dyDescent="0.2">
      <c r="D1030" s="18">
        <f>装备表!L1175</f>
        <v>0</v>
      </c>
      <c r="E1030" s="18" t="str">
        <f>IF(装备表!$O1175=0,"xxx",IFERROR(IF(INT(IF($D1030=E$3,装备表!$E1175,"xxx")/10000)=1,IF($D1030=E$3,装备表!$E1175,"xxx")&amp;":2,1,1,"&amp;装备表!$O1175&amp;";","xxx"),"xxx"))</f>
        <v>xxx</v>
      </c>
      <c r="F1030" s="18" t="str">
        <f>IF(装备表!$O1175=0,"xxx",IFERROR(IF(INT(IF($D1030=F$3,装备表!$E1175,"xxx")/10000)=1,IF($D1030=F$3,装备表!$E1175,"xxx")&amp;":2,1,1,"&amp;装备表!$O1175&amp;";","xxx"),"xxx"))</f>
        <v>xxx</v>
      </c>
      <c r="G1030" s="18" t="str">
        <f>IF(装备表!$O1175=0,"xxx",IFERROR(IF(INT(IF($D1030=G$3,装备表!$E1175,"xxx")/10000)=1,IF($D1030=G$3,装备表!$E1175,"xxx")&amp;":2,1,1,"&amp;装备表!$O1175&amp;";","xxx"),"xxx"))</f>
        <v>xxx</v>
      </c>
      <c r="H1030" s="18" t="str">
        <f>IF(装备表!$O1175=0,"xxx",IFERROR(IF(INT(IF($D1030=H$3,装备表!$E1175,"xxx")/10000)=1,IF($D1030=H$3,装备表!$E1175,"xxx")&amp;":2,1,1,"&amp;装备表!$O1175&amp;";","xxx"),"xxx"))</f>
        <v>xxx</v>
      </c>
      <c r="I1030" s="18" t="str">
        <f>IF(装备表!$O1175=0,"xxx",IFERROR(IF(INT(IF($D1030=I$3,装备表!$E1175,"xxx")/10000)=1,IF($D1030=I$3,装备表!$E1175,"xxx")&amp;":2,1,1,"&amp;装备表!$O1175&amp;";","xxx"),"xxx"))</f>
        <v>xxx</v>
      </c>
      <c r="J1030" s="18" t="str">
        <f>IF(装备表!$O1175=0,"xxx",IFERROR(IF(INT(IF($D1030=J$3,装备表!$E1175,"xxx")/10000)=1,IF($D1030=J$3,装备表!$E1175,"xxx")&amp;":2,1,1,"&amp;装备表!$O1175&amp;";","xxx"),"xxx"))</f>
        <v>xxx</v>
      </c>
    </row>
    <row r="1031" spans="4:10" x14ac:dyDescent="0.2">
      <c r="D1031" s="18">
        <f>装备表!L1176</f>
        <v>0</v>
      </c>
      <c r="E1031" s="18" t="str">
        <f>IF(装备表!$O1176=0,"xxx",IFERROR(IF(INT(IF($D1031=E$3,装备表!$E1176,"xxx")/10000)=1,IF($D1031=E$3,装备表!$E1176,"xxx")&amp;":2,1,1,"&amp;装备表!$O1176&amp;";","xxx"),"xxx"))</f>
        <v>xxx</v>
      </c>
      <c r="F1031" s="18" t="str">
        <f>IF(装备表!$O1176=0,"xxx",IFERROR(IF(INT(IF($D1031=F$3,装备表!$E1176,"xxx")/10000)=1,IF($D1031=F$3,装备表!$E1176,"xxx")&amp;":2,1,1,"&amp;装备表!$O1176&amp;";","xxx"),"xxx"))</f>
        <v>xxx</v>
      </c>
      <c r="G1031" s="18" t="str">
        <f>IF(装备表!$O1176=0,"xxx",IFERROR(IF(INT(IF($D1031=G$3,装备表!$E1176,"xxx")/10000)=1,IF($D1031=G$3,装备表!$E1176,"xxx")&amp;":2,1,1,"&amp;装备表!$O1176&amp;";","xxx"),"xxx"))</f>
        <v>xxx</v>
      </c>
      <c r="H1031" s="18" t="str">
        <f>IF(装备表!$O1176=0,"xxx",IFERROR(IF(INT(IF($D1031=H$3,装备表!$E1176,"xxx")/10000)=1,IF($D1031=H$3,装备表!$E1176,"xxx")&amp;":2,1,1,"&amp;装备表!$O1176&amp;";","xxx"),"xxx"))</f>
        <v>xxx</v>
      </c>
      <c r="I1031" s="18" t="str">
        <f>IF(装备表!$O1176=0,"xxx",IFERROR(IF(INT(IF($D1031=I$3,装备表!$E1176,"xxx")/10000)=1,IF($D1031=I$3,装备表!$E1176,"xxx")&amp;":2,1,1,"&amp;装备表!$O1176&amp;";","xxx"),"xxx"))</f>
        <v>xxx</v>
      </c>
      <c r="J1031" s="18" t="str">
        <f>IF(装备表!$O1176=0,"xxx",IFERROR(IF(INT(IF($D1031=J$3,装备表!$E1176,"xxx")/10000)=1,IF($D1031=J$3,装备表!$E1176,"xxx")&amp;":2,1,1,"&amp;装备表!$O1176&amp;";","xxx"),"xxx"))</f>
        <v>xxx</v>
      </c>
    </row>
    <row r="1032" spans="4:10" x14ac:dyDescent="0.2">
      <c r="D1032" s="18">
        <f>装备表!L1177</f>
        <v>0</v>
      </c>
      <c r="E1032" s="18" t="str">
        <f>IF(装备表!$O1177=0,"xxx",IFERROR(IF(INT(IF($D1032=E$3,装备表!$E1177,"xxx")/10000)=1,IF($D1032=E$3,装备表!$E1177,"xxx")&amp;":2,1,1,"&amp;装备表!$O1177&amp;";","xxx"),"xxx"))</f>
        <v>xxx</v>
      </c>
      <c r="F1032" s="18" t="str">
        <f>IF(装备表!$O1177=0,"xxx",IFERROR(IF(INT(IF($D1032=F$3,装备表!$E1177,"xxx")/10000)=1,IF($D1032=F$3,装备表!$E1177,"xxx")&amp;":2,1,1,"&amp;装备表!$O1177&amp;";","xxx"),"xxx"))</f>
        <v>xxx</v>
      </c>
      <c r="G1032" s="18" t="str">
        <f>IF(装备表!$O1177=0,"xxx",IFERROR(IF(INT(IF($D1032=G$3,装备表!$E1177,"xxx")/10000)=1,IF($D1032=G$3,装备表!$E1177,"xxx")&amp;":2,1,1,"&amp;装备表!$O1177&amp;";","xxx"),"xxx"))</f>
        <v>xxx</v>
      </c>
      <c r="H1032" s="18" t="str">
        <f>IF(装备表!$O1177=0,"xxx",IFERROR(IF(INT(IF($D1032=H$3,装备表!$E1177,"xxx")/10000)=1,IF($D1032=H$3,装备表!$E1177,"xxx")&amp;":2,1,1,"&amp;装备表!$O1177&amp;";","xxx"),"xxx"))</f>
        <v>xxx</v>
      </c>
      <c r="I1032" s="18" t="str">
        <f>IF(装备表!$O1177=0,"xxx",IFERROR(IF(INT(IF($D1032=I$3,装备表!$E1177,"xxx")/10000)=1,IF($D1032=I$3,装备表!$E1177,"xxx")&amp;":2,1,1,"&amp;装备表!$O1177&amp;";","xxx"),"xxx"))</f>
        <v>xxx</v>
      </c>
      <c r="J1032" s="18" t="str">
        <f>IF(装备表!$O1177=0,"xxx",IFERROR(IF(INT(IF($D1032=J$3,装备表!$E1177,"xxx")/10000)=1,IF($D1032=J$3,装备表!$E1177,"xxx")&amp;":2,1,1,"&amp;装备表!$O1177&amp;";","xxx"),"xxx"))</f>
        <v>xxx</v>
      </c>
    </row>
    <row r="1033" spans="4:10" x14ac:dyDescent="0.2">
      <c r="D1033" s="18">
        <f>装备表!L1178</f>
        <v>0</v>
      </c>
      <c r="E1033" s="18" t="str">
        <f>IF(装备表!$O1178=0,"xxx",IFERROR(IF(INT(IF($D1033=E$3,装备表!$E1178,"xxx")/10000)=1,IF($D1033=E$3,装备表!$E1178,"xxx")&amp;":2,1,1,"&amp;装备表!$O1178&amp;";","xxx"),"xxx"))</f>
        <v>xxx</v>
      </c>
      <c r="F1033" s="18" t="str">
        <f>IF(装备表!$O1178=0,"xxx",IFERROR(IF(INT(IF($D1033=F$3,装备表!$E1178,"xxx")/10000)=1,IF($D1033=F$3,装备表!$E1178,"xxx")&amp;":2,1,1,"&amp;装备表!$O1178&amp;";","xxx"),"xxx"))</f>
        <v>xxx</v>
      </c>
      <c r="G1033" s="18" t="str">
        <f>IF(装备表!$O1178=0,"xxx",IFERROR(IF(INT(IF($D1033=G$3,装备表!$E1178,"xxx")/10000)=1,IF($D1033=G$3,装备表!$E1178,"xxx")&amp;":2,1,1,"&amp;装备表!$O1178&amp;";","xxx"),"xxx"))</f>
        <v>xxx</v>
      </c>
      <c r="H1033" s="18" t="str">
        <f>IF(装备表!$O1178=0,"xxx",IFERROR(IF(INT(IF($D1033=H$3,装备表!$E1178,"xxx")/10000)=1,IF($D1033=H$3,装备表!$E1178,"xxx")&amp;":2,1,1,"&amp;装备表!$O1178&amp;";","xxx"),"xxx"))</f>
        <v>xxx</v>
      </c>
      <c r="I1033" s="18" t="str">
        <f>IF(装备表!$O1178=0,"xxx",IFERROR(IF(INT(IF($D1033=I$3,装备表!$E1178,"xxx")/10000)=1,IF($D1033=I$3,装备表!$E1178,"xxx")&amp;":2,1,1,"&amp;装备表!$O1178&amp;";","xxx"),"xxx"))</f>
        <v>xxx</v>
      </c>
      <c r="J1033" s="18" t="str">
        <f>IF(装备表!$O1178=0,"xxx",IFERROR(IF(INT(IF($D1033=J$3,装备表!$E1178,"xxx")/10000)=1,IF($D1033=J$3,装备表!$E1178,"xxx")&amp;":2,1,1,"&amp;装备表!$O1178&amp;";","xxx"),"xxx"))</f>
        <v>xxx</v>
      </c>
    </row>
    <row r="1034" spans="4:10" x14ac:dyDescent="0.2">
      <c r="D1034" s="18">
        <f>装备表!L1179</f>
        <v>0</v>
      </c>
      <c r="E1034" s="18" t="str">
        <f>IF(装备表!$O1179=0,"xxx",IFERROR(IF(INT(IF($D1034=E$3,装备表!$E1179,"xxx")/10000)=1,IF($D1034=E$3,装备表!$E1179,"xxx")&amp;":2,1,1,"&amp;装备表!$O1179&amp;";","xxx"),"xxx"))</f>
        <v>xxx</v>
      </c>
      <c r="F1034" s="18" t="str">
        <f>IF(装备表!$O1179=0,"xxx",IFERROR(IF(INT(IF($D1034=F$3,装备表!$E1179,"xxx")/10000)=1,IF($D1034=F$3,装备表!$E1179,"xxx")&amp;":2,1,1,"&amp;装备表!$O1179&amp;";","xxx"),"xxx"))</f>
        <v>xxx</v>
      </c>
      <c r="G1034" s="18" t="str">
        <f>IF(装备表!$O1179=0,"xxx",IFERROR(IF(INT(IF($D1034=G$3,装备表!$E1179,"xxx")/10000)=1,IF($D1034=G$3,装备表!$E1179,"xxx")&amp;":2,1,1,"&amp;装备表!$O1179&amp;";","xxx"),"xxx"))</f>
        <v>xxx</v>
      </c>
      <c r="H1034" s="18" t="str">
        <f>IF(装备表!$O1179=0,"xxx",IFERROR(IF(INT(IF($D1034=H$3,装备表!$E1179,"xxx")/10000)=1,IF($D1034=H$3,装备表!$E1179,"xxx")&amp;":2,1,1,"&amp;装备表!$O1179&amp;";","xxx"),"xxx"))</f>
        <v>xxx</v>
      </c>
      <c r="I1034" s="18" t="str">
        <f>IF(装备表!$O1179=0,"xxx",IFERROR(IF(INT(IF($D1034=I$3,装备表!$E1179,"xxx")/10000)=1,IF($D1034=I$3,装备表!$E1179,"xxx")&amp;":2,1,1,"&amp;装备表!$O1179&amp;";","xxx"),"xxx"))</f>
        <v>xxx</v>
      </c>
      <c r="J1034" s="18" t="str">
        <f>IF(装备表!$O1179=0,"xxx",IFERROR(IF(INT(IF($D1034=J$3,装备表!$E1179,"xxx")/10000)=1,IF($D1034=J$3,装备表!$E1179,"xxx")&amp;":2,1,1,"&amp;装备表!$O1179&amp;";","xxx"),"xxx"))</f>
        <v>xxx</v>
      </c>
    </row>
    <row r="1035" spans="4:10" x14ac:dyDescent="0.2">
      <c r="D1035" s="18">
        <f>装备表!L1180</f>
        <v>0</v>
      </c>
      <c r="E1035" s="18" t="str">
        <f>IF(装备表!$O1180=0,"xxx",IFERROR(IF(INT(IF($D1035=E$3,装备表!$E1180,"xxx")/10000)=1,IF($D1035=E$3,装备表!$E1180,"xxx")&amp;":2,1,1,"&amp;装备表!$O1180&amp;";","xxx"),"xxx"))</f>
        <v>xxx</v>
      </c>
      <c r="F1035" s="18" t="str">
        <f>IF(装备表!$O1180=0,"xxx",IFERROR(IF(INT(IF($D1035=F$3,装备表!$E1180,"xxx")/10000)=1,IF($D1035=F$3,装备表!$E1180,"xxx")&amp;":2,1,1,"&amp;装备表!$O1180&amp;";","xxx"),"xxx"))</f>
        <v>xxx</v>
      </c>
      <c r="G1035" s="18" t="str">
        <f>IF(装备表!$O1180=0,"xxx",IFERROR(IF(INT(IF($D1035=G$3,装备表!$E1180,"xxx")/10000)=1,IF($D1035=G$3,装备表!$E1180,"xxx")&amp;":2,1,1,"&amp;装备表!$O1180&amp;";","xxx"),"xxx"))</f>
        <v>xxx</v>
      </c>
      <c r="H1035" s="18" t="str">
        <f>IF(装备表!$O1180=0,"xxx",IFERROR(IF(INT(IF($D1035=H$3,装备表!$E1180,"xxx")/10000)=1,IF($D1035=H$3,装备表!$E1180,"xxx")&amp;":2,1,1,"&amp;装备表!$O1180&amp;";","xxx"),"xxx"))</f>
        <v>xxx</v>
      </c>
      <c r="I1035" s="18" t="str">
        <f>IF(装备表!$O1180=0,"xxx",IFERROR(IF(INT(IF($D1035=I$3,装备表!$E1180,"xxx")/10000)=1,IF($D1035=I$3,装备表!$E1180,"xxx")&amp;":2,1,1,"&amp;装备表!$O1180&amp;";","xxx"),"xxx"))</f>
        <v>xxx</v>
      </c>
      <c r="J1035" s="18" t="str">
        <f>IF(装备表!$O1180=0,"xxx",IFERROR(IF(INT(IF($D1035=J$3,装备表!$E1180,"xxx")/10000)=1,IF($D1035=J$3,装备表!$E1180,"xxx")&amp;":2,1,1,"&amp;装备表!$O1180&amp;";","xxx"),"xxx"))</f>
        <v>xxx</v>
      </c>
    </row>
    <row r="1036" spans="4:10" x14ac:dyDescent="0.2">
      <c r="D1036" s="18">
        <f>装备表!L1181</f>
        <v>0</v>
      </c>
      <c r="E1036" s="18" t="str">
        <f>IF(装备表!$O1181=0,"xxx",IFERROR(IF(INT(IF($D1036=E$3,装备表!$E1181,"xxx")/10000)=1,IF($D1036=E$3,装备表!$E1181,"xxx")&amp;":2,1,1,"&amp;装备表!$O1181&amp;";","xxx"),"xxx"))</f>
        <v>xxx</v>
      </c>
      <c r="F1036" s="18" t="str">
        <f>IF(装备表!$O1181=0,"xxx",IFERROR(IF(INT(IF($D1036=F$3,装备表!$E1181,"xxx")/10000)=1,IF($D1036=F$3,装备表!$E1181,"xxx")&amp;":2,1,1,"&amp;装备表!$O1181&amp;";","xxx"),"xxx"))</f>
        <v>xxx</v>
      </c>
      <c r="G1036" s="18" t="str">
        <f>IF(装备表!$O1181=0,"xxx",IFERROR(IF(INT(IF($D1036=G$3,装备表!$E1181,"xxx")/10000)=1,IF($D1036=G$3,装备表!$E1181,"xxx")&amp;":2,1,1,"&amp;装备表!$O1181&amp;";","xxx"),"xxx"))</f>
        <v>xxx</v>
      </c>
      <c r="H1036" s="18" t="str">
        <f>IF(装备表!$O1181=0,"xxx",IFERROR(IF(INT(IF($D1036=H$3,装备表!$E1181,"xxx")/10000)=1,IF($D1036=H$3,装备表!$E1181,"xxx")&amp;":2,1,1,"&amp;装备表!$O1181&amp;";","xxx"),"xxx"))</f>
        <v>xxx</v>
      </c>
      <c r="I1036" s="18" t="str">
        <f>IF(装备表!$O1181=0,"xxx",IFERROR(IF(INT(IF($D1036=I$3,装备表!$E1181,"xxx")/10000)=1,IF($D1036=I$3,装备表!$E1181,"xxx")&amp;":2,1,1,"&amp;装备表!$O1181&amp;";","xxx"),"xxx"))</f>
        <v>xxx</v>
      </c>
      <c r="J1036" s="18" t="str">
        <f>IF(装备表!$O1181=0,"xxx",IFERROR(IF(INT(IF($D1036=J$3,装备表!$E1181,"xxx")/10000)=1,IF($D1036=J$3,装备表!$E1181,"xxx")&amp;":2,1,1,"&amp;装备表!$O1181&amp;";","xxx"),"xxx"))</f>
        <v>xxx</v>
      </c>
    </row>
    <row r="1037" spans="4:10" x14ac:dyDescent="0.2">
      <c r="D1037" s="18">
        <f>装备表!L1182</f>
        <v>0</v>
      </c>
      <c r="E1037" s="18" t="str">
        <f>IF(装备表!$O1182=0,"xxx",IFERROR(IF(INT(IF($D1037=E$3,装备表!$E1182,"xxx")/10000)=1,IF($D1037=E$3,装备表!$E1182,"xxx")&amp;":2,1,1,"&amp;装备表!$O1182&amp;";","xxx"),"xxx"))</f>
        <v>xxx</v>
      </c>
      <c r="F1037" s="18" t="str">
        <f>IF(装备表!$O1182=0,"xxx",IFERROR(IF(INT(IF($D1037=F$3,装备表!$E1182,"xxx")/10000)=1,IF($D1037=F$3,装备表!$E1182,"xxx")&amp;":2,1,1,"&amp;装备表!$O1182&amp;";","xxx"),"xxx"))</f>
        <v>xxx</v>
      </c>
      <c r="G1037" s="18" t="str">
        <f>IF(装备表!$O1182=0,"xxx",IFERROR(IF(INT(IF($D1037=G$3,装备表!$E1182,"xxx")/10000)=1,IF($D1037=G$3,装备表!$E1182,"xxx")&amp;":2,1,1,"&amp;装备表!$O1182&amp;";","xxx"),"xxx"))</f>
        <v>xxx</v>
      </c>
      <c r="H1037" s="18" t="str">
        <f>IF(装备表!$O1182=0,"xxx",IFERROR(IF(INT(IF($D1037=H$3,装备表!$E1182,"xxx")/10000)=1,IF($D1037=H$3,装备表!$E1182,"xxx")&amp;":2,1,1,"&amp;装备表!$O1182&amp;";","xxx"),"xxx"))</f>
        <v>xxx</v>
      </c>
      <c r="I1037" s="18" t="str">
        <f>IF(装备表!$O1182=0,"xxx",IFERROR(IF(INT(IF($D1037=I$3,装备表!$E1182,"xxx")/10000)=1,IF($D1037=I$3,装备表!$E1182,"xxx")&amp;":2,1,1,"&amp;装备表!$O1182&amp;";","xxx"),"xxx"))</f>
        <v>xxx</v>
      </c>
      <c r="J1037" s="18" t="str">
        <f>IF(装备表!$O1182=0,"xxx",IFERROR(IF(INT(IF($D1037=J$3,装备表!$E1182,"xxx")/10000)=1,IF($D1037=J$3,装备表!$E1182,"xxx")&amp;":2,1,1,"&amp;装备表!$O1182&amp;";","xxx"),"xxx"))</f>
        <v>xxx</v>
      </c>
    </row>
    <row r="1038" spans="4:10" x14ac:dyDescent="0.2">
      <c r="D1038" s="18">
        <f>装备表!L1183</f>
        <v>0</v>
      </c>
      <c r="E1038" s="18" t="str">
        <f>IF(装备表!$O1183=0,"xxx",IFERROR(IF(INT(IF($D1038=E$3,装备表!$E1183,"xxx")/10000)=1,IF($D1038=E$3,装备表!$E1183,"xxx")&amp;":2,1,1,"&amp;装备表!$O1183&amp;";","xxx"),"xxx"))</f>
        <v>xxx</v>
      </c>
      <c r="F1038" s="18" t="str">
        <f>IF(装备表!$O1183=0,"xxx",IFERROR(IF(INT(IF($D1038=F$3,装备表!$E1183,"xxx")/10000)=1,IF($D1038=F$3,装备表!$E1183,"xxx")&amp;":2,1,1,"&amp;装备表!$O1183&amp;";","xxx"),"xxx"))</f>
        <v>xxx</v>
      </c>
      <c r="G1038" s="18" t="str">
        <f>IF(装备表!$O1183=0,"xxx",IFERROR(IF(INT(IF($D1038=G$3,装备表!$E1183,"xxx")/10000)=1,IF($D1038=G$3,装备表!$E1183,"xxx")&amp;":2,1,1,"&amp;装备表!$O1183&amp;";","xxx"),"xxx"))</f>
        <v>xxx</v>
      </c>
      <c r="H1038" s="18" t="str">
        <f>IF(装备表!$O1183=0,"xxx",IFERROR(IF(INT(IF($D1038=H$3,装备表!$E1183,"xxx")/10000)=1,IF($D1038=H$3,装备表!$E1183,"xxx")&amp;":2,1,1,"&amp;装备表!$O1183&amp;";","xxx"),"xxx"))</f>
        <v>xxx</v>
      </c>
      <c r="I1038" s="18" t="str">
        <f>IF(装备表!$O1183=0,"xxx",IFERROR(IF(INT(IF($D1038=I$3,装备表!$E1183,"xxx")/10000)=1,IF($D1038=I$3,装备表!$E1183,"xxx")&amp;":2,1,1,"&amp;装备表!$O1183&amp;";","xxx"),"xxx"))</f>
        <v>xxx</v>
      </c>
      <c r="J1038" s="18" t="str">
        <f>IF(装备表!$O1183=0,"xxx",IFERROR(IF(INT(IF($D1038=J$3,装备表!$E1183,"xxx")/10000)=1,IF($D1038=J$3,装备表!$E1183,"xxx")&amp;":2,1,1,"&amp;装备表!$O1183&amp;";","xxx"),"xxx"))</f>
        <v>xxx</v>
      </c>
    </row>
    <row r="1039" spans="4:10" x14ac:dyDescent="0.2">
      <c r="D1039" s="18">
        <f>装备表!L1184</f>
        <v>0</v>
      </c>
      <c r="E1039" s="18" t="str">
        <f>IF(装备表!$O1184=0,"xxx",IFERROR(IF(INT(IF($D1039=E$3,装备表!$E1184,"xxx")/10000)=1,IF($D1039=E$3,装备表!$E1184,"xxx")&amp;":2,1,1,"&amp;装备表!$O1184&amp;";","xxx"),"xxx"))</f>
        <v>xxx</v>
      </c>
      <c r="F1039" s="18" t="str">
        <f>IF(装备表!$O1184=0,"xxx",IFERROR(IF(INT(IF($D1039=F$3,装备表!$E1184,"xxx")/10000)=1,IF($D1039=F$3,装备表!$E1184,"xxx")&amp;":2,1,1,"&amp;装备表!$O1184&amp;";","xxx"),"xxx"))</f>
        <v>xxx</v>
      </c>
      <c r="G1039" s="18" t="str">
        <f>IF(装备表!$O1184=0,"xxx",IFERROR(IF(INT(IF($D1039=G$3,装备表!$E1184,"xxx")/10000)=1,IF($D1039=G$3,装备表!$E1184,"xxx")&amp;":2,1,1,"&amp;装备表!$O1184&amp;";","xxx"),"xxx"))</f>
        <v>xxx</v>
      </c>
      <c r="H1039" s="18" t="str">
        <f>IF(装备表!$O1184=0,"xxx",IFERROR(IF(INT(IF($D1039=H$3,装备表!$E1184,"xxx")/10000)=1,IF($D1039=H$3,装备表!$E1184,"xxx")&amp;":2,1,1,"&amp;装备表!$O1184&amp;";","xxx"),"xxx"))</f>
        <v>xxx</v>
      </c>
      <c r="I1039" s="18" t="str">
        <f>IF(装备表!$O1184=0,"xxx",IFERROR(IF(INT(IF($D1039=I$3,装备表!$E1184,"xxx")/10000)=1,IF($D1039=I$3,装备表!$E1184,"xxx")&amp;":2,1,1,"&amp;装备表!$O1184&amp;";","xxx"),"xxx"))</f>
        <v>xxx</v>
      </c>
      <c r="J1039" s="18" t="str">
        <f>IF(装备表!$O1184=0,"xxx",IFERROR(IF(INT(IF($D1039=J$3,装备表!$E1184,"xxx")/10000)=1,IF($D1039=J$3,装备表!$E1184,"xxx")&amp;":2,1,1,"&amp;装备表!$O1184&amp;";","xxx"),"xxx"))</f>
        <v>xxx</v>
      </c>
    </row>
    <row r="1040" spans="4:10" x14ac:dyDescent="0.2">
      <c r="D1040" s="18">
        <f>装备表!L1185</f>
        <v>0</v>
      </c>
      <c r="E1040" s="18" t="str">
        <f>IF(装备表!$O1185=0,"xxx",IFERROR(IF(INT(IF($D1040=E$3,装备表!$E1185,"xxx")/10000)=1,IF($D1040=E$3,装备表!$E1185,"xxx")&amp;":2,1,1,"&amp;装备表!$O1185&amp;";","xxx"),"xxx"))</f>
        <v>xxx</v>
      </c>
      <c r="F1040" s="18" t="str">
        <f>IF(装备表!$O1185=0,"xxx",IFERROR(IF(INT(IF($D1040=F$3,装备表!$E1185,"xxx")/10000)=1,IF($D1040=F$3,装备表!$E1185,"xxx")&amp;":2,1,1,"&amp;装备表!$O1185&amp;";","xxx"),"xxx"))</f>
        <v>xxx</v>
      </c>
      <c r="G1040" s="18" t="str">
        <f>IF(装备表!$O1185=0,"xxx",IFERROR(IF(INT(IF($D1040=G$3,装备表!$E1185,"xxx")/10000)=1,IF($D1040=G$3,装备表!$E1185,"xxx")&amp;":2,1,1,"&amp;装备表!$O1185&amp;";","xxx"),"xxx"))</f>
        <v>xxx</v>
      </c>
      <c r="H1040" s="18" t="str">
        <f>IF(装备表!$O1185=0,"xxx",IFERROR(IF(INT(IF($D1040=H$3,装备表!$E1185,"xxx")/10000)=1,IF($D1040=H$3,装备表!$E1185,"xxx")&amp;":2,1,1,"&amp;装备表!$O1185&amp;";","xxx"),"xxx"))</f>
        <v>xxx</v>
      </c>
      <c r="I1040" s="18" t="str">
        <f>IF(装备表!$O1185=0,"xxx",IFERROR(IF(INT(IF($D1040=I$3,装备表!$E1185,"xxx")/10000)=1,IF($D1040=I$3,装备表!$E1185,"xxx")&amp;":2,1,1,"&amp;装备表!$O1185&amp;";","xxx"),"xxx"))</f>
        <v>xxx</v>
      </c>
      <c r="J1040" s="18" t="str">
        <f>IF(装备表!$O1185=0,"xxx",IFERROR(IF(INT(IF($D1040=J$3,装备表!$E1185,"xxx")/10000)=1,IF($D1040=J$3,装备表!$E1185,"xxx")&amp;":2,1,1,"&amp;装备表!$O1185&amp;";","xxx"),"xxx"))</f>
        <v>xxx</v>
      </c>
    </row>
    <row r="1041" spans="4:10" x14ac:dyDescent="0.2">
      <c r="D1041" s="18">
        <f>装备表!L1186</f>
        <v>0</v>
      </c>
      <c r="E1041" s="18" t="str">
        <f>IF(装备表!$O1186=0,"xxx",IFERROR(IF(INT(IF($D1041=E$3,装备表!$E1186,"xxx")/10000)=1,IF($D1041=E$3,装备表!$E1186,"xxx")&amp;":2,1,1,"&amp;装备表!$O1186&amp;";","xxx"),"xxx"))</f>
        <v>xxx</v>
      </c>
      <c r="F1041" s="18" t="str">
        <f>IF(装备表!$O1186=0,"xxx",IFERROR(IF(INT(IF($D1041=F$3,装备表!$E1186,"xxx")/10000)=1,IF($D1041=F$3,装备表!$E1186,"xxx")&amp;":2,1,1,"&amp;装备表!$O1186&amp;";","xxx"),"xxx"))</f>
        <v>xxx</v>
      </c>
      <c r="G1041" s="18" t="str">
        <f>IF(装备表!$O1186=0,"xxx",IFERROR(IF(INT(IF($D1041=G$3,装备表!$E1186,"xxx")/10000)=1,IF($D1041=G$3,装备表!$E1186,"xxx")&amp;":2,1,1,"&amp;装备表!$O1186&amp;";","xxx"),"xxx"))</f>
        <v>xxx</v>
      </c>
      <c r="H1041" s="18" t="str">
        <f>IF(装备表!$O1186=0,"xxx",IFERROR(IF(INT(IF($D1041=H$3,装备表!$E1186,"xxx")/10000)=1,IF($D1041=H$3,装备表!$E1186,"xxx")&amp;":2,1,1,"&amp;装备表!$O1186&amp;";","xxx"),"xxx"))</f>
        <v>xxx</v>
      </c>
      <c r="I1041" s="18" t="str">
        <f>IF(装备表!$O1186=0,"xxx",IFERROR(IF(INT(IF($D1041=I$3,装备表!$E1186,"xxx")/10000)=1,IF($D1041=I$3,装备表!$E1186,"xxx")&amp;":2,1,1,"&amp;装备表!$O1186&amp;";","xxx"),"xxx"))</f>
        <v>xxx</v>
      </c>
      <c r="J1041" s="18" t="str">
        <f>IF(装备表!$O1186=0,"xxx",IFERROR(IF(INT(IF($D1041=J$3,装备表!$E1186,"xxx")/10000)=1,IF($D1041=J$3,装备表!$E1186,"xxx")&amp;":2,1,1,"&amp;装备表!$O1186&amp;";","xxx"),"xxx"))</f>
        <v>xxx</v>
      </c>
    </row>
    <row r="1042" spans="4:10" x14ac:dyDescent="0.2">
      <c r="D1042" s="18">
        <f>装备表!L1187</f>
        <v>0</v>
      </c>
      <c r="E1042" s="18" t="str">
        <f>IF(装备表!$O1187=0,"xxx",IFERROR(IF(INT(IF($D1042=E$3,装备表!$E1187,"xxx")/10000)=1,IF($D1042=E$3,装备表!$E1187,"xxx")&amp;":2,1,1,"&amp;装备表!$O1187&amp;";","xxx"),"xxx"))</f>
        <v>xxx</v>
      </c>
      <c r="F1042" s="18" t="str">
        <f>IF(装备表!$O1187=0,"xxx",IFERROR(IF(INT(IF($D1042=F$3,装备表!$E1187,"xxx")/10000)=1,IF($D1042=F$3,装备表!$E1187,"xxx")&amp;":2,1,1,"&amp;装备表!$O1187&amp;";","xxx"),"xxx"))</f>
        <v>xxx</v>
      </c>
      <c r="G1042" s="18" t="str">
        <f>IF(装备表!$O1187=0,"xxx",IFERROR(IF(INT(IF($D1042=G$3,装备表!$E1187,"xxx")/10000)=1,IF($D1042=G$3,装备表!$E1187,"xxx")&amp;":2,1,1,"&amp;装备表!$O1187&amp;";","xxx"),"xxx"))</f>
        <v>xxx</v>
      </c>
      <c r="H1042" s="18" t="str">
        <f>IF(装备表!$O1187=0,"xxx",IFERROR(IF(INT(IF($D1042=H$3,装备表!$E1187,"xxx")/10000)=1,IF($D1042=H$3,装备表!$E1187,"xxx")&amp;":2,1,1,"&amp;装备表!$O1187&amp;";","xxx"),"xxx"))</f>
        <v>xxx</v>
      </c>
      <c r="I1042" s="18" t="str">
        <f>IF(装备表!$O1187=0,"xxx",IFERROR(IF(INT(IF($D1042=I$3,装备表!$E1187,"xxx")/10000)=1,IF($D1042=I$3,装备表!$E1187,"xxx")&amp;":2,1,1,"&amp;装备表!$O1187&amp;";","xxx"),"xxx"))</f>
        <v>xxx</v>
      </c>
      <c r="J1042" s="18" t="str">
        <f>IF(装备表!$O1187=0,"xxx",IFERROR(IF(INT(IF($D1042=J$3,装备表!$E1187,"xxx")/10000)=1,IF($D1042=J$3,装备表!$E1187,"xxx")&amp;":2,1,1,"&amp;装备表!$O1187&amp;";","xxx"),"xxx"))</f>
        <v>xxx</v>
      </c>
    </row>
    <row r="1043" spans="4:10" x14ac:dyDescent="0.2">
      <c r="D1043" s="18">
        <f>装备表!L1188</f>
        <v>0</v>
      </c>
      <c r="E1043" s="18" t="str">
        <f>IF(装备表!$O1188=0,"xxx",IFERROR(IF(INT(IF($D1043=E$3,装备表!$E1188,"xxx")/10000)=1,IF($D1043=E$3,装备表!$E1188,"xxx")&amp;":2,1,1,"&amp;装备表!$O1188&amp;";","xxx"),"xxx"))</f>
        <v>xxx</v>
      </c>
      <c r="F1043" s="18" t="str">
        <f>IF(装备表!$O1188=0,"xxx",IFERROR(IF(INT(IF($D1043=F$3,装备表!$E1188,"xxx")/10000)=1,IF($D1043=F$3,装备表!$E1188,"xxx")&amp;":2,1,1,"&amp;装备表!$O1188&amp;";","xxx"),"xxx"))</f>
        <v>xxx</v>
      </c>
      <c r="G1043" s="18" t="str">
        <f>IF(装备表!$O1188=0,"xxx",IFERROR(IF(INT(IF($D1043=G$3,装备表!$E1188,"xxx")/10000)=1,IF($D1043=G$3,装备表!$E1188,"xxx")&amp;":2,1,1,"&amp;装备表!$O1188&amp;";","xxx"),"xxx"))</f>
        <v>xxx</v>
      </c>
      <c r="H1043" s="18" t="str">
        <f>IF(装备表!$O1188=0,"xxx",IFERROR(IF(INT(IF($D1043=H$3,装备表!$E1188,"xxx")/10000)=1,IF($D1043=H$3,装备表!$E1188,"xxx")&amp;":2,1,1,"&amp;装备表!$O1188&amp;";","xxx"),"xxx"))</f>
        <v>xxx</v>
      </c>
      <c r="I1043" s="18" t="str">
        <f>IF(装备表!$O1188=0,"xxx",IFERROR(IF(INT(IF($D1043=I$3,装备表!$E1188,"xxx")/10000)=1,IF($D1043=I$3,装备表!$E1188,"xxx")&amp;":2,1,1,"&amp;装备表!$O1188&amp;";","xxx"),"xxx"))</f>
        <v>xxx</v>
      </c>
      <c r="J1043" s="18" t="str">
        <f>IF(装备表!$O1188=0,"xxx",IFERROR(IF(INT(IF($D1043=J$3,装备表!$E1188,"xxx")/10000)=1,IF($D1043=J$3,装备表!$E1188,"xxx")&amp;":2,1,1,"&amp;装备表!$O1188&amp;";","xxx"),"xxx"))</f>
        <v>xxx</v>
      </c>
    </row>
    <row r="1044" spans="4:10" x14ac:dyDescent="0.2">
      <c r="D1044" s="18">
        <f>装备表!L1189</f>
        <v>0</v>
      </c>
      <c r="E1044" s="18" t="str">
        <f>IF(装备表!$O1189=0,"xxx",IFERROR(IF(INT(IF($D1044=E$3,装备表!$E1189,"xxx")/10000)=1,IF($D1044=E$3,装备表!$E1189,"xxx")&amp;":2,1,1,"&amp;装备表!$O1189&amp;";","xxx"),"xxx"))</f>
        <v>xxx</v>
      </c>
      <c r="F1044" s="18" t="str">
        <f>IF(装备表!$O1189=0,"xxx",IFERROR(IF(INT(IF($D1044=F$3,装备表!$E1189,"xxx")/10000)=1,IF($D1044=F$3,装备表!$E1189,"xxx")&amp;":2,1,1,"&amp;装备表!$O1189&amp;";","xxx"),"xxx"))</f>
        <v>xxx</v>
      </c>
      <c r="G1044" s="18" t="str">
        <f>IF(装备表!$O1189=0,"xxx",IFERROR(IF(INT(IF($D1044=G$3,装备表!$E1189,"xxx")/10000)=1,IF($D1044=G$3,装备表!$E1189,"xxx")&amp;":2,1,1,"&amp;装备表!$O1189&amp;";","xxx"),"xxx"))</f>
        <v>xxx</v>
      </c>
      <c r="H1044" s="18" t="str">
        <f>IF(装备表!$O1189=0,"xxx",IFERROR(IF(INT(IF($D1044=H$3,装备表!$E1189,"xxx")/10000)=1,IF($D1044=H$3,装备表!$E1189,"xxx")&amp;":2,1,1,"&amp;装备表!$O1189&amp;";","xxx"),"xxx"))</f>
        <v>xxx</v>
      </c>
      <c r="I1044" s="18" t="str">
        <f>IF(装备表!$O1189=0,"xxx",IFERROR(IF(INT(IF($D1044=I$3,装备表!$E1189,"xxx")/10000)=1,IF($D1044=I$3,装备表!$E1189,"xxx")&amp;":2,1,1,"&amp;装备表!$O1189&amp;";","xxx"),"xxx"))</f>
        <v>xxx</v>
      </c>
      <c r="J1044" s="18" t="str">
        <f>IF(装备表!$O1189=0,"xxx",IFERROR(IF(INT(IF($D1044=J$3,装备表!$E1189,"xxx")/10000)=1,IF($D1044=J$3,装备表!$E1189,"xxx")&amp;":2,1,1,"&amp;装备表!$O1189&amp;";","xxx"),"xxx"))</f>
        <v>xxx</v>
      </c>
    </row>
    <row r="1045" spans="4:10" x14ac:dyDescent="0.2">
      <c r="D1045" s="18">
        <f>装备表!L1190</f>
        <v>0</v>
      </c>
      <c r="E1045" s="18" t="str">
        <f>IF(装备表!$O1190=0,"xxx",IFERROR(IF(INT(IF($D1045=E$3,装备表!$E1190,"xxx")/10000)=1,IF($D1045=E$3,装备表!$E1190,"xxx")&amp;":2,1,1,"&amp;装备表!$O1190&amp;";","xxx"),"xxx"))</f>
        <v>xxx</v>
      </c>
      <c r="F1045" s="18" t="str">
        <f>IF(装备表!$O1190=0,"xxx",IFERROR(IF(INT(IF($D1045=F$3,装备表!$E1190,"xxx")/10000)=1,IF($D1045=F$3,装备表!$E1190,"xxx")&amp;":2,1,1,"&amp;装备表!$O1190&amp;";","xxx"),"xxx"))</f>
        <v>xxx</v>
      </c>
      <c r="G1045" s="18" t="str">
        <f>IF(装备表!$O1190=0,"xxx",IFERROR(IF(INT(IF($D1045=G$3,装备表!$E1190,"xxx")/10000)=1,IF($D1045=G$3,装备表!$E1190,"xxx")&amp;":2,1,1,"&amp;装备表!$O1190&amp;";","xxx"),"xxx"))</f>
        <v>xxx</v>
      </c>
      <c r="H1045" s="18" t="str">
        <f>IF(装备表!$O1190=0,"xxx",IFERROR(IF(INT(IF($D1045=H$3,装备表!$E1190,"xxx")/10000)=1,IF($D1045=H$3,装备表!$E1190,"xxx")&amp;":2,1,1,"&amp;装备表!$O1190&amp;";","xxx"),"xxx"))</f>
        <v>xxx</v>
      </c>
      <c r="I1045" s="18" t="str">
        <f>IF(装备表!$O1190=0,"xxx",IFERROR(IF(INT(IF($D1045=I$3,装备表!$E1190,"xxx")/10000)=1,IF($D1045=I$3,装备表!$E1190,"xxx")&amp;":2,1,1,"&amp;装备表!$O1190&amp;";","xxx"),"xxx"))</f>
        <v>xxx</v>
      </c>
      <c r="J1045" s="18" t="str">
        <f>IF(装备表!$O1190=0,"xxx",IFERROR(IF(INT(IF($D1045=J$3,装备表!$E1190,"xxx")/10000)=1,IF($D1045=J$3,装备表!$E1190,"xxx")&amp;":2,1,1,"&amp;装备表!$O1190&amp;";","xxx"),"xxx"))</f>
        <v>xxx</v>
      </c>
    </row>
    <row r="1046" spans="4:10" x14ac:dyDescent="0.2">
      <c r="D1046" s="18">
        <f>装备表!L1191</f>
        <v>0</v>
      </c>
      <c r="E1046" s="18" t="str">
        <f>IF(装备表!$O1191=0,"xxx",IFERROR(IF(INT(IF($D1046=E$3,装备表!$E1191,"xxx")/10000)=1,IF($D1046=E$3,装备表!$E1191,"xxx")&amp;":2,1,1,"&amp;装备表!$O1191&amp;";","xxx"),"xxx"))</f>
        <v>xxx</v>
      </c>
      <c r="F1046" s="18" t="str">
        <f>IF(装备表!$O1191=0,"xxx",IFERROR(IF(INT(IF($D1046=F$3,装备表!$E1191,"xxx")/10000)=1,IF($D1046=F$3,装备表!$E1191,"xxx")&amp;":2,1,1,"&amp;装备表!$O1191&amp;";","xxx"),"xxx"))</f>
        <v>xxx</v>
      </c>
      <c r="G1046" s="18" t="str">
        <f>IF(装备表!$O1191=0,"xxx",IFERROR(IF(INT(IF($D1046=G$3,装备表!$E1191,"xxx")/10000)=1,IF($D1046=G$3,装备表!$E1191,"xxx")&amp;":2,1,1,"&amp;装备表!$O1191&amp;";","xxx"),"xxx"))</f>
        <v>xxx</v>
      </c>
      <c r="H1046" s="18" t="str">
        <f>IF(装备表!$O1191=0,"xxx",IFERROR(IF(INT(IF($D1046=H$3,装备表!$E1191,"xxx")/10000)=1,IF($D1046=H$3,装备表!$E1191,"xxx")&amp;":2,1,1,"&amp;装备表!$O1191&amp;";","xxx"),"xxx"))</f>
        <v>xxx</v>
      </c>
      <c r="I1046" s="18" t="str">
        <f>IF(装备表!$O1191=0,"xxx",IFERROR(IF(INT(IF($D1046=I$3,装备表!$E1191,"xxx")/10000)=1,IF($D1046=I$3,装备表!$E1191,"xxx")&amp;":2,1,1,"&amp;装备表!$O1191&amp;";","xxx"),"xxx"))</f>
        <v>xxx</v>
      </c>
      <c r="J1046" s="18" t="str">
        <f>IF(装备表!$O1191=0,"xxx",IFERROR(IF(INT(IF($D1046=J$3,装备表!$E1191,"xxx")/10000)=1,IF($D1046=J$3,装备表!$E1191,"xxx")&amp;":2,1,1,"&amp;装备表!$O1191&amp;";","xxx"),"xxx"))</f>
        <v>xxx</v>
      </c>
    </row>
    <row r="1047" spans="4:10" x14ac:dyDescent="0.2">
      <c r="D1047" s="18">
        <f>装备表!L1192</f>
        <v>0</v>
      </c>
      <c r="E1047" s="18" t="str">
        <f>IF(装备表!$O1192=0,"xxx",IFERROR(IF(INT(IF($D1047=E$3,装备表!$E1192,"xxx")/10000)=1,IF($D1047=E$3,装备表!$E1192,"xxx")&amp;":2,1,1,"&amp;装备表!$O1192&amp;";","xxx"),"xxx"))</f>
        <v>xxx</v>
      </c>
      <c r="F1047" s="18" t="str">
        <f>IF(装备表!$O1192=0,"xxx",IFERROR(IF(INT(IF($D1047=F$3,装备表!$E1192,"xxx")/10000)=1,IF($D1047=F$3,装备表!$E1192,"xxx")&amp;":2,1,1,"&amp;装备表!$O1192&amp;";","xxx"),"xxx"))</f>
        <v>xxx</v>
      </c>
      <c r="G1047" s="18" t="str">
        <f>IF(装备表!$O1192=0,"xxx",IFERROR(IF(INT(IF($D1047=G$3,装备表!$E1192,"xxx")/10000)=1,IF($D1047=G$3,装备表!$E1192,"xxx")&amp;":2,1,1,"&amp;装备表!$O1192&amp;";","xxx"),"xxx"))</f>
        <v>xxx</v>
      </c>
      <c r="H1047" s="18" t="str">
        <f>IF(装备表!$O1192=0,"xxx",IFERROR(IF(INT(IF($D1047=H$3,装备表!$E1192,"xxx")/10000)=1,IF($D1047=H$3,装备表!$E1192,"xxx")&amp;":2,1,1,"&amp;装备表!$O1192&amp;";","xxx"),"xxx"))</f>
        <v>xxx</v>
      </c>
      <c r="I1047" s="18" t="str">
        <f>IF(装备表!$O1192=0,"xxx",IFERROR(IF(INT(IF($D1047=I$3,装备表!$E1192,"xxx")/10000)=1,IF($D1047=I$3,装备表!$E1192,"xxx")&amp;":2,1,1,"&amp;装备表!$O1192&amp;";","xxx"),"xxx"))</f>
        <v>xxx</v>
      </c>
      <c r="J1047" s="18" t="str">
        <f>IF(装备表!$O1192=0,"xxx",IFERROR(IF(INT(IF($D1047=J$3,装备表!$E1192,"xxx")/10000)=1,IF($D1047=J$3,装备表!$E1192,"xxx")&amp;":2,1,1,"&amp;装备表!$O1192&amp;";","xxx"),"xxx"))</f>
        <v>xxx</v>
      </c>
    </row>
    <row r="1048" spans="4:10" x14ac:dyDescent="0.2">
      <c r="D1048" s="18">
        <f>装备表!L1193</f>
        <v>0</v>
      </c>
      <c r="E1048" s="18" t="str">
        <f>IF(装备表!$O1193=0,"xxx",IFERROR(IF(INT(IF($D1048=E$3,装备表!$E1193,"xxx")/10000)=1,IF($D1048=E$3,装备表!$E1193,"xxx")&amp;":2,1,1,"&amp;装备表!$O1193&amp;";","xxx"),"xxx"))</f>
        <v>xxx</v>
      </c>
      <c r="F1048" s="18" t="str">
        <f>IF(装备表!$O1193=0,"xxx",IFERROR(IF(INT(IF($D1048=F$3,装备表!$E1193,"xxx")/10000)=1,IF($D1048=F$3,装备表!$E1193,"xxx")&amp;":2,1,1,"&amp;装备表!$O1193&amp;";","xxx"),"xxx"))</f>
        <v>xxx</v>
      </c>
      <c r="G1048" s="18" t="str">
        <f>IF(装备表!$O1193=0,"xxx",IFERROR(IF(INT(IF($D1048=G$3,装备表!$E1193,"xxx")/10000)=1,IF($D1048=G$3,装备表!$E1193,"xxx")&amp;":2,1,1,"&amp;装备表!$O1193&amp;";","xxx"),"xxx"))</f>
        <v>xxx</v>
      </c>
      <c r="H1048" s="18" t="str">
        <f>IF(装备表!$O1193=0,"xxx",IFERROR(IF(INT(IF($D1048=H$3,装备表!$E1193,"xxx")/10000)=1,IF($D1048=H$3,装备表!$E1193,"xxx")&amp;":2,1,1,"&amp;装备表!$O1193&amp;";","xxx"),"xxx"))</f>
        <v>xxx</v>
      </c>
      <c r="I1048" s="18" t="str">
        <f>IF(装备表!$O1193=0,"xxx",IFERROR(IF(INT(IF($D1048=I$3,装备表!$E1193,"xxx")/10000)=1,IF($D1048=I$3,装备表!$E1193,"xxx")&amp;":2,1,1,"&amp;装备表!$O1193&amp;";","xxx"),"xxx"))</f>
        <v>xxx</v>
      </c>
      <c r="J1048" s="18" t="str">
        <f>IF(装备表!$O1193=0,"xxx",IFERROR(IF(INT(IF($D1048=J$3,装备表!$E1193,"xxx")/10000)=1,IF($D1048=J$3,装备表!$E1193,"xxx")&amp;":2,1,1,"&amp;装备表!$O1193&amp;";","xxx"),"xxx"))</f>
        <v>xxx</v>
      </c>
    </row>
    <row r="1049" spans="4:10" x14ac:dyDescent="0.2">
      <c r="D1049" s="18">
        <f>装备表!L1194</f>
        <v>0</v>
      </c>
      <c r="E1049" s="18" t="str">
        <f>IF(装备表!$O1194=0,"xxx",IFERROR(IF(INT(IF($D1049=E$3,装备表!$E1194,"xxx")/10000)=1,IF($D1049=E$3,装备表!$E1194,"xxx")&amp;":2,1,1,"&amp;装备表!$O1194&amp;";","xxx"),"xxx"))</f>
        <v>xxx</v>
      </c>
      <c r="F1049" s="18" t="str">
        <f>IF(装备表!$O1194=0,"xxx",IFERROR(IF(INT(IF($D1049=F$3,装备表!$E1194,"xxx")/10000)=1,IF($D1049=F$3,装备表!$E1194,"xxx")&amp;":2,1,1,"&amp;装备表!$O1194&amp;";","xxx"),"xxx"))</f>
        <v>xxx</v>
      </c>
      <c r="G1049" s="18" t="str">
        <f>IF(装备表!$O1194=0,"xxx",IFERROR(IF(INT(IF($D1049=G$3,装备表!$E1194,"xxx")/10000)=1,IF($D1049=G$3,装备表!$E1194,"xxx")&amp;":2,1,1,"&amp;装备表!$O1194&amp;";","xxx"),"xxx"))</f>
        <v>xxx</v>
      </c>
      <c r="H1049" s="18" t="str">
        <f>IF(装备表!$O1194=0,"xxx",IFERROR(IF(INT(IF($D1049=H$3,装备表!$E1194,"xxx")/10000)=1,IF($D1049=H$3,装备表!$E1194,"xxx")&amp;":2,1,1,"&amp;装备表!$O1194&amp;";","xxx"),"xxx"))</f>
        <v>xxx</v>
      </c>
      <c r="I1049" s="18" t="str">
        <f>IF(装备表!$O1194=0,"xxx",IFERROR(IF(INT(IF($D1049=I$3,装备表!$E1194,"xxx")/10000)=1,IF($D1049=I$3,装备表!$E1194,"xxx")&amp;":2,1,1,"&amp;装备表!$O1194&amp;";","xxx"),"xxx"))</f>
        <v>xxx</v>
      </c>
      <c r="J1049" s="18" t="str">
        <f>IF(装备表!$O1194=0,"xxx",IFERROR(IF(INT(IF($D1049=J$3,装备表!$E1194,"xxx")/10000)=1,IF($D1049=J$3,装备表!$E1194,"xxx")&amp;":2,1,1,"&amp;装备表!$O1194&amp;";","xxx"),"xxx"))</f>
        <v>xxx</v>
      </c>
    </row>
    <row r="1050" spans="4:10" x14ac:dyDescent="0.2">
      <c r="D1050" s="18">
        <f>装备表!L1195</f>
        <v>0</v>
      </c>
      <c r="E1050" s="18" t="str">
        <f>IF(装备表!$O1195=0,"xxx",IFERROR(IF(INT(IF($D1050=E$3,装备表!$E1195,"xxx")/10000)=1,IF($D1050=E$3,装备表!$E1195,"xxx")&amp;":2,1,1,"&amp;装备表!$O1195&amp;";","xxx"),"xxx"))</f>
        <v>xxx</v>
      </c>
      <c r="F1050" s="18" t="str">
        <f>IF(装备表!$O1195=0,"xxx",IFERROR(IF(INT(IF($D1050=F$3,装备表!$E1195,"xxx")/10000)=1,IF($D1050=F$3,装备表!$E1195,"xxx")&amp;":2,1,1,"&amp;装备表!$O1195&amp;";","xxx"),"xxx"))</f>
        <v>xxx</v>
      </c>
      <c r="G1050" s="18" t="str">
        <f>IF(装备表!$O1195=0,"xxx",IFERROR(IF(INT(IF($D1050=G$3,装备表!$E1195,"xxx")/10000)=1,IF($D1050=G$3,装备表!$E1195,"xxx")&amp;":2,1,1,"&amp;装备表!$O1195&amp;";","xxx"),"xxx"))</f>
        <v>xxx</v>
      </c>
      <c r="H1050" s="18" t="str">
        <f>IF(装备表!$O1195=0,"xxx",IFERROR(IF(INT(IF($D1050=H$3,装备表!$E1195,"xxx")/10000)=1,IF($D1050=H$3,装备表!$E1195,"xxx")&amp;":2,1,1,"&amp;装备表!$O1195&amp;";","xxx"),"xxx"))</f>
        <v>xxx</v>
      </c>
      <c r="I1050" s="18" t="str">
        <f>IF(装备表!$O1195=0,"xxx",IFERROR(IF(INT(IF($D1050=I$3,装备表!$E1195,"xxx")/10000)=1,IF($D1050=I$3,装备表!$E1195,"xxx")&amp;":2,1,1,"&amp;装备表!$O1195&amp;";","xxx"),"xxx"))</f>
        <v>xxx</v>
      </c>
      <c r="J1050" s="18" t="str">
        <f>IF(装备表!$O1195=0,"xxx",IFERROR(IF(INT(IF($D1050=J$3,装备表!$E1195,"xxx")/10000)=1,IF($D1050=J$3,装备表!$E1195,"xxx")&amp;":2,1,1,"&amp;装备表!$O1195&amp;";","xxx"),"xxx"))</f>
        <v>xxx</v>
      </c>
    </row>
    <row r="1051" spans="4:10" x14ac:dyDescent="0.2">
      <c r="D1051" s="18">
        <f>装备表!L1196</f>
        <v>0</v>
      </c>
      <c r="E1051" s="18" t="str">
        <f>IF(装备表!$O1196=0,"xxx",IFERROR(IF(INT(IF($D1051=E$3,装备表!$E1196,"xxx")/10000)=1,IF($D1051=E$3,装备表!$E1196,"xxx")&amp;":2,1,1,"&amp;装备表!$O1196&amp;";","xxx"),"xxx"))</f>
        <v>xxx</v>
      </c>
      <c r="F1051" s="18" t="str">
        <f>IF(装备表!$O1196=0,"xxx",IFERROR(IF(INT(IF($D1051=F$3,装备表!$E1196,"xxx")/10000)=1,IF($D1051=F$3,装备表!$E1196,"xxx")&amp;":2,1,1,"&amp;装备表!$O1196&amp;";","xxx"),"xxx"))</f>
        <v>xxx</v>
      </c>
      <c r="G1051" s="18" t="str">
        <f>IF(装备表!$O1196=0,"xxx",IFERROR(IF(INT(IF($D1051=G$3,装备表!$E1196,"xxx")/10000)=1,IF($D1051=G$3,装备表!$E1196,"xxx")&amp;":2,1,1,"&amp;装备表!$O1196&amp;";","xxx"),"xxx"))</f>
        <v>xxx</v>
      </c>
      <c r="H1051" s="18" t="str">
        <f>IF(装备表!$O1196=0,"xxx",IFERROR(IF(INT(IF($D1051=H$3,装备表!$E1196,"xxx")/10000)=1,IF($D1051=H$3,装备表!$E1196,"xxx")&amp;":2,1,1,"&amp;装备表!$O1196&amp;";","xxx"),"xxx"))</f>
        <v>xxx</v>
      </c>
      <c r="I1051" s="18" t="str">
        <f>IF(装备表!$O1196=0,"xxx",IFERROR(IF(INT(IF($D1051=I$3,装备表!$E1196,"xxx")/10000)=1,IF($D1051=I$3,装备表!$E1196,"xxx")&amp;":2,1,1,"&amp;装备表!$O1196&amp;";","xxx"),"xxx"))</f>
        <v>xxx</v>
      </c>
      <c r="J1051" s="18" t="str">
        <f>IF(装备表!$O1196=0,"xxx",IFERROR(IF(INT(IF($D1051=J$3,装备表!$E1196,"xxx")/10000)=1,IF($D1051=J$3,装备表!$E1196,"xxx")&amp;":2,1,1,"&amp;装备表!$O1196&amp;";","xxx"),"xxx"))</f>
        <v>xxx</v>
      </c>
    </row>
    <row r="1052" spans="4:10" x14ac:dyDescent="0.2">
      <c r="D1052" s="18">
        <f>装备表!L1197</f>
        <v>0</v>
      </c>
      <c r="E1052" s="18" t="str">
        <f>IF(装备表!$O1197=0,"xxx",IFERROR(IF(INT(IF($D1052=E$3,装备表!$E1197,"xxx")/10000)=1,IF($D1052=E$3,装备表!$E1197,"xxx")&amp;":2,1,1,"&amp;装备表!$O1197&amp;";","xxx"),"xxx"))</f>
        <v>xxx</v>
      </c>
      <c r="F1052" s="18" t="str">
        <f>IF(装备表!$O1197=0,"xxx",IFERROR(IF(INT(IF($D1052=F$3,装备表!$E1197,"xxx")/10000)=1,IF($D1052=F$3,装备表!$E1197,"xxx")&amp;":2,1,1,"&amp;装备表!$O1197&amp;";","xxx"),"xxx"))</f>
        <v>xxx</v>
      </c>
      <c r="G1052" s="18" t="str">
        <f>IF(装备表!$O1197=0,"xxx",IFERROR(IF(INT(IF($D1052=G$3,装备表!$E1197,"xxx")/10000)=1,IF($D1052=G$3,装备表!$E1197,"xxx")&amp;":2,1,1,"&amp;装备表!$O1197&amp;";","xxx"),"xxx"))</f>
        <v>xxx</v>
      </c>
      <c r="H1052" s="18" t="str">
        <f>IF(装备表!$O1197=0,"xxx",IFERROR(IF(INT(IF($D1052=H$3,装备表!$E1197,"xxx")/10000)=1,IF($D1052=H$3,装备表!$E1197,"xxx")&amp;":2,1,1,"&amp;装备表!$O1197&amp;";","xxx"),"xxx"))</f>
        <v>xxx</v>
      </c>
      <c r="I1052" s="18" t="str">
        <f>IF(装备表!$O1197=0,"xxx",IFERROR(IF(INT(IF($D1052=I$3,装备表!$E1197,"xxx")/10000)=1,IF($D1052=I$3,装备表!$E1197,"xxx")&amp;":2,1,1,"&amp;装备表!$O1197&amp;";","xxx"),"xxx"))</f>
        <v>xxx</v>
      </c>
      <c r="J1052" s="18" t="str">
        <f>IF(装备表!$O1197=0,"xxx",IFERROR(IF(INT(IF($D1052=J$3,装备表!$E1197,"xxx")/10000)=1,IF($D1052=J$3,装备表!$E1197,"xxx")&amp;":2,1,1,"&amp;装备表!$O1197&amp;";","xxx"),"xxx"))</f>
        <v>xxx</v>
      </c>
    </row>
    <row r="1053" spans="4:10" x14ac:dyDescent="0.2">
      <c r="D1053" s="18">
        <f>装备表!L1198</f>
        <v>0</v>
      </c>
      <c r="E1053" s="18" t="str">
        <f>IF(装备表!$O1198=0,"xxx",IFERROR(IF(INT(IF($D1053=E$3,装备表!$E1198,"xxx")/10000)=1,IF($D1053=E$3,装备表!$E1198,"xxx")&amp;":2,1,1,"&amp;装备表!$O1198&amp;";","xxx"),"xxx"))</f>
        <v>xxx</v>
      </c>
      <c r="F1053" s="18" t="str">
        <f>IF(装备表!$O1198=0,"xxx",IFERROR(IF(INT(IF($D1053=F$3,装备表!$E1198,"xxx")/10000)=1,IF($D1053=F$3,装备表!$E1198,"xxx")&amp;":2,1,1,"&amp;装备表!$O1198&amp;";","xxx"),"xxx"))</f>
        <v>xxx</v>
      </c>
      <c r="G1053" s="18" t="str">
        <f>IF(装备表!$O1198=0,"xxx",IFERROR(IF(INT(IF($D1053=G$3,装备表!$E1198,"xxx")/10000)=1,IF($D1053=G$3,装备表!$E1198,"xxx")&amp;":2,1,1,"&amp;装备表!$O1198&amp;";","xxx"),"xxx"))</f>
        <v>xxx</v>
      </c>
      <c r="H1053" s="18" t="str">
        <f>IF(装备表!$O1198=0,"xxx",IFERROR(IF(INT(IF($D1053=H$3,装备表!$E1198,"xxx")/10000)=1,IF($D1053=H$3,装备表!$E1198,"xxx")&amp;":2,1,1,"&amp;装备表!$O1198&amp;";","xxx"),"xxx"))</f>
        <v>xxx</v>
      </c>
      <c r="I1053" s="18" t="str">
        <f>IF(装备表!$O1198=0,"xxx",IFERROR(IF(INT(IF($D1053=I$3,装备表!$E1198,"xxx")/10000)=1,IF($D1053=I$3,装备表!$E1198,"xxx")&amp;":2,1,1,"&amp;装备表!$O1198&amp;";","xxx"),"xxx"))</f>
        <v>xxx</v>
      </c>
      <c r="J1053" s="18" t="str">
        <f>IF(装备表!$O1198=0,"xxx",IFERROR(IF(INT(IF($D1053=J$3,装备表!$E1198,"xxx")/10000)=1,IF($D1053=J$3,装备表!$E1198,"xxx")&amp;":2,1,1,"&amp;装备表!$O1198&amp;";","xxx"),"xxx"))</f>
        <v>xxx</v>
      </c>
    </row>
    <row r="1054" spans="4:10" x14ac:dyDescent="0.2">
      <c r="D1054" s="18">
        <f>装备表!L1199</f>
        <v>0</v>
      </c>
      <c r="E1054" s="18" t="str">
        <f>IF(装备表!$O1199=0,"xxx",IFERROR(IF(INT(IF($D1054=E$3,装备表!$E1199,"xxx")/10000)=1,IF($D1054=E$3,装备表!$E1199,"xxx")&amp;":2,1,1,"&amp;装备表!$O1199&amp;";","xxx"),"xxx"))</f>
        <v>xxx</v>
      </c>
      <c r="F1054" s="18" t="str">
        <f>IF(装备表!$O1199=0,"xxx",IFERROR(IF(INT(IF($D1054=F$3,装备表!$E1199,"xxx")/10000)=1,IF($D1054=F$3,装备表!$E1199,"xxx")&amp;":2,1,1,"&amp;装备表!$O1199&amp;";","xxx"),"xxx"))</f>
        <v>xxx</v>
      </c>
      <c r="G1054" s="18" t="str">
        <f>IF(装备表!$O1199=0,"xxx",IFERROR(IF(INT(IF($D1054=G$3,装备表!$E1199,"xxx")/10000)=1,IF($D1054=G$3,装备表!$E1199,"xxx")&amp;":2,1,1,"&amp;装备表!$O1199&amp;";","xxx"),"xxx"))</f>
        <v>xxx</v>
      </c>
      <c r="H1054" s="18" t="str">
        <f>IF(装备表!$O1199=0,"xxx",IFERROR(IF(INT(IF($D1054=H$3,装备表!$E1199,"xxx")/10000)=1,IF($D1054=H$3,装备表!$E1199,"xxx")&amp;":2,1,1,"&amp;装备表!$O1199&amp;";","xxx"),"xxx"))</f>
        <v>xxx</v>
      </c>
      <c r="I1054" s="18" t="str">
        <f>IF(装备表!$O1199=0,"xxx",IFERROR(IF(INT(IF($D1054=I$3,装备表!$E1199,"xxx")/10000)=1,IF($D1054=I$3,装备表!$E1199,"xxx")&amp;":2,1,1,"&amp;装备表!$O1199&amp;";","xxx"),"xxx"))</f>
        <v>xxx</v>
      </c>
      <c r="J1054" s="18" t="str">
        <f>IF(装备表!$O1199=0,"xxx",IFERROR(IF(INT(IF($D1054=J$3,装备表!$E1199,"xxx")/10000)=1,IF($D1054=J$3,装备表!$E1199,"xxx")&amp;":2,1,1,"&amp;装备表!$O1199&amp;";","xxx"),"xxx"))</f>
        <v>xxx</v>
      </c>
    </row>
    <row r="1055" spans="4:10" x14ac:dyDescent="0.2">
      <c r="D1055" s="18">
        <f>装备表!L1200</f>
        <v>0</v>
      </c>
      <c r="E1055" s="18" t="str">
        <f>IF(装备表!$O1200=0,"xxx",IFERROR(IF(INT(IF($D1055=E$3,装备表!$E1200,"xxx")/10000)=1,IF($D1055=E$3,装备表!$E1200,"xxx")&amp;":2,1,1,"&amp;装备表!$O1200&amp;";","xxx"),"xxx"))</f>
        <v>xxx</v>
      </c>
      <c r="F1055" s="18" t="str">
        <f>IF(装备表!$O1200=0,"xxx",IFERROR(IF(INT(IF($D1055=F$3,装备表!$E1200,"xxx")/10000)=1,IF($D1055=F$3,装备表!$E1200,"xxx")&amp;":2,1,1,"&amp;装备表!$O1200&amp;";","xxx"),"xxx"))</f>
        <v>xxx</v>
      </c>
      <c r="G1055" s="18" t="str">
        <f>IF(装备表!$O1200=0,"xxx",IFERROR(IF(INT(IF($D1055=G$3,装备表!$E1200,"xxx")/10000)=1,IF($D1055=G$3,装备表!$E1200,"xxx")&amp;":2,1,1,"&amp;装备表!$O1200&amp;";","xxx"),"xxx"))</f>
        <v>xxx</v>
      </c>
      <c r="H1055" s="18" t="str">
        <f>IF(装备表!$O1200=0,"xxx",IFERROR(IF(INT(IF($D1055=H$3,装备表!$E1200,"xxx")/10000)=1,IF($D1055=H$3,装备表!$E1200,"xxx")&amp;":2,1,1,"&amp;装备表!$O1200&amp;";","xxx"),"xxx"))</f>
        <v>xxx</v>
      </c>
      <c r="I1055" s="18" t="str">
        <f>IF(装备表!$O1200=0,"xxx",IFERROR(IF(INT(IF($D1055=I$3,装备表!$E1200,"xxx")/10000)=1,IF($D1055=I$3,装备表!$E1200,"xxx")&amp;":2,1,1,"&amp;装备表!$O1200&amp;";","xxx"),"xxx"))</f>
        <v>xxx</v>
      </c>
      <c r="J1055" s="18" t="str">
        <f>IF(装备表!$O1200=0,"xxx",IFERROR(IF(INT(IF($D1055=J$3,装备表!$E1200,"xxx")/10000)=1,IF($D1055=J$3,装备表!$E1200,"xxx")&amp;":2,1,1,"&amp;装备表!$O1200&amp;";","xxx"),"xxx"))</f>
        <v>xxx</v>
      </c>
    </row>
    <row r="1056" spans="4:10" x14ac:dyDescent="0.2">
      <c r="D1056" s="18">
        <f>装备表!L1201</f>
        <v>0</v>
      </c>
      <c r="E1056" s="18" t="str">
        <f>IF(装备表!$O1201=0,"xxx",IFERROR(IF(INT(IF($D1056=E$3,装备表!$E1201,"xxx")/10000)=1,IF($D1056=E$3,装备表!$E1201,"xxx")&amp;":2,1,1,"&amp;装备表!$O1201&amp;";","xxx"),"xxx"))</f>
        <v>xxx</v>
      </c>
      <c r="F1056" s="18" t="str">
        <f>IF(装备表!$O1201=0,"xxx",IFERROR(IF(INT(IF($D1056=F$3,装备表!$E1201,"xxx")/10000)=1,IF($D1056=F$3,装备表!$E1201,"xxx")&amp;":2,1,1,"&amp;装备表!$O1201&amp;";","xxx"),"xxx"))</f>
        <v>xxx</v>
      </c>
      <c r="G1056" s="18" t="str">
        <f>IF(装备表!$O1201=0,"xxx",IFERROR(IF(INT(IF($D1056=G$3,装备表!$E1201,"xxx")/10000)=1,IF($D1056=G$3,装备表!$E1201,"xxx")&amp;":2,1,1,"&amp;装备表!$O1201&amp;";","xxx"),"xxx"))</f>
        <v>xxx</v>
      </c>
      <c r="H1056" s="18" t="str">
        <f>IF(装备表!$O1201=0,"xxx",IFERROR(IF(INT(IF($D1056=H$3,装备表!$E1201,"xxx")/10000)=1,IF($D1056=H$3,装备表!$E1201,"xxx")&amp;":2,1,1,"&amp;装备表!$O1201&amp;";","xxx"),"xxx"))</f>
        <v>xxx</v>
      </c>
      <c r="I1056" s="18" t="str">
        <f>IF(装备表!$O1201=0,"xxx",IFERROR(IF(INT(IF($D1056=I$3,装备表!$E1201,"xxx")/10000)=1,IF($D1056=I$3,装备表!$E1201,"xxx")&amp;":2,1,1,"&amp;装备表!$O1201&amp;";","xxx"),"xxx"))</f>
        <v>xxx</v>
      </c>
      <c r="J1056" s="18" t="str">
        <f>IF(装备表!$O1201=0,"xxx",IFERROR(IF(INT(IF($D1056=J$3,装备表!$E1201,"xxx")/10000)=1,IF($D1056=J$3,装备表!$E1201,"xxx")&amp;":2,1,1,"&amp;装备表!$O1201&amp;";","xxx"),"xxx"))</f>
        <v>xxx</v>
      </c>
    </row>
    <row r="1057" spans="4:10" x14ac:dyDescent="0.2">
      <c r="D1057" s="18">
        <f>装备表!L1202</f>
        <v>0</v>
      </c>
      <c r="E1057" s="18" t="str">
        <f>IF(装备表!$O1202=0,"xxx",IFERROR(IF(INT(IF($D1057=E$3,装备表!$E1202,"xxx")/10000)=1,IF($D1057=E$3,装备表!$E1202,"xxx")&amp;":2,1,1,"&amp;装备表!$O1202&amp;";","xxx"),"xxx"))</f>
        <v>xxx</v>
      </c>
      <c r="F1057" s="18" t="str">
        <f>IF(装备表!$O1202=0,"xxx",IFERROR(IF(INT(IF($D1057=F$3,装备表!$E1202,"xxx")/10000)=1,IF($D1057=F$3,装备表!$E1202,"xxx")&amp;":2,1,1,"&amp;装备表!$O1202&amp;";","xxx"),"xxx"))</f>
        <v>xxx</v>
      </c>
      <c r="G1057" s="18" t="str">
        <f>IF(装备表!$O1202=0,"xxx",IFERROR(IF(INT(IF($D1057=G$3,装备表!$E1202,"xxx")/10000)=1,IF($D1057=G$3,装备表!$E1202,"xxx")&amp;":2,1,1,"&amp;装备表!$O1202&amp;";","xxx"),"xxx"))</f>
        <v>xxx</v>
      </c>
      <c r="H1057" s="18" t="str">
        <f>IF(装备表!$O1202=0,"xxx",IFERROR(IF(INT(IF($D1057=H$3,装备表!$E1202,"xxx")/10000)=1,IF($D1057=H$3,装备表!$E1202,"xxx")&amp;":2,1,1,"&amp;装备表!$O1202&amp;";","xxx"),"xxx"))</f>
        <v>xxx</v>
      </c>
      <c r="I1057" s="18" t="str">
        <f>IF(装备表!$O1202=0,"xxx",IFERROR(IF(INT(IF($D1057=I$3,装备表!$E1202,"xxx")/10000)=1,IF($D1057=I$3,装备表!$E1202,"xxx")&amp;":2,1,1,"&amp;装备表!$O1202&amp;";","xxx"),"xxx"))</f>
        <v>xxx</v>
      </c>
      <c r="J1057" s="18" t="str">
        <f>IF(装备表!$O1202=0,"xxx",IFERROR(IF(INT(IF($D1057=J$3,装备表!$E1202,"xxx")/10000)=1,IF($D1057=J$3,装备表!$E1202,"xxx")&amp;":2,1,1,"&amp;装备表!$O1202&amp;";","xxx"),"xxx"))</f>
        <v>xxx</v>
      </c>
    </row>
    <row r="1058" spans="4:10" x14ac:dyDescent="0.2">
      <c r="D1058" s="18">
        <f>装备表!L1203</f>
        <v>0</v>
      </c>
      <c r="E1058" s="18" t="str">
        <f>IF(装备表!$O1203=0,"xxx",IFERROR(IF(INT(IF($D1058=E$3,装备表!$E1203,"xxx")/10000)=1,IF($D1058=E$3,装备表!$E1203,"xxx")&amp;":2,1,1,"&amp;装备表!$O1203&amp;";","xxx"),"xxx"))</f>
        <v>xxx</v>
      </c>
      <c r="F1058" s="18" t="str">
        <f>IF(装备表!$O1203=0,"xxx",IFERROR(IF(INT(IF($D1058=F$3,装备表!$E1203,"xxx")/10000)=1,IF($D1058=F$3,装备表!$E1203,"xxx")&amp;":2,1,1,"&amp;装备表!$O1203&amp;";","xxx"),"xxx"))</f>
        <v>xxx</v>
      </c>
      <c r="G1058" s="18" t="str">
        <f>IF(装备表!$O1203=0,"xxx",IFERROR(IF(INT(IF($D1058=G$3,装备表!$E1203,"xxx")/10000)=1,IF($D1058=G$3,装备表!$E1203,"xxx")&amp;":2,1,1,"&amp;装备表!$O1203&amp;";","xxx"),"xxx"))</f>
        <v>xxx</v>
      </c>
      <c r="H1058" s="18" t="str">
        <f>IF(装备表!$O1203=0,"xxx",IFERROR(IF(INT(IF($D1058=H$3,装备表!$E1203,"xxx")/10000)=1,IF($D1058=H$3,装备表!$E1203,"xxx")&amp;":2,1,1,"&amp;装备表!$O1203&amp;";","xxx"),"xxx"))</f>
        <v>xxx</v>
      </c>
      <c r="I1058" s="18" t="str">
        <f>IF(装备表!$O1203=0,"xxx",IFERROR(IF(INT(IF($D1058=I$3,装备表!$E1203,"xxx")/10000)=1,IF($D1058=I$3,装备表!$E1203,"xxx")&amp;":2,1,1,"&amp;装备表!$O1203&amp;";","xxx"),"xxx"))</f>
        <v>xxx</v>
      </c>
      <c r="J1058" s="18" t="str">
        <f>IF(装备表!$O1203=0,"xxx",IFERROR(IF(INT(IF($D1058=J$3,装备表!$E1203,"xxx")/10000)=1,IF($D1058=J$3,装备表!$E1203,"xxx")&amp;":2,1,1,"&amp;装备表!$O1203&amp;";","xxx"),"xxx"))</f>
        <v>xxx</v>
      </c>
    </row>
    <row r="1059" spans="4:10" x14ac:dyDescent="0.2">
      <c r="D1059" s="18">
        <f>装备表!L1204</f>
        <v>0</v>
      </c>
      <c r="E1059" s="18" t="str">
        <f>IF(装备表!$O1204=0,"xxx",IFERROR(IF(INT(IF($D1059=E$3,装备表!$E1204,"xxx")/10000)=1,IF($D1059=E$3,装备表!$E1204,"xxx")&amp;":2,1,1,"&amp;装备表!$O1204&amp;";","xxx"),"xxx"))</f>
        <v>xxx</v>
      </c>
      <c r="F1059" s="18" t="str">
        <f>IF(装备表!$O1204=0,"xxx",IFERROR(IF(INT(IF($D1059=F$3,装备表!$E1204,"xxx")/10000)=1,IF($D1059=F$3,装备表!$E1204,"xxx")&amp;":2,1,1,"&amp;装备表!$O1204&amp;";","xxx"),"xxx"))</f>
        <v>xxx</v>
      </c>
      <c r="G1059" s="18" t="str">
        <f>IF(装备表!$O1204=0,"xxx",IFERROR(IF(INT(IF($D1059=G$3,装备表!$E1204,"xxx")/10000)=1,IF($D1059=G$3,装备表!$E1204,"xxx")&amp;":2,1,1,"&amp;装备表!$O1204&amp;";","xxx"),"xxx"))</f>
        <v>xxx</v>
      </c>
      <c r="H1059" s="18" t="str">
        <f>IF(装备表!$O1204=0,"xxx",IFERROR(IF(INT(IF($D1059=H$3,装备表!$E1204,"xxx")/10000)=1,IF($D1059=H$3,装备表!$E1204,"xxx")&amp;":2,1,1,"&amp;装备表!$O1204&amp;";","xxx"),"xxx"))</f>
        <v>xxx</v>
      </c>
      <c r="I1059" s="18" t="str">
        <f>IF(装备表!$O1204=0,"xxx",IFERROR(IF(INT(IF($D1059=I$3,装备表!$E1204,"xxx")/10000)=1,IF($D1059=I$3,装备表!$E1204,"xxx")&amp;":2,1,1,"&amp;装备表!$O1204&amp;";","xxx"),"xxx"))</f>
        <v>xxx</v>
      </c>
      <c r="J1059" s="18" t="str">
        <f>IF(装备表!$O1204=0,"xxx",IFERROR(IF(INT(IF($D1059=J$3,装备表!$E1204,"xxx")/10000)=1,IF($D1059=J$3,装备表!$E1204,"xxx")&amp;":2,1,1,"&amp;装备表!$O1204&amp;";","xxx"),"xxx"))</f>
        <v>xxx</v>
      </c>
    </row>
    <row r="1060" spans="4:10" x14ac:dyDescent="0.2">
      <c r="D1060" s="18">
        <f>装备表!L1205</f>
        <v>0</v>
      </c>
      <c r="E1060" s="18" t="str">
        <f>IF(装备表!$O1205=0,"xxx",IFERROR(IF(INT(IF($D1060=E$3,装备表!$E1205,"xxx")/10000)=1,IF($D1060=E$3,装备表!$E1205,"xxx")&amp;":2,1,1,"&amp;装备表!$O1205&amp;";","xxx"),"xxx"))</f>
        <v>xxx</v>
      </c>
      <c r="F1060" s="18" t="str">
        <f>IF(装备表!$O1205=0,"xxx",IFERROR(IF(INT(IF($D1060=F$3,装备表!$E1205,"xxx")/10000)=1,IF($D1060=F$3,装备表!$E1205,"xxx")&amp;":2,1,1,"&amp;装备表!$O1205&amp;";","xxx"),"xxx"))</f>
        <v>xxx</v>
      </c>
      <c r="G1060" s="18" t="str">
        <f>IF(装备表!$O1205=0,"xxx",IFERROR(IF(INT(IF($D1060=G$3,装备表!$E1205,"xxx")/10000)=1,IF($D1060=G$3,装备表!$E1205,"xxx")&amp;":2,1,1,"&amp;装备表!$O1205&amp;";","xxx"),"xxx"))</f>
        <v>xxx</v>
      </c>
      <c r="H1060" s="18" t="str">
        <f>IF(装备表!$O1205=0,"xxx",IFERROR(IF(INT(IF($D1060=H$3,装备表!$E1205,"xxx")/10000)=1,IF($D1060=H$3,装备表!$E1205,"xxx")&amp;":2,1,1,"&amp;装备表!$O1205&amp;";","xxx"),"xxx"))</f>
        <v>xxx</v>
      </c>
      <c r="I1060" s="18" t="str">
        <f>IF(装备表!$O1205=0,"xxx",IFERROR(IF(INT(IF($D1060=I$3,装备表!$E1205,"xxx")/10000)=1,IF($D1060=I$3,装备表!$E1205,"xxx")&amp;":2,1,1,"&amp;装备表!$O1205&amp;";","xxx"),"xxx"))</f>
        <v>xxx</v>
      </c>
      <c r="J1060" s="18" t="str">
        <f>IF(装备表!$O1205=0,"xxx",IFERROR(IF(INT(IF($D1060=J$3,装备表!$E1205,"xxx")/10000)=1,IF($D1060=J$3,装备表!$E1205,"xxx")&amp;":2,1,1,"&amp;装备表!$O1205&amp;";","xxx"),"xxx"))</f>
        <v>xxx</v>
      </c>
    </row>
    <row r="1061" spans="4:10" x14ac:dyDescent="0.2">
      <c r="D1061" s="18">
        <f>装备表!L1206</f>
        <v>0</v>
      </c>
      <c r="E1061" s="18" t="str">
        <f>IF(装备表!$O1206=0,"xxx",IFERROR(IF(INT(IF($D1061=E$3,装备表!$E1206,"xxx")/10000)=1,IF($D1061=E$3,装备表!$E1206,"xxx")&amp;":2,1,1,"&amp;装备表!$O1206&amp;";","xxx"),"xxx"))</f>
        <v>xxx</v>
      </c>
      <c r="F1061" s="18" t="str">
        <f>IF(装备表!$O1206=0,"xxx",IFERROR(IF(INT(IF($D1061=F$3,装备表!$E1206,"xxx")/10000)=1,IF($D1061=F$3,装备表!$E1206,"xxx")&amp;":2,1,1,"&amp;装备表!$O1206&amp;";","xxx"),"xxx"))</f>
        <v>xxx</v>
      </c>
      <c r="G1061" s="18" t="str">
        <f>IF(装备表!$O1206=0,"xxx",IFERROR(IF(INT(IF($D1061=G$3,装备表!$E1206,"xxx")/10000)=1,IF($D1061=G$3,装备表!$E1206,"xxx")&amp;":2,1,1,"&amp;装备表!$O1206&amp;";","xxx"),"xxx"))</f>
        <v>xxx</v>
      </c>
      <c r="H1061" s="18" t="str">
        <f>IF(装备表!$O1206=0,"xxx",IFERROR(IF(INT(IF($D1061=H$3,装备表!$E1206,"xxx")/10000)=1,IF($D1061=H$3,装备表!$E1206,"xxx")&amp;":2,1,1,"&amp;装备表!$O1206&amp;";","xxx"),"xxx"))</f>
        <v>xxx</v>
      </c>
      <c r="I1061" s="18" t="str">
        <f>IF(装备表!$O1206=0,"xxx",IFERROR(IF(INT(IF($D1061=I$3,装备表!$E1206,"xxx")/10000)=1,IF($D1061=I$3,装备表!$E1206,"xxx")&amp;":2,1,1,"&amp;装备表!$O1206&amp;";","xxx"),"xxx"))</f>
        <v>xxx</v>
      </c>
      <c r="J1061" s="18" t="str">
        <f>IF(装备表!$O1206=0,"xxx",IFERROR(IF(INT(IF($D1061=J$3,装备表!$E1206,"xxx")/10000)=1,IF($D1061=J$3,装备表!$E1206,"xxx")&amp;":2,1,1,"&amp;装备表!$O1206&amp;";","xxx"),"xxx"))</f>
        <v>xxx</v>
      </c>
    </row>
    <row r="1062" spans="4:10" x14ac:dyDescent="0.2">
      <c r="D1062" s="18">
        <f>装备表!L1207</f>
        <v>0</v>
      </c>
      <c r="E1062" s="18" t="str">
        <f>IF(装备表!$O1207=0,"xxx",IFERROR(IF(INT(IF($D1062=E$3,装备表!$E1207,"xxx")/10000)=1,IF($D1062=E$3,装备表!$E1207,"xxx")&amp;":2,1,1,"&amp;装备表!$O1207&amp;";","xxx"),"xxx"))</f>
        <v>xxx</v>
      </c>
      <c r="F1062" s="18" t="str">
        <f>IF(装备表!$O1207=0,"xxx",IFERROR(IF(INT(IF($D1062=F$3,装备表!$E1207,"xxx")/10000)=1,IF($D1062=F$3,装备表!$E1207,"xxx")&amp;":2,1,1,"&amp;装备表!$O1207&amp;";","xxx"),"xxx"))</f>
        <v>xxx</v>
      </c>
      <c r="G1062" s="18" t="str">
        <f>IF(装备表!$O1207=0,"xxx",IFERROR(IF(INT(IF($D1062=G$3,装备表!$E1207,"xxx")/10000)=1,IF($D1062=G$3,装备表!$E1207,"xxx")&amp;":2,1,1,"&amp;装备表!$O1207&amp;";","xxx"),"xxx"))</f>
        <v>xxx</v>
      </c>
      <c r="H1062" s="18" t="str">
        <f>IF(装备表!$O1207=0,"xxx",IFERROR(IF(INT(IF($D1062=H$3,装备表!$E1207,"xxx")/10000)=1,IF($D1062=H$3,装备表!$E1207,"xxx")&amp;":2,1,1,"&amp;装备表!$O1207&amp;";","xxx"),"xxx"))</f>
        <v>xxx</v>
      </c>
      <c r="I1062" s="18" t="str">
        <f>IF(装备表!$O1207=0,"xxx",IFERROR(IF(INT(IF($D1062=I$3,装备表!$E1207,"xxx")/10000)=1,IF($D1062=I$3,装备表!$E1207,"xxx")&amp;":2,1,1,"&amp;装备表!$O1207&amp;";","xxx"),"xxx"))</f>
        <v>xxx</v>
      </c>
      <c r="J1062" s="18" t="str">
        <f>IF(装备表!$O1207=0,"xxx",IFERROR(IF(INT(IF($D1062=J$3,装备表!$E1207,"xxx")/10000)=1,IF($D1062=J$3,装备表!$E1207,"xxx")&amp;":2,1,1,"&amp;装备表!$O1207&amp;";","xxx"),"xxx"))</f>
        <v>xxx</v>
      </c>
    </row>
    <row r="1063" spans="4:10" x14ac:dyDescent="0.2">
      <c r="D1063" s="18">
        <f>装备表!L1208</f>
        <v>0</v>
      </c>
      <c r="E1063" s="18" t="str">
        <f>IF(装备表!$O1208=0,"xxx",IFERROR(IF(INT(IF($D1063=E$3,装备表!$E1208,"xxx")/10000)=1,IF($D1063=E$3,装备表!$E1208,"xxx")&amp;":2,1,1,"&amp;装备表!$O1208&amp;";","xxx"),"xxx"))</f>
        <v>xxx</v>
      </c>
      <c r="F1063" s="18" t="str">
        <f>IF(装备表!$O1208=0,"xxx",IFERROR(IF(INT(IF($D1063=F$3,装备表!$E1208,"xxx")/10000)=1,IF($D1063=F$3,装备表!$E1208,"xxx")&amp;":2,1,1,"&amp;装备表!$O1208&amp;";","xxx"),"xxx"))</f>
        <v>xxx</v>
      </c>
      <c r="G1063" s="18" t="str">
        <f>IF(装备表!$O1208=0,"xxx",IFERROR(IF(INT(IF($D1063=G$3,装备表!$E1208,"xxx")/10000)=1,IF($D1063=G$3,装备表!$E1208,"xxx")&amp;":2,1,1,"&amp;装备表!$O1208&amp;";","xxx"),"xxx"))</f>
        <v>xxx</v>
      </c>
      <c r="H1063" s="18" t="str">
        <f>IF(装备表!$O1208=0,"xxx",IFERROR(IF(INT(IF($D1063=H$3,装备表!$E1208,"xxx")/10000)=1,IF($D1063=H$3,装备表!$E1208,"xxx")&amp;":2,1,1,"&amp;装备表!$O1208&amp;";","xxx"),"xxx"))</f>
        <v>xxx</v>
      </c>
      <c r="I1063" s="18" t="str">
        <f>IF(装备表!$O1208=0,"xxx",IFERROR(IF(INT(IF($D1063=I$3,装备表!$E1208,"xxx")/10000)=1,IF($D1063=I$3,装备表!$E1208,"xxx")&amp;":2,1,1,"&amp;装备表!$O1208&amp;";","xxx"),"xxx"))</f>
        <v>xxx</v>
      </c>
      <c r="J1063" s="18" t="str">
        <f>IF(装备表!$O1208=0,"xxx",IFERROR(IF(INT(IF($D1063=J$3,装备表!$E1208,"xxx")/10000)=1,IF($D1063=J$3,装备表!$E1208,"xxx")&amp;":2,1,1,"&amp;装备表!$O1208&amp;";","xxx"),"xxx"))</f>
        <v>xxx</v>
      </c>
    </row>
    <row r="1064" spans="4:10" x14ac:dyDescent="0.2">
      <c r="D1064" s="18">
        <f>装备表!L1209</f>
        <v>0</v>
      </c>
      <c r="E1064" s="18" t="str">
        <f>IF(装备表!$O1209=0,"xxx",IFERROR(IF(INT(IF($D1064=E$3,装备表!$E1209,"xxx")/10000)=1,IF($D1064=E$3,装备表!$E1209,"xxx")&amp;":2,1,1,"&amp;装备表!$O1209&amp;";","xxx"),"xxx"))</f>
        <v>xxx</v>
      </c>
      <c r="F1064" s="18" t="str">
        <f>IF(装备表!$O1209=0,"xxx",IFERROR(IF(INT(IF($D1064=F$3,装备表!$E1209,"xxx")/10000)=1,IF($D1064=F$3,装备表!$E1209,"xxx")&amp;":2,1,1,"&amp;装备表!$O1209&amp;";","xxx"),"xxx"))</f>
        <v>xxx</v>
      </c>
      <c r="G1064" s="18" t="str">
        <f>IF(装备表!$O1209=0,"xxx",IFERROR(IF(INT(IF($D1064=G$3,装备表!$E1209,"xxx")/10000)=1,IF($D1064=G$3,装备表!$E1209,"xxx")&amp;":2,1,1,"&amp;装备表!$O1209&amp;";","xxx"),"xxx"))</f>
        <v>xxx</v>
      </c>
      <c r="H1064" s="18" t="str">
        <f>IF(装备表!$O1209=0,"xxx",IFERROR(IF(INT(IF($D1064=H$3,装备表!$E1209,"xxx")/10000)=1,IF($D1064=H$3,装备表!$E1209,"xxx")&amp;":2,1,1,"&amp;装备表!$O1209&amp;";","xxx"),"xxx"))</f>
        <v>xxx</v>
      </c>
      <c r="I1064" s="18" t="str">
        <f>IF(装备表!$O1209=0,"xxx",IFERROR(IF(INT(IF($D1064=I$3,装备表!$E1209,"xxx")/10000)=1,IF($D1064=I$3,装备表!$E1209,"xxx")&amp;":2,1,1,"&amp;装备表!$O1209&amp;";","xxx"),"xxx"))</f>
        <v>xxx</v>
      </c>
      <c r="J1064" s="18" t="str">
        <f>IF(装备表!$O1209=0,"xxx",IFERROR(IF(INT(IF($D1064=J$3,装备表!$E1209,"xxx")/10000)=1,IF($D1064=J$3,装备表!$E1209,"xxx")&amp;":2,1,1,"&amp;装备表!$O1209&amp;";","xxx"),"xxx"))</f>
        <v>xxx</v>
      </c>
    </row>
    <row r="1065" spans="4:10" x14ac:dyDescent="0.2">
      <c r="D1065" s="18">
        <f>装备表!L1210</f>
        <v>0</v>
      </c>
      <c r="E1065" s="18" t="str">
        <f>IF(装备表!$O1210=0,"xxx",IFERROR(IF(INT(IF($D1065=E$3,装备表!$E1210,"xxx")/10000)=1,IF($D1065=E$3,装备表!$E1210,"xxx")&amp;":2,1,1,"&amp;装备表!$O1210&amp;";","xxx"),"xxx"))</f>
        <v>xxx</v>
      </c>
      <c r="F1065" s="18" t="str">
        <f>IF(装备表!$O1210=0,"xxx",IFERROR(IF(INT(IF($D1065=F$3,装备表!$E1210,"xxx")/10000)=1,IF($D1065=F$3,装备表!$E1210,"xxx")&amp;":2,1,1,"&amp;装备表!$O1210&amp;";","xxx"),"xxx"))</f>
        <v>xxx</v>
      </c>
      <c r="G1065" s="18" t="str">
        <f>IF(装备表!$O1210=0,"xxx",IFERROR(IF(INT(IF($D1065=G$3,装备表!$E1210,"xxx")/10000)=1,IF($D1065=G$3,装备表!$E1210,"xxx")&amp;":2,1,1,"&amp;装备表!$O1210&amp;";","xxx"),"xxx"))</f>
        <v>xxx</v>
      </c>
      <c r="H1065" s="18" t="str">
        <f>IF(装备表!$O1210=0,"xxx",IFERROR(IF(INT(IF($D1065=H$3,装备表!$E1210,"xxx")/10000)=1,IF($D1065=H$3,装备表!$E1210,"xxx")&amp;":2,1,1,"&amp;装备表!$O1210&amp;";","xxx"),"xxx"))</f>
        <v>xxx</v>
      </c>
      <c r="I1065" s="18" t="str">
        <f>IF(装备表!$O1210=0,"xxx",IFERROR(IF(INT(IF($D1065=I$3,装备表!$E1210,"xxx")/10000)=1,IF($D1065=I$3,装备表!$E1210,"xxx")&amp;":2,1,1,"&amp;装备表!$O1210&amp;";","xxx"),"xxx"))</f>
        <v>xxx</v>
      </c>
      <c r="J1065" s="18" t="str">
        <f>IF(装备表!$O1210=0,"xxx",IFERROR(IF(INT(IF($D1065=J$3,装备表!$E1210,"xxx")/10000)=1,IF($D1065=J$3,装备表!$E1210,"xxx")&amp;":2,1,1,"&amp;装备表!$O1210&amp;";","xxx"),"xxx"))</f>
        <v>xxx</v>
      </c>
    </row>
    <row r="1066" spans="4:10" x14ac:dyDescent="0.2">
      <c r="D1066" s="18">
        <f>装备表!L1211</f>
        <v>0</v>
      </c>
      <c r="E1066" s="18" t="str">
        <f>IF(装备表!$O1211=0,"xxx",IFERROR(IF(INT(IF($D1066=E$3,装备表!$E1211,"xxx")/10000)=1,IF($D1066=E$3,装备表!$E1211,"xxx")&amp;":2,1,1,"&amp;装备表!$O1211&amp;";","xxx"),"xxx"))</f>
        <v>xxx</v>
      </c>
      <c r="F1066" s="18" t="str">
        <f>IF(装备表!$O1211=0,"xxx",IFERROR(IF(INT(IF($D1066=F$3,装备表!$E1211,"xxx")/10000)=1,IF($D1066=F$3,装备表!$E1211,"xxx")&amp;":2,1,1,"&amp;装备表!$O1211&amp;";","xxx"),"xxx"))</f>
        <v>xxx</v>
      </c>
      <c r="G1066" s="18" t="str">
        <f>IF(装备表!$O1211=0,"xxx",IFERROR(IF(INT(IF($D1066=G$3,装备表!$E1211,"xxx")/10000)=1,IF($D1066=G$3,装备表!$E1211,"xxx")&amp;":2,1,1,"&amp;装备表!$O1211&amp;";","xxx"),"xxx"))</f>
        <v>xxx</v>
      </c>
      <c r="H1066" s="18" t="str">
        <f>IF(装备表!$O1211=0,"xxx",IFERROR(IF(INT(IF($D1066=H$3,装备表!$E1211,"xxx")/10000)=1,IF($D1066=H$3,装备表!$E1211,"xxx")&amp;":2,1,1,"&amp;装备表!$O1211&amp;";","xxx"),"xxx"))</f>
        <v>xxx</v>
      </c>
      <c r="I1066" s="18" t="str">
        <f>IF(装备表!$O1211=0,"xxx",IFERROR(IF(INT(IF($D1066=I$3,装备表!$E1211,"xxx")/10000)=1,IF($D1066=I$3,装备表!$E1211,"xxx")&amp;":2,1,1,"&amp;装备表!$O1211&amp;";","xxx"),"xxx"))</f>
        <v>xxx</v>
      </c>
      <c r="J1066" s="18" t="str">
        <f>IF(装备表!$O1211=0,"xxx",IFERROR(IF(INT(IF($D1066=J$3,装备表!$E1211,"xxx")/10000)=1,IF($D1066=J$3,装备表!$E1211,"xxx")&amp;":2,1,1,"&amp;装备表!$O1211&amp;";","xxx"),"xxx"))</f>
        <v>xxx</v>
      </c>
    </row>
    <row r="1067" spans="4:10" x14ac:dyDescent="0.2">
      <c r="D1067" s="18">
        <f>装备表!L1212</f>
        <v>0</v>
      </c>
      <c r="E1067" s="18" t="str">
        <f>IF(装备表!$O1212=0,"xxx",IFERROR(IF(INT(IF($D1067=E$3,装备表!$E1212,"xxx")/10000)=1,IF($D1067=E$3,装备表!$E1212,"xxx")&amp;":2,1,1,"&amp;装备表!$O1212&amp;";","xxx"),"xxx"))</f>
        <v>xxx</v>
      </c>
      <c r="F1067" s="18" t="str">
        <f>IF(装备表!$O1212=0,"xxx",IFERROR(IF(INT(IF($D1067=F$3,装备表!$E1212,"xxx")/10000)=1,IF($D1067=F$3,装备表!$E1212,"xxx")&amp;":2,1,1,"&amp;装备表!$O1212&amp;";","xxx"),"xxx"))</f>
        <v>xxx</v>
      </c>
      <c r="G1067" s="18" t="str">
        <f>IF(装备表!$O1212=0,"xxx",IFERROR(IF(INT(IF($D1067=G$3,装备表!$E1212,"xxx")/10000)=1,IF($D1067=G$3,装备表!$E1212,"xxx")&amp;":2,1,1,"&amp;装备表!$O1212&amp;";","xxx"),"xxx"))</f>
        <v>xxx</v>
      </c>
      <c r="H1067" s="18" t="str">
        <f>IF(装备表!$O1212=0,"xxx",IFERROR(IF(INT(IF($D1067=H$3,装备表!$E1212,"xxx")/10000)=1,IF($D1067=H$3,装备表!$E1212,"xxx")&amp;":2,1,1,"&amp;装备表!$O1212&amp;";","xxx"),"xxx"))</f>
        <v>xxx</v>
      </c>
      <c r="I1067" s="18" t="str">
        <f>IF(装备表!$O1212=0,"xxx",IFERROR(IF(INT(IF($D1067=I$3,装备表!$E1212,"xxx")/10000)=1,IF($D1067=I$3,装备表!$E1212,"xxx")&amp;":2,1,1,"&amp;装备表!$O1212&amp;";","xxx"),"xxx"))</f>
        <v>xxx</v>
      </c>
      <c r="J1067" s="18" t="str">
        <f>IF(装备表!$O1212=0,"xxx",IFERROR(IF(INT(IF($D1067=J$3,装备表!$E1212,"xxx")/10000)=1,IF($D1067=J$3,装备表!$E1212,"xxx")&amp;":2,1,1,"&amp;装备表!$O1212&amp;";","xxx"),"xxx"))</f>
        <v>xxx</v>
      </c>
    </row>
    <row r="1068" spans="4:10" x14ac:dyDescent="0.2">
      <c r="D1068" s="18">
        <f>装备表!L1213</f>
        <v>0</v>
      </c>
      <c r="E1068" s="18" t="str">
        <f>IF(装备表!$O1213=0,"xxx",IFERROR(IF(INT(IF($D1068=E$3,装备表!$E1213,"xxx")/10000)=1,IF($D1068=E$3,装备表!$E1213,"xxx")&amp;":2,1,1,"&amp;装备表!$O1213&amp;";","xxx"),"xxx"))</f>
        <v>xxx</v>
      </c>
      <c r="F1068" s="18" t="str">
        <f>IF(装备表!$O1213=0,"xxx",IFERROR(IF(INT(IF($D1068=F$3,装备表!$E1213,"xxx")/10000)=1,IF($D1068=F$3,装备表!$E1213,"xxx")&amp;":2,1,1,"&amp;装备表!$O1213&amp;";","xxx"),"xxx"))</f>
        <v>xxx</v>
      </c>
      <c r="G1068" s="18" t="str">
        <f>IF(装备表!$O1213=0,"xxx",IFERROR(IF(INT(IF($D1068=G$3,装备表!$E1213,"xxx")/10000)=1,IF($D1068=G$3,装备表!$E1213,"xxx")&amp;":2,1,1,"&amp;装备表!$O1213&amp;";","xxx"),"xxx"))</f>
        <v>xxx</v>
      </c>
      <c r="H1068" s="18" t="str">
        <f>IF(装备表!$O1213=0,"xxx",IFERROR(IF(INT(IF($D1068=H$3,装备表!$E1213,"xxx")/10000)=1,IF($D1068=H$3,装备表!$E1213,"xxx")&amp;":2,1,1,"&amp;装备表!$O1213&amp;";","xxx"),"xxx"))</f>
        <v>xxx</v>
      </c>
      <c r="I1068" s="18" t="str">
        <f>IF(装备表!$O1213=0,"xxx",IFERROR(IF(INT(IF($D1068=I$3,装备表!$E1213,"xxx")/10000)=1,IF($D1068=I$3,装备表!$E1213,"xxx")&amp;":2,1,1,"&amp;装备表!$O1213&amp;";","xxx"),"xxx"))</f>
        <v>xxx</v>
      </c>
      <c r="J1068" s="18" t="str">
        <f>IF(装备表!$O1213=0,"xxx",IFERROR(IF(INT(IF($D1068=J$3,装备表!$E1213,"xxx")/10000)=1,IF($D1068=J$3,装备表!$E1213,"xxx")&amp;":2,1,1,"&amp;装备表!$O1213&amp;";","xxx"),"xxx"))</f>
        <v>xxx</v>
      </c>
    </row>
    <row r="1069" spans="4:10" x14ac:dyDescent="0.2">
      <c r="D1069" s="18">
        <f>装备表!L1214</f>
        <v>0</v>
      </c>
      <c r="E1069" s="18" t="str">
        <f>IF(装备表!$O1214=0,"xxx",IFERROR(IF(INT(IF($D1069=E$3,装备表!$E1214,"xxx")/10000)=1,IF($D1069=E$3,装备表!$E1214,"xxx")&amp;":2,1,1,"&amp;装备表!$O1214&amp;";","xxx"),"xxx"))</f>
        <v>xxx</v>
      </c>
      <c r="F1069" s="18" t="str">
        <f>IF(装备表!$O1214=0,"xxx",IFERROR(IF(INT(IF($D1069=F$3,装备表!$E1214,"xxx")/10000)=1,IF($D1069=F$3,装备表!$E1214,"xxx")&amp;":2,1,1,"&amp;装备表!$O1214&amp;";","xxx"),"xxx"))</f>
        <v>xxx</v>
      </c>
      <c r="G1069" s="18" t="str">
        <f>IF(装备表!$O1214=0,"xxx",IFERROR(IF(INT(IF($D1069=G$3,装备表!$E1214,"xxx")/10000)=1,IF($D1069=G$3,装备表!$E1214,"xxx")&amp;":2,1,1,"&amp;装备表!$O1214&amp;";","xxx"),"xxx"))</f>
        <v>xxx</v>
      </c>
      <c r="H1069" s="18" t="str">
        <f>IF(装备表!$O1214=0,"xxx",IFERROR(IF(INT(IF($D1069=H$3,装备表!$E1214,"xxx")/10000)=1,IF($D1069=H$3,装备表!$E1214,"xxx")&amp;":2,1,1,"&amp;装备表!$O1214&amp;";","xxx"),"xxx"))</f>
        <v>xxx</v>
      </c>
      <c r="I1069" s="18" t="str">
        <f>IF(装备表!$O1214=0,"xxx",IFERROR(IF(INT(IF($D1069=I$3,装备表!$E1214,"xxx")/10000)=1,IF($D1069=I$3,装备表!$E1214,"xxx")&amp;":2,1,1,"&amp;装备表!$O1214&amp;";","xxx"),"xxx"))</f>
        <v>xxx</v>
      </c>
      <c r="J1069" s="18" t="str">
        <f>IF(装备表!$O1214=0,"xxx",IFERROR(IF(INT(IF($D1069=J$3,装备表!$E1214,"xxx")/10000)=1,IF($D1069=J$3,装备表!$E1214,"xxx")&amp;":2,1,1,"&amp;装备表!$O1214&amp;";","xxx"),"xxx"))</f>
        <v>xxx</v>
      </c>
    </row>
    <row r="1070" spans="4:10" x14ac:dyDescent="0.2">
      <c r="D1070" s="18">
        <f>装备表!L1215</f>
        <v>0</v>
      </c>
      <c r="E1070" s="18" t="str">
        <f>IF(装备表!$O1215=0,"xxx",IFERROR(IF(INT(IF($D1070=E$3,装备表!$E1215,"xxx")/10000)=1,IF($D1070=E$3,装备表!$E1215,"xxx")&amp;":2,1,1,"&amp;装备表!$O1215&amp;";","xxx"),"xxx"))</f>
        <v>xxx</v>
      </c>
      <c r="F1070" s="18" t="str">
        <f>IF(装备表!$O1215=0,"xxx",IFERROR(IF(INT(IF($D1070=F$3,装备表!$E1215,"xxx")/10000)=1,IF($D1070=F$3,装备表!$E1215,"xxx")&amp;":2,1,1,"&amp;装备表!$O1215&amp;";","xxx"),"xxx"))</f>
        <v>xxx</v>
      </c>
      <c r="G1070" s="18" t="str">
        <f>IF(装备表!$O1215=0,"xxx",IFERROR(IF(INT(IF($D1070=G$3,装备表!$E1215,"xxx")/10000)=1,IF($D1070=G$3,装备表!$E1215,"xxx")&amp;":2,1,1,"&amp;装备表!$O1215&amp;";","xxx"),"xxx"))</f>
        <v>xxx</v>
      </c>
      <c r="H1070" s="18" t="str">
        <f>IF(装备表!$O1215=0,"xxx",IFERROR(IF(INT(IF($D1070=H$3,装备表!$E1215,"xxx")/10000)=1,IF($D1070=H$3,装备表!$E1215,"xxx")&amp;":2,1,1,"&amp;装备表!$O1215&amp;";","xxx"),"xxx"))</f>
        <v>xxx</v>
      </c>
      <c r="I1070" s="18" t="str">
        <f>IF(装备表!$O1215=0,"xxx",IFERROR(IF(INT(IF($D1070=I$3,装备表!$E1215,"xxx")/10000)=1,IF($D1070=I$3,装备表!$E1215,"xxx")&amp;":2,1,1,"&amp;装备表!$O1215&amp;";","xxx"),"xxx"))</f>
        <v>xxx</v>
      </c>
      <c r="J1070" s="18" t="str">
        <f>IF(装备表!$O1215=0,"xxx",IFERROR(IF(INT(IF($D1070=J$3,装备表!$E1215,"xxx")/10000)=1,IF($D1070=J$3,装备表!$E1215,"xxx")&amp;":2,1,1,"&amp;装备表!$O1215&amp;";","xxx"),"xxx"))</f>
        <v>xxx</v>
      </c>
    </row>
    <row r="1071" spans="4:10" x14ac:dyDescent="0.2">
      <c r="D1071" s="18">
        <f>装备表!L1216</f>
        <v>0</v>
      </c>
      <c r="E1071" s="18" t="str">
        <f>IF(装备表!$O1216=0,"xxx",IFERROR(IF(INT(IF($D1071=E$3,装备表!$E1216,"xxx")/10000)=1,IF($D1071=E$3,装备表!$E1216,"xxx")&amp;":2,1,1,"&amp;装备表!$O1216&amp;";","xxx"),"xxx"))</f>
        <v>xxx</v>
      </c>
      <c r="F1071" s="18" t="str">
        <f>IF(装备表!$O1216=0,"xxx",IFERROR(IF(INT(IF($D1071=F$3,装备表!$E1216,"xxx")/10000)=1,IF($D1071=F$3,装备表!$E1216,"xxx")&amp;":2,1,1,"&amp;装备表!$O1216&amp;";","xxx"),"xxx"))</f>
        <v>xxx</v>
      </c>
      <c r="G1071" s="18" t="str">
        <f>IF(装备表!$O1216=0,"xxx",IFERROR(IF(INT(IF($D1071=G$3,装备表!$E1216,"xxx")/10000)=1,IF($D1071=G$3,装备表!$E1216,"xxx")&amp;":2,1,1,"&amp;装备表!$O1216&amp;";","xxx"),"xxx"))</f>
        <v>xxx</v>
      </c>
      <c r="H1071" s="18" t="str">
        <f>IF(装备表!$O1216=0,"xxx",IFERROR(IF(INT(IF($D1071=H$3,装备表!$E1216,"xxx")/10000)=1,IF($D1071=H$3,装备表!$E1216,"xxx")&amp;":2,1,1,"&amp;装备表!$O1216&amp;";","xxx"),"xxx"))</f>
        <v>xxx</v>
      </c>
      <c r="I1071" s="18" t="str">
        <f>IF(装备表!$O1216=0,"xxx",IFERROR(IF(INT(IF($D1071=I$3,装备表!$E1216,"xxx")/10000)=1,IF($D1071=I$3,装备表!$E1216,"xxx")&amp;":2,1,1,"&amp;装备表!$O1216&amp;";","xxx"),"xxx"))</f>
        <v>xxx</v>
      </c>
      <c r="J1071" s="18" t="str">
        <f>IF(装备表!$O1216=0,"xxx",IFERROR(IF(INT(IF($D1071=J$3,装备表!$E1216,"xxx")/10000)=1,IF($D1071=J$3,装备表!$E1216,"xxx")&amp;":2,1,1,"&amp;装备表!$O1216&amp;";","xxx"),"xxx"))</f>
        <v>xxx</v>
      </c>
    </row>
    <row r="1072" spans="4:10" x14ac:dyDescent="0.2">
      <c r="D1072" s="18">
        <f>装备表!L1217</f>
        <v>0</v>
      </c>
      <c r="E1072" s="18" t="str">
        <f>IF(装备表!$O1217=0,"xxx",IFERROR(IF(INT(IF($D1072=E$3,装备表!$E1217,"xxx")/10000)=1,IF($D1072=E$3,装备表!$E1217,"xxx")&amp;":2,1,1,"&amp;装备表!$O1217&amp;";","xxx"),"xxx"))</f>
        <v>xxx</v>
      </c>
      <c r="F1072" s="18" t="str">
        <f>IF(装备表!$O1217=0,"xxx",IFERROR(IF(INT(IF($D1072=F$3,装备表!$E1217,"xxx")/10000)=1,IF($D1072=F$3,装备表!$E1217,"xxx")&amp;":2,1,1,"&amp;装备表!$O1217&amp;";","xxx"),"xxx"))</f>
        <v>xxx</v>
      </c>
      <c r="G1072" s="18" t="str">
        <f>IF(装备表!$O1217=0,"xxx",IFERROR(IF(INT(IF($D1072=G$3,装备表!$E1217,"xxx")/10000)=1,IF($D1072=G$3,装备表!$E1217,"xxx")&amp;":2,1,1,"&amp;装备表!$O1217&amp;";","xxx"),"xxx"))</f>
        <v>xxx</v>
      </c>
      <c r="H1072" s="18" t="str">
        <f>IF(装备表!$O1217=0,"xxx",IFERROR(IF(INT(IF($D1072=H$3,装备表!$E1217,"xxx")/10000)=1,IF($D1072=H$3,装备表!$E1217,"xxx")&amp;":2,1,1,"&amp;装备表!$O1217&amp;";","xxx"),"xxx"))</f>
        <v>xxx</v>
      </c>
      <c r="I1072" s="18" t="str">
        <f>IF(装备表!$O1217=0,"xxx",IFERROR(IF(INT(IF($D1072=I$3,装备表!$E1217,"xxx")/10000)=1,IF($D1072=I$3,装备表!$E1217,"xxx")&amp;":2,1,1,"&amp;装备表!$O1217&amp;";","xxx"),"xxx"))</f>
        <v>xxx</v>
      </c>
      <c r="J1072" s="18" t="str">
        <f>IF(装备表!$O1217=0,"xxx",IFERROR(IF(INT(IF($D1072=J$3,装备表!$E1217,"xxx")/10000)=1,IF($D1072=J$3,装备表!$E1217,"xxx")&amp;":2,1,1,"&amp;装备表!$O1217&amp;";","xxx"),"xxx"))</f>
        <v>xxx</v>
      </c>
    </row>
    <row r="1073" spans="4:10" x14ac:dyDescent="0.2">
      <c r="D1073" s="18">
        <f>装备表!L1218</f>
        <v>0</v>
      </c>
      <c r="E1073" s="18" t="str">
        <f>IF(装备表!$O1218=0,"xxx",IFERROR(IF(INT(IF($D1073=E$3,装备表!$E1218,"xxx")/10000)=1,IF($D1073=E$3,装备表!$E1218,"xxx")&amp;":2,1,1,"&amp;装备表!$O1218&amp;";","xxx"),"xxx"))</f>
        <v>xxx</v>
      </c>
      <c r="F1073" s="18" t="str">
        <f>IF(装备表!$O1218=0,"xxx",IFERROR(IF(INT(IF($D1073=F$3,装备表!$E1218,"xxx")/10000)=1,IF($D1073=F$3,装备表!$E1218,"xxx")&amp;":2,1,1,"&amp;装备表!$O1218&amp;";","xxx"),"xxx"))</f>
        <v>xxx</v>
      </c>
      <c r="G1073" s="18" t="str">
        <f>IF(装备表!$O1218=0,"xxx",IFERROR(IF(INT(IF($D1073=G$3,装备表!$E1218,"xxx")/10000)=1,IF($D1073=G$3,装备表!$E1218,"xxx")&amp;":2,1,1,"&amp;装备表!$O1218&amp;";","xxx"),"xxx"))</f>
        <v>xxx</v>
      </c>
      <c r="H1073" s="18" t="str">
        <f>IF(装备表!$O1218=0,"xxx",IFERROR(IF(INT(IF($D1073=H$3,装备表!$E1218,"xxx")/10000)=1,IF($D1073=H$3,装备表!$E1218,"xxx")&amp;":2,1,1,"&amp;装备表!$O1218&amp;";","xxx"),"xxx"))</f>
        <v>xxx</v>
      </c>
      <c r="I1073" s="18" t="str">
        <f>IF(装备表!$O1218=0,"xxx",IFERROR(IF(INT(IF($D1073=I$3,装备表!$E1218,"xxx")/10000)=1,IF($D1073=I$3,装备表!$E1218,"xxx")&amp;":2,1,1,"&amp;装备表!$O1218&amp;";","xxx"),"xxx"))</f>
        <v>xxx</v>
      </c>
      <c r="J1073" s="18" t="str">
        <f>IF(装备表!$O1218=0,"xxx",IFERROR(IF(INT(IF($D1073=J$3,装备表!$E1218,"xxx")/10000)=1,IF($D1073=J$3,装备表!$E1218,"xxx")&amp;":2,1,1,"&amp;装备表!$O1218&amp;";","xxx"),"xxx"))</f>
        <v>xxx</v>
      </c>
    </row>
    <row r="1074" spans="4:10" x14ac:dyDescent="0.2">
      <c r="D1074" s="18">
        <f>装备表!L1219</f>
        <v>0</v>
      </c>
      <c r="E1074" s="18" t="str">
        <f>IF(装备表!$O1219=0,"xxx",IFERROR(IF(INT(IF($D1074=E$3,装备表!$E1219,"xxx")/10000)=1,IF($D1074=E$3,装备表!$E1219,"xxx")&amp;":2,1,1,"&amp;装备表!$O1219&amp;";","xxx"),"xxx"))</f>
        <v>xxx</v>
      </c>
      <c r="F1074" s="18" t="str">
        <f>IF(装备表!$O1219=0,"xxx",IFERROR(IF(INT(IF($D1074=F$3,装备表!$E1219,"xxx")/10000)=1,IF($D1074=F$3,装备表!$E1219,"xxx")&amp;":2,1,1,"&amp;装备表!$O1219&amp;";","xxx"),"xxx"))</f>
        <v>xxx</v>
      </c>
      <c r="G1074" s="18" t="str">
        <f>IF(装备表!$O1219=0,"xxx",IFERROR(IF(INT(IF($D1074=G$3,装备表!$E1219,"xxx")/10000)=1,IF($D1074=G$3,装备表!$E1219,"xxx")&amp;":2,1,1,"&amp;装备表!$O1219&amp;";","xxx"),"xxx"))</f>
        <v>xxx</v>
      </c>
      <c r="H1074" s="18" t="str">
        <f>IF(装备表!$O1219=0,"xxx",IFERROR(IF(INT(IF($D1074=H$3,装备表!$E1219,"xxx")/10000)=1,IF($D1074=H$3,装备表!$E1219,"xxx")&amp;":2,1,1,"&amp;装备表!$O1219&amp;";","xxx"),"xxx"))</f>
        <v>xxx</v>
      </c>
      <c r="I1074" s="18" t="str">
        <f>IF(装备表!$O1219=0,"xxx",IFERROR(IF(INT(IF($D1074=I$3,装备表!$E1219,"xxx")/10000)=1,IF($D1074=I$3,装备表!$E1219,"xxx")&amp;":2,1,1,"&amp;装备表!$O1219&amp;";","xxx"),"xxx"))</f>
        <v>xxx</v>
      </c>
      <c r="J1074" s="18" t="str">
        <f>IF(装备表!$O1219=0,"xxx",IFERROR(IF(INT(IF($D1074=J$3,装备表!$E1219,"xxx")/10000)=1,IF($D1074=J$3,装备表!$E1219,"xxx")&amp;":2,1,1,"&amp;装备表!$O1219&amp;";","xxx"),"xxx"))</f>
        <v>xxx</v>
      </c>
    </row>
    <row r="1075" spans="4:10" x14ac:dyDescent="0.2">
      <c r="D1075" s="18">
        <f>装备表!L1220</f>
        <v>0</v>
      </c>
      <c r="E1075" s="18" t="str">
        <f>IF(装备表!$O1220=0,"xxx",IFERROR(IF(INT(IF($D1075=E$3,装备表!$E1220,"xxx")/10000)=1,IF($D1075=E$3,装备表!$E1220,"xxx")&amp;":2,1,1,"&amp;装备表!$O1220&amp;";","xxx"),"xxx"))</f>
        <v>xxx</v>
      </c>
      <c r="F1075" s="18" t="str">
        <f>IF(装备表!$O1220=0,"xxx",IFERROR(IF(INT(IF($D1075=F$3,装备表!$E1220,"xxx")/10000)=1,IF($D1075=F$3,装备表!$E1220,"xxx")&amp;":2,1,1,"&amp;装备表!$O1220&amp;";","xxx"),"xxx"))</f>
        <v>xxx</v>
      </c>
      <c r="G1075" s="18" t="str">
        <f>IF(装备表!$O1220=0,"xxx",IFERROR(IF(INT(IF($D1075=G$3,装备表!$E1220,"xxx")/10000)=1,IF($D1075=G$3,装备表!$E1220,"xxx")&amp;":2,1,1,"&amp;装备表!$O1220&amp;";","xxx"),"xxx"))</f>
        <v>xxx</v>
      </c>
      <c r="H1075" s="18" t="str">
        <f>IF(装备表!$O1220=0,"xxx",IFERROR(IF(INT(IF($D1075=H$3,装备表!$E1220,"xxx")/10000)=1,IF($D1075=H$3,装备表!$E1220,"xxx")&amp;":2,1,1,"&amp;装备表!$O1220&amp;";","xxx"),"xxx"))</f>
        <v>xxx</v>
      </c>
      <c r="I1075" s="18" t="str">
        <f>IF(装备表!$O1220=0,"xxx",IFERROR(IF(INT(IF($D1075=I$3,装备表!$E1220,"xxx")/10000)=1,IF($D1075=I$3,装备表!$E1220,"xxx")&amp;":2,1,1,"&amp;装备表!$O1220&amp;";","xxx"),"xxx"))</f>
        <v>xxx</v>
      </c>
      <c r="J1075" s="18" t="str">
        <f>IF(装备表!$O1220=0,"xxx",IFERROR(IF(INT(IF($D1075=J$3,装备表!$E1220,"xxx")/10000)=1,IF($D1075=J$3,装备表!$E1220,"xxx")&amp;":2,1,1,"&amp;装备表!$O1220&amp;";","xxx"),"xxx"))</f>
        <v>xxx</v>
      </c>
    </row>
    <row r="1076" spans="4:10" x14ac:dyDescent="0.2">
      <c r="D1076" s="18">
        <f>装备表!L1221</f>
        <v>0</v>
      </c>
      <c r="E1076" s="18" t="str">
        <f>IF(装备表!$O1221=0,"xxx",IFERROR(IF(INT(IF($D1076=E$3,装备表!$E1221,"xxx")/10000)=1,IF($D1076=E$3,装备表!$E1221,"xxx")&amp;":2,1,1,"&amp;装备表!$O1221&amp;";","xxx"),"xxx"))</f>
        <v>xxx</v>
      </c>
      <c r="F1076" s="18" t="str">
        <f>IF(装备表!$O1221=0,"xxx",IFERROR(IF(INT(IF($D1076=F$3,装备表!$E1221,"xxx")/10000)=1,IF($D1076=F$3,装备表!$E1221,"xxx")&amp;":2,1,1,"&amp;装备表!$O1221&amp;";","xxx"),"xxx"))</f>
        <v>xxx</v>
      </c>
      <c r="G1076" s="18" t="str">
        <f>IF(装备表!$O1221=0,"xxx",IFERROR(IF(INT(IF($D1076=G$3,装备表!$E1221,"xxx")/10000)=1,IF($D1076=G$3,装备表!$E1221,"xxx")&amp;":2,1,1,"&amp;装备表!$O1221&amp;";","xxx"),"xxx"))</f>
        <v>xxx</v>
      </c>
      <c r="H1076" s="18" t="str">
        <f>IF(装备表!$O1221=0,"xxx",IFERROR(IF(INT(IF($D1076=H$3,装备表!$E1221,"xxx")/10000)=1,IF($D1076=H$3,装备表!$E1221,"xxx")&amp;":2,1,1,"&amp;装备表!$O1221&amp;";","xxx"),"xxx"))</f>
        <v>xxx</v>
      </c>
      <c r="I1076" s="18" t="str">
        <f>IF(装备表!$O1221=0,"xxx",IFERROR(IF(INT(IF($D1076=I$3,装备表!$E1221,"xxx")/10000)=1,IF($D1076=I$3,装备表!$E1221,"xxx")&amp;":2,1,1,"&amp;装备表!$O1221&amp;";","xxx"),"xxx"))</f>
        <v>xxx</v>
      </c>
      <c r="J1076" s="18" t="str">
        <f>IF(装备表!$O1221=0,"xxx",IFERROR(IF(INT(IF($D1076=J$3,装备表!$E1221,"xxx")/10000)=1,IF($D1076=J$3,装备表!$E1221,"xxx")&amp;":2,1,1,"&amp;装备表!$O1221&amp;";","xxx"),"xxx"))</f>
        <v>xxx</v>
      </c>
    </row>
    <row r="1077" spans="4:10" x14ac:dyDescent="0.2">
      <c r="D1077" s="18">
        <f>装备表!L1222</f>
        <v>0</v>
      </c>
      <c r="E1077" s="18" t="str">
        <f>IF(装备表!$O1222=0,"xxx",IFERROR(IF(INT(IF($D1077=E$3,装备表!$E1222,"xxx")/10000)=1,IF($D1077=E$3,装备表!$E1222,"xxx")&amp;":2,1,1,"&amp;装备表!$O1222&amp;";","xxx"),"xxx"))</f>
        <v>xxx</v>
      </c>
      <c r="F1077" s="18" t="str">
        <f>IF(装备表!$O1222=0,"xxx",IFERROR(IF(INT(IF($D1077=F$3,装备表!$E1222,"xxx")/10000)=1,IF($D1077=F$3,装备表!$E1222,"xxx")&amp;":2,1,1,"&amp;装备表!$O1222&amp;";","xxx"),"xxx"))</f>
        <v>xxx</v>
      </c>
      <c r="G1077" s="18" t="str">
        <f>IF(装备表!$O1222=0,"xxx",IFERROR(IF(INT(IF($D1077=G$3,装备表!$E1222,"xxx")/10000)=1,IF($D1077=G$3,装备表!$E1222,"xxx")&amp;":2,1,1,"&amp;装备表!$O1222&amp;";","xxx"),"xxx"))</f>
        <v>xxx</v>
      </c>
      <c r="H1077" s="18" t="str">
        <f>IF(装备表!$O1222=0,"xxx",IFERROR(IF(INT(IF($D1077=H$3,装备表!$E1222,"xxx")/10000)=1,IF($D1077=H$3,装备表!$E1222,"xxx")&amp;":2,1,1,"&amp;装备表!$O1222&amp;";","xxx"),"xxx"))</f>
        <v>xxx</v>
      </c>
      <c r="I1077" s="18" t="str">
        <f>IF(装备表!$O1222=0,"xxx",IFERROR(IF(INT(IF($D1077=I$3,装备表!$E1222,"xxx")/10000)=1,IF($D1077=I$3,装备表!$E1222,"xxx")&amp;":2,1,1,"&amp;装备表!$O1222&amp;";","xxx"),"xxx"))</f>
        <v>xxx</v>
      </c>
      <c r="J1077" s="18" t="str">
        <f>IF(装备表!$O1222=0,"xxx",IFERROR(IF(INT(IF($D1077=J$3,装备表!$E1222,"xxx")/10000)=1,IF($D1077=J$3,装备表!$E1222,"xxx")&amp;":2,1,1,"&amp;装备表!$O1222&amp;";","xxx"),"xxx"))</f>
        <v>xxx</v>
      </c>
    </row>
    <row r="1078" spans="4:10" x14ac:dyDescent="0.2">
      <c r="D1078" s="18">
        <f>装备表!L1223</f>
        <v>0</v>
      </c>
      <c r="E1078" s="18" t="str">
        <f>IF(装备表!$O1223=0,"xxx",IFERROR(IF(INT(IF($D1078=E$3,装备表!$E1223,"xxx")/10000)=1,IF($D1078=E$3,装备表!$E1223,"xxx")&amp;":2,1,1,"&amp;装备表!$O1223&amp;";","xxx"),"xxx"))</f>
        <v>xxx</v>
      </c>
      <c r="F1078" s="18" t="str">
        <f>IF(装备表!$O1223=0,"xxx",IFERROR(IF(INT(IF($D1078=F$3,装备表!$E1223,"xxx")/10000)=1,IF($D1078=F$3,装备表!$E1223,"xxx")&amp;":2,1,1,"&amp;装备表!$O1223&amp;";","xxx"),"xxx"))</f>
        <v>xxx</v>
      </c>
      <c r="G1078" s="18" t="str">
        <f>IF(装备表!$O1223=0,"xxx",IFERROR(IF(INT(IF($D1078=G$3,装备表!$E1223,"xxx")/10000)=1,IF($D1078=G$3,装备表!$E1223,"xxx")&amp;":2,1,1,"&amp;装备表!$O1223&amp;";","xxx"),"xxx"))</f>
        <v>xxx</v>
      </c>
      <c r="H1078" s="18" t="str">
        <f>IF(装备表!$O1223=0,"xxx",IFERROR(IF(INT(IF($D1078=H$3,装备表!$E1223,"xxx")/10000)=1,IF($D1078=H$3,装备表!$E1223,"xxx")&amp;":2,1,1,"&amp;装备表!$O1223&amp;";","xxx"),"xxx"))</f>
        <v>xxx</v>
      </c>
      <c r="I1078" s="18" t="str">
        <f>IF(装备表!$O1223=0,"xxx",IFERROR(IF(INT(IF($D1078=I$3,装备表!$E1223,"xxx")/10000)=1,IF($D1078=I$3,装备表!$E1223,"xxx")&amp;":2,1,1,"&amp;装备表!$O1223&amp;";","xxx"),"xxx"))</f>
        <v>xxx</v>
      </c>
      <c r="J1078" s="18" t="str">
        <f>IF(装备表!$O1223=0,"xxx",IFERROR(IF(INT(IF($D1078=J$3,装备表!$E1223,"xxx")/10000)=1,IF($D1078=J$3,装备表!$E1223,"xxx")&amp;":2,1,1,"&amp;装备表!$O1223&amp;";","xxx"),"xxx"))</f>
        <v>xxx</v>
      </c>
    </row>
    <row r="1079" spans="4:10" x14ac:dyDescent="0.2">
      <c r="D1079" s="18">
        <f>装备表!L1224</f>
        <v>0</v>
      </c>
      <c r="E1079" s="18" t="str">
        <f>IF(装备表!$O1224=0,"xxx",IFERROR(IF(INT(IF($D1079=E$3,装备表!$E1224,"xxx")/10000)=1,IF($D1079=E$3,装备表!$E1224,"xxx")&amp;":2,1,1,"&amp;装备表!$O1224&amp;";","xxx"),"xxx"))</f>
        <v>xxx</v>
      </c>
      <c r="F1079" s="18" t="str">
        <f>IF(装备表!$O1224=0,"xxx",IFERROR(IF(INT(IF($D1079=F$3,装备表!$E1224,"xxx")/10000)=1,IF($D1079=F$3,装备表!$E1224,"xxx")&amp;":2,1,1,"&amp;装备表!$O1224&amp;";","xxx"),"xxx"))</f>
        <v>xxx</v>
      </c>
      <c r="G1079" s="18" t="str">
        <f>IF(装备表!$O1224=0,"xxx",IFERROR(IF(INT(IF($D1079=G$3,装备表!$E1224,"xxx")/10000)=1,IF($D1079=G$3,装备表!$E1224,"xxx")&amp;":2,1,1,"&amp;装备表!$O1224&amp;";","xxx"),"xxx"))</f>
        <v>xxx</v>
      </c>
      <c r="H1079" s="18" t="str">
        <f>IF(装备表!$O1224=0,"xxx",IFERROR(IF(INT(IF($D1079=H$3,装备表!$E1224,"xxx")/10000)=1,IF($D1079=H$3,装备表!$E1224,"xxx")&amp;":2,1,1,"&amp;装备表!$O1224&amp;";","xxx"),"xxx"))</f>
        <v>xxx</v>
      </c>
      <c r="I1079" s="18" t="str">
        <f>IF(装备表!$O1224=0,"xxx",IFERROR(IF(INT(IF($D1079=I$3,装备表!$E1224,"xxx")/10000)=1,IF($D1079=I$3,装备表!$E1224,"xxx")&amp;":2,1,1,"&amp;装备表!$O1224&amp;";","xxx"),"xxx"))</f>
        <v>xxx</v>
      </c>
      <c r="J1079" s="18" t="str">
        <f>IF(装备表!$O1224=0,"xxx",IFERROR(IF(INT(IF($D1079=J$3,装备表!$E1224,"xxx")/10000)=1,IF($D1079=J$3,装备表!$E1224,"xxx")&amp;":2,1,1,"&amp;装备表!$O1224&amp;";","xxx"),"xxx"))</f>
        <v>xxx</v>
      </c>
    </row>
    <row r="1080" spans="4:10" x14ac:dyDescent="0.2">
      <c r="D1080" s="18">
        <f>装备表!L1225</f>
        <v>0</v>
      </c>
      <c r="E1080" s="18" t="str">
        <f>IF(装备表!$O1225=0,"xxx",IFERROR(IF(INT(IF($D1080=E$3,装备表!$E1225,"xxx")/10000)=1,IF($D1080=E$3,装备表!$E1225,"xxx")&amp;":2,1,1,"&amp;装备表!$O1225&amp;";","xxx"),"xxx"))</f>
        <v>xxx</v>
      </c>
      <c r="F1080" s="18" t="str">
        <f>IF(装备表!$O1225=0,"xxx",IFERROR(IF(INT(IF($D1080=F$3,装备表!$E1225,"xxx")/10000)=1,IF($D1080=F$3,装备表!$E1225,"xxx")&amp;":2,1,1,"&amp;装备表!$O1225&amp;";","xxx"),"xxx"))</f>
        <v>xxx</v>
      </c>
      <c r="G1080" s="18" t="str">
        <f>IF(装备表!$O1225=0,"xxx",IFERROR(IF(INT(IF($D1080=G$3,装备表!$E1225,"xxx")/10000)=1,IF($D1080=G$3,装备表!$E1225,"xxx")&amp;":2,1,1,"&amp;装备表!$O1225&amp;";","xxx"),"xxx"))</f>
        <v>xxx</v>
      </c>
      <c r="H1080" s="18" t="str">
        <f>IF(装备表!$O1225=0,"xxx",IFERROR(IF(INT(IF($D1080=H$3,装备表!$E1225,"xxx")/10000)=1,IF($D1080=H$3,装备表!$E1225,"xxx")&amp;":2,1,1,"&amp;装备表!$O1225&amp;";","xxx"),"xxx"))</f>
        <v>xxx</v>
      </c>
      <c r="I1080" s="18" t="str">
        <f>IF(装备表!$O1225=0,"xxx",IFERROR(IF(INT(IF($D1080=I$3,装备表!$E1225,"xxx")/10000)=1,IF($D1080=I$3,装备表!$E1225,"xxx")&amp;":2,1,1,"&amp;装备表!$O1225&amp;";","xxx"),"xxx"))</f>
        <v>xxx</v>
      </c>
      <c r="J1080" s="18" t="str">
        <f>IF(装备表!$O1225=0,"xxx",IFERROR(IF(INT(IF($D1080=J$3,装备表!$E1225,"xxx")/10000)=1,IF($D1080=J$3,装备表!$E1225,"xxx")&amp;":2,1,1,"&amp;装备表!$O1225&amp;";","xxx"),"xxx"))</f>
        <v>xxx</v>
      </c>
    </row>
    <row r="1081" spans="4:10" x14ac:dyDescent="0.2">
      <c r="D1081" s="18">
        <f>装备表!L1226</f>
        <v>0</v>
      </c>
      <c r="E1081" s="18" t="str">
        <f>IF(装备表!$O1226=0,"xxx",IFERROR(IF(INT(IF($D1081=E$3,装备表!$E1226,"xxx")/10000)=1,IF($D1081=E$3,装备表!$E1226,"xxx")&amp;":2,1,1,"&amp;装备表!$O1226&amp;";","xxx"),"xxx"))</f>
        <v>xxx</v>
      </c>
      <c r="F1081" s="18" t="str">
        <f>IF(装备表!$O1226=0,"xxx",IFERROR(IF(INT(IF($D1081=F$3,装备表!$E1226,"xxx")/10000)=1,IF($D1081=F$3,装备表!$E1226,"xxx")&amp;":2,1,1,"&amp;装备表!$O1226&amp;";","xxx"),"xxx"))</f>
        <v>xxx</v>
      </c>
      <c r="G1081" s="18" t="str">
        <f>IF(装备表!$O1226=0,"xxx",IFERROR(IF(INT(IF($D1081=G$3,装备表!$E1226,"xxx")/10000)=1,IF($D1081=G$3,装备表!$E1226,"xxx")&amp;":2,1,1,"&amp;装备表!$O1226&amp;";","xxx"),"xxx"))</f>
        <v>xxx</v>
      </c>
      <c r="H1081" s="18" t="str">
        <f>IF(装备表!$O1226=0,"xxx",IFERROR(IF(INT(IF($D1081=H$3,装备表!$E1226,"xxx")/10000)=1,IF($D1081=H$3,装备表!$E1226,"xxx")&amp;":2,1,1,"&amp;装备表!$O1226&amp;";","xxx"),"xxx"))</f>
        <v>xxx</v>
      </c>
      <c r="I1081" s="18" t="str">
        <f>IF(装备表!$O1226=0,"xxx",IFERROR(IF(INT(IF($D1081=I$3,装备表!$E1226,"xxx")/10000)=1,IF($D1081=I$3,装备表!$E1226,"xxx")&amp;":2,1,1,"&amp;装备表!$O1226&amp;";","xxx"),"xxx"))</f>
        <v>xxx</v>
      </c>
      <c r="J1081" s="18" t="str">
        <f>IF(装备表!$O1226=0,"xxx",IFERROR(IF(INT(IF($D1081=J$3,装备表!$E1226,"xxx")/10000)=1,IF($D1081=J$3,装备表!$E1226,"xxx")&amp;":2,1,1,"&amp;装备表!$O1226&amp;";","xxx"),"xxx"))</f>
        <v>xxx</v>
      </c>
    </row>
    <row r="1082" spans="4:10" x14ac:dyDescent="0.2">
      <c r="D1082" s="18">
        <f>装备表!L1227</f>
        <v>0</v>
      </c>
      <c r="E1082" s="18" t="str">
        <f>IF(装备表!$O1227=0,"xxx",IFERROR(IF(INT(IF($D1082=E$3,装备表!$E1227,"xxx")/10000)=1,IF($D1082=E$3,装备表!$E1227,"xxx")&amp;":2,1,1,"&amp;装备表!$O1227&amp;";","xxx"),"xxx"))</f>
        <v>xxx</v>
      </c>
      <c r="F1082" s="18" t="str">
        <f>IF(装备表!$O1227=0,"xxx",IFERROR(IF(INT(IF($D1082=F$3,装备表!$E1227,"xxx")/10000)=1,IF($D1082=F$3,装备表!$E1227,"xxx")&amp;":2,1,1,"&amp;装备表!$O1227&amp;";","xxx"),"xxx"))</f>
        <v>xxx</v>
      </c>
      <c r="G1082" s="18" t="str">
        <f>IF(装备表!$O1227=0,"xxx",IFERROR(IF(INT(IF($D1082=G$3,装备表!$E1227,"xxx")/10000)=1,IF($D1082=G$3,装备表!$E1227,"xxx")&amp;":2,1,1,"&amp;装备表!$O1227&amp;";","xxx"),"xxx"))</f>
        <v>xxx</v>
      </c>
      <c r="H1082" s="18" t="str">
        <f>IF(装备表!$O1227=0,"xxx",IFERROR(IF(INT(IF($D1082=H$3,装备表!$E1227,"xxx")/10000)=1,IF($D1082=H$3,装备表!$E1227,"xxx")&amp;":2,1,1,"&amp;装备表!$O1227&amp;";","xxx"),"xxx"))</f>
        <v>xxx</v>
      </c>
      <c r="I1082" s="18" t="str">
        <f>IF(装备表!$O1227=0,"xxx",IFERROR(IF(INT(IF($D1082=I$3,装备表!$E1227,"xxx")/10000)=1,IF($D1082=I$3,装备表!$E1227,"xxx")&amp;":2,1,1,"&amp;装备表!$O1227&amp;";","xxx"),"xxx"))</f>
        <v>xxx</v>
      </c>
      <c r="J1082" s="18" t="str">
        <f>IF(装备表!$O1227=0,"xxx",IFERROR(IF(INT(IF($D1082=J$3,装备表!$E1227,"xxx")/10000)=1,IF($D1082=J$3,装备表!$E1227,"xxx")&amp;":2,1,1,"&amp;装备表!$O1227&amp;";","xxx"),"xxx"))</f>
        <v>xxx</v>
      </c>
    </row>
    <row r="1083" spans="4:10" x14ac:dyDescent="0.2">
      <c r="D1083" s="18">
        <f>装备表!L1228</f>
        <v>0</v>
      </c>
      <c r="E1083" s="18" t="str">
        <f>IF(装备表!$O1228=0,"xxx",IFERROR(IF(INT(IF($D1083=E$3,装备表!$E1228,"xxx")/10000)=1,IF($D1083=E$3,装备表!$E1228,"xxx")&amp;":2,1,1,"&amp;装备表!$O1228&amp;";","xxx"),"xxx"))</f>
        <v>xxx</v>
      </c>
      <c r="F1083" s="18" t="str">
        <f>IF(装备表!$O1228=0,"xxx",IFERROR(IF(INT(IF($D1083=F$3,装备表!$E1228,"xxx")/10000)=1,IF($D1083=F$3,装备表!$E1228,"xxx")&amp;":2,1,1,"&amp;装备表!$O1228&amp;";","xxx"),"xxx"))</f>
        <v>xxx</v>
      </c>
      <c r="G1083" s="18" t="str">
        <f>IF(装备表!$O1228=0,"xxx",IFERROR(IF(INT(IF($D1083=G$3,装备表!$E1228,"xxx")/10000)=1,IF($D1083=G$3,装备表!$E1228,"xxx")&amp;":2,1,1,"&amp;装备表!$O1228&amp;";","xxx"),"xxx"))</f>
        <v>xxx</v>
      </c>
      <c r="H1083" s="18" t="str">
        <f>IF(装备表!$O1228=0,"xxx",IFERROR(IF(INT(IF($D1083=H$3,装备表!$E1228,"xxx")/10000)=1,IF($D1083=H$3,装备表!$E1228,"xxx")&amp;":2,1,1,"&amp;装备表!$O1228&amp;";","xxx"),"xxx"))</f>
        <v>xxx</v>
      </c>
      <c r="I1083" s="18" t="str">
        <f>IF(装备表!$O1228=0,"xxx",IFERROR(IF(INT(IF($D1083=I$3,装备表!$E1228,"xxx")/10000)=1,IF($D1083=I$3,装备表!$E1228,"xxx")&amp;":2,1,1,"&amp;装备表!$O1228&amp;";","xxx"),"xxx"))</f>
        <v>xxx</v>
      </c>
      <c r="J1083" s="18" t="str">
        <f>IF(装备表!$O1228=0,"xxx",IFERROR(IF(INT(IF($D1083=J$3,装备表!$E1228,"xxx")/10000)=1,IF($D1083=J$3,装备表!$E1228,"xxx")&amp;":2,1,1,"&amp;装备表!$O1228&amp;";","xxx"),"xxx"))</f>
        <v>xxx</v>
      </c>
    </row>
    <row r="1084" spans="4:10" x14ac:dyDescent="0.2">
      <c r="D1084" s="18">
        <f>装备表!L1229</f>
        <v>0</v>
      </c>
      <c r="E1084" s="18" t="str">
        <f>IF(装备表!$O1229=0,"xxx",IFERROR(IF(INT(IF($D1084=E$3,装备表!$E1229,"xxx")/10000)=1,IF($D1084=E$3,装备表!$E1229,"xxx")&amp;":2,1,1,"&amp;装备表!$O1229&amp;";","xxx"),"xxx"))</f>
        <v>xxx</v>
      </c>
      <c r="F1084" s="18" t="str">
        <f>IF(装备表!$O1229=0,"xxx",IFERROR(IF(INT(IF($D1084=F$3,装备表!$E1229,"xxx")/10000)=1,IF($D1084=F$3,装备表!$E1229,"xxx")&amp;":2,1,1,"&amp;装备表!$O1229&amp;";","xxx"),"xxx"))</f>
        <v>xxx</v>
      </c>
      <c r="G1084" s="18" t="str">
        <f>IF(装备表!$O1229=0,"xxx",IFERROR(IF(INT(IF($D1084=G$3,装备表!$E1229,"xxx")/10000)=1,IF($D1084=G$3,装备表!$E1229,"xxx")&amp;":2,1,1,"&amp;装备表!$O1229&amp;";","xxx"),"xxx"))</f>
        <v>xxx</v>
      </c>
      <c r="H1084" s="18" t="str">
        <f>IF(装备表!$O1229=0,"xxx",IFERROR(IF(INT(IF($D1084=H$3,装备表!$E1229,"xxx")/10000)=1,IF($D1084=H$3,装备表!$E1229,"xxx")&amp;":2,1,1,"&amp;装备表!$O1229&amp;";","xxx"),"xxx"))</f>
        <v>xxx</v>
      </c>
      <c r="I1084" s="18" t="str">
        <f>IF(装备表!$O1229=0,"xxx",IFERROR(IF(INT(IF($D1084=I$3,装备表!$E1229,"xxx")/10000)=1,IF($D1084=I$3,装备表!$E1229,"xxx")&amp;":2,1,1,"&amp;装备表!$O1229&amp;";","xxx"),"xxx"))</f>
        <v>xxx</v>
      </c>
      <c r="J1084" s="18" t="str">
        <f>IF(装备表!$O1229=0,"xxx",IFERROR(IF(INT(IF($D1084=J$3,装备表!$E1229,"xxx")/10000)=1,IF($D1084=J$3,装备表!$E1229,"xxx")&amp;":2,1,1,"&amp;装备表!$O1229&amp;";","xxx"),"xxx"))</f>
        <v>xxx</v>
      </c>
    </row>
    <row r="1085" spans="4:10" x14ac:dyDescent="0.2">
      <c r="D1085" s="18">
        <f>装备表!L1230</f>
        <v>0</v>
      </c>
      <c r="E1085" s="18" t="str">
        <f>IF(装备表!$O1230=0,"xxx",IFERROR(IF(INT(IF($D1085=E$3,装备表!$E1230,"xxx")/10000)=1,IF($D1085=E$3,装备表!$E1230,"xxx")&amp;":2,1,1,"&amp;装备表!$O1230&amp;";","xxx"),"xxx"))</f>
        <v>xxx</v>
      </c>
      <c r="F1085" s="18" t="str">
        <f>IF(装备表!$O1230=0,"xxx",IFERROR(IF(INT(IF($D1085=F$3,装备表!$E1230,"xxx")/10000)=1,IF($D1085=F$3,装备表!$E1230,"xxx")&amp;":2,1,1,"&amp;装备表!$O1230&amp;";","xxx"),"xxx"))</f>
        <v>xxx</v>
      </c>
      <c r="G1085" s="18" t="str">
        <f>IF(装备表!$O1230=0,"xxx",IFERROR(IF(INT(IF($D1085=G$3,装备表!$E1230,"xxx")/10000)=1,IF($D1085=G$3,装备表!$E1230,"xxx")&amp;":2,1,1,"&amp;装备表!$O1230&amp;";","xxx"),"xxx"))</f>
        <v>xxx</v>
      </c>
      <c r="H1085" s="18" t="str">
        <f>IF(装备表!$O1230=0,"xxx",IFERROR(IF(INT(IF($D1085=H$3,装备表!$E1230,"xxx")/10000)=1,IF($D1085=H$3,装备表!$E1230,"xxx")&amp;":2,1,1,"&amp;装备表!$O1230&amp;";","xxx"),"xxx"))</f>
        <v>xxx</v>
      </c>
      <c r="I1085" s="18" t="str">
        <f>IF(装备表!$O1230=0,"xxx",IFERROR(IF(INT(IF($D1085=I$3,装备表!$E1230,"xxx")/10000)=1,IF($D1085=I$3,装备表!$E1230,"xxx")&amp;":2,1,1,"&amp;装备表!$O1230&amp;";","xxx"),"xxx"))</f>
        <v>xxx</v>
      </c>
      <c r="J1085" s="18" t="str">
        <f>IF(装备表!$O1230=0,"xxx",IFERROR(IF(INT(IF($D1085=J$3,装备表!$E1230,"xxx")/10000)=1,IF($D1085=J$3,装备表!$E1230,"xxx")&amp;":2,1,1,"&amp;装备表!$O1230&amp;";","xxx"),"xxx"))</f>
        <v>xxx</v>
      </c>
    </row>
    <row r="1086" spans="4:10" x14ac:dyDescent="0.2">
      <c r="D1086" s="18">
        <f>装备表!L1231</f>
        <v>0</v>
      </c>
      <c r="E1086" s="18" t="str">
        <f>IF(装备表!$O1231=0,"xxx",IFERROR(IF(INT(IF($D1086=E$3,装备表!$E1231,"xxx")/10000)=1,IF($D1086=E$3,装备表!$E1231,"xxx")&amp;":2,1,1,"&amp;装备表!$O1231&amp;";","xxx"),"xxx"))</f>
        <v>xxx</v>
      </c>
      <c r="F1086" s="18" t="str">
        <f>IF(装备表!$O1231=0,"xxx",IFERROR(IF(INT(IF($D1086=F$3,装备表!$E1231,"xxx")/10000)=1,IF($D1086=F$3,装备表!$E1231,"xxx")&amp;":2,1,1,"&amp;装备表!$O1231&amp;";","xxx"),"xxx"))</f>
        <v>xxx</v>
      </c>
      <c r="G1086" s="18" t="str">
        <f>IF(装备表!$O1231=0,"xxx",IFERROR(IF(INT(IF($D1086=G$3,装备表!$E1231,"xxx")/10000)=1,IF($D1086=G$3,装备表!$E1231,"xxx")&amp;":2,1,1,"&amp;装备表!$O1231&amp;";","xxx"),"xxx"))</f>
        <v>xxx</v>
      </c>
      <c r="H1086" s="18" t="str">
        <f>IF(装备表!$O1231=0,"xxx",IFERROR(IF(INT(IF($D1086=H$3,装备表!$E1231,"xxx")/10000)=1,IF($D1086=H$3,装备表!$E1231,"xxx")&amp;":2,1,1,"&amp;装备表!$O1231&amp;";","xxx"),"xxx"))</f>
        <v>xxx</v>
      </c>
      <c r="I1086" s="18" t="str">
        <f>IF(装备表!$O1231=0,"xxx",IFERROR(IF(INT(IF($D1086=I$3,装备表!$E1231,"xxx")/10000)=1,IF($D1086=I$3,装备表!$E1231,"xxx")&amp;":2,1,1,"&amp;装备表!$O1231&amp;";","xxx"),"xxx"))</f>
        <v>xxx</v>
      </c>
      <c r="J1086" s="18" t="str">
        <f>IF(装备表!$O1231=0,"xxx",IFERROR(IF(INT(IF($D1086=J$3,装备表!$E1231,"xxx")/10000)=1,IF($D1086=J$3,装备表!$E1231,"xxx")&amp;":2,1,1,"&amp;装备表!$O1231&amp;";","xxx"),"xxx"))</f>
        <v>xxx</v>
      </c>
    </row>
    <row r="1087" spans="4:10" x14ac:dyDescent="0.2">
      <c r="D1087" s="18">
        <f>装备表!L1232</f>
        <v>0</v>
      </c>
      <c r="E1087" s="18" t="str">
        <f>IF(装备表!$O1232=0,"xxx",IFERROR(IF(INT(IF($D1087=E$3,装备表!$E1232,"xxx")/10000)=1,IF($D1087=E$3,装备表!$E1232,"xxx")&amp;":2,1,1,"&amp;装备表!$O1232&amp;";","xxx"),"xxx"))</f>
        <v>xxx</v>
      </c>
      <c r="F1087" s="18" t="str">
        <f>IF(装备表!$O1232=0,"xxx",IFERROR(IF(INT(IF($D1087=F$3,装备表!$E1232,"xxx")/10000)=1,IF($D1087=F$3,装备表!$E1232,"xxx")&amp;":2,1,1,"&amp;装备表!$O1232&amp;";","xxx"),"xxx"))</f>
        <v>xxx</v>
      </c>
      <c r="G1087" s="18" t="str">
        <f>IF(装备表!$O1232=0,"xxx",IFERROR(IF(INT(IF($D1087=G$3,装备表!$E1232,"xxx")/10000)=1,IF($D1087=G$3,装备表!$E1232,"xxx")&amp;":2,1,1,"&amp;装备表!$O1232&amp;";","xxx"),"xxx"))</f>
        <v>xxx</v>
      </c>
      <c r="H1087" s="18" t="str">
        <f>IF(装备表!$O1232=0,"xxx",IFERROR(IF(INT(IF($D1087=H$3,装备表!$E1232,"xxx")/10000)=1,IF($D1087=H$3,装备表!$E1232,"xxx")&amp;":2,1,1,"&amp;装备表!$O1232&amp;";","xxx"),"xxx"))</f>
        <v>xxx</v>
      </c>
      <c r="I1087" s="18" t="str">
        <f>IF(装备表!$O1232=0,"xxx",IFERROR(IF(INT(IF($D1087=I$3,装备表!$E1232,"xxx")/10000)=1,IF($D1087=I$3,装备表!$E1232,"xxx")&amp;":2,1,1,"&amp;装备表!$O1232&amp;";","xxx"),"xxx"))</f>
        <v>xxx</v>
      </c>
      <c r="J1087" s="18" t="str">
        <f>IF(装备表!$O1232=0,"xxx",IFERROR(IF(INT(IF($D1087=J$3,装备表!$E1232,"xxx")/10000)=1,IF($D1087=J$3,装备表!$E1232,"xxx")&amp;":2,1,1,"&amp;装备表!$O1232&amp;";","xxx"),"xxx"))</f>
        <v>xxx</v>
      </c>
    </row>
    <row r="1088" spans="4:10" x14ac:dyDescent="0.2">
      <c r="D1088" s="18">
        <f>装备表!L1233</f>
        <v>0</v>
      </c>
      <c r="E1088" s="18" t="str">
        <f>IF(装备表!$O1233=0,"xxx",IFERROR(IF(INT(IF($D1088=E$3,装备表!$E1233,"xxx")/10000)=1,IF($D1088=E$3,装备表!$E1233,"xxx")&amp;":2,1,1,"&amp;装备表!$O1233&amp;";","xxx"),"xxx"))</f>
        <v>xxx</v>
      </c>
      <c r="F1088" s="18" t="str">
        <f>IF(装备表!$O1233=0,"xxx",IFERROR(IF(INT(IF($D1088=F$3,装备表!$E1233,"xxx")/10000)=1,IF($D1088=F$3,装备表!$E1233,"xxx")&amp;":2,1,1,"&amp;装备表!$O1233&amp;";","xxx"),"xxx"))</f>
        <v>xxx</v>
      </c>
      <c r="G1088" s="18" t="str">
        <f>IF(装备表!$O1233=0,"xxx",IFERROR(IF(INT(IF($D1088=G$3,装备表!$E1233,"xxx")/10000)=1,IF($D1088=G$3,装备表!$E1233,"xxx")&amp;":2,1,1,"&amp;装备表!$O1233&amp;";","xxx"),"xxx"))</f>
        <v>xxx</v>
      </c>
      <c r="H1088" s="18" t="str">
        <f>IF(装备表!$O1233=0,"xxx",IFERROR(IF(INT(IF($D1088=H$3,装备表!$E1233,"xxx")/10000)=1,IF($D1088=H$3,装备表!$E1233,"xxx")&amp;":2,1,1,"&amp;装备表!$O1233&amp;";","xxx"),"xxx"))</f>
        <v>xxx</v>
      </c>
      <c r="I1088" s="18" t="str">
        <f>IF(装备表!$O1233=0,"xxx",IFERROR(IF(INT(IF($D1088=I$3,装备表!$E1233,"xxx")/10000)=1,IF($D1088=I$3,装备表!$E1233,"xxx")&amp;":2,1,1,"&amp;装备表!$O1233&amp;";","xxx"),"xxx"))</f>
        <v>xxx</v>
      </c>
      <c r="J1088" s="18" t="str">
        <f>IF(装备表!$O1233=0,"xxx",IFERROR(IF(INT(IF($D1088=J$3,装备表!$E1233,"xxx")/10000)=1,IF($D1088=J$3,装备表!$E1233,"xxx")&amp;":2,1,1,"&amp;装备表!$O1233&amp;";","xxx"),"xxx"))</f>
        <v>xxx</v>
      </c>
    </row>
    <row r="1089" spans="4:10" x14ac:dyDescent="0.2">
      <c r="D1089" s="18">
        <f>装备表!L1234</f>
        <v>0</v>
      </c>
      <c r="E1089" s="18" t="str">
        <f>IF(装备表!$O1234=0,"xxx",IFERROR(IF(INT(IF($D1089=E$3,装备表!$E1234,"xxx")/10000)=1,IF($D1089=E$3,装备表!$E1234,"xxx")&amp;":2,1,1,"&amp;装备表!$O1234&amp;";","xxx"),"xxx"))</f>
        <v>xxx</v>
      </c>
      <c r="F1089" s="18" t="str">
        <f>IF(装备表!$O1234=0,"xxx",IFERROR(IF(INT(IF($D1089=F$3,装备表!$E1234,"xxx")/10000)=1,IF($D1089=F$3,装备表!$E1234,"xxx")&amp;":2,1,1,"&amp;装备表!$O1234&amp;";","xxx"),"xxx"))</f>
        <v>xxx</v>
      </c>
      <c r="G1089" s="18" t="str">
        <f>IF(装备表!$O1234=0,"xxx",IFERROR(IF(INT(IF($D1089=G$3,装备表!$E1234,"xxx")/10000)=1,IF($D1089=G$3,装备表!$E1234,"xxx")&amp;":2,1,1,"&amp;装备表!$O1234&amp;";","xxx"),"xxx"))</f>
        <v>xxx</v>
      </c>
      <c r="H1089" s="18" t="str">
        <f>IF(装备表!$O1234=0,"xxx",IFERROR(IF(INT(IF($D1089=H$3,装备表!$E1234,"xxx")/10000)=1,IF($D1089=H$3,装备表!$E1234,"xxx")&amp;":2,1,1,"&amp;装备表!$O1234&amp;";","xxx"),"xxx"))</f>
        <v>xxx</v>
      </c>
      <c r="I1089" s="18" t="str">
        <f>IF(装备表!$O1234=0,"xxx",IFERROR(IF(INT(IF($D1089=I$3,装备表!$E1234,"xxx")/10000)=1,IF($D1089=I$3,装备表!$E1234,"xxx")&amp;":2,1,1,"&amp;装备表!$O1234&amp;";","xxx"),"xxx"))</f>
        <v>xxx</v>
      </c>
      <c r="J1089" s="18" t="str">
        <f>IF(装备表!$O1234=0,"xxx",IFERROR(IF(INT(IF($D1089=J$3,装备表!$E1234,"xxx")/10000)=1,IF($D1089=J$3,装备表!$E1234,"xxx")&amp;":2,1,1,"&amp;装备表!$O1234&amp;";","xxx"),"xxx"))</f>
        <v>xxx</v>
      </c>
    </row>
    <row r="1090" spans="4:10" x14ac:dyDescent="0.2">
      <c r="D1090" s="18">
        <f>装备表!L1235</f>
        <v>0</v>
      </c>
      <c r="E1090" s="18" t="str">
        <f>IF(装备表!$O1235=0,"xxx",IFERROR(IF(INT(IF($D1090=E$3,装备表!$E1235,"xxx")/10000)=1,IF($D1090=E$3,装备表!$E1235,"xxx")&amp;":2,1,1,"&amp;装备表!$O1235&amp;";","xxx"),"xxx"))</f>
        <v>xxx</v>
      </c>
      <c r="F1090" s="18" t="str">
        <f>IF(装备表!$O1235=0,"xxx",IFERROR(IF(INT(IF($D1090=F$3,装备表!$E1235,"xxx")/10000)=1,IF($D1090=F$3,装备表!$E1235,"xxx")&amp;":2,1,1,"&amp;装备表!$O1235&amp;";","xxx"),"xxx"))</f>
        <v>xxx</v>
      </c>
      <c r="G1090" s="18" t="str">
        <f>IF(装备表!$O1235=0,"xxx",IFERROR(IF(INT(IF($D1090=G$3,装备表!$E1235,"xxx")/10000)=1,IF($D1090=G$3,装备表!$E1235,"xxx")&amp;":2,1,1,"&amp;装备表!$O1235&amp;";","xxx"),"xxx"))</f>
        <v>xxx</v>
      </c>
      <c r="H1090" s="18" t="str">
        <f>IF(装备表!$O1235=0,"xxx",IFERROR(IF(INT(IF($D1090=H$3,装备表!$E1235,"xxx")/10000)=1,IF($D1090=H$3,装备表!$E1235,"xxx")&amp;":2,1,1,"&amp;装备表!$O1235&amp;";","xxx"),"xxx"))</f>
        <v>xxx</v>
      </c>
      <c r="I1090" s="18" t="str">
        <f>IF(装备表!$O1235=0,"xxx",IFERROR(IF(INT(IF($D1090=I$3,装备表!$E1235,"xxx")/10000)=1,IF($D1090=I$3,装备表!$E1235,"xxx")&amp;":2,1,1,"&amp;装备表!$O1235&amp;";","xxx"),"xxx"))</f>
        <v>xxx</v>
      </c>
      <c r="J1090" s="18" t="str">
        <f>IF(装备表!$O1235=0,"xxx",IFERROR(IF(INT(IF($D1090=J$3,装备表!$E1235,"xxx")/10000)=1,IF($D1090=J$3,装备表!$E1235,"xxx")&amp;":2,1,1,"&amp;装备表!$O1235&amp;";","xxx"),"xxx"))</f>
        <v>xxx</v>
      </c>
    </row>
    <row r="1091" spans="4:10" x14ac:dyDescent="0.2">
      <c r="D1091" s="18">
        <f>装备表!L1236</f>
        <v>0</v>
      </c>
      <c r="E1091" s="18" t="str">
        <f>IF(装备表!$O1236=0,"xxx",IFERROR(IF(INT(IF($D1091=E$3,装备表!$E1236,"xxx")/10000)=1,IF($D1091=E$3,装备表!$E1236,"xxx")&amp;":2,1,1,"&amp;装备表!$O1236&amp;";","xxx"),"xxx"))</f>
        <v>xxx</v>
      </c>
      <c r="F1091" s="18" t="str">
        <f>IF(装备表!$O1236=0,"xxx",IFERROR(IF(INT(IF($D1091=F$3,装备表!$E1236,"xxx")/10000)=1,IF($D1091=F$3,装备表!$E1236,"xxx")&amp;":2,1,1,"&amp;装备表!$O1236&amp;";","xxx"),"xxx"))</f>
        <v>xxx</v>
      </c>
      <c r="G1091" s="18" t="str">
        <f>IF(装备表!$O1236=0,"xxx",IFERROR(IF(INT(IF($D1091=G$3,装备表!$E1236,"xxx")/10000)=1,IF($D1091=G$3,装备表!$E1236,"xxx")&amp;":2,1,1,"&amp;装备表!$O1236&amp;";","xxx"),"xxx"))</f>
        <v>xxx</v>
      </c>
      <c r="H1091" s="18" t="str">
        <f>IF(装备表!$O1236=0,"xxx",IFERROR(IF(INT(IF($D1091=H$3,装备表!$E1236,"xxx")/10000)=1,IF($D1091=H$3,装备表!$E1236,"xxx")&amp;":2,1,1,"&amp;装备表!$O1236&amp;";","xxx"),"xxx"))</f>
        <v>xxx</v>
      </c>
      <c r="I1091" s="18" t="str">
        <f>IF(装备表!$O1236=0,"xxx",IFERROR(IF(INT(IF($D1091=I$3,装备表!$E1236,"xxx")/10000)=1,IF($D1091=I$3,装备表!$E1236,"xxx")&amp;":2,1,1,"&amp;装备表!$O1236&amp;";","xxx"),"xxx"))</f>
        <v>xxx</v>
      </c>
      <c r="J1091" s="18" t="str">
        <f>IF(装备表!$O1236=0,"xxx",IFERROR(IF(INT(IF($D1091=J$3,装备表!$E1236,"xxx")/10000)=1,IF($D1091=J$3,装备表!$E1236,"xxx")&amp;":2,1,1,"&amp;装备表!$O1236&amp;";","xxx"),"xxx"))</f>
        <v>xxx</v>
      </c>
    </row>
    <row r="1092" spans="4:10" x14ac:dyDescent="0.2">
      <c r="D1092" s="18">
        <f>装备表!L1237</f>
        <v>0</v>
      </c>
      <c r="E1092" s="18" t="str">
        <f>IF(装备表!$O1237=0,"xxx",IFERROR(IF(INT(IF($D1092=E$3,装备表!$E1237,"xxx")/10000)=1,IF($D1092=E$3,装备表!$E1237,"xxx")&amp;":2,1,1,"&amp;装备表!$O1237&amp;";","xxx"),"xxx"))</f>
        <v>xxx</v>
      </c>
      <c r="F1092" s="18" t="str">
        <f>IF(装备表!$O1237=0,"xxx",IFERROR(IF(INT(IF($D1092=F$3,装备表!$E1237,"xxx")/10000)=1,IF($D1092=F$3,装备表!$E1237,"xxx")&amp;":2,1,1,"&amp;装备表!$O1237&amp;";","xxx"),"xxx"))</f>
        <v>xxx</v>
      </c>
      <c r="G1092" s="18" t="str">
        <f>IF(装备表!$O1237=0,"xxx",IFERROR(IF(INT(IF($D1092=G$3,装备表!$E1237,"xxx")/10000)=1,IF($D1092=G$3,装备表!$E1237,"xxx")&amp;":2,1,1,"&amp;装备表!$O1237&amp;";","xxx"),"xxx"))</f>
        <v>xxx</v>
      </c>
      <c r="H1092" s="18" t="str">
        <f>IF(装备表!$O1237=0,"xxx",IFERROR(IF(INT(IF($D1092=H$3,装备表!$E1237,"xxx")/10000)=1,IF($D1092=H$3,装备表!$E1237,"xxx")&amp;":2,1,1,"&amp;装备表!$O1237&amp;";","xxx"),"xxx"))</f>
        <v>xxx</v>
      </c>
      <c r="I1092" s="18" t="str">
        <f>IF(装备表!$O1237=0,"xxx",IFERROR(IF(INT(IF($D1092=I$3,装备表!$E1237,"xxx")/10000)=1,IF($D1092=I$3,装备表!$E1237,"xxx")&amp;":2,1,1,"&amp;装备表!$O1237&amp;";","xxx"),"xxx"))</f>
        <v>xxx</v>
      </c>
      <c r="J1092" s="18" t="str">
        <f>IF(装备表!$O1237=0,"xxx",IFERROR(IF(INT(IF($D1092=J$3,装备表!$E1237,"xxx")/10000)=1,IF($D1092=J$3,装备表!$E1237,"xxx")&amp;":2,1,1,"&amp;装备表!$O1237&amp;";","xxx"),"xxx"))</f>
        <v>xxx</v>
      </c>
    </row>
    <row r="1093" spans="4:10" x14ac:dyDescent="0.2">
      <c r="D1093" s="18">
        <f>装备表!L1238</f>
        <v>0</v>
      </c>
      <c r="E1093" s="18" t="str">
        <f>IF(装备表!$O1238=0,"xxx",IFERROR(IF(INT(IF($D1093=E$3,装备表!$E1238,"xxx")/10000)=1,IF($D1093=E$3,装备表!$E1238,"xxx")&amp;":2,1,1,"&amp;装备表!$O1238&amp;";","xxx"),"xxx"))</f>
        <v>xxx</v>
      </c>
      <c r="F1093" s="18" t="str">
        <f>IF(装备表!$O1238=0,"xxx",IFERROR(IF(INT(IF($D1093=F$3,装备表!$E1238,"xxx")/10000)=1,IF($D1093=F$3,装备表!$E1238,"xxx")&amp;":2,1,1,"&amp;装备表!$O1238&amp;";","xxx"),"xxx"))</f>
        <v>xxx</v>
      </c>
      <c r="G1093" s="18" t="str">
        <f>IF(装备表!$O1238=0,"xxx",IFERROR(IF(INT(IF($D1093=G$3,装备表!$E1238,"xxx")/10000)=1,IF($D1093=G$3,装备表!$E1238,"xxx")&amp;":2,1,1,"&amp;装备表!$O1238&amp;";","xxx"),"xxx"))</f>
        <v>xxx</v>
      </c>
      <c r="H1093" s="18" t="str">
        <f>IF(装备表!$O1238=0,"xxx",IFERROR(IF(INT(IF($D1093=H$3,装备表!$E1238,"xxx")/10000)=1,IF($D1093=H$3,装备表!$E1238,"xxx")&amp;":2,1,1,"&amp;装备表!$O1238&amp;";","xxx"),"xxx"))</f>
        <v>xxx</v>
      </c>
      <c r="I1093" s="18" t="str">
        <f>IF(装备表!$O1238=0,"xxx",IFERROR(IF(INT(IF($D1093=I$3,装备表!$E1238,"xxx")/10000)=1,IF($D1093=I$3,装备表!$E1238,"xxx")&amp;":2,1,1,"&amp;装备表!$O1238&amp;";","xxx"),"xxx"))</f>
        <v>xxx</v>
      </c>
      <c r="J1093" s="18" t="str">
        <f>IF(装备表!$O1238=0,"xxx",IFERROR(IF(INT(IF($D1093=J$3,装备表!$E1238,"xxx")/10000)=1,IF($D1093=J$3,装备表!$E1238,"xxx")&amp;":2,1,1,"&amp;装备表!$O1238&amp;";","xxx"),"xxx"))</f>
        <v>xxx</v>
      </c>
    </row>
    <row r="1094" spans="4:10" x14ac:dyDescent="0.2">
      <c r="D1094" s="18">
        <f>装备表!L1239</f>
        <v>0</v>
      </c>
      <c r="E1094" s="18" t="str">
        <f>IF(装备表!$O1239=0,"xxx",IFERROR(IF(INT(IF($D1094=E$3,装备表!$E1239,"xxx")/10000)=1,IF($D1094=E$3,装备表!$E1239,"xxx")&amp;":2,1,1,"&amp;装备表!$O1239&amp;";","xxx"),"xxx"))</f>
        <v>xxx</v>
      </c>
      <c r="F1094" s="18" t="str">
        <f>IF(装备表!$O1239=0,"xxx",IFERROR(IF(INT(IF($D1094=F$3,装备表!$E1239,"xxx")/10000)=1,IF($D1094=F$3,装备表!$E1239,"xxx")&amp;":2,1,1,"&amp;装备表!$O1239&amp;";","xxx"),"xxx"))</f>
        <v>xxx</v>
      </c>
      <c r="G1094" s="18" t="str">
        <f>IF(装备表!$O1239=0,"xxx",IFERROR(IF(INT(IF($D1094=G$3,装备表!$E1239,"xxx")/10000)=1,IF($D1094=G$3,装备表!$E1239,"xxx")&amp;":2,1,1,"&amp;装备表!$O1239&amp;";","xxx"),"xxx"))</f>
        <v>xxx</v>
      </c>
      <c r="H1094" s="18" t="str">
        <f>IF(装备表!$O1239=0,"xxx",IFERROR(IF(INT(IF($D1094=H$3,装备表!$E1239,"xxx")/10000)=1,IF($D1094=H$3,装备表!$E1239,"xxx")&amp;":2,1,1,"&amp;装备表!$O1239&amp;";","xxx"),"xxx"))</f>
        <v>xxx</v>
      </c>
      <c r="I1094" s="18" t="str">
        <f>IF(装备表!$O1239=0,"xxx",IFERROR(IF(INT(IF($D1094=I$3,装备表!$E1239,"xxx")/10000)=1,IF($D1094=I$3,装备表!$E1239,"xxx")&amp;":2,1,1,"&amp;装备表!$O1239&amp;";","xxx"),"xxx"))</f>
        <v>xxx</v>
      </c>
      <c r="J1094" s="18" t="str">
        <f>IF(装备表!$O1239=0,"xxx",IFERROR(IF(INT(IF($D1094=J$3,装备表!$E1239,"xxx")/10000)=1,IF($D1094=J$3,装备表!$E1239,"xxx")&amp;":2,1,1,"&amp;装备表!$O1239&amp;";","xxx"),"xxx"))</f>
        <v>xxx</v>
      </c>
    </row>
    <row r="1095" spans="4:10" x14ac:dyDescent="0.2">
      <c r="D1095" s="18">
        <f>装备表!L1240</f>
        <v>0</v>
      </c>
      <c r="E1095" s="18" t="str">
        <f>IF(装备表!$O1240=0,"xxx",IFERROR(IF(INT(IF($D1095=E$3,装备表!$E1240,"xxx")/10000)=1,IF($D1095=E$3,装备表!$E1240,"xxx")&amp;":2,1,1,"&amp;装备表!$O1240&amp;";","xxx"),"xxx"))</f>
        <v>xxx</v>
      </c>
      <c r="F1095" s="18" t="str">
        <f>IF(装备表!$O1240=0,"xxx",IFERROR(IF(INT(IF($D1095=F$3,装备表!$E1240,"xxx")/10000)=1,IF($D1095=F$3,装备表!$E1240,"xxx")&amp;":2,1,1,"&amp;装备表!$O1240&amp;";","xxx"),"xxx"))</f>
        <v>xxx</v>
      </c>
      <c r="G1095" s="18" t="str">
        <f>IF(装备表!$O1240=0,"xxx",IFERROR(IF(INT(IF($D1095=G$3,装备表!$E1240,"xxx")/10000)=1,IF($D1095=G$3,装备表!$E1240,"xxx")&amp;":2,1,1,"&amp;装备表!$O1240&amp;";","xxx"),"xxx"))</f>
        <v>xxx</v>
      </c>
      <c r="H1095" s="18" t="str">
        <f>IF(装备表!$O1240=0,"xxx",IFERROR(IF(INT(IF($D1095=H$3,装备表!$E1240,"xxx")/10000)=1,IF($D1095=H$3,装备表!$E1240,"xxx")&amp;":2,1,1,"&amp;装备表!$O1240&amp;";","xxx"),"xxx"))</f>
        <v>xxx</v>
      </c>
      <c r="I1095" s="18" t="str">
        <f>IF(装备表!$O1240=0,"xxx",IFERROR(IF(INT(IF($D1095=I$3,装备表!$E1240,"xxx")/10000)=1,IF($D1095=I$3,装备表!$E1240,"xxx")&amp;":2,1,1,"&amp;装备表!$O1240&amp;";","xxx"),"xxx"))</f>
        <v>xxx</v>
      </c>
      <c r="J1095" s="18" t="str">
        <f>IF(装备表!$O1240=0,"xxx",IFERROR(IF(INT(IF($D1095=J$3,装备表!$E1240,"xxx")/10000)=1,IF($D1095=J$3,装备表!$E1240,"xxx")&amp;":2,1,1,"&amp;装备表!$O1240&amp;";","xxx"),"xxx"))</f>
        <v>xxx</v>
      </c>
    </row>
    <row r="1096" spans="4:10" x14ac:dyDescent="0.2">
      <c r="D1096" s="18">
        <f>装备表!L1241</f>
        <v>0</v>
      </c>
      <c r="E1096" s="18" t="str">
        <f>IF(装备表!$O1241=0,"xxx",IFERROR(IF(INT(IF($D1096=E$3,装备表!$E1241,"xxx")/10000)=1,IF($D1096=E$3,装备表!$E1241,"xxx")&amp;":2,1,1,"&amp;装备表!$O1241&amp;";","xxx"),"xxx"))</f>
        <v>xxx</v>
      </c>
      <c r="F1096" s="18" t="str">
        <f>IF(装备表!$O1241=0,"xxx",IFERROR(IF(INT(IF($D1096=F$3,装备表!$E1241,"xxx")/10000)=1,IF($D1096=F$3,装备表!$E1241,"xxx")&amp;":2,1,1,"&amp;装备表!$O1241&amp;";","xxx"),"xxx"))</f>
        <v>xxx</v>
      </c>
      <c r="G1096" s="18" t="str">
        <f>IF(装备表!$O1241=0,"xxx",IFERROR(IF(INT(IF($D1096=G$3,装备表!$E1241,"xxx")/10000)=1,IF($D1096=G$3,装备表!$E1241,"xxx")&amp;":2,1,1,"&amp;装备表!$O1241&amp;";","xxx"),"xxx"))</f>
        <v>xxx</v>
      </c>
      <c r="H1096" s="18" t="str">
        <f>IF(装备表!$O1241=0,"xxx",IFERROR(IF(INT(IF($D1096=H$3,装备表!$E1241,"xxx")/10000)=1,IF($D1096=H$3,装备表!$E1241,"xxx")&amp;":2,1,1,"&amp;装备表!$O1241&amp;";","xxx"),"xxx"))</f>
        <v>xxx</v>
      </c>
      <c r="I1096" s="18" t="str">
        <f>IF(装备表!$O1241=0,"xxx",IFERROR(IF(INT(IF($D1096=I$3,装备表!$E1241,"xxx")/10000)=1,IF($D1096=I$3,装备表!$E1241,"xxx")&amp;":2,1,1,"&amp;装备表!$O1241&amp;";","xxx"),"xxx"))</f>
        <v>xxx</v>
      </c>
      <c r="J1096" s="18" t="str">
        <f>IF(装备表!$O1241=0,"xxx",IFERROR(IF(INT(IF($D1096=J$3,装备表!$E1241,"xxx")/10000)=1,IF($D1096=J$3,装备表!$E1241,"xxx")&amp;":2,1,1,"&amp;装备表!$O1241&amp;";","xxx"),"xxx"))</f>
        <v>xxx</v>
      </c>
    </row>
    <row r="1097" spans="4:10" x14ac:dyDescent="0.2">
      <c r="D1097" s="18">
        <f>装备表!L1242</f>
        <v>0</v>
      </c>
      <c r="E1097" s="18" t="str">
        <f>IF(装备表!$O1242=0,"xxx",IFERROR(IF(INT(IF($D1097=E$3,装备表!$E1242,"xxx")/10000)=1,IF($D1097=E$3,装备表!$E1242,"xxx")&amp;":2,1,1,"&amp;装备表!$O1242&amp;";","xxx"),"xxx"))</f>
        <v>xxx</v>
      </c>
      <c r="F1097" s="18" t="str">
        <f>IF(装备表!$O1242=0,"xxx",IFERROR(IF(INT(IF($D1097=F$3,装备表!$E1242,"xxx")/10000)=1,IF($D1097=F$3,装备表!$E1242,"xxx")&amp;":2,1,1,"&amp;装备表!$O1242&amp;";","xxx"),"xxx"))</f>
        <v>xxx</v>
      </c>
      <c r="G1097" s="18" t="str">
        <f>IF(装备表!$O1242=0,"xxx",IFERROR(IF(INT(IF($D1097=G$3,装备表!$E1242,"xxx")/10000)=1,IF($D1097=G$3,装备表!$E1242,"xxx")&amp;":2,1,1,"&amp;装备表!$O1242&amp;";","xxx"),"xxx"))</f>
        <v>xxx</v>
      </c>
      <c r="H1097" s="18" t="str">
        <f>IF(装备表!$O1242=0,"xxx",IFERROR(IF(INT(IF($D1097=H$3,装备表!$E1242,"xxx")/10000)=1,IF($D1097=H$3,装备表!$E1242,"xxx")&amp;":2,1,1,"&amp;装备表!$O1242&amp;";","xxx"),"xxx"))</f>
        <v>xxx</v>
      </c>
      <c r="I1097" s="18" t="str">
        <f>IF(装备表!$O1242=0,"xxx",IFERROR(IF(INT(IF($D1097=I$3,装备表!$E1242,"xxx")/10000)=1,IF($D1097=I$3,装备表!$E1242,"xxx")&amp;":2,1,1,"&amp;装备表!$O1242&amp;";","xxx"),"xxx"))</f>
        <v>xxx</v>
      </c>
      <c r="J1097" s="18" t="str">
        <f>IF(装备表!$O1242=0,"xxx",IFERROR(IF(INT(IF($D1097=J$3,装备表!$E1242,"xxx")/10000)=1,IF($D1097=J$3,装备表!$E1242,"xxx")&amp;":2,1,1,"&amp;装备表!$O1242&amp;";","xxx"),"xxx"))</f>
        <v>xxx</v>
      </c>
    </row>
    <row r="1098" spans="4:10" x14ac:dyDescent="0.2">
      <c r="D1098" s="18">
        <f>装备表!L1243</f>
        <v>0</v>
      </c>
      <c r="E1098" s="18" t="str">
        <f>IF(装备表!$O1243=0,"xxx",IFERROR(IF(INT(IF($D1098=E$3,装备表!$E1243,"xxx")/10000)=1,IF($D1098=E$3,装备表!$E1243,"xxx")&amp;":2,1,1,"&amp;装备表!$O1243&amp;";","xxx"),"xxx"))</f>
        <v>xxx</v>
      </c>
      <c r="F1098" s="18" t="str">
        <f>IF(装备表!$O1243=0,"xxx",IFERROR(IF(INT(IF($D1098=F$3,装备表!$E1243,"xxx")/10000)=1,IF($D1098=F$3,装备表!$E1243,"xxx")&amp;":2,1,1,"&amp;装备表!$O1243&amp;";","xxx"),"xxx"))</f>
        <v>xxx</v>
      </c>
      <c r="G1098" s="18" t="str">
        <f>IF(装备表!$O1243=0,"xxx",IFERROR(IF(INT(IF($D1098=G$3,装备表!$E1243,"xxx")/10000)=1,IF($D1098=G$3,装备表!$E1243,"xxx")&amp;":2,1,1,"&amp;装备表!$O1243&amp;";","xxx"),"xxx"))</f>
        <v>xxx</v>
      </c>
      <c r="H1098" s="18" t="str">
        <f>IF(装备表!$O1243=0,"xxx",IFERROR(IF(INT(IF($D1098=H$3,装备表!$E1243,"xxx")/10000)=1,IF($D1098=H$3,装备表!$E1243,"xxx")&amp;":2,1,1,"&amp;装备表!$O1243&amp;";","xxx"),"xxx"))</f>
        <v>xxx</v>
      </c>
      <c r="I1098" s="18" t="str">
        <f>IF(装备表!$O1243=0,"xxx",IFERROR(IF(INT(IF($D1098=I$3,装备表!$E1243,"xxx")/10000)=1,IF($D1098=I$3,装备表!$E1243,"xxx")&amp;":2,1,1,"&amp;装备表!$O1243&amp;";","xxx"),"xxx"))</f>
        <v>xxx</v>
      </c>
      <c r="J1098" s="18" t="str">
        <f>IF(装备表!$O1243=0,"xxx",IFERROR(IF(INT(IF($D1098=J$3,装备表!$E1243,"xxx")/10000)=1,IF($D1098=J$3,装备表!$E1243,"xxx")&amp;":2,1,1,"&amp;装备表!$O1243&amp;";","xxx"),"xxx"))</f>
        <v>xxx</v>
      </c>
    </row>
    <row r="1099" spans="4:10" x14ac:dyDescent="0.2">
      <c r="D1099" s="18">
        <f>装备表!L1244</f>
        <v>0</v>
      </c>
      <c r="E1099" s="18" t="str">
        <f>IF(装备表!$O1244=0,"xxx",IFERROR(IF(INT(IF($D1099=E$3,装备表!$E1244,"xxx")/10000)=1,IF($D1099=E$3,装备表!$E1244,"xxx")&amp;":2,1,1,"&amp;装备表!$O1244&amp;";","xxx"),"xxx"))</f>
        <v>xxx</v>
      </c>
      <c r="F1099" s="18" t="str">
        <f>IF(装备表!$O1244=0,"xxx",IFERROR(IF(INT(IF($D1099=F$3,装备表!$E1244,"xxx")/10000)=1,IF($D1099=F$3,装备表!$E1244,"xxx")&amp;":2,1,1,"&amp;装备表!$O1244&amp;";","xxx"),"xxx"))</f>
        <v>xxx</v>
      </c>
      <c r="G1099" s="18" t="str">
        <f>IF(装备表!$O1244=0,"xxx",IFERROR(IF(INT(IF($D1099=G$3,装备表!$E1244,"xxx")/10000)=1,IF($D1099=G$3,装备表!$E1244,"xxx")&amp;":2,1,1,"&amp;装备表!$O1244&amp;";","xxx"),"xxx"))</f>
        <v>xxx</v>
      </c>
      <c r="H1099" s="18" t="str">
        <f>IF(装备表!$O1244=0,"xxx",IFERROR(IF(INT(IF($D1099=H$3,装备表!$E1244,"xxx")/10000)=1,IF($D1099=H$3,装备表!$E1244,"xxx")&amp;":2,1,1,"&amp;装备表!$O1244&amp;";","xxx"),"xxx"))</f>
        <v>xxx</v>
      </c>
      <c r="I1099" s="18" t="str">
        <f>IF(装备表!$O1244=0,"xxx",IFERROR(IF(INT(IF($D1099=I$3,装备表!$E1244,"xxx")/10000)=1,IF($D1099=I$3,装备表!$E1244,"xxx")&amp;":2,1,1,"&amp;装备表!$O1244&amp;";","xxx"),"xxx"))</f>
        <v>xxx</v>
      </c>
      <c r="J1099" s="18" t="str">
        <f>IF(装备表!$O1244=0,"xxx",IFERROR(IF(INT(IF($D1099=J$3,装备表!$E1244,"xxx")/10000)=1,IF($D1099=J$3,装备表!$E1244,"xxx")&amp;":2,1,1,"&amp;装备表!$O1244&amp;";","xxx"),"xxx"))</f>
        <v>xxx</v>
      </c>
    </row>
    <row r="1100" spans="4:10" x14ac:dyDescent="0.2">
      <c r="D1100" s="18">
        <f>装备表!L1245</f>
        <v>0</v>
      </c>
      <c r="E1100" s="18" t="str">
        <f>IF(装备表!$O1245=0,"xxx",IFERROR(IF(INT(IF($D1100=E$3,装备表!$E1245,"xxx")/10000)=1,IF($D1100=E$3,装备表!$E1245,"xxx")&amp;":2,1,1,"&amp;装备表!$O1245&amp;";","xxx"),"xxx"))</f>
        <v>xxx</v>
      </c>
      <c r="F1100" s="18" t="str">
        <f>IF(装备表!$O1245=0,"xxx",IFERROR(IF(INT(IF($D1100=F$3,装备表!$E1245,"xxx")/10000)=1,IF($D1100=F$3,装备表!$E1245,"xxx")&amp;":2,1,1,"&amp;装备表!$O1245&amp;";","xxx"),"xxx"))</f>
        <v>xxx</v>
      </c>
      <c r="G1100" s="18" t="str">
        <f>IF(装备表!$O1245=0,"xxx",IFERROR(IF(INT(IF($D1100=G$3,装备表!$E1245,"xxx")/10000)=1,IF($D1100=G$3,装备表!$E1245,"xxx")&amp;":2,1,1,"&amp;装备表!$O1245&amp;";","xxx"),"xxx"))</f>
        <v>xxx</v>
      </c>
      <c r="H1100" s="18" t="str">
        <f>IF(装备表!$O1245=0,"xxx",IFERROR(IF(INT(IF($D1100=H$3,装备表!$E1245,"xxx")/10000)=1,IF($D1100=H$3,装备表!$E1245,"xxx")&amp;":2,1,1,"&amp;装备表!$O1245&amp;";","xxx"),"xxx"))</f>
        <v>xxx</v>
      </c>
      <c r="I1100" s="18" t="str">
        <f>IF(装备表!$O1245=0,"xxx",IFERROR(IF(INT(IF($D1100=I$3,装备表!$E1245,"xxx")/10000)=1,IF($D1100=I$3,装备表!$E1245,"xxx")&amp;":2,1,1,"&amp;装备表!$O1245&amp;";","xxx"),"xxx"))</f>
        <v>xxx</v>
      </c>
      <c r="J1100" s="18" t="str">
        <f>IF(装备表!$O1245=0,"xxx",IFERROR(IF(INT(IF($D1100=J$3,装备表!$E1245,"xxx")/10000)=1,IF($D1100=J$3,装备表!$E1245,"xxx")&amp;":2,1,1,"&amp;装备表!$O1245&amp;";","xxx"),"xxx"))</f>
        <v>xxx</v>
      </c>
    </row>
    <row r="1101" spans="4:10" x14ac:dyDescent="0.2">
      <c r="D1101" s="18">
        <f>装备表!L1246</f>
        <v>0</v>
      </c>
      <c r="E1101" s="18" t="str">
        <f>IF(装备表!$O1246=0,"xxx",IFERROR(IF(INT(IF($D1101=E$3,装备表!$E1246,"xxx")/10000)=1,IF($D1101=E$3,装备表!$E1246,"xxx")&amp;":2,1,1,"&amp;装备表!$O1246&amp;";","xxx"),"xxx"))</f>
        <v>xxx</v>
      </c>
      <c r="F1101" s="18" t="str">
        <f>IF(装备表!$O1246=0,"xxx",IFERROR(IF(INT(IF($D1101=F$3,装备表!$E1246,"xxx")/10000)=1,IF($D1101=F$3,装备表!$E1246,"xxx")&amp;":2,1,1,"&amp;装备表!$O1246&amp;";","xxx"),"xxx"))</f>
        <v>xxx</v>
      </c>
      <c r="G1101" s="18" t="str">
        <f>IF(装备表!$O1246=0,"xxx",IFERROR(IF(INT(IF($D1101=G$3,装备表!$E1246,"xxx")/10000)=1,IF($D1101=G$3,装备表!$E1246,"xxx")&amp;":2,1,1,"&amp;装备表!$O1246&amp;";","xxx"),"xxx"))</f>
        <v>xxx</v>
      </c>
      <c r="H1101" s="18" t="str">
        <f>IF(装备表!$O1246=0,"xxx",IFERROR(IF(INT(IF($D1101=H$3,装备表!$E1246,"xxx")/10000)=1,IF($D1101=H$3,装备表!$E1246,"xxx")&amp;":2,1,1,"&amp;装备表!$O1246&amp;";","xxx"),"xxx"))</f>
        <v>xxx</v>
      </c>
      <c r="I1101" s="18" t="str">
        <f>IF(装备表!$O1246=0,"xxx",IFERROR(IF(INT(IF($D1101=I$3,装备表!$E1246,"xxx")/10000)=1,IF($D1101=I$3,装备表!$E1246,"xxx")&amp;":2,1,1,"&amp;装备表!$O1246&amp;";","xxx"),"xxx"))</f>
        <v>xxx</v>
      </c>
      <c r="J1101" s="18" t="str">
        <f>IF(装备表!$O1246=0,"xxx",IFERROR(IF(INT(IF($D1101=J$3,装备表!$E1246,"xxx")/10000)=1,IF($D1101=J$3,装备表!$E1246,"xxx")&amp;":2,1,1,"&amp;装备表!$O1246&amp;";","xxx"),"xxx"))</f>
        <v>xxx</v>
      </c>
    </row>
    <row r="1102" spans="4:10" x14ac:dyDescent="0.2">
      <c r="D1102" s="18">
        <f>装备表!L1247</f>
        <v>0</v>
      </c>
      <c r="E1102" s="18" t="str">
        <f>IF(装备表!$O1247=0,"xxx",IFERROR(IF(INT(IF($D1102=E$3,装备表!$E1247,"xxx")/10000)=1,IF($D1102=E$3,装备表!$E1247,"xxx")&amp;":2,1,1,"&amp;装备表!$O1247&amp;";","xxx"),"xxx"))</f>
        <v>xxx</v>
      </c>
      <c r="F1102" s="18" t="str">
        <f>IF(装备表!$O1247=0,"xxx",IFERROR(IF(INT(IF($D1102=F$3,装备表!$E1247,"xxx")/10000)=1,IF($D1102=F$3,装备表!$E1247,"xxx")&amp;":2,1,1,"&amp;装备表!$O1247&amp;";","xxx"),"xxx"))</f>
        <v>xxx</v>
      </c>
      <c r="G1102" s="18" t="str">
        <f>IF(装备表!$O1247=0,"xxx",IFERROR(IF(INT(IF($D1102=G$3,装备表!$E1247,"xxx")/10000)=1,IF($D1102=G$3,装备表!$E1247,"xxx")&amp;":2,1,1,"&amp;装备表!$O1247&amp;";","xxx"),"xxx"))</f>
        <v>xxx</v>
      </c>
      <c r="H1102" s="18" t="str">
        <f>IF(装备表!$O1247=0,"xxx",IFERROR(IF(INT(IF($D1102=H$3,装备表!$E1247,"xxx")/10000)=1,IF($D1102=H$3,装备表!$E1247,"xxx")&amp;":2,1,1,"&amp;装备表!$O1247&amp;";","xxx"),"xxx"))</f>
        <v>xxx</v>
      </c>
      <c r="I1102" s="18" t="str">
        <f>IF(装备表!$O1247=0,"xxx",IFERROR(IF(INT(IF($D1102=I$3,装备表!$E1247,"xxx")/10000)=1,IF($D1102=I$3,装备表!$E1247,"xxx")&amp;":2,1,1,"&amp;装备表!$O1247&amp;";","xxx"),"xxx"))</f>
        <v>xxx</v>
      </c>
      <c r="J1102" s="18" t="str">
        <f>IF(装备表!$O1247=0,"xxx",IFERROR(IF(INT(IF($D1102=J$3,装备表!$E1247,"xxx")/10000)=1,IF($D1102=J$3,装备表!$E1247,"xxx")&amp;":2,1,1,"&amp;装备表!$O1247&amp;";","xxx"),"xxx"))</f>
        <v>xxx</v>
      </c>
    </row>
    <row r="1103" spans="4:10" x14ac:dyDescent="0.2">
      <c r="D1103" s="18">
        <f>装备表!L1248</f>
        <v>0</v>
      </c>
      <c r="E1103" s="18" t="str">
        <f>IF(装备表!$O1248=0,"xxx",IFERROR(IF(INT(IF($D1103=E$3,装备表!$E1248,"xxx")/10000)=1,IF($D1103=E$3,装备表!$E1248,"xxx")&amp;":2,1,1,"&amp;装备表!$O1248&amp;";","xxx"),"xxx"))</f>
        <v>xxx</v>
      </c>
      <c r="F1103" s="18" t="str">
        <f>IF(装备表!$O1248=0,"xxx",IFERROR(IF(INT(IF($D1103=F$3,装备表!$E1248,"xxx")/10000)=1,IF($D1103=F$3,装备表!$E1248,"xxx")&amp;":2,1,1,"&amp;装备表!$O1248&amp;";","xxx"),"xxx"))</f>
        <v>xxx</v>
      </c>
      <c r="G1103" s="18" t="str">
        <f>IF(装备表!$O1248=0,"xxx",IFERROR(IF(INT(IF($D1103=G$3,装备表!$E1248,"xxx")/10000)=1,IF($D1103=G$3,装备表!$E1248,"xxx")&amp;":2,1,1,"&amp;装备表!$O1248&amp;";","xxx"),"xxx"))</f>
        <v>xxx</v>
      </c>
      <c r="H1103" s="18" t="str">
        <f>IF(装备表!$O1248=0,"xxx",IFERROR(IF(INT(IF($D1103=H$3,装备表!$E1248,"xxx")/10000)=1,IF($D1103=H$3,装备表!$E1248,"xxx")&amp;":2,1,1,"&amp;装备表!$O1248&amp;";","xxx"),"xxx"))</f>
        <v>xxx</v>
      </c>
      <c r="I1103" s="18" t="str">
        <f>IF(装备表!$O1248=0,"xxx",IFERROR(IF(INT(IF($D1103=I$3,装备表!$E1248,"xxx")/10000)=1,IF($D1103=I$3,装备表!$E1248,"xxx")&amp;":2,1,1,"&amp;装备表!$O1248&amp;";","xxx"),"xxx"))</f>
        <v>xxx</v>
      </c>
      <c r="J1103" s="18" t="str">
        <f>IF(装备表!$O1248=0,"xxx",IFERROR(IF(INT(IF($D1103=J$3,装备表!$E1248,"xxx")/10000)=1,IF($D1103=J$3,装备表!$E1248,"xxx")&amp;":2,1,1,"&amp;装备表!$O1248&amp;";","xxx"),"xxx"))</f>
        <v>xxx</v>
      </c>
    </row>
    <row r="1104" spans="4:10" x14ac:dyDescent="0.2">
      <c r="D1104" s="18">
        <f>装备表!L1249</f>
        <v>0</v>
      </c>
      <c r="E1104" s="18" t="str">
        <f>IF(装备表!$O1249=0,"xxx",IFERROR(IF(INT(IF($D1104=E$3,装备表!$E1249,"xxx")/10000)=1,IF($D1104=E$3,装备表!$E1249,"xxx")&amp;":2,1,1,"&amp;装备表!$O1249&amp;";","xxx"),"xxx"))</f>
        <v>xxx</v>
      </c>
      <c r="F1104" s="18" t="str">
        <f>IF(装备表!$O1249=0,"xxx",IFERROR(IF(INT(IF($D1104=F$3,装备表!$E1249,"xxx")/10000)=1,IF($D1104=F$3,装备表!$E1249,"xxx")&amp;":2,1,1,"&amp;装备表!$O1249&amp;";","xxx"),"xxx"))</f>
        <v>xxx</v>
      </c>
      <c r="G1104" s="18" t="str">
        <f>IF(装备表!$O1249=0,"xxx",IFERROR(IF(INT(IF($D1104=G$3,装备表!$E1249,"xxx")/10000)=1,IF($D1104=G$3,装备表!$E1249,"xxx")&amp;":2,1,1,"&amp;装备表!$O1249&amp;";","xxx"),"xxx"))</f>
        <v>xxx</v>
      </c>
      <c r="H1104" s="18" t="str">
        <f>IF(装备表!$O1249=0,"xxx",IFERROR(IF(INT(IF($D1104=H$3,装备表!$E1249,"xxx")/10000)=1,IF($D1104=H$3,装备表!$E1249,"xxx")&amp;":2,1,1,"&amp;装备表!$O1249&amp;";","xxx"),"xxx"))</f>
        <v>xxx</v>
      </c>
      <c r="I1104" s="18" t="str">
        <f>IF(装备表!$O1249=0,"xxx",IFERROR(IF(INT(IF($D1104=I$3,装备表!$E1249,"xxx")/10000)=1,IF($D1104=I$3,装备表!$E1249,"xxx")&amp;":2,1,1,"&amp;装备表!$O1249&amp;";","xxx"),"xxx"))</f>
        <v>xxx</v>
      </c>
      <c r="J1104" s="18" t="str">
        <f>IF(装备表!$O1249=0,"xxx",IFERROR(IF(INT(IF($D1104=J$3,装备表!$E1249,"xxx")/10000)=1,IF($D1104=J$3,装备表!$E1249,"xxx")&amp;":2,1,1,"&amp;装备表!$O1249&amp;";","xxx"),"xxx"))</f>
        <v>xxx</v>
      </c>
    </row>
    <row r="1105" spans="4:10" x14ac:dyDescent="0.2">
      <c r="D1105" s="18">
        <f>装备表!L1250</f>
        <v>0</v>
      </c>
      <c r="E1105" s="18" t="str">
        <f>IF(装备表!$O1250=0,"xxx",IFERROR(IF(INT(IF($D1105=E$3,装备表!$E1250,"xxx")/10000)=1,IF($D1105=E$3,装备表!$E1250,"xxx")&amp;":2,1,1,"&amp;装备表!$O1250&amp;";","xxx"),"xxx"))</f>
        <v>xxx</v>
      </c>
      <c r="F1105" s="18" t="str">
        <f>IF(装备表!$O1250=0,"xxx",IFERROR(IF(INT(IF($D1105=F$3,装备表!$E1250,"xxx")/10000)=1,IF($D1105=F$3,装备表!$E1250,"xxx")&amp;":2,1,1,"&amp;装备表!$O1250&amp;";","xxx"),"xxx"))</f>
        <v>xxx</v>
      </c>
      <c r="G1105" s="18" t="str">
        <f>IF(装备表!$O1250=0,"xxx",IFERROR(IF(INT(IF($D1105=G$3,装备表!$E1250,"xxx")/10000)=1,IF($D1105=G$3,装备表!$E1250,"xxx")&amp;":2,1,1,"&amp;装备表!$O1250&amp;";","xxx"),"xxx"))</f>
        <v>xxx</v>
      </c>
      <c r="H1105" s="18" t="str">
        <f>IF(装备表!$O1250=0,"xxx",IFERROR(IF(INT(IF($D1105=H$3,装备表!$E1250,"xxx")/10000)=1,IF($D1105=H$3,装备表!$E1250,"xxx")&amp;":2,1,1,"&amp;装备表!$O1250&amp;";","xxx"),"xxx"))</f>
        <v>xxx</v>
      </c>
      <c r="I1105" s="18" t="str">
        <f>IF(装备表!$O1250=0,"xxx",IFERROR(IF(INT(IF($D1105=I$3,装备表!$E1250,"xxx")/10000)=1,IF($D1105=I$3,装备表!$E1250,"xxx")&amp;":2,1,1,"&amp;装备表!$O1250&amp;";","xxx"),"xxx"))</f>
        <v>xxx</v>
      </c>
      <c r="J1105" s="18" t="str">
        <f>IF(装备表!$O1250=0,"xxx",IFERROR(IF(INT(IF($D1105=J$3,装备表!$E1250,"xxx")/10000)=1,IF($D1105=J$3,装备表!$E1250,"xxx")&amp;":2,1,1,"&amp;装备表!$O1250&amp;";","xxx"),"xxx"))</f>
        <v>xxx</v>
      </c>
    </row>
    <row r="1106" spans="4:10" x14ac:dyDescent="0.2">
      <c r="D1106" s="18">
        <f>装备表!L1251</f>
        <v>0</v>
      </c>
      <c r="E1106" s="18" t="str">
        <f>IF(装备表!$O1251=0,"xxx",IFERROR(IF(INT(IF($D1106=E$3,装备表!$E1251,"xxx")/10000)=1,IF($D1106=E$3,装备表!$E1251,"xxx")&amp;":2,1,1,"&amp;装备表!$O1251&amp;";","xxx"),"xxx"))</f>
        <v>xxx</v>
      </c>
      <c r="F1106" s="18" t="str">
        <f>IF(装备表!$O1251=0,"xxx",IFERROR(IF(INT(IF($D1106=F$3,装备表!$E1251,"xxx")/10000)=1,IF($D1106=F$3,装备表!$E1251,"xxx")&amp;":2,1,1,"&amp;装备表!$O1251&amp;";","xxx"),"xxx"))</f>
        <v>xxx</v>
      </c>
      <c r="G1106" s="18" t="str">
        <f>IF(装备表!$O1251=0,"xxx",IFERROR(IF(INT(IF($D1106=G$3,装备表!$E1251,"xxx")/10000)=1,IF($D1106=G$3,装备表!$E1251,"xxx")&amp;":2,1,1,"&amp;装备表!$O1251&amp;";","xxx"),"xxx"))</f>
        <v>xxx</v>
      </c>
      <c r="H1106" s="18" t="str">
        <f>IF(装备表!$O1251=0,"xxx",IFERROR(IF(INT(IF($D1106=H$3,装备表!$E1251,"xxx")/10000)=1,IF($D1106=H$3,装备表!$E1251,"xxx")&amp;":2,1,1,"&amp;装备表!$O1251&amp;";","xxx"),"xxx"))</f>
        <v>xxx</v>
      </c>
      <c r="I1106" s="18" t="str">
        <f>IF(装备表!$O1251=0,"xxx",IFERROR(IF(INT(IF($D1106=I$3,装备表!$E1251,"xxx")/10000)=1,IF($D1106=I$3,装备表!$E1251,"xxx")&amp;":2,1,1,"&amp;装备表!$O1251&amp;";","xxx"),"xxx"))</f>
        <v>xxx</v>
      </c>
      <c r="J1106" s="18" t="str">
        <f>IF(装备表!$O1251=0,"xxx",IFERROR(IF(INT(IF($D1106=J$3,装备表!$E1251,"xxx")/10000)=1,IF($D1106=J$3,装备表!$E1251,"xxx")&amp;":2,1,1,"&amp;装备表!$O1251&amp;";","xxx"),"xxx"))</f>
        <v>xxx</v>
      </c>
    </row>
    <row r="1107" spans="4:10" x14ac:dyDescent="0.2">
      <c r="D1107" s="18">
        <f>装备表!L1252</f>
        <v>0</v>
      </c>
      <c r="E1107" s="18" t="str">
        <f>IF(装备表!$O1252=0,"xxx",IFERROR(IF(INT(IF($D1107=E$3,装备表!$E1252,"xxx")/10000)=1,IF($D1107=E$3,装备表!$E1252,"xxx")&amp;":2,1,1,"&amp;装备表!$O1252&amp;";","xxx"),"xxx"))</f>
        <v>xxx</v>
      </c>
      <c r="F1107" s="18" t="str">
        <f>IF(装备表!$O1252=0,"xxx",IFERROR(IF(INT(IF($D1107=F$3,装备表!$E1252,"xxx")/10000)=1,IF($D1107=F$3,装备表!$E1252,"xxx")&amp;":2,1,1,"&amp;装备表!$O1252&amp;";","xxx"),"xxx"))</f>
        <v>xxx</v>
      </c>
      <c r="G1107" s="18" t="str">
        <f>IF(装备表!$O1252=0,"xxx",IFERROR(IF(INT(IF($D1107=G$3,装备表!$E1252,"xxx")/10000)=1,IF($D1107=G$3,装备表!$E1252,"xxx")&amp;":2,1,1,"&amp;装备表!$O1252&amp;";","xxx"),"xxx"))</f>
        <v>xxx</v>
      </c>
      <c r="H1107" s="18" t="str">
        <f>IF(装备表!$O1252=0,"xxx",IFERROR(IF(INT(IF($D1107=H$3,装备表!$E1252,"xxx")/10000)=1,IF($D1107=H$3,装备表!$E1252,"xxx")&amp;":2,1,1,"&amp;装备表!$O1252&amp;";","xxx"),"xxx"))</f>
        <v>xxx</v>
      </c>
      <c r="I1107" s="18" t="str">
        <f>IF(装备表!$O1252=0,"xxx",IFERROR(IF(INT(IF($D1107=I$3,装备表!$E1252,"xxx")/10000)=1,IF($D1107=I$3,装备表!$E1252,"xxx")&amp;":2,1,1,"&amp;装备表!$O1252&amp;";","xxx"),"xxx"))</f>
        <v>xxx</v>
      </c>
      <c r="J1107" s="18" t="str">
        <f>IF(装备表!$O1252=0,"xxx",IFERROR(IF(INT(IF($D1107=J$3,装备表!$E1252,"xxx")/10000)=1,IF($D1107=J$3,装备表!$E1252,"xxx")&amp;":2,1,1,"&amp;装备表!$O1252&amp;";","xxx"),"xxx"))</f>
        <v>xxx</v>
      </c>
    </row>
    <row r="1108" spans="4:10" x14ac:dyDescent="0.2">
      <c r="D1108" s="18">
        <f>装备表!L1253</f>
        <v>0</v>
      </c>
      <c r="E1108" s="18" t="str">
        <f>IF(装备表!$O1253=0,"xxx",IFERROR(IF(INT(IF($D1108=E$3,装备表!$E1253,"xxx")/10000)=1,IF($D1108=E$3,装备表!$E1253,"xxx")&amp;":2,1,1,"&amp;装备表!$O1253&amp;";","xxx"),"xxx"))</f>
        <v>xxx</v>
      </c>
      <c r="F1108" s="18" t="str">
        <f>IF(装备表!$O1253=0,"xxx",IFERROR(IF(INT(IF($D1108=F$3,装备表!$E1253,"xxx")/10000)=1,IF($D1108=F$3,装备表!$E1253,"xxx")&amp;":2,1,1,"&amp;装备表!$O1253&amp;";","xxx"),"xxx"))</f>
        <v>xxx</v>
      </c>
      <c r="G1108" s="18" t="str">
        <f>IF(装备表!$O1253=0,"xxx",IFERROR(IF(INT(IF($D1108=G$3,装备表!$E1253,"xxx")/10000)=1,IF($D1108=G$3,装备表!$E1253,"xxx")&amp;":2,1,1,"&amp;装备表!$O1253&amp;";","xxx"),"xxx"))</f>
        <v>xxx</v>
      </c>
      <c r="H1108" s="18" t="str">
        <f>IF(装备表!$O1253=0,"xxx",IFERROR(IF(INT(IF($D1108=H$3,装备表!$E1253,"xxx")/10000)=1,IF($D1108=H$3,装备表!$E1253,"xxx")&amp;":2,1,1,"&amp;装备表!$O1253&amp;";","xxx"),"xxx"))</f>
        <v>xxx</v>
      </c>
      <c r="I1108" s="18" t="str">
        <f>IF(装备表!$O1253=0,"xxx",IFERROR(IF(INT(IF($D1108=I$3,装备表!$E1253,"xxx")/10000)=1,IF($D1108=I$3,装备表!$E1253,"xxx")&amp;":2,1,1,"&amp;装备表!$O1253&amp;";","xxx"),"xxx"))</f>
        <v>xxx</v>
      </c>
      <c r="J1108" s="18" t="str">
        <f>IF(装备表!$O1253=0,"xxx",IFERROR(IF(INT(IF($D1108=J$3,装备表!$E1253,"xxx")/10000)=1,IF($D1108=J$3,装备表!$E1253,"xxx")&amp;":2,1,1,"&amp;装备表!$O1253&amp;";","xxx"),"xxx"))</f>
        <v>xxx</v>
      </c>
    </row>
    <row r="1109" spans="4:10" x14ac:dyDescent="0.2">
      <c r="D1109" s="18">
        <f>装备表!L1254</f>
        <v>0</v>
      </c>
      <c r="E1109" s="18" t="str">
        <f>IF(装备表!$O1254=0,"xxx",IFERROR(IF(INT(IF($D1109=E$3,装备表!$E1254,"xxx")/10000)=1,IF($D1109=E$3,装备表!$E1254,"xxx")&amp;":2,1,1,"&amp;装备表!$O1254&amp;";","xxx"),"xxx"))</f>
        <v>xxx</v>
      </c>
      <c r="F1109" s="18" t="str">
        <f>IF(装备表!$O1254=0,"xxx",IFERROR(IF(INT(IF($D1109=F$3,装备表!$E1254,"xxx")/10000)=1,IF($D1109=F$3,装备表!$E1254,"xxx")&amp;":2,1,1,"&amp;装备表!$O1254&amp;";","xxx"),"xxx"))</f>
        <v>xxx</v>
      </c>
      <c r="G1109" s="18" t="str">
        <f>IF(装备表!$O1254=0,"xxx",IFERROR(IF(INT(IF($D1109=G$3,装备表!$E1254,"xxx")/10000)=1,IF($D1109=G$3,装备表!$E1254,"xxx")&amp;":2,1,1,"&amp;装备表!$O1254&amp;";","xxx"),"xxx"))</f>
        <v>xxx</v>
      </c>
      <c r="H1109" s="18" t="str">
        <f>IF(装备表!$O1254=0,"xxx",IFERROR(IF(INT(IF($D1109=H$3,装备表!$E1254,"xxx")/10000)=1,IF($D1109=H$3,装备表!$E1254,"xxx")&amp;":2,1,1,"&amp;装备表!$O1254&amp;";","xxx"),"xxx"))</f>
        <v>xxx</v>
      </c>
      <c r="I1109" s="18" t="str">
        <f>IF(装备表!$O1254=0,"xxx",IFERROR(IF(INT(IF($D1109=I$3,装备表!$E1254,"xxx")/10000)=1,IF($D1109=I$3,装备表!$E1254,"xxx")&amp;":2,1,1,"&amp;装备表!$O1254&amp;";","xxx"),"xxx"))</f>
        <v>xxx</v>
      </c>
      <c r="J1109" s="18" t="str">
        <f>IF(装备表!$O1254=0,"xxx",IFERROR(IF(INT(IF($D1109=J$3,装备表!$E1254,"xxx")/10000)=1,IF($D1109=J$3,装备表!$E1254,"xxx")&amp;":2,1,1,"&amp;装备表!$O1254&amp;";","xxx"),"xxx"))</f>
        <v>xxx</v>
      </c>
    </row>
    <row r="1110" spans="4:10" x14ac:dyDescent="0.2">
      <c r="D1110" s="18">
        <f>装备表!L1255</f>
        <v>0</v>
      </c>
      <c r="E1110" s="18" t="str">
        <f>IF(装备表!$O1255=0,"xxx",IFERROR(IF(INT(IF($D1110=E$3,装备表!$E1255,"xxx")/10000)=1,IF($D1110=E$3,装备表!$E1255,"xxx")&amp;":2,1,1,"&amp;装备表!$O1255&amp;";","xxx"),"xxx"))</f>
        <v>xxx</v>
      </c>
      <c r="F1110" s="18" t="str">
        <f>IF(装备表!$O1255=0,"xxx",IFERROR(IF(INT(IF($D1110=F$3,装备表!$E1255,"xxx")/10000)=1,IF($D1110=F$3,装备表!$E1255,"xxx")&amp;":2,1,1,"&amp;装备表!$O1255&amp;";","xxx"),"xxx"))</f>
        <v>xxx</v>
      </c>
      <c r="G1110" s="18" t="str">
        <f>IF(装备表!$O1255=0,"xxx",IFERROR(IF(INT(IF($D1110=G$3,装备表!$E1255,"xxx")/10000)=1,IF($D1110=G$3,装备表!$E1255,"xxx")&amp;":2,1,1,"&amp;装备表!$O1255&amp;";","xxx"),"xxx"))</f>
        <v>xxx</v>
      </c>
      <c r="H1110" s="18" t="str">
        <f>IF(装备表!$O1255=0,"xxx",IFERROR(IF(INT(IF($D1110=H$3,装备表!$E1255,"xxx")/10000)=1,IF($D1110=H$3,装备表!$E1255,"xxx")&amp;":2,1,1,"&amp;装备表!$O1255&amp;";","xxx"),"xxx"))</f>
        <v>xxx</v>
      </c>
      <c r="I1110" s="18" t="str">
        <f>IF(装备表!$O1255=0,"xxx",IFERROR(IF(INT(IF($D1110=I$3,装备表!$E1255,"xxx")/10000)=1,IF($D1110=I$3,装备表!$E1255,"xxx")&amp;":2,1,1,"&amp;装备表!$O1255&amp;";","xxx"),"xxx"))</f>
        <v>xxx</v>
      </c>
      <c r="J1110" s="18" t="str">
        <f>IF(装备表!$O1255=0,"xxx",IFERROR(IF(INT(IF($D1110=J$3,装备表!$E1255,"xxx")/10000)=1,IF($D1110=J$3,装备表!$E1255,"xxx")&amp;":2,1,1,"&amp;装备表!$O1255&amp;";","xxx"),"xxx"))</f>
        <v>xxx</v>
      </c>
    </row>
    <row r="1111" spans="4:10" x14ac:dyDescent="0.2">
      <c r="D1111" s="18">
        <f>装备表!L1256</f>
        <v>0</v>
      </c>
      <c r="E1111" s="18" t="str">
        <f>IF(装备表!$O1256=0,"xxx",IFERROR(IF(INT(IF($D1111=E$3,装备表!$E1256,"xxx")/10000)=1,IF($D1111=E$3,装备表!$E1256,"xxx")&amp;":2,1,1,"&amp;装备表!$O1256&amp;";","xxx"),"xxx"))</f>
        <v>xxx</v>
      </c>
      <c r="F1111" s="18" t="str">
        <f>IF(装备表!$O1256=0,"xxx",IFERROR(IF(INT(IF($D1111=F$3,装备表!$E1256,"xxx")/10000)=1,IF($D1111=F$3,装备表!$E1256,"xxx")&amp;":2,1,1,"&amp;装备表!$O1256&amp;";","xxx"),"xxx"))</f>
        <v>xxx</v>
      </c>
      <c r="G1111" s="18" t="str">
        <f>IF(装备表!$O1256=0,"xxx",IFERROR(IF(INT(IF($D1111=G$3,装备表!$E1256,"xxx")/10000)=1,IF($D1111=G$3,装备表!$E1256,"xxx")&amp;":2,1,1,"&amp;装备表!$O1256&amp;";","xxx"),"xxx"))</f>
        <v>xxx</v>
      </c>
      <c r="H1111" s="18" t="str">
        <f>IF(装备表!$O1256=0,"xxx",IFERROR(IF(INT(IF($D1111=H$3,装备表!$E1256,"xxx")/10000)=1,IF($D1111=H$3,装备表!$E1256,"xxx")&amp;":2,1,1,"&amp;装备表!$O1256&amp;";","xxx"),"xxx"))</f>
        <v>xxx</v>
      </c>
      <c r="I1111" s="18" t="str">
        <f>IF(装备表!$O1256=0,"xxx",IFERROR(IF(INT(IF($D1111=I$3,装备表!$E1256,"xxx")/10000)=1,IF($D1111=I$3,装备表!$E1256,"xxx")&amp;":2,1,1,"&amp;装备表!$O1256&amp;";","xxx"),"xxx"))</f>
        <v>xxx</v>
      </c>
      <c r="J1111" s="18" t="str">
        <f>IF(装备表!$O1256=0,"xxx",IFERROR(IF(INT(IF($D1111=J$3,装备表!$E1256,"xxx")/10000)=1,IF($D1111=J$3,装备表!$E1256,"xxx")&amp;":2,1,1,"&amp;装备表!$O1256&amp;";","xxx"),"xxx"))</f>
        <v>xxx</v>
      </c>
    </row>
    <row r="1112" spans="4:10" x14ac:dyDescent="0.2">
      <c r="D1112" s="18">
        <f>装备表!L1257</f>
        <v>0</v>
      </c>
      <c r="E1112" s="18" t="str">
        <f>IF(装备表!$O1257=0,"xxx",IFERROR(IF(INT(IF($D1112=E$3,装备表!$E1257,"xxx")/10000)=1,IF($D1112=E$3,装备表!$E1257,"xxx")&amp;":2,1,1,"&amp;装备表!$O1257&amp;";","xxx"),"xxx"))</f>
        <v>xxx</v>
      </c>
      <c r="F1112" s="18" t="str">
        <f>IF(装备表!$O1257=0,"xxx",IFERROR(IF(INT(IF($D1112=F$3,装备表!$E1257,"xxx")/10000)=1,IF($D1112=F$3,装备表!$E1257,"xxx")&amp;":2,1,1,"&amp;装备表!$O1257&amp;";","xxx"),"xxx"))</f>
        <v>xxx</v>
      </c>
      <c r="G1112" s="18" t="str">
        <f>IF(装备表!$O1257=0,"xxx",IFERROR(IF(INT(IF($D1112=G$3,装备表!$E1257,"xxx")/10000)=1,IF($D1112=G$3,装备表!$E1257,"xxx")&amp;":2,1,1,"&amp;装备表!$O1257&amp;";","xxx"),"xxx"))</f>
        <v>xxx</v>
      </c>
      <c r="H1112" s="18" t="str">
        <f>IF(装备表!$O1257=0,"xxx",IFERROR(IF(INT(IF($D1112=H$3,装备表!$E1257,"xxx")/10000)=1,IF($D1112=H$3,装备表!$E1257,"xxx")&amp;":2,1,1,"&amp;装备表!$O1257&amp;";","xxx"),"xxx"))</f>
        <v>xxx</v>
      </c>
      <c r="I1112" s="18" t="str">
        <f>IF(装备表!$O1257=0,"xxx",IFERROR(IF(INT(IF($D1112=I$3,装备表!$E1257,"xxx")/10000)=1,IF($D1112=I$3,装备表!$E1257,"xxx")&amp;":2,1,1,"&amp;装备表!$O1257&amp;";","xxx"),"xxx"))</f>
        <v>xxx</v>
      </c>
      <c r="J1112" s="18" t="str">
        <f>IF(装备表!$O1257=0,"xxx",IFERROR(IF(INT(IF($D1112=J$3,装备表!$E1257,"xxx")/10000)=1,IF($D1112=J$3,装备表!$E1257,"xxx")&amp;":2,1,1,"&amp;装备表!$O1257&amp;";","xxx"),"xxx"))</f>
        <v>xxx</v>
      </c>
    </row>
    <row r="1113" spans="4:10" x14ac:dyDescent="0.2">
      <c r="D1113" s="18">
        <f>装备表!L1258</f>
        <v>0</v>
      </c>
      <c r="E1113" s="18" t="str">
        <f>IF(装备表!$O1258=0,"xxx",IFERROR(IF(INT(IF($D1113=E$3,装备表!$E1258,"xxx")/10000)=1,IF($D1113=E$3,装备表!$E1258,"xxx")&amp;":2,1,1,"&amp;装备表!$O1258&amp;";","xxx"),"xxx"))</f>
        <v>xxx</v>
      </c>
      <c r="F1113" s="18" t="str">
        <f>IF(装备表!$O1258=0,"xxx",IFERROR(IF(INT(IF($D1113=F$3,装备表!$E1258,"xxx")/10000)=1,IF($D1113=F$3,装备表!$E1258,"xxx")&amp;":2,1,1,"&amp;装备表!$O1258&amp;";","xxx"),"xxx"))</f>
        <v>xxx</v>
      </c>
      <c r="G1113" s="18" t="str">
        <f>IF(装备表!$O1258=0,"xxx",IFERROR(IF(INT(IF($D1113=G$3,装备表!$E1258,"xxx")/10000)=1,IF($D1113=G$3,装备表!$E1258,"xxx")&amp;":2,1,1,"&amp;装备表!$O1258&amp;";","xxx"),"xxx"))</f>
        <v>xxx</v>
      </c>
      <c r="H1113" s="18" t="str">
        <f>IF(装备表!$O1258=0,"xxx",IFERROR(IF(INT(IF($D1113=H$3,装备表!$E1258,"xxx")/10000)=1,IF($D1113=H$3,装备表!$E1258,"xxx")&amp;":2,1,1,"&amp;装备表!$O1258&amp;";","xxx"),"xxx"))</f>
        <v>xxx</v>
      </c>
      <c r="I1113" s="18" t="str">
        <f>IF(装备表!$O1258=0,"xxx",IFERROR(IF(INT(IF($D1113=I$3,装备表!$E1258,"xxx")/10000)=1,IF($D1113=I$3,装备表!$E1258,"xxx")&amp;":2,1,1,"&amp;装备表!$O1258&amp;";","xxx"),"xxx"))</f>
        <v>xxx</v>
      </c>
      <c r="J1113" s="18" t="str">
        <f>IF(装备表!$O1258=0,"xxx",IFERROR(IF(INT(IF($D1113=J$3,装备表!$E1258,"xxx")/10000)=1,IF($D1113=J$3,装备表!$E1258,"xxx")&amp;":2,1,1,"&amp;装备表!$O1258&amp;";","xxx"),"xxx"))</f>
        <v>xxx</v>
      </c>
    </row>
    <row r="1114" spans="4:10" x14ac:dyDescent="0.2">
      <c r="D1114" s="18">
        <f>装备表!L1259</f>
        <v>0</v>
      </c>
      <c r="E1114" s="18" t="str">
        <f>IF(装备表!$O1259=0,"xxx",IFERROR(IF(INT(IF($D1114=E$3,装备表!$E1259,"xxx")/10000)=1,IF($D1114=E$3,装备表!$E1259,"xxx")&amp;":2,1,1,"&amp;装备表!$O1259&amp;";","xxx"),"xxx"))</f>
        <v>xxx</v>
      </c>
      <c r="F1114" s="18" t="str">
        <f>IF(装备表!$O1259=0,"xxx",IFERROR(IF(INT(IF($D1114=F$3,装备表!$E1259,"xxx")/10000)=1,IF($D1114=F$3,装备表!$E1259,"xxx")&amp;":2,1,1,"&amp;装备表!$O1259&amp;";","xxx"),"xxx"))</f>
        <v>xxx</v>
      </c>
      <c r="G1114" s="18" t="str">
        <f>IF(装备表!$O1259=0,"xxx",IFERROR(IF(INT(IF($D1114=G$3,装备表!$E1259,"xxx")/10000)=1,IF($D1114=G$3,装备表!$E1259,"xxx")&amp;":2,1,1,"&amp;装备表!$O1259&amp;";","xxx"),"xxx"))</f>
        <v>xxx</v>
      </c>
      <c r="H1114" s="18" t="str">
        <f>IF(装备表!$O1259=0,"xxx",IFERROR(IF(INT(IF($D1114=H$3,装备表!$E1259,"xxx")/10000)=1,IF($D1114=H$3,装备表!$E1259,"xxx")&amp;":2,1,1,"&amp;装备表!$O1259&amp;";","xxx"),"xxx"))</f>
        <v>xxx</v>
      </c>
      <c r="I1114" s="18" t="str">
        <f>IF(装备表!$O1259=0,"xxx",IFERROR(IF(INT(IF($D1114=I$3,装备表!$E1259,"xxx")/10000)=1,IF($D1114=I$3,装备表!$E1259,"xxx")&amp;":2,1,1,"&amp;装备表!$O1259&amp;";","xxx"),"xxx"))</f>
        <v>xxx</v>
      </c>
      <c r="J1114" s="18" t="str">
        <f>IF(装备表!$O1259=0,"xxx",IFERROR(IF(INT(IF($D1114=J$3,装备表!$E1259,"xxx")/10000)=1,IF($D1114=J$3,装备表!$E1259,"xxx")&amp;":2,1,1,"&amp;装备表!$O1259&amp;";","xxx"),"xxx"))</f>
        <v>xxx</v>
      </c>
    </row>
    <row r="1115" spans="4:10" x14ac:dyDescent="0.2">
      <c r="D1115" s="18">
        <f>装备表!L1260</f>
        <v>0</v>
      </c>
      <c r="E1115" s="18" t="str">
        <f>IF(装备表!$O1260=0,"xxx",IFERROR(IF(INT(IF($D1115=E$3,装备表!$E1260,"xxx")/10000)=1,IF($D1115=E$3,装备表!$E1260,"xxx")&amp;":2,1,1,"&amp;装备表!$O1260&amp;";","xxx"),"xxx"))</f>
        <v>xxx</v>
      </c>
      <c r="F1115" s="18" t="str">
        <f>IF(装备表!$O1260=0,"xxx",IFERROR(IF(INT(IF($D1115=F$3,装备表!$E1260,"xxx")/10000)=1,IF($D1115=F$3,装备表!$E1260,"xxx")&amp;":2,1,1,"&amp;装备表!$O1260&amp;";","xxx"),"xxx"))</f>
        <v>xxx</v>
      </c>
      <c r="G1115" s="18" t="str">
        <f>IF(装备表!$O1260=0,"xxx",IFERROR(IF(INT(IF($D1115=G$3,装备表!$E1260,"xxx")/10000)=1,IF($D1115=G$3,装备表!$E1260,"xxx")&amp;":2,1,1,"&amp;装备表!$O1260&amp;";","xxx"),"xxx"))</f>
        <v>xxx</v>
      </c>
      <c r="H1115" s="18" t="str">
        <f>IF(装备表!$O1260=0,"xxx",IFERROR(IF(INT(IF($D1115=H$3,装备表!$E1260,"xxx")/10000)=1,IF($D1115=H$3,装备表!$E1260,"xxx")&amp;":2,1,1,"&amp;装备表!$O1260&amp;";","xxx"),"xxx"))</f>
        <v>xxx</v>
      </c>
      <c r="I1115" s="18" t="str">
        <f>IF(装备表!$O1260=0,"xxx",IFERROR(IF(INT(IF($D1115=I$3,装备表!$E1260,"xxx")/10000)=1,IF($D1115=I$3,装备表!$E1260,"xxx")&amp;":2,1,1,"&amp;装备表!$O1260&amp;";","xxx"),"xxx"))</f>
        <v>xxx</v>
      </c>
      <c r="J1115" s="18" t="str">
        <f>IF(装备表!$O1260=0,"xxx",IFERROR(IF(INT(IF($D1115=J$3,装备表!$E1260,"xxx")/10000)=1,IF($D1115=J$3,装备表!$E1260,"xxx")&amp;":2,1,1,"&amp;装备表!$O1260&amp;";","xxx"),"xxx"))</f>
        <v>xxx</v>
      </c>
    </row>
    <row r="1116" spans="4:10" x14ac:dyDescent="0.2">
      <c r="D1116" s="18">
        <f>装备表!L1261</f>
        <v>0</v>
      </c>
      <c r="E1116" s="18" t="str">
        <f>IF(装备表!$O1261=0,"xxx",IFERROR(IF(INT(IF($D1116=E$3,装备表!$E1261,"xxx")/10000)=1,IF($D1116=E$3,装备表!$E1261,"xxx")&amp;":2,1,1,"&amp;装备表!$O1261&amp;";","xxx"),"xxx"))</f>
        <v>xxx</v>
      </c>
      <c r="F1116" s="18" t="str">
        <f>IF(装备表!$O1261=0,"xxx",IFERROR(IF(INT(IF($D1116=F$3,装备表!$E1261,"xxx")/10000)=1,IF($D1116=F$3,装备表!$E1261,"xxx")&amp;":2,1,1,"&amp;装备表!$O1261&amp;";","xxx"),"xxx"))</f>
        <v>xxx</v>
      </c>
      <c r="G1116" s="18" t="str">
        <f>IF(装备表!$O1261=0,"xxx",IFERROR(IF(INT(IF($D1116=G$3,装备表!$E1261,"xxx")/10000)=1,IF($D1116=G$3,装备表!$E1261,"xxx")&amp;":2,1,1,"&amp;装备表!$O1261&amp;";","xxx"),"xxx"))</f>
        <v>xxx</v>
      </c>
      <c r="H1116" s="18" t="str">
        <f>IF(装备表!$O1261=0,"xxx",IFERROR(IF(INT(IF($D1116=H$3,装备表!$E1261,"xxx")/10000)=1,IF($D1116=H$3,装备表!$E1261,"xxx")&amp;":2,1,1,"&amp;装备表!$O1261&amp;";","xxx"),"xxx"))</f>
        <v>xxx</v>
      </c>
      <c r="I1116" s="18" t="str">
        <f>IF(装备表!$O1261=0,"xxx",IFERROR(IF(INT(IF($D1116=I$3,装备表!$E1261,"xxx")/10000)=1,IF($D1116=I$3,装备表!$E1261,"xxx")&amp;":2,1,1,"&amp;装备表!$O1261&amp;";","xxx"),"xxx"))</f>
        <v>xxx</v>
      </c>
      <c r="J1116" s="18" t="str">
        <f>IF(装备表!$O1261=0,"xxx",IFERROR(IF(INT(IF($D1116=J$3,装备表!$E1261,"xxx")/10000)=1,IF($D1116=J$3,装备表!$E1261,"xxx")&amp;":2,1,1,"&amp;装备表!$O1261&amp;";","xxx"),"xxx"))</f>
        <v>xxx</v>
      </c>
    </row>
    <row r="1117" spans="4:10" x14ac:dyDescent="0.2">
      <c r="D1117" s="18">
        <f>装备表!L1262</f>
        <v>0</v>
      </c>
      <c r="E1117" s="18" t="str">
        <f>IF(装备表!$O1262=0,"xxx",IFERROR(IF(INT(IF($D1117=E$3,装备表!$E1262,"xxx")/10000)=1,IF($D1117=E$3,装备表!$E1262,"xxx")&amp;":2,1,1,"&amp;装备表!$O1262&amp;";","xxx"),"xxx"))</f>
        <v>xxx</v>
      </c>
      <c r="F1117" s="18" t="str">
        <f>IF(装备表!$O1262=0,"xxx",IFERROR(IF(INT(IF($D1117=F$3,装备表!$E1262,"xxx")/10000)=1,IF($D1117=F$3,装备表!$E1262,"xxx")&amp;":2,1,1,"&amp;装备表!$O1262&amp;";","xxx"),"xxx"))</f>
        <v>xxx</v>
      </c>
      <c r="G1117" s="18" t="str">
        <f>IF(装备表!$O1262=0,"xxx",IFERROR(IF(INT(IF($D1117=G$3,装备表!$E1262,"xxx")/10000)=1,IF($D1117=G$3,装备表!$E1262,"xxx")&amp;":2,1,1,"&amp;装备表!$O1262&amp;";","xxx"),"xxx"))</f>
        <v>xxx</v>
      </c>
      <c r="H1117" s="18" t="str">
        <f>IF(装备表!$O1262=0,"xxx",IFERROR(IF(INT(IF($D1117=H$3,装备表!$E1262,"xxx")/10000)=1,IF($D1117=H$3,装备表!$E1262,"xxx")&amp;":2,1,1,"&amp;装备表!$O1262&amp;";","xxx"),"xxx"))</f>
        <v>xxx</v>
      </c>
      <c r="I1117" s="18" t="str">
        <f>IF(装备表!$O1262=0,"xxx",IFERROR(IF(INT(IF($D1117=I$3,装备表!$E1262,"xxx")/10000)=1,IF($D1117=I$3,装备表!$E1262,"xxx")&amp;":2,1,1,"&amp;装备表!$O1262&amp;";","xxx"),"xxx"))</f>
        <v>xxx</v>
      </c>
      <c r="J1117" s="18" t="str">
        <f>IF(装备表!$O1262=0,"xxx",IFERROR(IF(INT(IF($D1117=J$3,装备表!$E1262,"xxx")/10000)=1,IF($D1117=J$3,装备表!$E1262,"xxx")&amp;":2,1,1,"&amp;装备表!$O1262&amp;";","xxx"),"xxx"))</f>
        <v>xxx</v>
      </c>
    </row>
    <row r="1118" spans="4:10" x14ac:dyDescent="0.2">
      <c r="D1118" s="18">
        <f>装备表!L1263</f>
        <v>0</v>
      </c>
      <c r="E1118" s="18" t="str">
        <f>IF(装备表!$O1263=0,"xxx",IFERROR(IF(INT(IF($D1118=E$3,装备表!$E1263,"xxx")/10000)=1,IF($D1118=E$3,装备表!$E1263,"xxx")&amp;":2,1,1,"&amp;装备表!$O1263&amp;";","xxx"),"xxx"))</f>
        <v>xxx</v>
      </c>
      <c r="F1118" s="18" t="str">
        <f>IF(装备表!$O1263=0,"xxx",IFERROR(IF(INT(IF($D1118=F$3,装备表!$E1263,"xxx")/10000)=1,IF($D1118=F$3,装备表!$E1263,"xxx")&amp;":2,1,1,"&amp;装备表!$O1263&amp;";","xxx"),"xxx"))</f>
        <v>xxx</v>
      </c>
      <c r="G1118" s="18" t="str">
        <f>IF(装备表!$O1263=0,"xxx",IFERROR(IF(INT(IF($D1118=G$3,装备表!$E1263,"xxx")/10000)=1,IF($D1118=G$3,装备表!$E1263,"xxx")&amp;":2,1,1,"&amp;装备表!$O1263&amp;";","xxx"),"xxx"))</f>
        <v>xxx</v>
      </c>
      <c r="H1118" s="18" t="str">
        <f>IF(装备表!$O1263=0,"xxx",IFERROR(IF(INT(IF($D1118=H$3,装备表!$E1263,"xxx")/10000)=1,IF($D1118=H$3,装备表!$E1263,"xxx")&amp;":2,1,1,"&amp;装备表!$O1263&amp;";","xxx"),"xxx"))</f>
        <v>xxx</v>
      </c>
      <c r="I1118" s="18" t="str">
        <f>IF(装备表!$O1263=0,"xxx",IFERROR(IF(INT(IF($D1118=I$3,装备表!$E1263,"xxx")/10000)=1,IF($D1118=I$3,装备表!$E1263,"xxx")&amp;":2,1,1,"&amp;装备表!$O1263&amp;";","xxx"),"xxx"))</f>
        <v>xxx</v>
      </c>
      <c r="J1118" s="18" t="str">
        <f>IF(装备表!$O1263=0,"xxx",IFERROR(IF(INT(IF($D1118=J$3,装备表!$E1263,"xxx")/10000)=1,IF($D1118=J$3,装备表!$E1263,"xxx")&amp;":2,1,1,"&amp;装备表!$O1263&amp;";","xxx"),"xxx"))</f>
        <v>xxx</v>
      </c>
    </row>
    <row r="1119" spans="4:10" x14ac:dyDescent="0.2">
      <c r="D1119" s="18">
        <f>装备表!L1264</f>
        <v>0</v>
      </c>
      <c r="E1119" s="18" t="str">
        <f>IF(装备表!$O1264=0,"xxx",IFERROR(IF(INT(IF($D1119=E$3,装备表!$E1264,"xxx")/10000)=1,IF($D1119=E$3,装备表!$E1264,"xxx")&amp;":2,1,1,"&amp;装备表!$O1264&amp;";","xxx"),"xxx"))</f>
        <v>xxx</v>
      </c>
      <c r="F1119" s="18" t="str">
        <f>IF(装备表!$O1264=0,"xxx",IFERROR(IF(INT(IF($D1119=F$3,装备表!$E1264,"xxx")/10000)=1,IF($D1119=F$3,装备表!$E1264,"xxx")&amp;":2,1,1,"&amp;装备表!$O1264&amp;";","xxx"),"xxx"))</f>
        <v>xxx</v>
      </c>
      <c r="G1119" s="18" t="str">
        <f>IF(装备表!$O1264=0,"xxx",IFERROR(IF(INT(IF($D1119=G$3,装备表!$E1264,"xxx")/10000)=1,IF($D1119=G$3,装备表!$E1264,"xxx")&amp;":2,1,1,"&amp;装备表!$O1264&amp;";","xxx"),"xxx"))</f>
        <v>xxx</v>
      </c>
      <c r="H1119" s="18" t="str">
        <f>IF(装备表!$O1264=0,"xxx",IFERROR(IF(INT(IF($D1119=H$3,装备表!$E1264,"xxx")/10000)=1,IF($D1119=H$3,装备表!$E1264,"xxx")&amp;":2,1,1,"&amp;装备表!$O1264&amp;";","xxx"),"xxx"))</f>
        <v>xxx</v>
      </c>
      <c r="I1119" s="18" t="str">
        <f>IF(装备表!$O1264=0,"xxx",IFERROR(IF(INT(IF($D1119=I$3,装备表!$E1264,"xxx")/10000)=1,IF($D1119=I$3,装备表!$E1264,"xxx")&amp;":2,1,1,"&amp;装备表!$O1264&amp;";","xxx"),"xxx"))</f>
        <v>xxx</v>
      </c>
      <c r="J1119" s="18" t="str">
        <f>IF(装备表!$O1264=0,"xxx",IFERROR(IF(INT(IF($D1119=J$3,装备表!$E1264,"xxx")/10000)=1,IF($D1119=J$3,装备表!$E1264,"xxx")&amp;":2,1,1,"&amp;装备表!$O1264&amp;";","xxx"),"xxx"))</f>
        <v>xxx</v>
      </c>
    </row>
    <row r="1120" spans="4:10" x14ac:dyDescent="0.2">
      <c r="D1120" s="18">
        <f>装备表!L1265</f>
        <v>0</v>
      </c>
      <c r="E1120" s="18" t="str">
        <f>IF(装备表!$O1265=0,"xxx",IFERROR(IF(INT(IF($D1120=E$3,装备表!$E1265,"xxx")/10000)=1,IF($D1120=E$3,装备表!$E1265,"xxx")&amp;":2,1,1,"&amp;装备表!$O1265&amp;";","xxx"),"xxx"))</f>
        <v>xxx</v>
      </c>
      <c r="F1120" s="18" t="str">
        <f>IF(装备表!$O1265=0,"xxx",IFERROR(IF(INT(IF($D1120=F$3,装备表!$E1265,"xxx")/10000)=1,IF($D1120=F$3,装备表!$E1265,"xxx")&amp;":2,1,1,"&amp;装备表!$O1265&amp;";","xxx"),"xxx"))</f>
        <v>xxx</v>
      </c>
      <c r="G1120" s="18" t="str">
        <f>IF(装备表!$O1265=0,"xxx",IFERROR(IF(INT(IF($D1120=G$3,装备表!$E1265,"xxx")/10000)=1,IF($D1120=G$3,装备表!$E1265,"xxx")&amp;":2,1,1,"&amp;装备表!$O1265&amp;";","xxx"),"xxx"))</f>
        <v>xxx</v>
      </c>
      <c r="H1120" s="18" t="str">
        <f>IF(装备表!$O1265=0,"xxx",IFERROR(IF(INT(IF($D1120=H$3,装备表!$E1265,"xxx")/10000)=1,IF($D1120=H$3,装备表!$E1265,"xxx")&amp;":2,1,1,"&amp;装备表!$O1265&amp;";","xxx"),"xxx"))</f>
        <v>xxx</v>
      </c>
      <c r="I1120" s="18" t="str">
        <f>IF(装备表!$O1265=0,"xxx",IFERROR(IF(INT(IF($D1120=I$3,装备表!$E1265,"xxx")/10000)=1,IF($D1120=I$3,装备表!$E1265,"xxx")&amp;":2,1,1,"&amp;装备表!$O1265&amp;";","xxx"),"xxx"))</f>
        <v>xxx</v>
      </c>
      <c r="J1120" s="18" t="str">
        <f>IF(装备表!$O1265=0,"xxx",IFERROR(IF(INT(IF($D1120=J$3,装备表!$E1265,"xxx")/10000)=1,IF($D1120=J$3,装备表!$E1265,"xxx")&amp;":2,1,1,"&amp;装备表!$O1265&amp;";","xxx"),"xxx"))</f>
        <v>xxx</v>
      </c>
    </row>
    <row r="1121" spans="4:10" x14ac:dyDescent="0.2">
      <c r="D1121" s="18">
        <f>装备表!L1266</f>
        <v>0</v>
      </c>
      <c r="E1121" s="18" t="str">
        <f>IF(装备表!$O1266=0,"xxx",IFERROR(IF(INT(IF($D1121=E$3,装备表!$E1266,"xxx")/10000)=1,IF($D1121=E$3,装备表!$E1266,"xxx")&amp;":2,1,1,"&amp;装备表!$O1266&amp;";","xxx"),"xxx"))</f>
        <v>xxx</v>
      </c>
      <c r="F1121" s="18" t="str">
        <f>IF(装备表!$O1266=0,"xxx",IFERROR(IF(INT(IF($D1121=F$3,装备表!$E1266,"xxx")/10000)=1,IF($D1121=F$3,装备表!$E1266,"xxx")&amp;":2,1,1,"&amp;装备表!$O1266&amp;";","xxx"),"xxx"))</f>
        <v>xxx</v>
      </c>
      <c r="G1121" s="18" t="str">
        <f>IF(装备表!$O1266=0,"xxx",IFERROR(IF(INT(IF($D1121=G$3,装备表!$E1266,"xxx")/10000)=1,IF($D1121=G$3,装备表!$E1266,"xxx")&amp;":2,1,1,"&amp;装备表!$O1266&amp;";","xxx"),"xxx"))</f>
        <v>xxx</v>
      </c>
      <c r="H1121" s="18" t="str">
        <f>IF(装备表!$O1266=0,"xxx",IFERROR(IF(INT(IF($D1121=H$3,装备表!$E1266,"xxx")/10000)=1,IF($D1121=H$3,装备表!$E1266,"xxx")&amp;":2,1,1,"&amp;装备表!$O1266&amp;";","xxx"),"xxx"))</f>
        <v>xxx</v>
      </c>
      <c r="I1121" s="18" t="str">
        <f>IF(装备表!$O1266=0,"xxx",IFERROR(IF(INT(IF($D1121=I$3,装备表!$E1266,"xxx")/10000)=1,IF($D1121=I$3,装备表!$E1266,"xxx")&amp;":2,1,1,"&amp;装备表!$O1266&amp;";","xxx"),"xxx"))</f>
        <v>xxx</v>
      </c>
      <c r="J1121" s="18" t="str">
        <f>IF(装备表!$O1266=0,"xxx",IFERROR(IF(INT(IF($D1121=J$3,装备表!$E1266,"xxx")/10000)=1,IF($D1121=J$3,装备表!$E1266,"xxx")&amp;":2,1,1,"&amp;装备表!$O1266&amp;";","xxx"),"xxx"))</f>
        <v>xxx</v>
      </c>
    </row>
    <row r="1122" spans="4:10" x14ac:dyDescent="0.2">
      <c r="D1122" s="18">
        <f>装备表!L1267</f>
        <v>0</v>
      </c>
      <c r="E1122" s="18" t="str">
        <f>IF(装备表!$O1267=0,"xxx",IFERROR(IF(INT(IF($D1122=E$3,装备表!$E1267,"xxx")/10000)=1,IF($D1122=E$3,装备表!$E1267,"xxx")&amp;":2,1,1,"&amp;装备表!$O1267&amp;";","xxx"),"xxx"))</f>
        <v>xxx</v>
      </c>
      <c r="F1122" s="18" t="str">
        <f>IF(装备表!$O1267=0,"xxx",IFERROR(IF(INT(IF($D1122=F$3,装备表!$E1267,"xxx")/10000)=1,IF($D1122=F$3,装备表!$E1267,"xxx")&amp;":2,1,1,"&amp;装备表!$O1267&amp;";","xxx"),"xxx"))</f>
        <v>xxx</v>
      </c>
      <c r="G1122" s="18" t="str">
        <f>IF(装备表!$O1267=0,"xxx",IFERROR(IF(INT(IF($D1122=G$3,装备表!$E1267,"xxx")/10000)=1,IF($D1122=G$3,装备表!$E1267,"xxx")&amp;":2,1,1,"&amp;装备表!$O1267&amp;";","xxx"),"xxx"))</f>
        <v>xxx</v>
      </c>
      <c r="H1122" s="18" t="str">
        <f>IF(装备表!$O1267=0,"xxx",IFERROR(IF(INT(IF($D1122=H$3,装备表!$E1267,"xxx")/10000)=1,IF($D1122=H$3,装备表!$E1267,"xxx")&amp;":2,1,1,"&amp;装备表!$O1267&amp;";","xxx"),"xxx"))</f>
        <v>xxx</v>
      </c>
      <c r="I1122" s="18" t="str">
        <f>IF(装备表!$O1267=0,"xxx",IFERROR(IF(INT(IF($D1122=I$3,装备表!$E1267,"xxx")/10000)=1,IF($D1122=I$3,装备表!$E1267,"xxx")&amp;":2,1,1,"&amp;装备表!$O1267&amp;";","xxx"),"xxx"))</f>
        <v>xxx</v>
      </c>
      <c r="J1122" s="18" t="str">
        <f>IF(装备表!$O1267=0,"xxx",IFERROR(IF(INT(IF($D1122=J$3,装备表!$E1267,"xxx")/10000)=1,IF($D1122=J$3,装备表!$E1267,"xxx")&amp;":2,1,1,"&amp;装备表!$O1267&amp;";","xxx"),"xxx"))</f>
        <v>xxx</v>
      </c>
    </row>
    <row r="1123" spans="4:10" x14ac:dyDescent="0.2">
      <c r="D1123" s="18">
        <f>装备表!L1268</f>
        <v>0</v>
      </c>
      <c r="E1123" s="18" t="str">
        <f>IF(装备表!$O1268=0,"xxx",IFERROR(IF(INT(IF($D1123=E$3,装备表!$E1268,"xxx")/10000)=1,IF($D1123=E$3,装备表!$E1268,"xxx")&amp;":2,1,1,"&amp;装备表!$O1268&amp;";","xxx"),"xxx"))</f>
        <v>xxx</v>
      </c>
      <c r="F1123" s="18" t="str">
        <f>IF(装备表!$O1268=0,"xxx",IFERROR(IF(INT(IF($D1123=F$3,装备表!$E1268,"xxx")/10000)=1,IF($D1123=F$3,装备表!$E1268,"xxx")&amp;":2,1,1,"&amp;装备表!$O1268&amp;";","xxx"),"xxx"))</f>
        <v>xxx</v>
      </c>
      <c r="G1123" s="18" t="str">
        <f>IF(装备表!$O1268=0,"xxx",IFERROR(IF(INT(IF($D1123=G$3,装备表!$E1268,"xxx")/10000)=1,IF($D1123=G$3,装备表!$E1268,"xxx")&amp;":2,1,1,"&amp;装备表!$O1268&amp;";","xxx"),"xxx"))</f>
        <v>xxx</v>
      </c>
      <c r="H1123" s="18" t="str">
        <f>IF(装备表!$O1268=0,"xxx",IFERROR(IF(INT(IF($D1123=H$3,装备表!$E1268,"xxx")/10000)=1,IF($D1123=H$3,装备表!$E1268,"xxx")&amp;":2,1,1,"&amp;装备表!$O1268&amp;";","xxx"),"xxx"))</f>
        <v>xxx</v>
      </c>
      <c r="I1123" s="18" t="str">
        <f>IF(装备表!$O1268=0,"xxx",IFERROR(IF(INT(IF($D1123=I$3,装备表!$E1268,"xxx")/10000)=1,IF($D1123=I$3,装备表!$E1268,"xxx")&amp;":2,1,1,"&amp;装备表!$O1268&amp;";","xxx"),"xxx"))</f>
        <v>xxx</v>
      </c>
      <c r="J1123" s="18" t="str">
        <f>IF(装备表!$O1268=0,"xxx",IFERROR(IF(INT(IF($D1123=J$3,装备表!$E1268,"xxx")/10000)=1,IF($D1123=J$3,装备表!$E1268,"xxx")&amp;":2,1,1,"&amp;装备表!$O1268&amp;";","xxx"),"xxx"))</f>
        <v>xxx</v>
      </c>
    </row>
    <row r="1124" spans="4:10" x14ac:dyDescent="0.2">
      <c r="D1124" s="18">
        <f>装备表!L1269</f>
        <v>0</v>
      </c>
      <c r="E1124" s="18" t="str">
        <f>IF(装备表!$O1269=0,"xxx",IFERROR(IF(INT(IF($D1124=E$3,装备表!$E1269,"xxx")/10000)=1,IF($D1124=E$3,装备表!$E1269,"xxx")&amp;":2,1,1,"&amp;装备表!$O1269&amp;";","xxx"),"xxx"))</f>
        <v>xxx</v>
      </c>
      <c r="F1124" s="18" t="str">
        <f>IF(装备表!$O1269=0,"xxx",IFERROR(IF(INT(IF($D1124=F$3,装备表!$E1269,"xxx")/10000)=1,IF($D1124=F$3,装备表!$E1269,"xxx")&amp;":2,1,1,"&amp;装备表!$O1269&amp;";","xxx"),"xxx"))</f>
        <v>xxx</v>
      </c>
      <c r="G1124" s="18" t="str">
        <f>IF(装备表!$O1269=0,"xxx",IFERROR(IF(INT(IF($D1124=G$3,装备表!$E1269,"xxx")/10000)=1,IF($D1124=G$3,装备表!$E1269,"xxx")&amp;":2,1,1,"&amp;装备表!$O1269&amp;";","xxx"),"xxx"))</f>
        <v>xxx</v>
      </c>
      <c r="H1124" s="18" t="str">
        <f>IF(装备表!$O1269=0,"xxx",IFERROR(IF(INT(IF($D1124=H$3,装备表!$E1269,"xxx")/10000)=1,IF($D1124=H$3,装备表!$E1269,"xxx")&amp;":2,1,1,"&amp;装备表!$O1269&amp;";","xxx"),"xxx"))</f>
        <v>xxx</v>
      </c>
      <c r="I1124" s="18" t="str">
        <f>IF(装备表!$O1269=0,"xxx",IFERROR(IF(INT(IF($D1124=I$3,装备表!$E1269,"xxx")/10000)=1,IF($D1124=I$3,装备表!$E1269,"xxx")&amp;":2,1,1,"&amp;装备表!$O1269&amp;";","xxx"),"xxx"))</f>
        <v>xxx</v>
      </c>
      <c r="J1124" s="18" t="str">
        <f>IF(装备表!$O1269=0,"xxx",IFERROR(IF(INT(IF($D1124=J$3,装备表!$E1269,"xxx")/10000)=1,IF($D1124=J$3,装备表!$E1269,"xxx")&amp;":2,1,1,"&amp;装备表!$O1269&amp;";","xxx"),"xxx"))</f>
        <v>xxx</v>
      </c>
    </row>
    <row r="1125" spans="4:10" x14ac:dyDescent="0.2">
      <c r="D1125" s="18">
        <f>装备表!L1270</f>
        <v>0</v>
      </c>
      <c r="E1125" s="18" t="str">
        <f>IF(装备表!$O1270=0,"xxx",IFERROR(IF(INT(IF($D1125=E$3,装备表!$E1270,"xxx")/10000)=1,IF($D1125=E$3,装备表!$E1270,"xxx")&amp;":2,1,1,"&amp;装备表!$O1270&amp;";","xxx"),"xxx"))</f>
        <v>xxx</v>
      </c>
      <c r="F1125" s="18" t="str">
        <f>IF(装备表!$O1270=0,"xxx",IFERROR(IF(INT(IF($D1125=F$3,装备表!$E1270,"xxx")/10000)=1,IF($D1125=F$3,装备表!$E1270,"xxx")&amp;":2,1,1,"&amp;装备表!$O1270&amp;";","xxx"),"xxx"))</f>
        <v>xxx</v>
      </c>
      <c r="G1125" s="18" t="str">
        <f>IF(装备表!$O1270=0,"xxx",IFERROR(IF(INT(IF($D1125=G$3,装备表!$E1270,"xxx")/10000)=1,IF($D1125=G$3,装备表!$E1270,"xxx")&amp;":2,1,1,"&amp;装备表!$O1270&amp;";","xxx"),"xxx"))</f>
        <v>xxx</v>
      </c>
      <c r="H1125" s="18" t="str">
        <f>IF(装备表!$O1270=0,"xxx",IFERROR(IF(INT(IF($D1125=H$3,装备表!$E1270,"xxx")/10000)=1,IF($D1125=H$3,装备表!$E1270,"xxx")&amp;":2,1,1,"&amp;装备表!$O1270&amp;";","xxx"),"xxx"))</f>
        <v>xxx</v>
      </c>
      <c r="I1125" s="18" t="str">
        <f>IF(装备表!$O1270=0,"xxx",IFERROR(IF(INT(IF($D1125=I$3,装备表!$E1270,"xxx")/10000)=1,IF($D1125=I$3,装备表!$E1270,"xxx")&amp;":2,1,1,"&amp;装备表!$O1270&amp;";","xxx"),"xxx"))</f>
        <v>xxx</v>
      </c>
      <c r="J1125" s="18" t="str">
        <f>IF(装备表!$O1270=0,"xxx",IFERROR(IF(INT(IF($D1125=J$3,装备表!$E1270,"xxx")/10000)=1,IF($D1125=J$3,装备表!$E1270,"xxx")&amp;":2,1,1,"&amp;装备表!$O1270&amp;";","xxx"),"xxx"))</f>
        <v>xxx</v>
      </c>
    </row>
    <row r="1126" spans="4:10" x14ac:dyDescent="0.2">
      <c r="D1126" s="18">
        <f>装备表!L1271</f>
        <v>0</v>
      </c>
      <c r="E1126" s="18" t="str">
        <f>IF(装备表!$O1271=0,"xxx",IFERROR(IF(INT(IF($D1126=E$3,装备表!$E1271,"xxx")/10000)=1,IF($D1126=E$3,装备表!$E1271,"xxx")&amp;":2,1,1,"&amp;装备表!$O1271&amp;";","xxx"),"xxx"))</f>
        <v>xxx</v>
      </c>
      <c r="F1126" s="18" t="str">
        <f>IF(装备表!$O1271=0,"xxx",IFERROR(IF(INT(IF($D1126=F$3,装备表!$E1271,"xxx")/10000)=1,IF($D1126=F$3,装备表!$E1271,"xxx")&amp;":2,1,1,"&amp;装备表!$O1271&amp;";","xxx"),"xxx"))</f>
        <v>xxx</v>
      </c>
      <c r="G1126" s="18" t="str">
        <f>IF(装备表!$O1271=0,"xxx",IFERROR(IF(INT(IF($D1126=G$3,装备表!$E1271,"xxx")/10000)=1,IF($D1126=G$3,装备表!$E1271,"xxx")&amp;":2,1,1,"&amp;装备表!$O1271&amp;";","xxx"),"xxx"))</f>
        <v>xxx</v>
      </c>
      <c r="H1126" s="18" t="str">
        <f>IF(装备表!$O1271=0,"xxx",IFERROR(IF(INT(IF($D1126=H$3,装备表!$E1271,"xxx")/10000)=1,IF($D1126=H$3,装备表!$E1271,"xxx")&amp;":2,1,1,"&amp;装备表!$O1271&amp;";","xxx"),"xxx"))</f>
        <v>xxx</v>
      </c>
      <c r="I1126" s="18" t="str">
        <f>IF(装备表!$O1271=0,"xxx",IFERROR(IF(INT(IF($D1126=I$3,装备表!$E1271,"xxx")/10000)=1,IF($D1126=I$3,装备表!$E1271,"xxx")&amp;":2,1,1,"&amp;装备表!$O1271&amp;";","xxx"),"xxx"))</f>
        <v>xxx</v>
      </c>
      <c r="J1126" s="18" t="str">
        <f>IF(装备表!$O1271=0,"xxx",IFERROR(IF(INT(IF($D1126=J$3,装备表!$E1271,"xxx")/10000)=1,IF($D1126=J$3,装备表!$E1271,"xxx")&amp;":2,1,1,"&amp;装备表!$O1271&amp;";","xxx"),"xxx"))</f>
        <v>xxx</v>
      </c>
    </row>
    <row r="1127" spans="4:10" x14ac:dyDescent="0.2">
      <c r="D1127" s="18">
        <f>装备表!L1272</f>
        <v>0</v>
      </c>
      <c r="E1127" s="18" t="str">
        <f>IF(装备表!$O1272=0,"xxx",IFERROR(IF(INT(IF($D1127=E$3,装备表!$E1272,"xxx")/10000)=1,IF($D1127=E$3,装备表!$E1272,"xxx")&amp;":2,1,1,"&amp;装备表!$O1272&amp;";","xxx"),"xxx"))</f>
        <v>xxx</v>
      </c>
      <c r="F1127" s="18" t="str">
        <f>IF(装备表!$O1272=0,"xxx",IFERROR(IF(INT(IF($D1127=F$3,装备表!$E1272,"xxx")/10000)=1,IF($D1127=F$3,装备表!$E1272,"xxx")&amp;":2,1,1,"&amp;装备表!$O1272&amp;";","xxx"),"xxx"))</f>
        <v>xxx</v>
      </c>
      <c r="G1127" s="18" t="str">
        <f>IF(装备表!$O1272=0,"xxx",IFERROR(IF(INT(IF($D1127=G$3,装备表!$E1272,"xxx")/10000)=1,IF($D1127=G$3,装备表!$E1272,"xxx")&amp;":2,1,1,"&amp;装备表!$O1272&amp;";","xxx"),"xxx"))</f>
        <v>xxx</v>
      </c>
      <c r="H1127" s="18" t="str">
        <f>IF(装备表!$O1272=0,"xxx",IFERROR(IF(INT(IF($D1127=H$3,装备表!$E1272,"xxx")/10000)=1,IF($D1127=H$3,装备表!$E1272,"xxx")&amp;":2,1,1,"&amp;装备表!$O1272&amp;";","xxx"),"xxx"))</f>
        <v>xxx</v>
      </c>
      <c r="I1127" s="18" t="str">
        <f>IF(装备表!$O1272=0,"xxx",IFERROR(IF(INT(IF($D1127=I$3,装备表!$E1272,"xxx")/10000)=1,IF($D1127=I$3,装备表!$E1272,"xxx")&amp;":2,1,1,"&amp;装备表!$O1272&amp;";","xxx"),"xxx"))</f>
        <v>xxx</v>
      </c>
      <c r="J1127" s="18" t="str">
        <f>IF(装备表!$O1272=0,"xxx",IFERROR(IF(INT(IF($D1127=J$3,装备表!$E1272,"xxx")/10000)=1,IF($D1127=J$3,装备表!$E1272,"xxx")&amp;":2,1,1,"&amp;装备表!$O1272&amp;";","xxx"),"xxx"))</f>
        <v>xxx</v>
      </c>
    </row>
    <row r="1128" spans="4:10" x14ac:dyDescent="0.2">
      <c r="D1128" s="18">
        <f>装备表!L1273</f>
        <v>0</v>
      </c>
      <c r="E1128" s="18" t="str">
        <f>IF(装备表!$O1273=0,"xxx",IFERROR(IF(INT(IF($D1128=E$3,装备表!$E1273,"xxx")/10000)=1,IF($D1128=E$3,装备表!$E1273,"xxx")&amp;":2,1,1,"&amp;装备表!$O1273&amp;";","xxx"),"xxx"))</f>
        <v>xxx</v>
      </c>
      <c r="F1128" s="18" t="str">
        <f>IF(装备表!$O1273=0,"xxx",IFERROR(IF(INT(IF($D1128=F$3,装备表!$E1273,"xxx")/10000)=1,IF($D1128=F$3,装备表!$E1273,"xxx")&amp;":2,1,1,"&amp;装备表!$O1273&amp;";","xxx"),"xxx"))</f>
        <v>xxx</v>
      </c>
      <c r="G1128" s="18" t="str">
        <f>IF(装备表!$O1273=0,"xxx",IFERROR(IF(INT(IF($D1128=G$3,装备表!$E1273,"xxx")/10000)=1,IF($D1128=G$3,装备表!$E1273,"xxx")&amp;":2,1,1,"&amp;装备表!$O1273&amp;";","xxx"),"xxx"))</f>
        <v>xxx</v>
      </c>
      <c r="H1128" s="18" t="str">
        <f>IF(装备表!$O1273=0,"xxx",IFERROR(IF(INT(IF($D1128=H$3,装备表!$E1273,"xxx")/10000)=1,IF($D1128=H$3,装备表!$E1273,"xxx")&amp;":2,1,1,"&amp;装备表!$O1273&amp;";","xxx"),"xxx"))</f>
        <v>xxx</v>
      </c>
      <c r="I1128" s="18" t="str">
        <f>IF(装备表!$O1273=0,"xxx",IFERROR(IF(INT(IF($D1128=I$3,装备表!$E1273,"xxx")/10000)=1,IF($D1128=I$3,装备表!$E1273,"xxx")&amp;":2,1,1,"&amp;装备表!$O1273&amp;";","xxx"),"xxx"))</f>
        <v>xxx</v>
      </c>
      <c r="J1128" s="18" t="str">
        <f>IF(装备表!$O1273=0,"xxx",IFERROR(IF(INT(IF($D1128=J$3,装备表!$E1273,"xxx")/10000)=1,IF($D1128=J$3,装备表!$E1273,"xxx")&amp;":2,1,1,"&amp;装备表!$O1273&amp;";","xxx"),"xxx"))</f>
        <v>xxx</v>
      </c>
    </row>
    <row r="1129" spans="4:10" x14ac:dyDescent="0.2">
      <c r="D1129" s="18">
        <f>装备表!L1274</f>
        <v>0</v>
      </c>
      <c r="E1129" s="18" t="str">
        <f>IF(装备表!$O1274=0,"xxx",IFERROR(IF(INT(IF($D1129=E$3,装备表!$E1274,"xxx")/10000)=1,IF($D1129=E$3,装备表!$E1274,"xxx")&amp;":2,1,1,"&amp;装备表!$O1274&amp;";","xxx"),"xxx"))</f>
        <v>xxx</v>
      </c>
      <c r="F1129" s="18" t="str">
        <f>IF(装备表!$O1274=0,"xxx",IFERROR(IF(INT(IF($D1129=F$3,装备表!$E1274,"xxx")/10000)=1,IF($D1129=F$3,装备表!$E1274,"xxx")&amp;":2,1,1,"&amp;装备表!$O1274&amp;";","xxx"),"xxx"))</f>
        <v>xxx</v>
      </c>
      <c r="G1129" s="18" t="str">
        <f>IF(装备表!$O1274=0,"xxx",IFERROR(IF(INT(IF($D1129=G$3,装备表!$E1274,"xxx")/10000)=1,IF($D1129=G$3,装备表!$E1274,"xxx")&amp;":2,1,1,"&amp;装备表!$O1274&amp;";","xxx"),"xxx"))</f>
        <v>xxx</v>
      </c>
      <c r="H1129" s="18" t="str">
        <f>IF(装备表!$O1274=0,"xxx",IFERROR(IF(INT(IF($D1129=H$3,装备表!$E1274,"xxx")/10000)=1,IF($D1129=H$3,装备表!$E1274,"xxx")&amp;":2,1,1,"&amp;装备表!$O1274&amp;";","xxx"),"xxx"))</f>
        <v>xxx</v>
      </c>
      <c r="I1129" s="18" t="str">
        <f>IF(装备表!$O1274=0,"xxx",IFERROR(IF(INT(IF($D1129=I$3,装备表!$E1274,"xxx")/10000)=1,IF($D1129=I$3,装备表!$E1274,"xxx")&amp;":2,1,1,"&amp;装备表!$O1274&amp;";","xxx"),"xxx"))</f>
        <v>xxx</v>
      </c>
      <c r="J1129" s="18" t="str">
        <f>IF(装备表!$O1274=0,"xxx",IFERROR(IF(INT(IF($D1129=J$3,装备表!$E1274,"xxx")/10000)=1,IF($D1129=J$3,装备表!$E1274,"xxx")&amp;":2,1,1,"&amp;装备表!$O1274&amp;";","xxx"),"xxx"))</f>
        <v>xxx</v>
      </c>
    </row>
    <row r="1130" spans="4:10" x14ac:dyDescent="0.2">
      <c r="D1130" s="18">
        <f>装备表!L1275</f>
        <v>0</v>
      </c>
      <c r="E1130" s="18" t="str">
        <f>IF(装备表!$O1275=0,"xxx",IFERROR(IF(INT(IF($D1130=E$3,装备表!$E1275,"xxx")/10000)=1,IF($D1130=E$3,装备表!$E1275,"xxx")&amp;":2,1,1,"&amp;装备表!$O1275&amp;";","xxx"),"xxx"))</f>
        <v>xxx</v>
      </c>
      <c r="F1130" s="18" t="str">
        <f>IF(装备表!$O1275=0,"xxx",IFERROR(IF(INT(IF($D1130=F$3,装备表!$E1275,"xxx")/10000)=1,IF($D1130=F$3,装备表!$E1275,"xxx")&amp;":2,1,1,"&amp;装备表!$O1275&amp;";","xxx"),"xxx"))</f>
        <v>xxx</v>
      </c>
      <c r="G1130" s="18" t="str">
        <f>IF(装备表!$O1275=0,"xxx",IFERROR(IF(INT(IF($D1130=G$3,装备表!$E1275,"xxx")/10000)=1,IF($D1130=G$3,装备表!$E1275,"xxx")&amp;":2,1,1,"&amp;装备表!$O1275&amp;";","xxx"),"xxx"))</f>
        <v>xxx</v>
      </c>
      <c r="H1130" s="18" t="str">
        <f>IF(装备表!$O1275=0,"xxx",IFERROR(IF(INT(IF($D1130=H$3,装备表!$E1275,"xxx")/10000)=1,IF($D1130=H$3,装备表!$E1275,"xxx")&amp;":2,1,1,"&amp;装备表!$O1275&amp;";","xxx"),"xxx"))</f>
        <v>xxx</v>
      </c>
      <c r="I1130" s="18" t="str">
        <f>IF(装备表!$O1275=0,"xxx",IFERROR(IF(INT(IF($D1130=I$3,装备表!$E1275,"xxx")/10000)=1,IF($D1130=I$3,装备表!$E1275,"xxx")&amp;":2,1,1,"&amp;装备表!$O1275&amp;";","xxx"),"xxx"))</f>
        <v>xxx</v>
      </c>
      <c r="J1130" s="18" t="str">
        <f>IF(装备表!$O1275=0,"xxx",IFERROR(IF(INT(IF($D1130=J$3,装备表!$E1275,"xxx")/10000)=1,IF($D1130=J$3,装备表!$E1275,"xxx")&amp;":2,1,1,"&amp;装备表!$O1275&amp;";","xxx"),"xxx"))</f>
        <v>xxx</v>
      </c>
    </row>
    <row r="1131" spans="4:10" x14ac:dyDescent="0.2">
      <c r="D1131" s="18">
        <f>装备表!L1276</f>
        <v>0</v>
      </c>
      <c r="E1131" s="18" t="str">
        <f>IF(装备表!$O1276=0,"xxx",IFERROR(IF(INT(IF($D1131=E$3,装备表!$E1276,"xxx")/10000)=1,IF($D1131=E$3,装备表!$E1276,"xxx")&amp;":2,1,1,"&amp;装备表!$O1276&amp;";","xxx"),"xxx"))</f>
        <v>xxx</v>
      </c>
      <c r="F1131" s="18" t="str">
        <f>IF(装备表!$O1276=0,"xxx",IFERROR(IF(INT(IF($D1131=F$3,装备表!$E1276,"xxx")/10000)=1,IF($D1131=F$3,装备表!$E1276,"xxx")&amp;":2,1,1,"&amp;装备表!$O1276&amp;";","xxx"),"xxx"))</f>
        <v>xxx</v>
      </c>
      <c r="G1131" s="18" t="str">
        <f>IF(装备表!$O1276=0,"xxx",IFERROR(IF(INT(IF($D1131=G$3,装备表!$E1276,"xxx")/10000)=1,IF($D1131=G$3,装备表!$E1276,"xxx")&amp;":2,1,1,"&amp;装备表!$O1276&amp;";","xxx"),"xxx"))</f>
        <v>xxx</v>
      </c>
      <c r="H1131" s="18" t="str">
        <f>IF(装备表!$O1276=0,"xxx",IFERROR(IF(INT(IF($D1131=H$3,装备表!$E1276,"xxx")/10000)=1,IF($D1131=H$3,装备表!$E1276,"xxx")&amp;":2,1,1,"&amp;装备表!$O1276&amp;";","xxx"),"xxx"))</f>
        <v>xxx</v>
      </c>
      <c r="I1131" s="18" t="str">
        <f>IF(装备表!$O1276=0,"xxx",IFERROR(IF(INT(IF($D1131=I$3,装备表!$E1276,"xxx")/10000)=1,IF($D1131=I$3,装备表!$E1276,"xxx")&amp;":2,1,1,"&amp;装备表!$O1276&amp;";","xxx"),"xxx"))</f>
        <v>xxx</v>
      </c>
      <c r="J1131" s="18" t="str">
        <f>IF(装备表!$O1276=0,"xxx",IFERROR(IF(INT(IF($D1131=J$3,装备表!$E1276,"xxx")/10000)=1,IF($D1131=J$3,装备表!$E1276,"xxx")&amp;":2,1,1,"&amp;装备表!$O1276&amp;";","xxx"),"xxx"))</f>
        <v>xxx</v>
      </c>
    </row>
    <row r="1132" spans="4:10" x14ac:dyDescent="0.2">
      <c r="D1132" s="18">
        <f>装备表!L1277</f>
        <v>0</v>
      </c>
      <c r="E1132" s="18" t="str">
        <f>IF(装备表!$O1277=0,"xxx",IFERROR(IF(INT(IF($D1132=E$3,装备表!$E1277,"xxx")/10000)=1,IF($D1132=E$3,装备表!$E1277,"xxx")&amp;":2,1,1,"&amp;装备表!$O1277&amp;";","xxx"),"xxx"))</f>
        <v>xxx</v>
      </c>
      <c r="F1132" s="18" t="str">
        <f>IF(装备表!$O1277=0,"xxx",IFERROR(IF(INT(IF($D1132=F$3,装备表!$E1277,"xxx")/10000)=1,IF($D1132=F$3,装备表!$E1277,"xxx")&amp;":2,1,1,"&amp;装备表!$O1277&amp;";","xxx"),"xxx"))</f>
        <v>xxx</v>
      </c>
      <c r="G1132" s="18" t="str">
        <f>IF(装备表!$O1277=0,"xxx",IFERROR(IF(INT(IF($D1132=G$3,装备表!$E1277,"xxx")/10000)=1,IF($D1132=G$3,装备表!$E1277,"xxx")&amp;":2,1,1,"&amp;装备表!$O1277&amp;";","xxx"),"xxx"))</f>
        <v>xxx</v>
      </c>
      <c r="H1132" s="18" t="str">
        <f>IF(装备表!$O1277=0,"xxx",IFERROR(IF(INT(IF($D1132=H$3,装备表!$E1277,"xxx")/10000)=1,IF($D1132=H$3,装备表!$E1277,"xxx")&amp;":2,1,1,"&amp;装备表!$O1277&amp;";","xxx"),"xxx"))</f>
        <v>xxx</v>
      </c>
      <c r="I1132" s="18" t="str">
        <f>IF(装备表!$O1277=0,"xxx",IFERROR(IF(INT(IF($D1132=I$3,装备表!$E1277,"xxx")/10000)=1,IF($D1132=I$3,装备表!$E1277,"xxx")&amp;":2,1,1,"&amp;装备表!$O1277&amp;";","xxx"),"xxx"))</f>
        <v>xxx</v>
      </c>
      <c r="J1132" s="18" t="str">
        <f>IF(装备表!$O1277=0,"xxx",IFERROR(IF(INT(IF($D1132=J$3,装备表!$E1277,"xxx")/10000)=1,IF($D1132=J$3,装备表!$E1277,"xxx")&amp;":2,1,1,"&amp;装备表!$O1277&amp;";","xxx"),"xxx"))</f>
        <v>xxx</v>
      </c>
    </row>
    <row r="1133" spans="4:10" x14ac:dyDescent="0.2">
      <c r="D1133" s="18">
        <f>装备表!L1278</f>
        <v>0</v>
      </c>
      <c r="E1133" s="18" t="str">
        <f>IF(装备表!$O1278=0,"xxx",IFERROR(IF(INT(IF($D1133=E$3,装备表!$E1278,"xxx")/10000)=1,IF($D1133=E$3,装备表!$E1278,"xxx")&amp;":2,1,1,"&amp;装备表!$O1278&amp;";","xxx"),"xxx"))</f>
        <v>xxx</v>
      </c>
      <c r="F1133" s="18" t="str">
        <f>IF(装备表!$O1278=0,"xxx",IFERROR(IF(INT(IF($D1133=F$3,装备表!$E1278,"xxx")/10000)=1,IF($D1133=F$3,装备表!$E1278,"xxx")&amp;":2,1,1,"&amp;装备表!$O1278&amp;";","xxx"),"xxx"))</f>
        <v>xxx</v>
      </c>
      <c r="G1133" s="18" t="str">
        <f>IF(装备表!$O1278=0,"xxx",IFERROR(IF(INT(IF($D1133=G$3,装备表!$E1278,"xxx")/10000)=1,IF($D1133=G$3,装备表!$E1278,"xxx")&amp;":2,1,1,"&amp;装备表!$O1278&amp;";","xxx"),"xxx"))</f>
        <v>xxx</v>
      </c>
      <c r="H1133" s="18" t="str">
        <f>IF(装备表!$O1278=0,"xxx",IFERROR(IF(INT(IF($D1133=H$3,装备表!$E1278,"xxx")/10000)=1,IF($D1133=H$3,装备表!$E1278,"xxx")&amp;":2,1,1,"&amp;装备表!$O1278&amp;";","xxx"),"xxx"))</f>
        <v>xxx</v>
      </c>
      <c r="I1133" s="18" t="str">
        <f>IF(装备表!$O1278=0,"xxx",IFERROR(IF(INT(IF($D1133=I$3,装备表!$E1278,"xxx")/10000)=1,IF($D1133=I$3,装备表!$E1278,"xxx")&amp;":2,1,1,"&amp;装备表!$O1278&amp;";","xxx"),"xxx"))</f>
        <v>xxx</v>
      </c>
      <c r="J1133" s="18" t="str">
        <f>IF(装备表!$O1278=0,"xxx",IFERROR(IF(INT(IF($D1133=J$3,装备表!$E1278,"xxx")/10000)=1,IF($D1133=J$3,装备表!$E1278,"xxx")&amp;":2,1,1,"&amp;装备表!$O1278&amp;";","xxx"),"xxx"))</f>
        <v>xxx</v>
      </c>
    </row>
    <row r="1134" spans="4:10" x14ac:dyDescent="0.2">
      <c r="D1134" s="18">
        <f>装备表!L1279</f>
        <v>0</v>
      </c>
      <c r="E1134" s="18" t="str">
        <f>IF(装备表!$O1279=0,"xxx",IFERROR(IF(INT(IF($D1134=E$3,装备表!$E1279,"xxx")/10000)=1,IF($D1134=E$3,装备表!$E1279,"xxx")&amp;":2,1,1,"&amp;装备表!$O1279&amp;";","xxx"),"xxx"))</f>
        <v>xxx</v>
      </c>
      <c r="F1134" s="18" t="str">
        <f>IF(装备表!$O1279=0,"xxx",IFERROR(IF(INT(IF($D1134=F$3,装备表!$E1279,"xxx")/10000)=1,IF($D1134=F$3,装备表!$E1279,"xxx")&amp;":2,1,1,"&amp;装备表!$O1279&amp;";","xxx"),"xxx"))</f>
        <v>xxx</v>
      </c>
      <c r="G1134" s="18" t="str">
        <f>IF(装备表!$O1279=0,"xxx",IFERROR(IF(INT(IF($D1134=G$3,装备表!$E1279,"xxx")/10000)=1,IF($D1134=G$3,装备表!$E1279,"xxx")&amp;":2,1,1,"&amp;装备表!$O1279&amp;";","xxx"),"xxx"))</f>
        <v>xxx</v>
      </c>
      <c r="H1134" s="18" t="str">
        <f>IF(装备表!$O1279=0,"xxx",IFERROR(IF(INT(IF($D1134=H$3,装备表!$E1279,"xxx")/10000)=1,IF($D1134=H$3,装备表!$E1279,"xxx")&amp;":2,1,1,"&amp;装备表!$O1279&amp;";","xxx"),"xxx"))</f>
        <v>xxx</v>
      </c>
      <c r="I1134" s="18" t="str">
        <f>IF(装备表!$O1279=0,"xxx",IFERROR(IF(INT(IF($D1134=I$3,装备表!$E1279,"xxx")/10000)=1,IF($D1134=I$3,装备表!$E1279,"xxx")&amp;":2,1,1,"&amp;装备表!$O1279&amp;";","xxx"),"xxx"))</f>
        <v>xxx</v>
      </c>
      <c r="J1134" s="18" t="str">
        <f>IF(装备表!$O1279=0,"xxx",IFERROR(IF(INT(IF($D1134=J$3,装备表!$E1279,"xxx")/10000)=1,IF($D1134=J$3,装备表!$E1279,"xxx")&amp;":2,1,1,"&amp;装备表!$O1279&amp;";","xxx"),"xxx"))</f>
        <v>xxx</v>
      </c>
    </row>
    <row r="1135" spans="4:10" x14ac:dyDescent="0.2">
      <c r="D1135" s="18">
        <f>装备表!L1280</f>
        <v>0</v>
      </c>
      <c r="E1135" s="18" t="str">
        <f>IF(装备表!$O1280=0,"xxx",IFERROR(IF(INT(IF($D1135=E$3,装备表!$E1280,"xxx")/10000)=1,IF($D1135=E$3,装备表!$E1280,"xxx")&amp;":2,1,1,"&amp;装备表!$O1280&amp;";","xxx"),"xxx"))</f>
        <v>xxx</v>
      </c>
      <c r="F1135" s="18" t="str">
        <f>IF(装备表!$O1280=0,"xxx",IFERROR(IF(INT(IF($D1135=F$3,装备表!$E1280,"xxx")/10000)=1,IF($D1135=F$3,装备表!$E1280,"xxx")&amp;":2,1,1,"&amp;装备表!$O1280&amp;";","xxx"),"xxx"))</f>
        <v>xxx</v>
      </c>
      <c r="G1135" s="18" t="str">
        <f>IF(装备表!$O1280=0,"xxx",IFERROR(IF(INT(IF($D1135=G$3,装备表!$E1280,"xxx")/10000)=1,IF($D1135=G$3,装备表!$E1280,"xxx")&amp;":2,1,1,"&amp;装备表!$O1280&amp;";","xxx"),"xxx"))</f>
        <v>xxx</v>
      </c>
      <c r="H1135" s="18" t="str">
        <f>IF(装备表!$O1280=0,"xxx",IFERROR(IF(INT(IF($D1135=H$3,装备表!$E1280,"xxx")/10000)=1,IF($D1135=H$3,装备表!$E1280,"xxx")&amp;":2,1,1,"&amp;装备表!$O1280&amp;";","xxx"),"xxx"))</f>
        <v>xxx</v>
      </c>
      <c r="I1135" s="18" t="str">
        <f>IF(装备表!$O1280=0,"xxx",IFERROR(IF(INT(IF($D1135=I$3,装备表!$E1280,"xxx")/10000)=1,IF($D1135=I$3,装备表!$E1280,"xxx")&amp;":2,1,1,"&amp;装备表!$O1280&amp;";","xxx"),"xxx"))</f>
        <v>xxx</v>
      </c>
      <c r="J1135" s="18" t="str">
        <f>IF(装备表!$O1280=0,"xxx",IFERROR(IF(INT(IF($D1135=J$3,装备表!$E1280,"xxx")/10000)=1,IF($D1135=J$3,装备表!$E1280,"xxx")&amp;":2,1,1,"&amp;装备表!$O1280&amp;";","xxx"),"xxx"))</f>
        <v>xxx</v>
      </c>
    </row>
    <row r="1136" spans="4:10" x14ac:dyDescent="0.2">
      <c r="D1136" s="18">
        <f>装备表!L1281</f>
        <v>0</v>
      </c>
      <c r="E1136" s="18" t="str">
        <f>IF(装备表!$O1281=0,"xxx",IFERROR(IF(INT(IF($D1136=E$3,装备表!$E1281,"xxx")/10000)=1,IF($D1136=E$3,装备表!$E1281,"xxx")&amp;":2,1,1,"&amp;装备表!$O1281&amp;";","xxx"),"xxx"))</f>
        <v>xxx</v>
      </c>
      <c r="F1136" s="18" t="str">
        <f>IF(装备表!$O1281=0,"xxx",IFERROR(IF(INT(IF($D1136=F$3,装备表!$E1281,"xxx")/10000)=1,IF($D1136=F$3,装备表!$E1281,"xxx")&amp;":2,1,1,"&amp;装备表!$O1281&amp;";","xxx"),"xxx"))</f>
        <v>xxx</v>
      </c>
      <c r="G1136" s="18" t="str">
        <f>IF(装备表!$O1281=0,"xxx",IFERROR(IF(INT(IF($D1136=G$3,装备表!$E1281,"xxx")/10000)=1,IF($D1136=G$3,装备表!$E1281,"xxx")&amp;":2,1,1,"&amp;装备表!$O1281&amp;";","xxx"),"xxx"))</f>
        <v>xxx</v>
      </c>
      <c r="H1136" s="18" t="str">
        <f>IF(装备表!$O1281=0,"xxx",IFERROR(IF(INT(IF($D1136=H$3,装备表!$E1281,"xxx")/10000)=1,IF($D1136=H$3,装备表!$E1281,"xxx")&amp;":2,1,1,"&amp;装备表!$O1281&amp;";","xxx"),"xxx"))</f>
        <v>xxx</v>
      </c>
      <c r="I1136" s="18" t="str">
        <f>IF(装备表!$O1281=0,"xxx",IFERROR(IF(INT(IF($D1136=I$3,装备表!$E1281,"xxx")/10000)=1,IF($D1136=I$3,装备表!$E1281,"xxx")&amp;":2,1,1,"&amp;装备表!$O1281&amp;";","xxx"),"xxx"))</f>
        <v>xxx</v>
      </c>
      <c r="J1136" s="18" t="str">
        <f>IF(装备表!$O1281=0,"xxx",IFERROR(IF(INT(IF($D1136=J$3,装备表!$E1281,"xxx")/10000)=1,IF($D1136=J$3,装备表!$E1281,"xxx")&amp;":2,1,1,"&amp;装备表!$O1281&amp;";","xxx"),"xxx"))</f>
        <v>xxx</v>
      </c>
    </row>
    <row r="1137" spans="4:10" x14ac:dyDescent="0.2">
      <c r="D1137" s="18">
        <f>装备表!L1282</f>
        <v>0</v>
      </c>
      <c r="E1137" s="18" t="str">
        <f>IF(装备表!$O1282=0,"xxx",IFERROR(IF(INT(IF($D1137=E$3,装备表!$E1282,"xxx")/10000)=1,IF($D1137=E$3,装备表!$E1282,"xxx")&amp;":2,1,1,"&amp;装备表!$O1282&amp;";","xxx"),"xxx"))</f>
        <v>xxx</v>
      </c>
      <c r="F1137" s="18" t="str">
        <f>IF(装备表!$O1282=0,"xxx",IFERROR(IF(INT(IF($D1137=F$3,装备表!$E1282,"xxx")/10000)=1,IF($D1137=F$3,装备表!$E1282,"xxx")&amp;":2,1,1,"&amp;装备表!$O1282&amp;";","xxx"),"xxx"))</f>
        <v>xxx</v>
      </c>
      <c r="G1137" s="18" t="str">
        <f>IF(装备表!$O1282=0,"xxx",IFERROR(IF(INT(IF($D1137=G$3,装备表!$E1282,"xxx")/10000)=1,IF($D1137=G$3,装备表!$E1282,"xxx")&amp;":2,1,1,"&amp;装备表!$O1282&amp;";","xxx"),"xxx"))</f>
        <v>xxx</v>
      </c>
      <c r="H1137" s="18" t="str">
        <f>IF(装备表!$O1282=0,"xxx",IFERROR(IF(INT(IF($D1137=H$3,装备表!$E1282,"xxx")/10000)=1,IF($D1137=H$3,装备表!$E1282,"xxx")&amp;":2,1,1,"&amp;装备表!$O1282&amp;";","xxx"),"xxx"))</f>
        <v>xxx</v>
      </c>
      <c r="I1137" s="18" t="str">
        <f>IF(装备表!$O1282=0,"xxx",IFERROR(IF(INT(IF($D1137=I$3,装备表!$E1282,"xxx")/10000)=1,IF($D1137=I$3,装备表!$E1282,"xxx")&amp;":2,1,1,"&amp;装备表!$O1282&amp;";","xxx"),"xxx"))</f>
        <v>xxx</v>
      </c>
      <c r="J1137" s="18" t="str">
        <f>IF(装备表!$O1282=0,"xxx",IFERROR(IF(INT(IF($D1137=J$3,装备表!$E1282,"xxx")/10000)=1,IF($D1137=J$3,装备表!$E1282,"xxx")&amp;":2,1,1,"&amp;装备表!$O1282&amp;";","xxx"),"xxx"))</f>
        <v>xxx</v>
      </c>
    </row>
    <row r="1138" spans="4:10" x14ac:dyDescent="0.2">
      <c r="D1138" s="18">
        <f>装备表!L1283</f>
        <v>0</v>
      </c>
      <c r="E1138" s="18" t="str">
        <f>IF(装备表!$O1283=0,"xxx",IFERROR(IF(INT(IF($D1138=E$3,装备表!$E1283,"xxx")/10000)=1,IF($D1138=E$3,装备表!$E1283,"xxx")&amp;":2,1,1,"&amp;装备表!$O1283&amp;";","xxx"),"xxx"))</f>
        <v>xxx</v>
      </c>
      <c r="F1138" s="18" t="str">
        <f>IF(装备表!$O1283=0,"xxx",IFERROR(IF(INT(IF($D1138=F$3,装备表!$E1283,"xxx")/10000)=1,IF($D1138=F$3,装备表!$E1283,"xxx")&amp;":2,1,1,"&amp;装备表!$O1283&amp;";","xxx"),"xxx"))</f>
        <v>xxx</v>
      </c>
      <c r="G1138" s="18" t="str">
        <f>IF(装备表!$O1283=0,"xxx",IFERROR(IF(INT(IF($D1138=G$3,装备表!$E1283,"xxx")/10000)=1,IF($D1138=G$3,装备表!$E1283,"xxx")&amp;":2,1,1,"&amp;装备表!$O1283&amp;";","xxx"),"xxx"))</f>
        <v>xxx</v>
      </c>
      <c r="H1138" s="18" t="str">
        <f>IF(装备表!$O1283=0,"xxx",IFERROR(IF(INT(IF($D1138=H$3,装备表!$E1283,"xxx")/10000)=1,IF($D1138=H$3,装备表!$E1283,"xxx")&amp;":2,1,1,"&amp;装备表!$O1283&amp;";","xxx"),"xxx"))</f>
        <v>xxx</v>
      </c>
      <c r="I1138" s="18" t="str">
        <f>IF(装备表!$O1283=0,"xxx",IFERROR(IF(INT(IF($D1138=I$3,装备表!$E1283,"xxx")/10000)=1,IF($D1138=I$3,装备表!$E1283,"xxx")&amp;":2,1,1,"&amp;装备表!$O1283&amp;";","xxx"),"xxx"))</f>
        <v>xxx</v>
      </c>
      <c r="J1138" s="18" t="str">
        <f>IF(装备表!$O1283=0,"xxx",IFERROR(IF(INT(IF($D1138=J$3,装备表!$E1283,"xxx")/10000)=1,IF($D1138=J$3,装备表!$E1283,"xxx")&amp;":2,1,1,"&amp;装备表!$O1283&amp;";","xxx"),"xxx"))</f>
        <v>xxx</v>
      </c>
    </row>
    <row r="1139" spans="4:10" x14ac:dyDescent="0.2">
      <c r="D1139" s="18">
        <f>装备表!L1284</f>
        <v>0</v>
      </c>
      <c r="E1139" s="18" t="str">
        <f>IF(装备表!$O1284=0,"xxx",IFERROR(IF(INT(IF($D1139=E$3,装备表!$E1284,"xxx")/10000)=1,IF($D1139=E$3,装备表!$E1284,"xxx")&amp;":2,1,1,"&amp;装备表!$O1284&amp;";","xxx"),"xxx"))</f>
        <v>xxx</v>
      </c>
      <c r="F1139" s="18" t="str">
        <f>IF(装备表!$O1284=0,"xxx",IFERROR(IF(INT(IF($D1139=F$3,装备表!$E1284,"xxx")/10000)=1,IF($D1139=F$3,装备表!$E1284,"xxx")&amp;":2,1,1,"&amp;装备表!$O1284&amp;";","xxx"),"xxx"))</f>
        <v>xxx</v>
      </c>
      <c r="G1139" s="18" t="str">
        <f>IF(装备表!$O1284=0,"xxx",IFERROR(IF(INT(IF($D1139=G$3,装备表!$E1284,"xxx")/10000)=1,IF($D1139=G$3,装备表!$E1284,"xxx")&amp;":2,1,1,"&amp;装备表!$O1284&amp;";","xxx"),"xxx"))</f>
        <v>xxx</v>
      </c>
      <c r="H1139" s="18" t="str">
        <f>IF(装备表!$O1284=0,"xxx",IFERROR(IF(INT(IF($D1139=H$3,装备表!$E1284,"xxx")/10000)=1,IF($D1139=H$3,装备表!$E1284,"xxx")&amp;":2,1,1,"&amp;装备表!$O1284&amp;";","xxx"),"xxx"))</f>
        <v>xxx</v>
      </c>
      <c r="I1139" s="18" t="str">
        <f>IF(装备表!$O1284=0,"xxx",IFERROR(IF(INT(IF($D1139=I$3,装备表!$E1284,"xxx")/10000)=1,IF($D1139=I$3,装备表!$E1284,"xxx")&amp;":2,1,1,"&amp;装备表!$O1284&amp;";","xxx"),"xxx"))</f>
        <v>xxx</v>
      </c>
      <c r="J1139" s="18" t="str">
        <f>IF(装备表!$O1284=0,"xxx",IFERROR(IF(INT(IF($D1139=J$3,装备表!$E1284,"xxx")/10000)=1,IF($D1139=J$3,装备表!$E1284,"xxx")&amp;":2,1,1,"&amp;装备表!$O1284&amp;";","xxx"),"xxx"))</f>
        <v>xxx</v>
      </c>
    </row>
    <row r="1140" spans="4:10" x14ac:dyDescent="0.2">
      <c r="D1140" s="18">
        <f>装备表!L1285</f>
        <v>0</v>
      </c>
      <c r="E1140" s="18" t="str">
        <f>IF(装备表!$O1285=0,"xxx",IFERROR(IF(INT(IF($D1140=E$3,装备表!$E1285,"xxx")/10000)=1,IF($D1140=E$3,装备表!$E1285,"xxx")&amp;":2,1,1,"&amp;装备表!$O1285&amp;";","xxx"),"xxx"))</f>
        <v>xxx</v>
      </c>
      <c r="F1140" s="18" t="str">
        <f>IF(装备表!$O1285=0,"xxx",IFERROR(IF(INT(IF($D1140=F$3,装备表!$E1285,"xxx")/10000)=1,IF($D1140=F$3,装备表!$E1285,"xxx")&amp;":2,1,1,"&amp;装备表!$O1285&amp;";","xxx"),"xxx"))</f>
        <v>xxx</v>
      </c>
      <c r="G1140" s="18" t="str">
        <f>IF(装备表!$O1285=0,"xxx",IFERROR(IF(INT(IF($D1140=G$3,装备表!$E1285,"xxx")/10000)=1,IF($D1140=G$3,装备表!$E1285,"xxx")&amp;":2,1,1,"&amp;装备表!$O1285&amp;";","xxx"),"xxx"))</f>
        <v>xxx</v>
      </c>
      <c r="H1140" s="18" t="str">
        <f>IF(装备表!$O1285=0,"xxx",IFERROR(IF(INT(IF($D1140=H$3,装备表!$E1285,"xxx")/10000)=1,IF($D1140=H$3,装备表!$E1285,"xxx")&amp;":2,1,1,"&amp;装备表!$O1285&amp;";","xxx"),"xxx"))</f>
        <v>xxx</v>
      </c>
      <c r="I1140" s="18" t="str">
        <f>IF(装备表!$O1285=0,"xxx",IFERROR(IF(INT(IF($D1140=I$3,装备表!$E1285,"xxx")/10000)=1,IF($D1140=I$3,装备表!$E1285,"xxx")&amp;":2,1,1,"&amp;装备表!$O1285&amp;";","xxx"),"xxx"))</f>
        <v>xxx</v>
      </c>
      <c r="J1140" s="18" t="str">
        <f>IF(装备表!$O1285=0,"xxx",IFERROR(IF(INT(IF($D1140=J$3,装备表!$E1285,"xxx")/10000)=1,IF($D1140=J$3,装备表!$E1285,"xxx")&amp;":2,1,1,"&amp;装备表!$O1285&amp;";","xxx"),"xxx"))</f>
        <v>xxx</v>
      </c>
    </row>
    <row r="1141" spans="4:10" x14ac:dyDescent="0.2">
      <c r="D1141" s="18">
        <f>装备表!L1286</f>
        <v>0</v>
      </c>
      <c r="E1141" s="18" t="str">
        <f>IF(装备表!$O1286=0,"xxx",IFERROR(IF(INT(IF($D1141=E$3,装备表!$E1286,"xxx")/10000)=1,IF($D1141=E$3,装备表!$E1286,"xxx")&amp;":2,1,1,"&amp;装备表!$O1286&amp;";","xxx"),"xxx"))</f>
        <v>xxx</v>
      </c>
      <c r="F1141" s="18" t="str">
        <f>IF(装备表!$O1286=0,"xxx",IFERROR(IF(INT(IF($D1141=F$3,装备表!$E1286,"xxx")/10000)=1,IF($D1141=F$3,装备表!$E1286,"xxx")&amp;":2,1,1,"&amp;装备表!$O1286&amp;";","xxx"),"xxx"))</f>
        <v>xxx</v>
      </c>
      <c r="G1141" s="18" t="str">
        <f>IF(装备表!$O1286=0,"xxx",IFERROR(IF(INT(IF($D1141=G$3,装备表!$E1286,"xxx")/10000)=1,IF($D1141=G$3,装备表!$E1286,"xxx")&amp;":2,1,1,"&amp;装备表!$O1286&amp;";","xxx"),"xxx"))</f>
        <v>xxx</v>
      </c>
      <c r="H1141" s="18" t="str">
        <f>IF(装备表!$O1286=0,"xxx",IFERROR(IF(INT(IF($D1141=H$3,装备表!$E1286,"xxx")/10000)=1,IF($D1141=H$3,装备表!$E1286,"xxx")&amp;":2,1,1,"&amp;装备表!$O1286&amp;";","xxx"),"xxx"))</f>
        <v>xxx</v>
      </c>
      <c r="I1141" s="18" t="str">
        <f>IF(装备表!$O1286=0,"xxx",IFERROR(IF(INT(IF($D1141=I$3,装备表!$E1286,"xxx")/10000)=1,IF($D1141=I$3,装备表!$E1286,"xxx")&amp;":2,1,1,"&amp;装备表!$O1286&amp;";","xxx"),"xxx"))</f>
        <v>xxx</v>
      </c>
      <c r="J1141" s="18" t="str">
        <f>IF(装备表!$O1286=0,"xxx",IFERROR(IF(INT(IF($D1141=J$3,装备表!$E1286,"xxx")/10000)=1,IF($D1141=J$3,装备表!$E1286,"xxx")&amp;":2,1,1,"&amp;装备表!$O1286&amp;";","xxx"),"xxx"))</f>
        <v>xxx</v>
      </c>
    </row>
    <row r="1142" spans="4:10" x14ac:dyDescent="0.2">
      <c r="D1142" s="18">
        <f>装备表!L1287</f>
        <v>0</v>
      </c>
      <c r="E1142" s="18" t="str">
        <f>IF(装备表!$O1287=0,"xxx",IFERROR(IF(INT(IF($D1142=E$3,装备表!$E1287,"xxx")/10000)=1,IF($D1142=E$3,装备表!$E1287,"xxx")&amp;":2,1,1,"&amp;装备表!$O1287&amp;";","xxx"),"xxx"))</f>
        <v>xxx</v>
      </c>
      <c r="F1142" s="18" t="str">
        <f>IF(装备表!$O1287=0,"xxx",IFERROR(IF(INT(IF($D1142=F$3,装备表!$E1287,"xxx")/10000)=1,IF($D1142=F$3,装备表!$E1287,"xxx")&amp;":2,1,1,"&amp;装备表!$O1287&amp;";","xxx"),"xxx"))</f>
        <v>xxx</v>
      </c>
      <c r="G1142" s="18" t="str">
        <f>IF(装备表!$O1287=0,"xxx",IFERROR(IF(INT(IF($D1142=G$3,装备表!$E1287,"xxx")/10000)=1,IF($D1142=G$3,装备表!$E1287,"xxx")&amp;":2,1,1,"&amp;装备表!$O1287&amp;";","xxx"),"xxx"))</f>
        <v>xxx</v>
      </c>
      <c r="H1142" s="18" t="str">
        <f>IF(装备表!$O1287=0,"xxx",IFERROR(IF(INT(IF($D1142=H$3,装备表!$E1287,"xxx")/10000)=1,IF($D1142=H$3,装备表!$E1287,"xxx")&amp;":2,1,1,"&amp;装备表!$O1287&amp;";","xxx"),"xxx"))</f>
        <v>xxx</v>
      </c>
      <c r="I1142" s="18" t="str">
        <f>IF(装备表!$O1287=0,"xxx",IFERROR(IF(INT(IF($D1142=I$3,装备表!$E1287,"xxx")/10000)=1,IF($D1142=I$3,装备表!$E1287,"xxx")&amp;":2,1,1,"&amp;装备表!$O1287&amp;";","xxx"),"xxx"))</f>
        <v>xxx</v>
      </c>
      <c r="J1142" s="18" t="str">
        <f>IF(装备表!$O1287=0,"xxx",IFERROR(IF(INT(IF($D1142=J$3,装备表!$E1287,"xxx")/10000)=1,IF($D1142=J$3,装备表!$E1287,"xxx")&amp;":2,1,1,"&amp;装备表!$O1287&amp;";","xxx"),"xxx"))</f>
        <v>xxx</v>
      </c>
    </row>
    <row r="1143" spans="4:10" x14ac:dyDescent="0.2">
      <c r="D1143" s="18">
        <f>装备表!L1288</f>
        <v>0</v>
      </c>
      <c r="E1143" s="18" t="str">
        <f>IF(装备表!$O1288=0,"xxx",IFERROR(IF(INT(IF($D1143=E$3,装备表!$E1288,"xxx")/10000)=1,IF($D1143=E$3,装备表!$E1288,"xxx")&amp;":2,1,1,"&amp;装备表!$O1288&amp;";","xxx"),"xxx"))</f>
        <v>xxx</v>
      </c>
      <c r="F1143" s="18" t="str">
        <f>IF(装备表!$O1288=0,"xxx",IFERROR(IF(INT(IF($D1143=F$3,装备表!$E1288,"xxx")/10000)=1,IF($D1143=F$3,装备表!$E1288,"xxx")&amp;":2,1,1,"&amp;装备表!$O1288&amp;";","xxx"),"xxx"))</f>
        <v>xxx</v>
      </c>
      <c r="G1143" s="18" t="str">
        <f>IF(装备表!$O1288=0,"xxx",IFERROR(IF(INT(IF($D1143=G$3,装备表!$E1288,"xxx")/10000)=1,IF($D1143=G$3,装备表!$E1288,"xxx")&amp;":2,1,1,"&amp;装备表!$O1288&amp;";","xxx"),"xxx"))</f>
        <v>xxx</v>
      </c>
      <c r="H1143" s="18" t="str">
        <f>IF(装备表!$O1288=0,"xxx",IFERROR(IF(INT(IF($D1143=H$3,装备表!$E1288,"xxx")/10000)=1,IF($D1143=H$3,装备表!$E1288,"xxx")&amp;":2,1,1,"&amp;装备表!$O1288&amp;";","xxx"),"xxx"))</f>
        <v>xxx</v>
      </c>
      <c r="I1143" s="18" t="str">
        <f>IF(装备表!$O1288=0,"xxx",IFERROR(IF(INT(IF($D1143=I$3,装备表!$E1288,"xxx")/10000)=1,IF($D1143=I$3,装备表!$E1288,"xxx")&amp;":2,1,1,"&amp;装备表!$O1288&amp;";","xxx"),"xxx"))</f>
        <v>xxx</v>
      </c>
      <c r="J1143" s="18" t="str">
        <f>IF(装备表!$O1288=0,"xxx",IFERROR(IF(INT(IF($D1143=J$3,装备表!$E1288,"xxx")/10000)=1,IF($D1143=J$3,装备表!$E1288,"xxx")&amp;":2,1,1,"&amp;装备表!$O1288&amp;";","xxx"),"xxx"))</f>
        <v>xxx</v>
      </c>
    </row>
    <row r="1144" spans="4:10" x14ac:dyDescent="0.2">
      <c r="D1144" s="18">
        <f>装备表!L1289</f>
        <v>0</v>
      </c>
      <c r="E1144" s="18" t="str">
        <f>IF(装备表!$O1289=0,"xxx",IFERROR(IF(INT(IF($D1144=E$3,装备表!$E1289,"xxx")/10000)=1,IF($D1144=E$3,装备表!$E1289,"xxx")&amp;":2,1,1,"&amp;装备表!$O1289&amp;";","xxx"),"xxx"))</f>
        <v>xxx</v>
      </c>
      <c r="F1144" s="18" t="str">
        <f>IF(装备表!$O1289=0,"xxx",IFERROR(IF(INT(IF($D1144=F$3,装备表!$E1289,"xxx")/10000)=1,IF($D1144=F$3,装备表!$E1289,"xxx")&amp;":2,1,1,"&amp;装备表!$O1289&amp;";","xxx"),"xxx"))</f>
        <v>xxx</v>
      </c>
      <c r="G1144" s="18" t="str">
        <f>IF(装备表!$O1289=0,"xxx",IFERROR(IF(INT(IF($D1144=G$3,装备表!$E1289,"xxx")/10000)=1,IF($D1144=G$3,装备表!$E1289,"xxx")&amp;":2,1,1,"&amp;装备表!$O1289&amp;";","xxx"),"xxx"))</f>
        <v>xxx</v>
      </c>
      <c r="H1144" s="18" t="str">
        <f>IF(装备表!$O1289=0,"xxx",IFERROR(IF(INT(IF($D1144=H$3,装备表!$E1289,"xxx")/10000)=1,IF($D1144=H$3,装备表!$E1289,"xxx")&amp;":2,1,1,"&amp;装备表!$O1289&amp;";","xxx"),"xxx"))</f>
        <v>xxx</v>
      </c>
      <c r="I1144" s="18" t="str">
        <f>IF(装备表!$O1289=0,"xxx",IFERROR(IF(INT(IF($D1144=I$3,装备表!$E1289,"xxx")/10000)=1,IF($D1144=I$3,装备表!$E1289,"xxx")&amp;":2,1,1,"&amp;装备表!$O1289&amp;";","xxx"),"xxx"))</f>
        <v>xxx</v>
      </c>
      <c r="J1144" s="18" t="str">
        <f>IF(装备表!$O1289=0,"xxx",IFERROR(IF(INT(IF($D1144=J$3,装备表!$E1289,"xxx")/10000)=1,IF($D1144=J$3,装备表!$E1289,"xxx")&amp;":2,1,1,"&amp;装备表!$O1289&amp;";","xxx"),"xxx"))</f>
        <v>xxx</v>
      </c>
    </row>
    <row r="1145" spans="4:10" x14ac:dyDescent="0.2">
      <c r="D1145" s="18">
        <f>装备表!L1290</f>
        <v>0</v>
      </c>
      <c r="E1145" s="18" t="str">
        <f>IF(装备表!$O1290=0,"xxx",IFERROR(IF(INT(IF($D1145=E$3,装备表!$E1290,"xxx")/10000)=1,IF($D1145=E$3,装备表!$E1290,"xxx")&amp;":2,1,1,"&amp;装备表!$O1290&amp;";","xxx"),"xxx"))</f>
        <v>xxx</v>
      </c>
      <c r="F1145" s="18" t="str">
        <f>IF(装备表!$O1290=0,"xxx",IFERROR(IF(INT(IF($D1145=F$3,装备表!$E1290,"xxx")/10000)=1,IF($D1145=F$3,装备表!$E1290,"xxx")&amp;":2,1,1,"&amp;装备表!$O1290&amp;";","xxx"),"xxx"))</f>
        <v>xxx</v>
      </c>
      <c r="G1145" s="18" t="str">
        <f>IF(装备表!$O1290=0,"xxx",IFERROR(IF(INT(IF($D1145=G$3,装备表!$E1290,"xxx")/10000)=1,IF($D1145=G$3,装备表!$E1290,"xxx")&amp;":2,1,1,"&amp;装备表!$O1290&amp;";","xxx"),"xxx"))</f>
        <v>xxx</v>
      </c>
      <c r="H1145" s="18" t="str">
        <f>IF(装备表!$O1290=0,"xxx",IFERROR(IF(INT(IF($D1145=H$3,装备表!$E1290,"xxx")/10000)=1,IF($D1145=H$3,装备表!$E1290,"xxx")&amp;":2,1,1,"&amp;装备表!$O1290&amp;";","xxx"),"xxx"))</f>
        <v>xxx</v>
      </c>
      <c r="I1145" s="18" t="str">
        <f>IF(装备表!$O1290=0,"xxx",IFERROR(IF(INT(IF($D1145=I$3,装备表!$E1290,"xxx")/10000)=1,IF($D1145=I$3,装备表!$E1290,"xxx")&amp;":2,1,1,"&amp;装备表!$O1290&amp;";","xxx"),"xxx"))</f>
        <v>xxx</v>
      </c>
      <c r="J1145" s="18" t="str">
        <f>IF(装备表!$O1290=0,"xxx",IFERROR(IF(INT(IF($D1145=J$3,装备表!$E1290,"xxx")/10000)=1,IF($D1145=J$3,装备表!$E1290,"xxx")&amp;":2,1,1,"&amp;装备表!$O1290&amp;";","xxx"),"xxx"))</f>
        <v>xxx</v>
      </c>
    </row>
    <row r="1146" spans="4:10" x14ac:dyDescent="0.2">
      <c r="D1146" s="18">
        <f>装备表!L1291</f>
        <v>0</v>
      </c>
      <c r="E1146" s="18" t="str">
        <f>IF(装备表!$O1291=0,"xxx",IFERROR(IF(INT(IF($D1146=E$3,装备表!$E1291,"xxx")/10000)=1,IF($D1146=E$3,装备表!$E1291,"xxx")&amp;":2,1,1,"&amp;装备表!$O1291&amp;";","xxx"),"xxx"))</f>
        <v>xxx</v>
      </c>
      <c r="F1146" s="18" t="str">
        <f>IF(装备表!$O1291=0,"xxx",IFERROR(IF(INT(IF($D1146=F$3,装备表!$E1291,"xxx")/10000)=1,IF($D1146=F$3,装备表!$E1291,"xxx")&amp;":2,1,1,"&amp;装备表!$O1291&amp;";","xxx"),"xxx"))</f>
        <v>xxx</v>
      </c>
      <c r="G1146" s="18" t="str">
        <f>IF(装备表!$O1291=0,"xxx",IFERROR(IF(INT(IF($D1146=G$3,装备表!$E1291,"xxx")/10000)=1,IF($D1146=G$3,装备表!$E1291,"xxx")&amp;":2,1,1,"&amp;装备表!$O1291&amp;";","xxx"),"xxx"))</f>
        <v>xxx</v>
      </c>
      <c r="H1146" s="18" t="str">
        <f>IF(装备表!$O1291=0,"xxx",IFERROR(IF(INT(IF($D1146=H$3,装备表!$E1291,"xxx")/10000)=1,IF($D1146=H$3,装备表!$E1291,"xxx")&amp;":2,1,1,"&amp;装备表!$O1291&amp;";","xxx"),"xxx"))</f>
        <v>xxx</v>
      </c>
      <c r="I1146" s="18" t="str">
        <f>IF(装备表!$O1291=0,"xxx",IFERROR(IF(INT(IF($D1146=I$3,装备表!$E1291,"xxx")/10000)=1,IF($D1146=I$3,装备表!$E1291,"xxx")&amp;":2,1,1,"&amp;装备表!$O1291&amp;";","xxx"),"xxx"))</f>
        <v>xxx</v>
      </c>
      <c r="J1146" s="18" t="str">
        <f>IF(装备表!$O1291=0,"xxx",IFERROR(IF(INT(IF($D1146=J$3,装备表!$E1291,"xxx")/10000)=1,IF($D1146=J$3,装备表!$E1291,"xxx")&amp;":2,1,1,"&amp;装备表!$O1291&amp;";","xxx"),"xxx"))</f>
        <v>xxx</v>
      </c>
    </row>
    <row r="1147" spans="4:10" x14ac:dyDescent="0.2">
      <c r="D1147" s="18">
        <f>装备表!L1292</f>
        <v>0</v>
      </c>
      <c r="E1147" s="18" t="str">
        <f>IF(装备表!$O1292=0,"xxx",IFERROR(IF(INT(IF($D1147=E$3,装备表!$E1292,"xxx")/10000)=1,IF($D1147=E$3,装备表!$E1292,"xxx")&amp;":2,1,1,"&amp;装备表!$O1292&amp;";","xxx"),"xxx"))</f>
        <v>xxx</v>
      </c>
      <c r="F1147" s="18" t="str">
        <f>IF(装备表!$O1292=0,"xxx",IFERROR(IF(INT(IF($D1147=F$3,装备表!$E1292,"xxx")/10000)=1,IF($D1147=F$3,装备表!$E1292,"xxx")&amp;":2,1,1,"&amp;装备表!$O1292&amp;";","xxx"),"xxx"))</f>
        <v>xxx</v>
      </c>
      <c r="G1147" s="18" t="str">
        <f>IF(装备表!$O1292=0,"xxx",IFERROR(IF(INT(IF($D1147=G$3,装备表!$E1292,"xxx")/10000)=1,IF($D1147=G$3,装备表!$E1292,"xxx")&amp;":2,1,1,"&amp;装备表!$O1292&amp;";","xxx"),"xxx"))</f>
        <v>xxx</v>
      </c>
      <c r="H1147" s="18" t="str">
        <f>IF(装备表!$O1292=0,"xxx",IFERROR(IF(INT(IF($D1147=H$3,装备表!$E1292,"xxx")/10000)=1,IF($D1147=H$3,装备表!$E1292,"xxx")&amp;":2,1,1,"&amp;装备表!$O1292&amp;";","xxx"),"xxx"))</f>
        <v>xxx</v>
      </c>
      <c r="I1147" s="18" t="str">
        <f>IF(装备表!$O1292=0,"xxx",IFERROR(IF(INT(IF($D1147=I$3,装备表!$E1292,"xxx")/10000)=1,IF($D1147=I$3,装备表!$E1292,"xxx")&amp;":2,1,1,"&amp;装备表!$O1292&amp;";","xxx"),"xxx"))</f>
        <v>xxx</v>
      </c>
      <c r="J1147" s="18" t="str">
        <f>IF(装备表!$O1292=0,"xxx",IFERROR(IF(INT(IF($D1147=J$3,装备表!$E1292,"xxx")/10000)=1,IF($D1147=J$3,装备表!$E1292,"xxx")&amp;":2,1,1,"&amp;装备表!$O1292&amp;";","xxx"),"xxx"))</f>
        <v>xxx</v>
      </c>
    </row>
    <row r="1148" spans="4:10" x14ac:dyDescent="0.2">
      <c r="D1148" s="18">
        <f>装备表!L1293</f>
        <v>0</v>
      </c>
      <c r="E1148" s="18" t="str">
        <f>IF(装备表!$O1293=0,"xxx",IFERROR(IF(INT(IF($D1148=E$3,装备表!$E1293,"xxx")/10000)=1,IF($D1148=E$3,装备表!$E1293,"xxx")&amp;":2,1,1,"&amp;装备表!$O1293&amp;";","xxx"),"xxx"))</f>
        <v>xxx</v>
      </c>
      <c r="F1148" s="18" t="str">
        <f>IF(装备表!$O1293=0,"xxx",IFERROR(IF(INT(IF($D1148=F$3,装备表!$E1293,"xxx")/10000)=1,IF($D1148=F$3,装备表!$E1293,"xxx")&amp;":2,1,1,"&amp;装备表!$O1293&amp;";","xxx"),"xxx"))</f>
        <v>xxx</v>
      </c>
      <c r="G1148" s="18" t="str">
        <f>IF(装备表!$O1293=0,"xxx",IFERROR(IF(INT(IF($D1148=G$3,装备表!$E1293,"xxx")/10000)=1,IF($D1148=G$3,装备表!$E1293,"xxx")&amp;":2,1,1,"&amp;装备表!$O1293&amp;";","xxx"),"xxx"))</f>
        <v>xxx</v>
      </c>
      <c r="H1148" s="18" t="str">
        <f>IF(装备表!$O1293=0,"xxx",IFERROR(IF(INT(IF($D1148=H$3,装备表!$E1293,"xxx")/10000)=1,IF($D1148=H$3,装备表!$E1293,"xxx")&amp;":2,1,1,"&amp;装备表!$O1293&amp;";","xxx"),"xxx"))</f>
        <v>xxx</v>
      </c>
      <c r="I1148" s="18" t="str">
        <f>IF(装备表!$O1293=0,"xxx",IFERROR(IF(INT(IF($D1148=I$3,装备表!$E1293,"xxx")/10000)=1,IF($D1148=I$3,装备表!$E1293,"xxx")&amp;":2,1,1,"&amp;装备表!$O1293&amp;";","xxx"),"xxx"))</f>
        <v>xxx</v>
      </c>
      <c r="J1148" s="18" t="str">
        <f>IF(装备表!$O1293=0,"xxx",IFERROR(IF(INT(IF($D1148=J$3,装备表!$E1293,"xxx")/10000)=1,IF($D1148=J$3,装备表!$E1293,"xxx")&amp;":2,1,1,"&amp;装备表!$O1293&amp;";","xxx"),"xxx"))</f>
        <v>xxx</v>
      </c>
    </row>
    <row r="1149" spans="4:10" x14ac:dyDescent="0.2">
      <c r="D1149" s="18">
        <f>装备表!L1294</f>
        <v>0</v>
      </c>
      <c r="E1149" s="18" t="str">
        <f>IF(装备表!$O1294=0,"xxx",IFERROR(IF(INT(IF($D1149=E$3,装备表!$E1294,"xxx")/10000)=1,IF($D1149=E$3,装备表!$E1294,"xxx")&amp;":2,1,1,"&amp;装备表!$O1294&amp;";","xxx"),"xxx"))</f>
        <v>xxx</v>
      </c>
      <c r="F1149" s="18" t="str">
        <f>IF(装备表!$O1294=0,"xxx",IFERROR(IF(INT(IF($D1149=F$3,装备表!$E1294,"xxx")/10000)=1,IF($D1149=F$3,装备表!$E1294,"xxx")&amp;":2,1,1,"&amp;装备表!$O1294&amp;";","xxx"),"xxx"))</f>
        <v>xxx</v>
      </c>
      <c r="G1149" s="18" t="str">
        <f>IF(装备表!$O1294=0,"xxx",IFERROR(IF(INT(IF($D1149=G$3,装备表!$E1294,"xxx")/10000)=1,IF($D1149=G$3,装备表!$E1294,"xxx")&amp;":2,1,1,"&amp;装备表!$O1294&amp;";","xxx"),"xxx"))</f>
        <v>xxx</v>
      </c>
      <c r="H1149" s="18" t="str">
        <f>IF(装备表!$O1294=0,"xxx",IFERROR(IF(INT(IF($D1149=H$3,装备表!$E1294,"xxx")/10000)=1,IF($D1149=H$3,装备表!$E1294,"xxx")&amp;":2,1,1,"&amp;装备表!$O1294&amp;";","xxx"),"xxx"))</f>
        <v>xxx</v>
      </c>
      <c r="I1149" s="18" t="str">
        <f>IF(装备表!$O1294=0,"xxx",IFERROR(IF(INT(IF($D1149=I$3,装备表!$E1294,"xxx")/10000)=1,IF($D1149=I$3,装备表!$E1294,"xxx")&amp;":2,1,1,"&amp;装备表!$O1294&amp;";","xxx"),"xxx"))</f>
        <v>xxx</v>
      </c>
      <c r="J1149" s="18" t="str">
        <f>IF(装备表!$O1294=0,"xxx",IFERROR(IF(INT(IF($D1149=J$3,装备表!$E1294,"xxx")/10000)=1,IF($D1149=J$3,装备表!$E1294,"xxx")&amp;":2,1,1,"&amp;装备表!$O1294&amp;";","xxx"),"xxx"))</f>
        <v>xxx</v>
      </c>
    </row>
    <row r="1150" spans="4:10" x14ac:dyDescent="0.2">
      <c r="D1150" s="18">
        <f>装备表!L1295</f>
        <v>0</v>
      </c>
      <c r="E1150" s="18" t="str">
        <f>IF(装备表!$O1295=0,"xxx",IFERROR(IF(INT(IF($D1150=E$3,装备表!$E1295,"xxx")/10000)=1,IF($D1150=E$3,装备表!$E1295,"xxx")&amp;":2,1,1,"&amp;装备表!$O1295&amp;";","xxx"),"xxx"))</f>
        <v>xxx</v>
      </c>
      <c r="F1150" s="18" t="str">
        <f>IF(装备表!$O1295=0,"xxx",IFERROR(IF(INT(IF($D1150=F$3,装备表!$E1295,"xxx")/10000)=1,IF($D1150=F$3,装备表!$E1295,"xxx")&amp;":2,1,1,"&amp;装备表!$O1295&amp;";","xxx"),"xxx"))</f>
        <v>xxx</v>
      </c>
      <c r="G1150" s="18" t="str">
        <f>IF(装备表!$O1295=0,"xxx",IFERROR(IF(INT(IF($D1150=G$3,装备表!$E1295,"xxx")/10000)=1,IF($D1150=G$3,装备表!$E1295,"xxx")&amp;":2,1,1,"&amp;装备表!$O1295&amp;";","xxx"),"xxx"))</f>
        <v>xxx</v>
      </c>
      <c r="H1150" s="18" t="str">
        <f>IF(装备表!$O1295=0,"xxx",IFERROR(IF(INT(IF($D1150=H$3,装备表!$E1295,"xxx")/10000)=1,IF($D1150=H$3,装备表!$E1295,"xxx")&amp;":2,1,1,"&amp;装备表!$O1295&amp;";","xxx"),"xxx"))</f>
        <v>xxx</v>
      </c>
      <c r="I1150" s="18" t="str">
        <f>IF(装备表!$O1295=0,"xxx",IFERROR(IF(INT(IF($D1150=I$3,装备表!$E1295,"xxx")/10000)=1,IF($D1150=I$3,装备表!$E1295,"xxx")&amp;":2,1,1,"&amp;装备表!$O1295&amp;";","xxx"),"xxx"))</f>
        <v>xxx</v>
      </c>
      <c r="J1150" s="18" t="str">
        <f>IF(装备表!$O1295=0,"xxx",IFERROR(IF(INT(IF($D1150=J$3,装备表!$E1295,"xxx")/10000)=1,IF($D1150=J$3,装备表!$E1295,"xxx")&amp;":2,1,1,"&amp;装备表!$O1295&amp;";","xxx"),"xxx"))</f>
        <v>xxx</v>
      </c>
    </row>
    <row r="1151" spans="4:10" x14ac:dyDescent="0.2">
      <c r="D1151" s="18">
        <f>装备表!L1296</f>
        <v>0</v>
      </c>
      <c r="E1151" s="18" t="str">
        <f>IF(装备表!$O1296=0,"xxx",IFERROR(IF(INT(IF($D1151=E$3,装备表!$E1296,"xxx")/10000)=1,IF($D1151=E$3,装备表!$E1296,"xxx")&amp;":2,1,1,"&amp;装备表!$O1296&amp;";","xxx"),"xxx"))</f>
        <v>xxx</v>
      </c>
      <c r="F1151" s="18" t="str">
        <f>IF(装备表!$O1296=0,"xxx",IFERROR(IF(INT(IF($D1151=F$3,装备表!$E1296,"xxx")/10000)=1,IF($D1151=F$3,装备表!$E1296,"xxx")&amp;":2,1,1,"&amp;装备表!$O1296&amp;";","xxx"),"xxx"))</f>
        <v>xxx</v>
      </c>
      <c r="G1151" s="18" t="str">
        <f>IF(装备表!$O1296=0,"xxx",IFERROR(IF(INT(IF($D1151=G$3,装备表!$E1296,"xxx")/10000)=1,IF($D1151=G$3,装备表!$E1296,"xxx")&amp;":2,1,1,"&amp;装备表!$O1296&amp;";","xxx"),"xxx"))</f>
        <v>xxx</v>
      </c>
      <c r="H1151" s="18" t="str">
        <f>IF(装备表!$O1296=0,"xxx",IFERROR(IF(INT(IF($D1151=H$3,装备表!$E1296,"xxx")/10000)=1,IF($D1151=H$3,装备表!$E1296,"xxx")&amp;":2,1,1,"&amp;装备表!$O1296&amp;";","xxx"),"xxx"))</f>
        <v>xxx</v>
      </c>
      <c r="I1151" s="18" t="str">
        <f>IF(装备表!$O1296=0,"xxx",IFERROR(IF(INT(IF($D1151=I$3,装备表!$E1296,"xxx")/10000)=1,IF($D1151=I$3,装备表!$E1296,"xxx")&amp;":2,1,1,"&amp;装备表!$O1296&amp;";","xxx"),"xxx"))</f>
        <v>xxx</v>
      </c>
      <c r="J1151" s="18" t="str">
        <f>IF(装备表!$O1296=0,"xxx",IFERROR(IF(INT(IF($D1151=J$3,装备表!$E1296,"xxx")/10000)=1,IF($D1151=J$3,装备表!$E1296,"xxx")&amp;":2,1,1,"&amp;装备表!$O1296&amp;";","xxx"),"xxx"))</f>
        <v>xxx</v>
      </c>
    </row>
    <row r="1152" spans="4:10" x14ac:dyDescent="0.2">
      <c r="D1152" s="18">
        <f>装备表!L1297</f>
        <v>0</v>
      </c>
      <c r="E1152" s="18" t="str">
        <f>IF(装备表!$O1297=0,"xxx",IFERROR(IF(INT(IF($D1152=E$3,装备表!$E1297,"xxx")/10000)=1,IF($D1152=E$3,装备表!$E1297,"xxx")&amp;":2,1,1,"&amp;装备表!$O1297&amp;";","xxx"),"xxx"))</f>
        <v>xxx</v>
      </c>
      <c r="F1152" s="18" t="str">
        <f>IF(装备表!$O1297=0,"xxx",IFERROR(IF(INT(IF($D1152=F$3,装备表!$E1297,"xxx")/10000)=1,IF($D1152=F$3,装备表!$E1297,"xxx")&amp;":2,1,1,"&amp;装备表!$O1297&amp;";","xxx"),"xxx"))</f>
        <v>xxx</v>
      </c>
      <c r="G1152" s="18" t="str">
        <f>IF(装备表!$O1297=0,"xxx",IFERROR(IF(INT(IF($D1152=G$3,装备表!$E1297,"xxx")/10000)=1,IF($D1152=G$3,装备表!$E1297,"xxx")&amp;":2,1,1,"&amp;装备表!$O1297&amp;";","xxx"),"xxx"))</f>
        <v>xxx</v>
      </c>
      <c r="H1152" s="18" t="str">
        <f>IF(装备表!$O1297=0,"xxx",IFERROR(IF(INT(IF($D1152=H$3,装备表!$E1297,"xxx")/10000)=1,IF($D1152=H$3,装备表!$E1297,"xxx")&amp;":2,1,1,"&amp;装备表!$O1297&amp;";","xxx"),"xxx"))</f>
        <v>xxx</v>
      </c>
      <c r="I1152" s="18" t="str">
        <f>IF(装备表!$O1297=0,"xxx",IFERROR(IF(INT(IF($D1152=I$3,装备表!$E1297,"xxx")/10000)=1,IF($D1152=I$3,装备表!$E1297,"xxx")&amp;":2,1,1,"&amp;装备表!$O1297&amp;";","xxx"),"xxx"))</f>
        <v>xxx</v>
      </c>
      <c r="J1152" s="18" t="str">
        <f>IF(装备表!$O1297=0,"xxx",IFERROR(IF(INT(IF($D1152=J$3,装备表!$E1297,"xxx")/10000)=1,IF($D1152=J$3,装备表!$E1297,"xxx")&amp;":2,1,1,"&amp;装备表!$O1297&amp;";","xxx"),"xxx"))</f>
        <v>xxx</v>
      </c>
    </row>
    <row r="1153" spans="4:10" x14ac:dyDescent="0.2">
      <c r="D1153" s="18">
        <f>装备表!L1298</f>
        <v>0</v>
      </c>
      <c r="E1153" s="18" t="str">
        <f>IF(装备表!$O1298=0,"xxx",IFERROR(IF(INT(IF($D1153=E$3,装备表!$E1298,"xxx")/10000)=1,IF($D1153=E$3,装备表!$E1298,"xxx")&amp;":2,1,1,"&amp;装备表!$O1298&amp;";","xxx"),"xxx"))</f>
        <v>xxx</v>
      </c>
      <c r="F1153" s="18" t="str">
        <f>IF(装备表!$O1298=0,"xxx",IFERROR(IF(INT(IF($D1153=F$3,装备表!$E1298,"xxx")/10000)=1,IF($D1153=F$3,装备表!$E1298,"xxx")&amp;":2,1,1,"&amp;装备表!$O1298&amp;";","xxx"),"xxx"))</f>
        <v>xxx</v>
      </c>
      <c r="G1153" s="18" t="str">
        <f>IF(装备表!$O1298=0,"xxx",IFERROR(IF(INT(IF($D1153=G$3,装备表!$E1298,"xxx")/10000)=1,IF($D1153=G$3,装备表!$E1298,"xxx")&amp;":2,1,1,"&amp;装备表!$O1298&amp;";","xxx"),"xxx"))</f>
        <v>xxx</v>
      </c>
      <c r="H1153" s="18" t="str">
        <f>IF(装备表!$O1298=0,"xxx",IFERROR(IF(INT(IF($D1153=H$3,装备表!$E1298,"xxx")/10000)=1,IF($D1153=H$3,装备表!$E1298,"xxx")&amp;":2,1,1,"&amp;装备表!$O1298&amp;";","xxx"),"xxx"))</f>
        <v>xxx</v>
      </c>
      <c r="I1153" s="18" t="str">
        <f>IF(装备表!$O1298=0,"xxx",IFERROR(IF(INT(IF($D1153=I$3,装备表!$E1298,"xxx")/10000)=1,IF($D1153=I$3,装备表!$E1298,"xxx")&amp;":2,1,1,"&amp;装备表!$O1298&amp;";","xxx"),"xxx"))</f>
        <v>xxx</v>
      </c>
      <c r="J1153" s="18" t="str">
        <f>IF(装备表!$O1298=0,"xxx",IFERROR(IF(INT(IF($D1153=J$3,装备表!$E1298,"xxx")/10000)=1,IF($D1153=J$3,装备表!$E1298,"xxx")&amp;":2,1,1,"&amp;装备表!$O1298&amp;";","xxx"),"xxx"))</f>
        <v>xxx</v>
      </c>
    </row>
    <row r="1154" spans="4:10" x14ac:dyDescent="0.2">
      <c r="D1154" s="18">
        <f>装备表!L1299</f>
        <v>0</v>
      </c>
      <c r="E1154" s="18" t="str">
        <f>IF(装备表!$O1299=0,"xxx",IFERROR(IF(INT(IF($D1154=E$3,装备表!$E1299,"xxx")/10000)=1,IF($D1154=E$3,装备表!$E1299,"xxx")&amp;":2,1,1,"&amp;装备表!$O1299&amp;";","xxx"),"xxx"))</f>
        <v>xxx</v>
      </c>
      <c r="F1154" s="18" t="str">
        <f>IF(装备表!$O1299=0,"xxx",IFERROR(IF(INT(IF($D1154=F$3,装备表!$E1299,"xxx")/10000)=1,IF($D1154=F$3,装备表!$E1299,"xxx")&amp;":2,1,1,"&amp;装备表!$O1299&amp;";","xxx"),"xxx"))</f>
        <v>xxx</v>
      </c>
      <c r="G1154" s="18" t="str">
        <f>IF(装备表!$O1299=0,"xxx",IFERROR(IF(INT(IF($D1154=G$3,装备表!$E1299,"xxx")/10000)=1,IF($D1154=G$3,装备表!$E1299,"xxx")&amp;":2,1,1,"&amp;装备表!$O1299&amp;";","xxx"),"xxx"))</f>
        <v>xxx</v>
      </c>
      <c r="H1154" s="18" t="str">
        <f>IF(装备表!$O1299=0,"xxx",IFERROR(IF(INT(IF($D1154=H$3,装备表!$E1299,"xxx")/10000)=1,IF($D1154=H$3,装备表!$E1299,"xxx")&amp;":2,1,1,"&amp;装备表!$O1299&amp;";","xxx"),"xxx"))</f>
        <v>xxx</v>
      </c>
      <c r="I1154" s="18" t="str">
        <f>IF(装备表!$O1299=0,"xxx",IFERROR(IF(INT(IF($D1154=I$3,装备表!$E1299,"xxx")/10000)=1,IF($D1154=I$3,装备表!$E1299,"xxx")&amp;":2,1,1,"&amp;装备表!$O1299&amp;";","xxx"),"xxx"))</f>
        <v>xxx</v>
      </c>
      <c r="J1154" s="18" t="str">
        <f>IF(装备表!$O1299=0,"xxx",IFERROR(IF(INT(IF($D1154=J$3,装备表!$E1299,"xxx")/10000)=1,IF($D1154=J$3,装备表!$E1299,"xxx")&amp;":2,1,1,"&amp;装备表!$O1299&amp;";","xxx"),"xxx"))</f>
        <v>xxx</v>
      </c>
    </row>
    <row r="1155" spans="4:10" x14ac:dyDescent="0.2">
      <c r="D1155" s="18">
        <f>装备表!L1300</f>
        <v>0</v>
      </c>
      <c r="E1155" s="18" t="str">
        <f>IF(装备表!$O1300=0,"xxx",IFERROR(IF(INT(IF($D1155=E$3,装备表!$E1300,"xxx")/10000)=1,IF($D1155=E$3,装备表!$E1300,"xxx")&amp;":2,1,1,"&amp;装备表!$O1300&amp;";","xxx"),"xxx"))</f>
        <v>xxx</v>
      </c>
      <c r="F1155" s="18" t="str">
        <f>IF(装备表!$O1300=0,"xxx",IFERROR(IF(INT(IF($D1155=F$3,装备表!$E1300,"xxx")/10000)=1,IF($D1155=F$3,装备表!$E1300,"xxx")&amp;":2,1,1,"&amp;装备表!$O1300&amp;";","xxx"),"xxx"))</f>
        <v>xxx</v>
      </c>
      <c r="G1155" s="18" t="str">
        <f>IF(装备表!$O1300=0,"xxx",IFERROR(IF(INT(IF($D1155=G$3,装备表!$E1300,"xxx")/10000)=1,IF($D1155=G$3,装备表!$E1300,"xxx")&amp;":2,1,1,"&amp;装备表!$O1300&amp;";","xxx"),"xxx"))</f>
        <v>xxx</v>
      </c>
      <c r="H1155" s="18" t="str">
        <f>IF(装备表!$O1300=0,"xxx",IFERROR(IF(INT(IF($D1155=H$3,装备表!$E1300,"xxx")/10000)=1,IF($D1155=H$3,装备表!$E1300,"xxx")&amp;":2,1,1,"&amp;装备表!$O1300&amp;";","xxx"),"xxx"))</f>
        <v>xxx</v>
      </c>
      <c r="I1155" s="18" t="str">
        <f>IF(装备表!$O1300=0,"xxx",IFERROR(IF(INT(IF($D1155=I$3,装备表!$E1300,"xxx")/10000)=1,IF($D1155=I$3,装备表!$E1300,"xxx")&amp;":2,1,1,"&amp;装备表!$O1300&amp;";","xxx"),"xxx"))</f>
        <v>xxx</v>
      </c>
      <c r="J1155" s="18" t="str">
        <f>IF(装备表!$O1300=0,"xxx",IFERROR(IF(INT(IF($D1155=J$3,装备表!$E1300,"xxx")/10000)=1,IF($D1155=J$3,装备表!$E1300,"xxx")&amp;":2,1,1,"&amp;装备表!$O1300&amp;";","xxx"),"xxx"))</f>
        <v>xxx</v>
      </c>
    </row>
    <row r="1156" spans="4:10" x14ac:dyDescent="0.2">
      <c r="D1156" s="18">
        <f>装备表!L1301</f>
        <v>0</v>
      </c>
      <c r="E1156" s="18" t="str">
        <f>IF(装备表!$O1301=0,"xxx",IFERROR(IF(INT(IF($D1156=E$3,装备表!$E1301,"xxx")/10000)=1,IF($D1156=E$3,装备表!$E1301,"xxx")&amp;":2,1,1,"&amp;装备表!$O1301&amp;";","xxx"),"xxx"))</f>
        <v>xxx</v>
      </c>
      <c r="F1156" s="18" t="str">
        <f>IF(装备表!$O1301=0,"xxx",IFERROR(IF(INT(IF($D1156=F$3,装备表!$E1301,"xxx")/10000)=1,IF($D1156=F$3,装备表!$E1301,"xxx")&amp;":2,1,1,"&amp;装备表!$O1301&amp;";","xxx"),"xxx"))</f>
        <v>xxx</v>
      </c>
      <c r="G1156" s="18" t="str">
        <f>IF(装备表!$O1301=0,"xxx",IFERROR(IF(INT(IF($D1156=G$3,装备表!$E1301,"xxx")/10000)=1,IF($D1156=G$3,装备表!$E1301,"xxx")&amp;":2,1,1,"&amp;装备表!$O1301&amp;";","xxx"),"xxx"))</f>
        <v>xxx</v>
      </c>
      <c r="H1156" s="18" t="str">
        <f>IF(装备表!$O1301=0,"xxx",IFERROR(IF(INT(IF($D1156=H$3,装备表!$E1301,"xxx")/10000)=1,IF($D1156=H$3,装备表!$E1301,"xxx")&amp;":2,1,1,"&amp;装备表!$O1301&amp;";","xxx"),"xxx"))</f>
        <v>xxx</v>
      </c>
      <c r="I1156" s="18" t="str">
        <f>IF(装备表!$O1301=0,"xxx",IFERROR(IF(INT(IF($D1156=I$3,装备表!$E1301,"xxx")/10000)=1,IF($D1156=I$3,装备表!$E1301,"xxx")&amp;":2,1,1,"&amp;装备表!$O1301&amp;";","xxx"),"xxx"))</f>
        <v>xxx</v>
      </c>
      <c r="J1156" s="18" t="str">
        <f>IF(装备表!$O1301=0,"xxx",IFERROR(IF(INT(IF($D1156=J$3,装备表!$E1301,"xxx")/10000)=1,IF($D1156=J$3,装备表!$E1301,"xxx")&amp;":2,1,1,"&amp;装备表!$O1301&amp;";","xxx"),"xxx"))</f>
        <v>xxx</v>
      </c>
    </row>
    <row r="1157" spans="4:10" x14ac:dyDescent="0.2">
      <c r="D1157" s="18">
        <f>装备表!L1302</f>
        <v>0</v>
      </c>
      <c r="E1157" s="18" t="str">
        <f>IF(装备表!$O1302=0,"xxx",IFERROR(IF(INT(IF($D1157=E$3,装备表!$E1302,"xxx")/10000)=1,IF($D1157=E$3,装备表!$E1302,"xxx")&amp;":2,1,1,"&amp;装备表!$O1302&amp;";","xxx"),"xxx"))</f>
        <v>xxx</v>
      </c>
      <c r="F1157" s="18" t="str">
        <f>IF(装备表!$O1302=0,"xxx",IFERROR(IF(INT(IF($D1157=F$3,装备表!$E1302,"xxx")/10000)=1,IF($D1157=F$3,装备表!$E1302,"xxx")&amp;":2,1,1,"&amp;装备表!$O1302&amp;";","xxx"),"xxx"))</f>
        <v>xxx</v>
      </c>
      <c r="G1157" s="18" t="str">
        <f>IF(装备表!$O1302=0,"xxx",IFERROR(IF(INT(IF($D1157=G$3,装备表!$E1302,"xxx")/10000)=1,IF($D1157=G$3,装备表!$E1302,"xxx")&amp;":2,1,1,"&amp;装备表!$O1302&amp;";","xxx"),"xxx"))</f>
        <v>xxx</v>
      </c>
      <c r="H1157" s="18" t="str">
        <f>IF(装备表!$O1302=0,"xxx",IFERROR(IF(INT(IF($D1157=H$3,装备表!$E1302,"xxx")/10000)=1,IF($D1157=H$3,装备表!$E1302,"xxx")&amp;":2,1,1,"&amp;装备表!$O1302&amp;";","xxx"),"xxx"))</f>
        <v>xxx</v>
      </c>
      <c r="I1157" s="18" t="str">
        <f>IF(装备表!$O1302=0,"xxx",IFERROR(IF(INT(IF($D1157=I$3,装备表!$E1302,"xxx")/10000)=1,IF($D1157=I$3,装备表!$E1302,"xxx")&amp;":2,1,1,"&amp;装备表!$O1302&amp;";","xxx"),"xxx"))</f>
        <v>xxx</v>
      </c>
      <c r="J1157" s="18" t="str">
        <f>IF(装备表!$O1302=0,"xxx",IFERROR(IF(INT(IF($D1157=J$3,装备表!$E1302,"xxx")/10000)=1,IF($D1157=J$3,装备表!$E1302,"xxx")&amp;":2,1,1,"&amp;装备表!$O1302&amp;";","xxx"),"xxx"))</f>
        <v>xxx</v>
      </c>
    </row>
    <row r="1158" spans="4:10" x14ac:dyDescent="0.2">
      <c r="D1158" s="18">
        <f>装备表!L1303</f>
        <v>0</v>
      </c>
      <c r="E1158" s="18" t="str">
        <f>IF(装备表!$O1303=0,"xxx",IFERROR(IF(INT(IF($D1158=E$3,装备表!$E1303,"xxx")/10000)=1,IF($D1158=E$3,装备表!$E1303,"xxx")&amp;":2,1,1,"&amp;装备表!$O1303&amp;";","xxx"),"xxx"))</f>
        <v>xxx</v>
      </c>
      <c r="F1158" s="18" t="str">
        <f>IF(装备表!$O1303=0,"xxx",IFERROR(IF(INT(IF($D1158=F$3,装备表!$E1303,"xxx")/10000)=1,IF($D1158=F$3,装备表!$E1303,"xxx")&amp;":2,1,1,"&amp;装备表!$O1303&amp;";","xxx"),"xxx"))</f>
        <v>xxx</v>
      </c>
      <c r="G1158" s="18" t="str">
        <f>IF(装备表!$O1303=0,"xxx",IFERROR(IF(INT(IF($D1158=G$3,装备表!$E1303,"xxx")/10000)=1,IF($D1158=G$3,装备表!$E1303,"xxx")&amp;":2,1,1,"&amp;装备表!$O1303&amp;";","xxx"),"xxx"))</f>
        <v>xxx</v>
      </c>
      <c r="H1158" s="18" t="str">
        <f>IF(装备表!$O1303=0,"xxx",IFERROR(IF(INT(IF($D1158=H$3,装备表!$E1303,"xxx")/10000)=1,IF($D1158=H$3,装备表!$E1303,"xxx")&amp;":2,1,1,"&amp;装备表!$O1303&amp;";","xxx"),"xxx"))</f>
        <v>xxx</v>
      </c>
      <c r="I1158" s="18" t="str">
        <f>IF(装备表!$O1303=0,"xxx",IFERROR(IF(INT(IF($D1158=I$3,装备表!$E1303,"xxx")/10000)=1,IF($D1158=I$3,装备表!$E1303,"xxx")&amp;":2,1,1,"&amp;装备表!$O1303&amp;";","xxx"),"xxx"))</f>
        <v>xxx</v>
      </c>
      <c r="J1158" s="18" t="str">
        <f>IF(装备表!$O1303=0,"xxx",IFERROR(IF(INT(IF($D1158=J$3,装备表!$E1303,"xxx")/10000)=1,IF($D1158=J$3,装备表!$E1303,"xxx")&amp;":2,1,1,"&amp;装备表!$O1303&amp;";","xxx"),"xxx"))</f>
        <v>xxx</v>
      </c>
    </row>
    <row r="1159" spans="4:10" x14ac:dyDescent="0.2">
      <c r="D1159" s="18">
        <f>装备表!L1304</f>
        <v>0</v>
      </c>
      <c r="E1159" s="18" t="str">
        <f>IF(装备表!$O1304=0,"xxx",IFERROR(IF(INT(IF($D1159=E$3,装备表!$E1304,"xxx")/10000)=1,IF($D1159=E$3,装备表!$E1304,"xxx")&amp;":2,1,1,"&amp;装备表!$O1304&amp;";","xxx"),"xxx"))</f>
        <v>xxx</v>
      </c>
      <c r="F1159" s="18" t="str">
        <f>IF(装备表!$O1304=0,"xxx",IFERROR(IF(INT(IF($D1159=F$3,装备表!$E1304,"xxx")/10000)=1,IF($D1159=F$3,装备表!$E1304,"xxx")&amp;":2,1,1,"&amp;装备表!$O1304&amp;";","xxx"),"xxx"))</f>
        <v>xxx</v>
      </c>
      <c r="G1159" s="18" t="str">
        <f>IF(装备表!$O1304=0,"xxx",IFERROR(IF(INT(IF($D1159=G$3,装备表!$E1304,"xxx")/10000)=1,IF($D1159=G$3,装备表!$E1304,"xxx")&amp;":2,1,1,"&amp;装备表!$O1304&amp;";","xxx"),"xxx"))</f>
        <v>xxx</v>
      </c>
      <c r="H1159" s="18" t="str">
        <f>IF(装备表!$O1304=0,"xxx",IFERROR(IF(INT(IF($D1159=H$3,装备表!$E1304,"xxx")/10000)=1,IF($D1159=H$3,装备表!$E1304,"xxx")&amp;":2,1,1,"&amp;装备表!$O1304&amp;";","xxx"),"xxx"))</f>
        <v>xxx</v>
      </c>
      <c r="I1159" s="18" t="str">
        <f>IF(装备表!$O1304=0,"xxx",IFERROR(IF(INT(IF($D1159=I$3,装备表!$E1304,"xxx")/10000)=1,IF($D1159=I$3,装备表!$E1304,"xxx")&amp;":2,1,1,"&amp;装备表!$O1304&amp;";","xxx"),"xxx"))</f>
        <v>xxx</v>
      </c>
      <c r="J1159" s="18" t="str">
        <f>IF(装备表!$O1304=0,"xxx",IFERROR(IF(INT(IF($D1159=J$3,装备表!$E1304,"xxx")/10000)=1,IF($D1159=J$3,装备表!$E1304,"xxx")&amp;":2,1,1,"&amp;装备表!$O1304&amp;";","xxx"),"xxx"))</f>
        <v>xxx</v>
      </c>
    </row>
    <row r="1160" spans="4:10" x14ac:dyDescent="0.2">
      <c r="D1160" s="18">
        <f>装备表!L1305</f>
        <v>0</v>
      </c>
      <c r="E1160" s="18" t="str">
        <f>IF(装备表!$O1305=0,"xxx",IFERROR(IF(INT(IF($D1160=E$3,装备表!$E1305,"xxx")/10000)=1,IF($D1160=E$3,装备表!$E1305,"xxx")&amp;":2,1,1,"&amp;装备表!$O1305&amp;";","xxx"),"xxx"))</f>
        <v>xxx</v>
      </c>
      <c r="F1160" s="18" t="str">
        <f>IF(装备表!$O1305=0,"xxx",IFERROR(IF(INT(IF($D1160=F$3,装备表!$E1305,"xxx")/10000)=1,IF($D1160=F$3,装备表!$E1305,"xxx")&amp;":2,1,1,"&amp;装备表!$O1305&amp;";","xxx"),"xxx"))</f>
        <v>xxx</v>
      </c>
      <c r="G1160" s="18" t="str">
        <f>IF(装备表!$O1305=0,"xxx",IFERROR(IF(INT(IF($D1160=G$3,装备表!$E1305,"xxx")/10000)=1,IF($D1160=G$3,装备表!$E1305,"xxx")&amp;":2,1,1,"&amp;装备表!$O1305&amp;";","xxx"),"xxx"))</f>
        <v>xxx</v>
      </c>
      <c r="H1160" s="18" t="str">
        <f>IF(装备表!$O1305=0,"xxx",IFERROR(IF(INT(IF($D1160=H$3,装备表!$E1305,"xxx")/10000)=1,IF($D1160=H$3,装备表!$E1305,"xxx")&amp;":2,1,1,"&amp;装备表!$O1305&amp;";","xxx"),"xxx"))</f>
        <v>xxx</v>
      </c>
      <c r="I1160" s="18" t="str">
        <f>IF(装备表!$O1305=0,"xxx",IFERROR(IF(INT(IF($D1160=I$3,装备表!$E1305,"xxx")/10000)=1,IF($D1160=I$3,装备表!$E1305,"xxx")&amp;":2,1,1,"&amp;装备表!$O1305&amp;";","xxx"),"xxx"))</f>
        <v>xxx</v>
      </c>
      <c r="J1160" s="18" t="str">
        <f>IF(装备表!$O1305=0,"xxx",IFERROR(IF(INT(IF($D1160=J$3,装备表!$E1305,"xxx")/10000)=1,IF($D1160=J$3,装备表!$E1305,"xxx")&amp;":2,1,1,"&amp;装备表!$O1305&amp;";","xxx"),"xxx"))</f>
        <v>xxx</v>
      </c>
    </row>
    <row r="1161" spans="4:10" x14ac:dyDescent="0.2">
      <c r="D1161" s="18">
        <f>装备表!L1306</f>
        <v>0</v>
      </c>
      <c r="E1161" s="18" t="str">
        <f>IF(装备表!$O1306=0,"xxx",IFERROR(IF(INT(IF($D1161=E$3,装备表!$E1306,"xxx")/10000)=1,IF($D1161=E$3,装备表!$E1306,"xxx")&amp;":2,1,1,"&amp;装备表!$O1306&amp;";","xxx"),"xxx"))</f>
        <v>xxx</v>
      </c>
      <c r="F1161" s="18" t="str">
        <f>IF(装备表!$O1306=0,"xxx",IFERROR(IF(INT(IF($D1161=F$3,装备表!$E1306,"xxx")/10000)=1,IF($D1161=F$3,装备表!$E1306,"xxx")&amp;":2,1,1,"&amp;装备表!$O1306&amp;";","xxx"),"xxx"))</f>
        <v>xxx</v>
      </c>
      <c r="G1161" s="18" t="str">
        <f>IF(装备表!$O1306=0,"xxx",IFERROR(IF(INT(IF($D1161=G$3,装备表!$E1306,"xxx")/10000)=1,IF($D1161=G$3,装备表!$E1306,"xxx")&amp;":2,1,1,"&amp;装备表!$O1306&amp;";","xxx"),"xxx"))</f>
        <v>xxx</v>
      </c>
      <c r="H1161" s="18" t="str">
        <f>IF(装备表!$O1306=0,"xxx",IFERROR(IF(INT(IF($D1161=H$3,装备表!$E1306,"xxx")/10000)=1,IF($D1161=H$3,装备表!$E1306,"xxx")&amp;":2,1,1,"&amp;装备表!$O1306&amp;";","xxx"),"xxx"))</f>
        <v>xxx</v>
      </c>
      <c r="I1161" s="18" t="str">
        <f>IF(装备表!$O1306=0,"xxx",IFERROR(IF(INT(IF($D1161=I$3,装备表!$E1306,"xxx")/10000)=1,IF($D1161=I$3,装备表!$E1306,"xxx")&amp;":2,1,1,"&amp;装备表!$O1306&amp;";","xxx"),"xxx"))</f>
        <v>xxx</v>
      </c>
      <c r="J1161" s="18" t="str">
        <f>IF(装备表!$O1306=0,"xxx",IFERROR(IF(INT(IF($D1161=J$3,装备表!$E1306,"xxx")/10000)=1,IF($D1161=J$3,装备表!$E1306,"xxx")&amp;":2,1,1,"&amp;装备表!$O1306&amp;";","xxx"),"xxx"))</f>
        <v>xxx</v>
      </c>
    </row>
    <row r="1162" spans="4:10" x14ac:dyDescent="0.2">
      <c r="D1162" s="18">
        <f>装备表!L1307</f>
        <v>0</v>
      </c>
      <c r="E1162" s="18" t="str">
        <f>IF(装备表!$O1307=0,"xxx",IFERROR(IF(INT(IF($D1162=E$3,装备表!$E1307,"xxx")/10000)=1,IF($D1162=E$3,装备表!$E1307,"xxx")&amp;":2,1,1,"&amp;装备表!$O1307&amp;";","xxx"),"xxx"))</f>
        <v>xxx</v>
      </c>
      <c r="F1162" s="18" t="str">
        <f>IF(装备表!$O1307=0,"xxx",IFERROR(IF(INT(IF($D1162=F$3,装备表!$E1307,"xxx")/10000)=1,IF($D1162=F$3,装备表!$E1307,"xxx")&amp;":2,1,1,"&amp;装备表!$O1307&amp;";","xxx"),"xxx"))</f>
        <v>xxx</v>
      </c>
      <c r="G1162" s="18" t="str">
        <f>IF(装备表!$O1307=0,"xxx",IFERROR(IF(INT(IF($D1162=G$3,装备表!$E1307,"xxx")/10000)=1,IF($D1162=G$3,装备表!$E1307,"xxx")&amp;":2,1,1,"&amp;装备表!$O1307&amp;";","xxx"),"xxx"))</f>
        <v>xxx</v>
      </c>
      <c r="H1162" s="18" t="str">
        <f>IF(装备表!$O1307=0,"xxx",IFERROR(IF(INT(IF($D1162=H$3,装备表!$E1307,"xxx")/10000)=1,IF($D1162=H$3,装备表!$E1307,"xxx")&amp;":2,1,1,"&amp;装备表!$O1307&amp;";","xxx"),"xxx"))</f>
        <v>xxx</v>
      </c>
      <c r="I1162" s="18" t="str">
        <f>IF(装备表!$O1307=0,"xxx",IFERROR(IF(INT(IF($D1162=I$3,装备表!$E1307,"xxx")/10000)=1,IF($D1162=I$3,装备表!$E1307,"xxx")&amp;":2,1,1,"&amp;装备表!$O1307&amp;";","xxx"),"xxx"))</f>
        <v>xxx</v>
      </c>
      <c r="J1162" s="18" t="str">
        <f>IF(装备表!$O1307=0,"xxx",IFERROR(IF(INT(IF($D1162=J$3,装备表!$E1307,"xxx")/10000)=1,IF($D1162=J$3,装备表!$E1307,"xxx")&amp;":2,1,1,"&amp;装备表!$O1307&amp;";","xxx"),"xxx"))</f>
        <v>xxx</v>
      </c>
    </row>
    <row r="1163" spans="4:10" x14ac:dyDescent="0.2">
      <c r="D1163" s="18">
        <f>装备表!L1308</f>
        <v>0</v>
      </c>
      <c r="E1163" s="18" t="str">
        <f>IF(装备表!$O1308=0,"xxx",IFERROR(IF(INT(IF($D1163=E$3,装备表!$E1308,"xxx")/10000)=1,IF($D1163=E$3,装备表!$E1308,"xxx")&amp;":2,1,1,"&amp;装备表!$O1308&amp;";","xxx"),"xxx"))</f>
        <v>xxx</v>
      </c>
      <c r="F1163" s="18" t="str">
        <f>IF(装备表!$O1308=0,"xxx",IFERROR(IF(INT(IF($D1163=F$3,装备表!$E1308,"xxx")/10000)=1,IF($D1163=F$3,装备表!$E1308,"xxx")&amp;":2,1,1,"&amp;装备表!$O1308&amp;";","xxx"),"xxx"))</f>
        <v>xxx</v>
      </c>
      <c r="G1163" s="18" t="str">
        <f>IF(装备表!$O1308=0,"xxx",IFERROR(IF(INT(IF($D1163=G$3,装备表!$E1308,"xxx")/10000)=1,IF($D1163=G$3,装备表!$E1308,"xxx")&amp;":2,1,1,"&amp;装备表!$O1308&amp;";","xxx"),"xxx"))</f>
        <v>xxx</v>
      </c>
      <c r="H1163" s="18" t="str">
        <f>IF(装备表!$O1308=0,"xxx",IFERROR(IF(INT(IF($D1163=H$3,装备表!$E1308,"xxx")/10000)=1,IF($D1163=H$3,装备表!$E1308,"xxx")&amp;":2,1,1,"&amp;装备表!$O1308&amp;";","xxx"),"xxx"))</f>
        <v>xxx</v>
      </c>
      <c r="I1163" s="18" t="str">
        <f>IF(装备表!$O1308=0,"xxx",IFERROR(IF(INT(IF($D1163=I$3,装备表!$E1308,"xxx")/10000)=1,IF($D1163=I$3,装备表!$E1308,"xxx")&amp;":2,1,1,"&amp;装备表!$O1308&amp;";","xxx"),"xxx"))</f>
        <v>xxx</v>
      </c>
      <c r="J1163" s="18" t="str">
        <f>IF(装备表!$O1308=0,"xxx",IFERROR(IF(INT(IF($D1163=J$3,装备表!$E1308,"xxx")/10000)=1,IF($D1163=J$3,装备表!$E1308,"xxx")&amp;":2,1,1,"&amp;装备表!$O1308&amp;";","xxx"),"xxx"))</f>
        <v>xxx</v>
      </c>
    </row>
    <row r="1164" spans="4:10" x14ac:dyDescent="0.2">
      <c r="D1164" s="18">
        <f>装备表!L1309</f>
        <v>0</v>
      </c>
      <c r="E1164" s="18" t="str">
        <f>IF(装备表!$O1309=0,"xxx",IFERROR(IF(INT(IF($D1164=E$3,装备表!$E1309,"xxx")/10000)=1,IF($D1164=E$3,装备表!$E1309,"xxx")&amp;":2,1,1,"&amp;装备表!$O1309&amp;";","xxx"),"xxx"))</f>
        <v>xxx</v>
      </c>
      <c r="F1164" s="18" t="str">
        <f>IF(装备表!$O1309=0,"xxx",IFERROR(IF(INT(IF($D1164=F$3,装备表!$E1309,"xxx")/10000)=1,IF($D1164=F$3,装备表!$E1309,"xxx")&amp;":2,1,1,"&amp;装备表!$O1309&amp;";","xxx"),"xxx"))</f>
        <v>xxx</v>
      </c>
      <c r="G1164" s="18" t="str">
        <f>IF(装备表!$O1309=0,"xxx",IFERROR(IF(INT(IF($D1164=G$3,装备表!$E1309,"xxx")/10000)=1,IF($D1164=G$3,装备表!$E1309,"xxx")&amp;":2,1,1,"&amp;装备表!$O1309&amp;";","xxx"),"xxx"))</f>
        <v>xxx</v>
      </c>
      <c r="H1164" s="18" t="str">
        <f>IF(装备表!$O1309=0,"xxx",IFERROR(IF(INT(IF($D1164=H$3,装备表!$E1309,"xxx")/10000)=1,IF($D1164=H$3,装备表!$E1309,"xxx")&amp;":2,1,1,"&amp;装备表!$O1309&amp;";","xxx"),"xxx"))</f>
        <v>xxx</v>
      </c>
      <c r="I1164" s="18" t="str">
        <f>IF(装备表!$O1309=0,"xxx",IFERROR(IF(INT(IF($D1164=I$3,装备表!$E1309,"xxx")/10000)=1,IF($D1164=I$3,装备表!$E1309,"xxx")&amp;":2,1,1,"&amp;装备表!$O1309&amp;";","xxx"),"xxx"))</f>
        <v>xxx</v>
      </c>
      <c r="J1164" s="18" t="str">
        <f>IF(装备表!$O1309=0,"xxx",IFERROR(IF(INT(IF($D1164=J$3,装备表!$E1309,"xxx")/10000)=1,IF($D1164=J$3,装备表!$E1309,"xxx")&amp;":2,1,1,"&amp;装备表!$O1309&amp;";","xxx"),"xxx"))</f>
        <v>xxx</v>
      </c>
    </row>
    <row r="1165" spans="4:10" x14ac:dyDescent="0.2">
      <c r="D1165" s="18">
        <f>装备表!L1310</f>
        <v>0</v>
      </c>
      <c r="E1165" s="18" t="str">
        <f>IF(装备表!$O1310=0,"xxx",IFERROR(IF(INT(IF($D1165=E$3,装备表!$E1310,"xxx")/10000)=1,IF($D1165=E$3,装备表!$E1310,"xxx")&amp;":2,1,1,"&amp;装备表!$O1310&amp;";","xxx"),"xxx"))</f>
        <v>xxx</v>
      </c>
      <c r="F1165" s="18" t="str">
        <f>IF(装备表!$O1310=0,"xxx",IFERROR(IF(INT(IF($D1165=F$3,装备表!$E1310,"xxx")/10000)=1,IF($D1165=F$3,装备表!$E1310,"xxx")&amp;":2,1,1,"&amp;装备表!$O1310&amp;";","xxx"),"xxx"))</f>
        <v>xxx</v>
      </c>
      <c r="G1165" s="18" t="str">
        <f>IF(装备表!$O1310=0,"xxx",IFERROR(IF(INT(IF($D1165=G$3,装备表!$E1310,"xxx")/10000)=1,IF($D1165=G$3,装备表!$E1310,"xxx")&amp;":2,1,1,"&amp;装备表!$O1310&amp;";","xxx"),"xxx"))</f>
        <v>xxx</v>
      </c>
      <c r="H1165" s="18" t="str">
        <f>IF(装备表!$O1310=0,"xxx",IFERROR(IF(INT(IF($D1165=H$3,装备表!$E1310,"xxx")/10000)=1,IF($D1165=H$3,装备表!$E1310,"xxx")&amp;":2,1,1,"&amp;装备表!$O1310&amp;";","xxx"),"xxx"))</f>
        <v>xxx</v>
      </c>
      <c r="I1165" s="18" t="str">
        <f>IF(装备表!$O1310=0,"xxx",IFERROR(IF(INT(IF($D1165=I$3,装备表!$E1310,"xxx")/10000)=1,IF($D1165=I$3,装备表!$E1310,"xxx")&amp;":2,1,1,"&amp;装备表!$O1310&amp;";","xxx"),"xxx"))</f>
        <v>xxx</v>
      </c>
      <c r="J1165" s="18" t="str">
        <f>IF(装备表!$O1310=0,"xxx",IFERROR(IF(INT(IF($D1165=J$3,装备表!$E1310,"xxx")/10000)=1,IF($D1165=J$3,装备表!$E1310,"xxx")&amp;":2,1,1,"&amp;装备表!$O1310&amp;";","xxx"),"xxx"))</f>
        <v>xxx</v>
      </c>
    </row>
    <row r="1166" spans="4:10" x14ac:dyDescent="0.2">
      <c r="D1166" s="18">
        <f>装备表!L1311</f>
        <v>0</v>
      </c>
      <c r="E1166" s="18" t="str">
        <f>IF(装备表!$O1311=0,"xxx",IFERROR(IF(INT(IF($D1166=E$3,装备表!$E1311,"xxx")/10000)=1,IF($D1166=E$3,装备表!$E1311,"xxx")&amp;":2,1,1,"&amp;装备表!$O1311&amp;";","xxx"),"xxx"))</f>
        <v>xxx</v>
      </c>
      <c r="F1166" s="18" t="str">
        <f>IF(装备表!$O1311=0,"xxx",IFERROR(IF(INT(IF($D1166=F$3,装备表!$E1311,"xxx")/10000)=1,IF($D1166=F$3,装备表!$E1311,"xxx")&amp;":2,1,1,"&amp;装备表!$O1311&amp;";","xxx"),"xxx"))</f>
        <v>xxx</v>
      </c>
      <c r="G1166" s="18" t="str">
        <f>IF(装备表!$O1311=0,"xxx",IFERROR(IF(INT(IF($D1166=G$3,装备表!$E1311,"xxx")/10000)=1,IF($D1166=G$3,装备表!$E1311,"xxx")&amp;":2,1,1,"&amp;装备表!$O1311&amp;";","xxx"),"xxx"))</f>
        <v>xxx</v>
      </c>
      <c r="H1166" s="18" t="str">
        <f>IF(装备表!$O1311=0,"xxx",IFERROR(IF(INT(IF($D1166=H$3,装备表!$E1311,"xxx")/10000)=1,IF($D1166=H$3,装备表!$E1311,"xxx")&amp;":2,1,1,"&amp;装备表!$O1311&amp;";","xxx"),"xxx"))</f>
        <v>xxx</v>
      </c>
      <c r="I1166" s="18" t="str">
        <f>IF(装备表!$O1311=0,"xxx",IFERROR(IF(INT(IF($D1166=I$3,装备表!$E1311,"xxx")/10000)=1,IF($D1166=I$3,装备表!$E1311,"xxx")&amp;":2,1,1,"&amp;装备表!$O1311&amp;";","xxx"),"xxx"))</f>
        <v>xxx</v>
      </c>
      <c r="J1166" s="18" t="str">
        <f>IF(装备表!$O1311=0,"xxx",IFERROR(IF(INT(IF($D1166=J$3,装备表!$E1311,"xxx")/10000)=1,IF($D1166=J$3,装备表!$E1311,"xxx")&amp;":2,1,1,"&amp;装备表!$O1311&amp;";","xxx"),"xxx"))</f>
        <v>xxx</v>
      </c>
    </row>
    <row r="1167" spans="4:10" x14ac:dyDescent="0.2">
      <c r="D1167" s="18">
        <f>装备表!L1312</f>
        <v>0</v>
      </c>
      <c r="E1167" s="18" t="str">
        <f>IF(装备表!$O1312=0,"xxx",IFERROR(IF(INT(IF($D1167=E$3,装备表!$E1312,"xxx")/10000)=1,IF($D1167=E$3,装备表!$E1312,"xxx")&amp;":2,1,1,"&amp;装备表!$O1312&amp;";","xxx"),"xxx"))</f>
        <v>xxx</v>
      </c>
      <c r="F1167" s="18" t="str">
        <f>IF(装备表!$O1312=0,"xxx",IFERROR(IF(INT(IF($D1167=F$3,装备表!$E1312,"xxx")/10000)=1,IF($D1167=F$3,装备表!$E1312,"xxx")&amp;":2,1,1,"&amp;装备表!$O1312&amp;";","xxx"),"xxx"))</f>
        <v>xxx</v>
      </c>
      <c r="G1167" s="18" t="str">
        <f>IF(装备表!$O1312=0,"xxx",IFERROR(IF(INT(IF($D1167=G$3,装备表!$E1312,"xxx")/10000)=1,IF($D1167=G$3,装备表!$E1312,"xxx")&amp;":2,1,1,"&amp;装备表!$O1312&amp;";","xxx"),"xxx"))</f>
        <v>xxx</v>
      </c>
      <c r="H1167" s="18" t="str">
        <f>IF(装备表!$O1312=0,"xxx",IFERROR(IF(INT(IF($D1167=H$3,装备表!$E1312,"xxx")/10000)=1,IF($D1167=H$3,装备表!$E1312,"xxx")&amp;":2,1,1,"&amp;装备表!$O1312&amp;";","xxx"),"xxx"))</f>
        <v>xxx</v>
      </c>
      <c r="I1167" s="18" t="str">
        <f>IF(装备表!$O1312=0,"xxx",IFERROR(IF(INT(IF($D1167=I$3,装备表!$E1312,"xxx")/10000)=1,IF($D1167=I$3,装备表!$E1312,"xxx")&amp;":2,1,1,"&amp;装备表!$O1312&amp;";","xxx"),"xxx"))</f>
        <v>xxx</v>
      </c>
      <c r="J1167" s="18" t="str">
        <f>IF(装备表!$O1312=0,"xxx",IFERROR(IF(INT(IF($D1167=J$3,装备表!$E1312,"xxx")/10000)=1,IF($D1167=J$3,装备表!$E1312,"xxx")&amp;":2,1,1,"&amp;装备表!$O1312&amp;";","xxx"),"xxx"))</f>
        <v>xxx</v>
      </c>
    </row>
    <row r="1168" spans="4:10" x14ac:dyDescent="0.2">
      <c r="D1168" s="18">
        <f>装备表!L1313</f>
        <v>0</v>
      </c>
      <c r="E1168" s="18" t="str">
        <f>IF(装备表!$O1313=0,"xxx",IFERROR(IF(INT(IF($D1168=E$3,装备表!$E1313,"xxx")/10000)=1,IF($D1168=E$3,装备表!$E1313,"xxx")&amp;":2,1,1,"&amp;装备表!$O1313&amp;";","xxx"),"xxx"))</f>
        <v>xxx</v>
      </c>
      <c r="F1168" s="18" t="str">
        <f>IF(装备表!$O1313=0,"xxx",IFERROR(IF(INT(IF($D1168=F$3,装备表!$E1313,"xxx")/10000)=1,IF($D1168=F$3,装备表!$E1313,"xxx")&amp;":2,1,1,"&amp;装备表!$O1313&amp;";","xxx"),"xxx"))</f>
        <v>xxx</v>
      </c>
      <c r="G1168" s="18" t="str">
        <f>IF(装备表!$O1313=0,"xxx",IFERROR(IF(INT(IF($D1168=G$3,装备表!$E1313,"xxx")/10000)=1,IF($D1168=G$3,装备表!$E1313,"xxx")&amp;":2,1,1,"&amp;装备表!$O1313&amp;";","xxx"),"xxx"))</f>
        <v>xxx</v>
      </c>
      <c r="H1168" s="18" t="str">
        <f>IF(装备表!$O1313=0,"xxx",IFERROR(IF(INT(IF($D1168=H$3,装备表!$E1313,"xxx")/10000)=1,IF($D1168=H$3,装备表!$E1313,"xxx")&amp;":2,1,1,"&amp;装备表!$O1313&amp;";","xxx"),"xxx"))</f>
        <v>xxx</v>
      </c>
      <c r="I1168" s="18" t="str">
        <f>IF(装备表!$O1313=0,"xxx",IFERROR(IF(INT(IF($D1168=I$3,装备表!$E1313,"xxx")/10000)=1,IF($D1168=I$3,装备表!$E1313,"xxx")&amp;":2,1,1,"&amp;装备表!$O1313&amp;";","xxx"),"xxx"))</f>
        <v>xxx</v>
      </c>
      <c r="J1168" s="18" t="str">
        <f>IF(装备表!$O1313=0,"xxx",IFERROR(IF(INT(IF($D1168=J$3,装备表!$E1313,"xxx")/10000)=1,IF($D1168=J$3,装备表!$E1313,"xxx")&amp;":2,1,1,"&amp;装备表!$O1313&amp;";","xxx"),"xxx"))</f>
        <v>xxx</v>
      </c>
    </row>
    <row r="1169" spans="4:10" x14ac:dyDescent="0.2">
      <c r="D1169" s="18">
        <f>装备表!L1314</f>
        <v>0</v>
      </c>
      <c r="E1169" s="18" t="str">
        <f>IF(装备表!$O1314=0,"xxx",IFERROR(IF(INT(IF($D1169=E$3,装备表!$E1314,"xxx")/10000)=1,IF($D1169=E$3,装备表!$E1314,"xxx")&amp;":2,1,1,"&amp;装备表!$O1314&amp;";","xxx"),"xxx"))</f>
        <v>xxx</v>
      </c>
      <c r="F1169" s="18" t="str">
        <f>IF(装备表!$O1314=0,"xxx",IFERROR(IF(INT(IF($D1169=F$3,装备表!$E1314,"xxx")/10000)=1,IF($D1169=F$3,装备表!$E1314,"xxx")&amp;":2,1,1,"&amp;装备表!$O1314&amp;";","xxx"),"xxx"))</f>
        <v>xxx</v>
      </c>
      <c r="G1169" s="18" t="str">
        <f>IF(装备表!$O1314=0,"xxx",IFERROR(IF(INT(IF($D1169=G$3,装备表!$E1314,"xxx")/10000)=1,IF($D1169=G$3,装备表!$E1314,"xxx")&amp;":2,1,1,"&amp;装备表!$O1314&amp;";","xxx"),"xxx"))</f>
        <v>xxx</v>
      </c>
      <c r="H1169" s="18" t="str">
        <f>IF(装备表!$O1314=0,"xxx",IFERROR(IF(INT(IF($D1169=H$3,装备表!$E1314,"xxx")/10000)=1,IF($D1169=H$3,装备表!$E1314,"xxx")&amp;":2,1,1,"&amp;装备表!$O1314&amp;";","xxx"),"xxx"))</f>
        <v>xxx</v>
      </c>
      <c r="I1169" s="18" t="str">
        <f>IF(装备表!$O1314=0,"xxx",IFERROR(IF(INT(IF($D1169=I$3,装备表!$E1314,"xxx")/10000)=1,IF($D1169=I$3,装备表!$E1314,"xxx")&amp;":2,1,1,"&amp;装备表!$O1314&amp;";","xxx"),"xxx"))</f>
        <v>xxx</v>
      </c>
      <c r="J1169" s="18" t="str">
        <f>IF(装备表!$O1314=0,"xxx",IFERROR(IF(INT(IF($D1169=J$3,装备表!$E1314,"xxx")/10000)=1,IF($D1169=J$3,装备表!$E1314,"xxx")&amp;":2,1,1,"&amp;装备表!$O1314&amp;";","xxx"),"xxx"))</f>
        <v>xxx</v>
      </c>
    </row>
    <row r="1170" spans="4:10" x14ac:dyDescent="0.2">
      <c r="D1170" s="18">
        <f>装备表!L1315</f>
        <v>0</v>
      </c>
      <c r="E1170" s="18" t="str">
        <f>IF(装备表!$O1315=0,"xxx",IFERROR(IF(INT(IF($D1170=E$3,装备表!$E1315,"xxx")/10000)=1,IF($D1170=E$3,装备表!$E1315,"xxx")&amp;":2,1,1,"&amp;装备表!$O1315&amp;";","xxx"),"xxx"))</f>
        <v>xxx</v>
      </c>
      <c r="F1170" s="18" t="str">
        <f>IF(装备表!$O1315=0,"xxx",IFERROR(IF(INT(IF($D1170=F$3,装备表!$E1315,"xxx")/10000)=1,IF($D1170=F$3,装备表!$E1315,"xxx")&amp;":2,1,1,"&amp;装备表!$O1315&amp;";","xxx"),"xxx"))</f>
        <v>xxx</v>
      </c>
      <c r="G1170" s="18" t="str">
        <f>IF(装备表!$O1315=0,"xxx",IFERROR(IF(INT(IF($D1170=G$3,装备表!$E1315,"xxx")/10000)=1,IF($D1170=G$3,装备表!$E1315,"xxx")&amp;":2,1,1,"&amp;装备表!$O1315&amp;";","xxx"),"xxx"))</f>
        <v>xxx</v>
      </c>
      <c r="H1170" s="18" t="str">
        <f>IF(装备表!$O1315=0,"xxx",IFERROR(IF(INT(IF($D1170=H$3,装备表!$E1315,"xxx")/10000)=1,IF($D1170=H$3,装备表!$E1315,"xxx")&amp;":2,1,1,"&amp;装备表!$O1315&amp;";","xxx"),"xxx"))</f>
        <v>xxx</v>
      </c>
      <c r="I1170" s="18" t="str">
        <f>IF(装备表!$O1315=0,"xxx",IFERROR(IF(INT(IF($D1170=I$3,装备表!$E1315,"xxx")/10000)=1,IF($D1170=I$3,装备表!$E1315,"xxx")&amp;":2,1,1,"&amp;装备表!$O1315&amp;";","xxx"),"xxx"))</f>
        <v>xxx</v>
      </c>
      <c r="J1170" s="18" t="str">
        <f>IF(装备表!$O1315=0,"xxx",IFERROR(IF(INT(IF($D1170=J$3,装备表!$E1315,"xxx")/10000)=1,IF($D1170=J$3,装备表!$E1315,"xxx")&amp;":2,1,1,"&amp;装备表!$O1315&amp;";","xxx"),"xxx"))</f>
        <v>xxx</v>
      </c>
    </row>
    <row r="1171" spans="4:10" x14ac:dyDescent="0.2">
      <c r="D1171" s="18">
        <f>装备表!L1316</f>
        <v>0</v>
      </c>
      <c r="E1171" s="18" t="str">
        <f>IF(装备表!$O1316=0,"xxx",IFERROR(IF(INT(IF($D1171=E$3,装备表!$E1316,"xxx")/10000)=1,IF($D1171=E$3,装备表!$E1316,"xxx")&amp;":2,1,1,"&amp;装备表!$O1316&amp;";","xxx"),"xxx"))</f>
        <v>xxx</v>
      </c>
      <c r="F1171" s="18" t="str">
        <f>IF(装备表!$O1316=0,"xxx",IFERROR(IF(INT(IF($D1171=F$3,装备表!$E1316,"xxx")/10000)=1,IF($D1171=F$3,装备表!$E1316,"xxx")&amp;":2,1,1,"&amp;装备表!$O1316&amp;";","xxx"),"xxx"))</f>
        <v>xxx</v>
      </c>
      <c r="G1171" s="18" t="str">
        <f>IF(装备表!$O1316=0,"xxx",IFERROR(IF(INT(IF($D1171=G$3,装备表!$E1316,"xxx")/10000)=1,IF($D1171=G$3,装备表!$E1316,"xxx")&amp;":2,1,1,"&amp;装备表!$O1316&amp;";","xxx"),"xxx"))</f>
        <v>xxx</v>
      </c>
      <c r="H1171" s="18" t="str">
        <f>IF(装备表!$O1316=0,"xxx",IFERROR(IF(INT(IF($D1171=H$3,装备表!$E1316,"xxx")/10000)=1,IF($D1171=H$3,装备表!$E1316,"xxx")&amp;":2,1,1,"&amp;装备表!$O1316&amp;";","xxx"),"xxx"))</f>
        <v>xxx</v>
      </c>
      <c r="I1171" s="18" t="str">
        <f>IF(装备表!$O1316=0,"xxx",IFERROR(IF(INT(IF($D1171=I$3,装备表!$E1316,"xxx")/10000)=1,IF($D1171=I$3,装备表!$E1316,"xxx")&amp;":2,1,1,"&amp;装备表!$O1316&amp;";","xxx"),"xxx"))</f>
        <v>xxx</v>
      </c>
      <c r="J1171" s="18" t="str">
        <f>IF(装备表!$O1316=0,"xxx",IFERROR(IF(INT(IF($D1171=J$3,装备表!$E1316,"xxx")/10000)=1,IF($D1171=J$3,装备表!$E1316,"xxx")&amp;":2,1,1,"&amp;装备表!$O1316&amp;";","xxx"),"xxx"))</f>
        <v>xxx</v>
      </c>
    </row>
    <row r="1172" spans="4:10" x14ac:dyDescent="0.2">
      <c r="D1172" s="18">
        <f>装备表!L1317</f>
        <v>0</v>
      </c>
      <c r="E1172" s="18" t="str">
        <f>IF(装备表!$O1317=0,"xxx",IFERROR(IF(INT(IF($D1172=E$3,装备表!$E1317,"xxx")/10000)=1,IF($D1172=E$3,装备表!$E1317,"xxx")&amp;":2,1,1,"&amp;装备表!$O1317&amp;";","xxx"),"xxx"))</f>
        <v>xxx</v>
      </c>
      <c r="F1172" s="18" t="str">
        <f>IF(装备表!$O1317=0,"xxx",IFERROR(IF(INT(IF($D1172=F$3,装备表!$E1317,"xxx")/10000)=1,IF($D1172=F$3,装备表!$E1317,"xxx")&amp;":2,1,1,"&amp;装备表!$O1317&amp;";","xxx"),"xxx"))</f>
        <v>xxx</v>
      </c>
      <c r="G1172" s="18" t="str">
        <f>IF(装备表!$O1317=0,"xxx",IFERROR(IF(INT(IF($D1172=G$3,装备表!$E1317,"xxx")/10000)=1,IF($D1172=G$3,装备表!$E1317,"xxx")&amp;":2,1,1,"&amp;装备表!$O1317&amp;";","xxx"),"xxx"))</f>
        <v>xxx</v>
      </c>
      <c r="H1172" s="18" t="str">
        <f>IF(装备表!$O1317=0,"xxx",IFERROR(IF(INT(IF($D1172=H$3,装备表!$E1317,"xxx")/10000)=1,IF($D1172=H$3,装备表!$E1317,"xxx")&amp;":2,1,1,"&amp;装备表!$O1317&amp;";","xxx"),"xxx"))</f>
        <v>xxx</v>
      </c>
      <c r="I1172" s="18" t="str">
        <f>IF(装备表!$O1317=0,"xxx",IFERROR(IF(INT(IF($D1172=I$3,装备表!$E1317,"xxx")/10000)=1,IF($D1172=I$3,装备表!$E1317,"xxx")&amp;":2,1,1,"&amp;装备表!$O1317&amp;";","xxx"),"xxx"))</f>
        <v>xxx</v>
      </c>
      <c r="J1172" s="18" t="str">
        <f>IF(装备表!$O1317=0,"xxx",IFERROR(IF(INT(IF($D1172=J$3,装备表!$E1317,"xxx")/10000)=1,IF($D1172=J$3,装备表!$E1317,"xxx")&amp;":2,1,1,"&amp;装备表!$O1317&amp;";","xxx"),"xxx"))</f>
        <v>xxx</v>
      </c>
    </row>
    <row r="1173" spans="4:10" x14ac:dyDescent="0.2">
      <c r="D1173" s="18">
        <f>装备表!L1318</f>
        <v>0</v>
      </c>
      <c r="E1173" s="18" t="str">
        <f>IF(装备表!$O1318=0,"xxx",IFERROR(IF(INT(IF($D1173=E$3,装备表!$E1318,"xxx")/10000)=1,IF($D1173=E$3,装备表!$E1318,"xxx")&amp;":2,1,1,"&amp;装备表!$O1318&amp;";","xxx"),"xxx"))</f>
        <v>xxx</v>
      </c>
      <c r="F1173" s="18" t="str">
        <f>IF(装备表!$O1318=0,"xxx",IFERROR(IF(INT(IF($D1173=F$3,装备表!$E1318,"xxx")/10000)=1,IF($D1173=F$3,装备表!$E1318,"xxx")&amp;":2,1,1,"&amp;装备表!$O1318&amp;";","xxx"),"xxx"))</f>
        <v>xxx</v>
      </c>
      <c r="G1173" s="18" t="str">
        <f>IF(装备表!$O1318=0,"xxx",IFERROR(IF(INT(IF($D1173=G$3,装备表!$E1318,"xxx")/10000)=1,IF($D1173=G$3,装备表!$E1318,"xxx")&amp;":2,1,1,"&amp;装备表!$O1318&amp;";","xxx"),"xxx"))</f>
        <v>xxx</v>
      </c>
      <c r="H1173" s="18" t="str">
        <f>IF(装备表!$O1318=0,"xxx",IFERROR(IF(INT(IF($D1173=H$3,装备表!$E1318,"xxx")/10000)=1,IF($D1173=H$3,装备表!$E1318,"xxx")&amp;":2,1,1,"&amp;装备表!$O1318&amp;";","xxx"),"xxx"))</f>
        <v>xxx</v>
      </c>
      <c r="I1173" s="18" t="str">
        <f>IF(装备表!$O1318=0,"xxx",IFERROR(IF(INT(IF($D1173=I$3,装备表!$E1318,"xxx")/10000)=1,IF($D1173=I$3,装备表!$E1318,"xxx")&amp;":2,1,1,"&amp;装备表!$O1318&amp;";","xxx"),"xxx"))</f>
        <v>xxx</v>
      </c>
      <c r="J1173" s="18" t="str">
        <f>IF(装备表!$O1318=0,"xxx",IFERROR(IF(INT(IF($D1173=J$3,装备表!$E1318,"xxx")/10000)=1,IF($D1173=J$3,装备表!$E1318,"xxx")&amp;":2,1,1,"&amp;装备表!$O1318&amp;";","xxx"),"xxx"))</f>
        <v>xxx</v>
      </c>
    </row>
    <row r="1174" spans="4:10" x14ac:dyDescent="0.2">
      <c r="D1174" s="18">
        <f>装备表!L1319</f>
        <v>0</v>
      </c>
      <c r="E1174" s="18" t="str">
        <f>IF(装备表!$O1319=0,"xxx",IFERROR(IF(INT(IF($D1174=E$3,装备表!$E1319,"xxx")/10000)=1,IF($D1174=E$3,装备表!$E1319,"xxx")&amp;":2,1,1,"&amp;装备表!$O1319&amp;";","xxx"),"xxx"))</f>
        <v>xxx</v>
      </c>
      <c r="F1174" s="18" t="str">
        <f>IF(装备表!$O1319=0,"xxx",IFERROR(IF(INT(IF($D1174=F$3,装备表!$E1319,"xxx")/10000)=1,IF($D1174=F$3,装备表!$E1319,"xxx")&amp;":2,1,1,"&amp;装备表!$O1319&amp;";","xxx"),"xxx"))</f>
        <v>xxx</v>
      </c>
      <c r="G1174" s="18" t="str">
        <f>IF(装备表!$O1319=0,"xxx",IFERROR(IF(INT(IF($D1174=G$3,装备表!$E1319,"xxx")/10000)=1,IF($D1174=G$3,装备表!$E1319,"xxx")&amp;":2,1,1,"&amp;装备表!$O1319&amp;";","xxx"),"xxx"))</f>
        <v>xxx</v>
      </c>
      <c r="H1174" s="18" t="str">
        <f>IF(装备表!$O1319=0,"xxx",IFERROR(IF(INT(IF($D1174=H$3,装备表!$E1319,"xxx")/10000)=1,IF($D1174=H$3,装备表!$E1319,"xxx")&amp;":2,1,1,"&amp;装备表!$O1319&amp;";","xxx"),"xxx"))</f>
        <v>xxx</v>
      </c>
      <c r="I1174" s="18" t="str">
        <f>IF(装备表!$O1319=0,"xxx",IFERROR(IF(INT(IF($D1174=I$3,装备表!$E1319,"xxx")/10000)=1,IF($D1174=I$3,装备表!$E1319,"xxx")&amp;":2,1,1,"&amp;装备表!$O1319&amp;";","xxx"),"xxx"))</f>
        <v>xxx</v>
      </c>
      <c r="J1174" s="18" t="str">
        <f>IF(装备表!$O1319=0,"xxx",IFERROR(IF(INT(IF($D1174=J$3,装备表!$E1319,"xxx")/10000)=1,IF($D1174=J$3,装备表!$E1319,"xxx")&amp;":2,1,1,"&amp;装备表!$O1319&amp;";","xxx"),"xxx"))</f>
        <v>xxx</v>
      </c>
    </row>
    <row r="1175" spans="4:10" x14ac:dyDescent="0.2">
      <c r="D1175" s="18">
        <f>装备表!L1320</f>
        <v>0</v>
      </c>
      <c r="E1175" s="18" t="str">
        <f>IF(装备表!$O1320=0,"xxx",IFERROR(IF(INT(IF($D1175=E$3,装备表!$E1320,"xxx")/10000)=1,IF($D1175=E$3,装备表!$E1320,"xxx")&amp;":2,1,1,"&amp;装备表!$O1320&amp;";","xxx"),"xxx"))</f>
        <v>xxx</v>
      </c>
      <c r="F1175" s="18" t="str">
        <f>IF(装备表!$O1320=0,"xxx",IFERROR(IF(INT(IF($D1175=F$3,装备表!$E1320,"xxx")/10000)=1,IF($D1175=F$3,装备表!$E1320,"xxx")&amp;":2,1,1,"&amp;装备表!$O1320&amp;";","xxx"),"xxx"))</f>
        <v>xxx</v>
      </c>
      <c r="G1175" s="18" t="str">
        <f>IF(装备表!$O1320=0,"xxx",IFERROR(IF(INT(IF($D1175=G$3,装备表!$E1320,"xxx")/10000)=1,IF($D1175=G$3,装备表!$E1320,"xxx")&amp;":2,1,1,"&amp;装备表!$O1320&amp;";","xxx"),"xxx"))</f>
        <v>xxx</v>
      </c>
      <c r="H1175" s="18" t="str">
        <f>IF(装备表!$O1320=0,"xxx",IFERROR(IF(INT(IF($D1175=H$3,装备表!$E1320,"xxx")/10000)=1,IF($D1175=H$3,装备表!$E1320,"xxx")&amp;":2,1,1,"&amp;装备表!$O1320&amp;";","xxx"),"xxx"))</f>
        <v>xxx</v>
      </c>
      <c r="I1175" s="18" t="str">
        <f>IF(装备表!$O1320=0,"xxx",IFERROR(IF(INT(IF($D1175=I$3,装备表!$E1320,"xxx")/10000)=1,IF($D1175=I$3,装备表!$E1320,"xxx")&amp;":2,1,1,"&amp;装备表!$O1320&amp;";","xxx"),"xxx"))</f>
        <v>xxx</v>
      </c>
      <c r="J1175" s="18" t="str">
        <f>IF(装备表!$O1320=0,"xxx",IFERROR(IF(INT(IF($D1175=J$3,装备表!$E1320,"xxx")/10000)=1,IF($D1175=J$3,装备表!$E1320,"xxx")&amp;":2,1,1,"&amp;装备表!$O1320&amp;";","xxx"),"xxx"))</f>
        <v>xxx</v>
      </c>
    </row>
    <row r="1176" spans="4:10" x14ac:dyDescent="0.2">
      <c r="D1176" s="18">
        <f>装备表!L1321</f>
        <v>0</v>
      </c>
      <c r="E1176" s="18" t="str">
        <f>IF(装备表!$O1321=0,"xxx",IFERROR(IF(INT(IF($D1176=E$3,装备表!$E1321,"xxx")/10000)=1,IF($D1176=E$3,装备表!$E1321,"xxx")&amp;":2,1,1,"&amp;装备表!$O1321&amp;";","xxx"),"xxx"))</f>
        <v>xxx</v>
      </c>
      <c r="F1176" s="18" t="str">
        <f>IF(装备表!$O1321=0,"xxx",IFERROR(IF(INT(IF($D1176=F$3,装备表!$E1321,"xxx")/10000)=1,IF($D1176=F$3,装备表!$E1321,"xxx")&amp;":2,1,1,"&amp;装备表!$O1321&amp;";","xxx"),"xxx"))</f>
        <v>xxx</v>
      </c>
      <c r="G1176" s="18" t="str">
        <f>IF(装备表!$O1321=0,"xxx",IFERROR(IF(INT(IF($D1176=G$3,装备表!$E1321,"xxx")/10000)=1,IF($D1176=G$3,装备表!$E1321,"xxx")&amp;":2,1,1,"&amp;装备表!$O1321&amp;";","xxx"),"xxx"))</f>
        <v>xxx</v>
      </c>
      <c r="H1176" s="18" t="str">
        <f>IF(装备表!$O1321=0,"xxx",IFERROR(IF(INT(IF($D1176=H$3,装备表!$E1321,"xxx")/10000)=1,IF($D1176=H$3,装备表!$E1321,"xxx")&amp;":2,1,1,"&amp;装备表!$O1321&amp;";","xxx"),"xxx"))</f>
        <v>xxx</v>
      </c>
      <c r="I1176" s="18" t="str">
        <f>IF(装备表!$O1321=0,"xxx",IFERROR(IF(INT(IF($D1176=I$3,装备表!$E1321,"xxx")/10000)=1,IF($D1176=I$3,装备表!$E1321,"xxx")&amp;":2,1,1,"&amp;装备表!$O1321&amp;";","xxx"),"xxx"))</f>
        <v>xxx</v>
      </c>
      <c r="J1176" s="18" t="str">
        <f>IF(装备表!$O1321=0,"xxx",IFERROR(IF(INT(IF($D1176=J$3,装备表!$E1321,"xxx")/10000)=1,IF($D1176=J$3,装备表!$E1321,"xxx")&amp;":2,1,1,"&amp;装备表!$O1321&amp;";","xxx"),"xxx"))</f>
        <v>xxx</v>
      </c>
    </row>
    <row r="1177" spans="4:10" x14ac:dyDescent="0.2">
      <c r="D1177" s="18">
        <f>装备表!L1322</f>
        <v>0</v>
      </c>
      <c r="E1177" s="18" t="str">
        <f>IF(装备表!$O1322=0,"xxx",IFERROR(IF(INT(IF($D1177=E$3,装备表!$E1322,"xxx")/10000)=1,IF($D1177=E$3,装备表!$E1322,"xxx")&amp;":2,1,1,"&amp;装备表!$O1322&amp;";","xxx"),"xxx"))</f>
        <v>xxx</v>
      </c>
      <c r="F1177" s="18" t="str">
        <f>IF(装备表!$O1322=0,"xxx",IFERROR(IF(INT(IF($D1177=F$3,装备表!$E1322,"xxx")/10000)=1,IF($D1177=F$3,装备表!$E1322,"xxx")&amp;":2,1,1,"&amp;装备表!$O1322&amp;";","xxx"),"xxx"))</f>
        <v>xxx</v>
      </c>
      <c r="G1177" s="18" t="str">
        <f>IF(装备表!$O1322=0,"xxx",IFERROR(IF(INT(IF($D1177=G$3,装备表!$E1322,"xxx")/10000)=1,IF($D1177=G$3,装备表!$E1322,"xxx")&amp;":2,1,1,"&amp;装备表!$O1322&amp;";","xxx"),"xxx"))</f>
        <v>xxx</v>
      </c>
      <c r="H1177" s="18" t="str">
        <f>IF(装备表!$O1322=0,"xxx",IFERROR(IF(INT(IF($D1177=H$3,装备表!$E1322,"xxx")/10000)=1,IF($D1177=H$3,装备表!$E1322,"xxx")&amp;":2,1,1,"&amp;装备表!$O1322&amp;";","xxx"),"xxx"))</f>
        <v>xxx</v>
      </c>
      <c r="I1177" s="18" t="str">
        <f>IF(装备表!$O1322=0,"xxx",IFERROR(IF(INT(IF($D1177=I$3,装备表!$E1322,"xxx")/10000)=1,IF($D1177=I$3,装备表!$E1322,"xxx")&amp;":2,1,1,"&amp;装备表!$O1322&amp;";","xxx"),"xxx"))</f>
        <v>xxx</v>
      </c>
      <c r="J1177" s="18" t="str">
        <f>IF(装备表!$O1322=0,"xxx",IFERROR(IF(INT(IF($D1177=J$3,装备表!$E1322,"xxx")/10000)=1,IF($D1177=J$3,装备表!$E1322,"xxx")&amp;":2,1,1,"&amp;装备表!$O1322&amp;";","xxx"),"xxx"))</f>
        <v>xxx</v>
      </c>
    </row>
    <row r="1178" spans="4:10" x14ac:dyDescent="0.2">
      <c r="D1178" s="18">
        <f>装备表!L1323</f>
        <v>0</v>
      </c>
      <c r="E1178" s="18" t="str">
        <f>IF(装备表!$O1323=0,"xxx",IFERROR(IF(INT(IF($D1178=E$3,装备表!$E1323,"xxx")/10000)=1,IF($D1178=E$3,装备表!$E1323,"xxx")&amp;":2,1,1,"&amp;装备表!$O1323&amp;";","xxx"),"xxx"))</f>
        <v>xxx</v>
      </c>
      <c r="F1178" s="18" t="str">
        <f>IF(装备表!$O1323=0,"xxx",IFERROR(IF(INT(IF($D1178=F$3,装备表!$E1323,"xxx")/10000)=1,IF($D1178=F$3,装备表!$E1323,"xxx")&amp;":2,1,1,"&amp;装备表!$O1323&amp;";","xxx"),"xxx"))</f>
        <v>xxx</v>
      </c>
      <c r="G1178" s="18" t="str">
        <f>IF(装备表!$O1323=0,"xxx",IFERROR(IF(INT(IF($D1178=G$3,装备表!$E1323,"xxx")/10000)=1,IF($D1178=G$3,装备表!$E1323,"xxx")&amp;":2,1,1,"&amp;装备表!$O1323&amp;";","xxx"),"xxx"))</f>
        <v>xxx</v>
      </c>
      <c r="H1178" s="18" t="str">
        <f>IF(装备表!$O1323=0,"xxx",IFERROR(IF(INT(IF($D1178=H$3,装备表!$E1323,"xxx")/10000)=1,IF($D1178=H$3,装备表!$E1323,"xxx")&amp;":2,1,1,"&amp;装备表!$O1323&amp;";","xxx"),"xxx"))</f>
        <v>xxx</v>
      </c>
      <c r="I1178" s="18" t="str">
        <f>IF(装备表!$O1323=0,"xxx",IFERROR(IF(INT(IF($D1178=I$3,装备表!$E1323,"xxx")/10000)=1,IF($D1178=I$3,装备表!$E1323,"xxx")&amp;":2,1,1,"&amp;装备表!$O1323&amp;";","xxx"),"xxx"))</f>
        <v>xxx</v>
      </c>
      <c r="J1178" s="18" t="str">
        <f>IF(装备表!$O1323=0,"xxx",IFERROR(IF(INT(IF($D1178=J$3,装备表!$E1323,"xxx")/10000)=1,IF($D1178=J$3,装备表!$E1323,"xxx")&amp;":2,1,1,"&amp;装备表!$O1323&amp;";","xxx"),"xxx"))</f>
        <v>xxx</v>
      </c>
    </row>
    <row r="1179" spans="4:10" x14ac:dyDescent="0.2">
      <c r="D1179" s="18">
        <f>装备表!L1324</f>
        <v>0</v>
      </c>
      <c r="E1179" s="18" t="str">
        <f>IF(装备表!$O1324=0,"xxx",IFERROR(IF(INT(IF($D1179=E$3,装备表!$E1324,"xxx")/10000)=1,IF($D1179=E$3,装备表!$E1324,"xxx")&amp;":2,1,1,"&amp;装备表!$O1324&amp;";","xxx"),"xxx"))</f>
        <v>xxx</v>
      </c>
      <c r="F1179" s="18" t="str">
        <f>IF(装备表!$O1324=0,"xxx",IFERROR(IF(INT(IF($D1179=F$3,装备表!$E1324,"xxx")/10000)=1,IF($D1179=F$3,装备表!$E1324,"xxx")&amp;":2,1,1,"&amp;装备表!$O1324&amp;";","xxx"),"xxx"))</f>
        <v>xxx</v>
      </c>
      <c r="G1179" s="18" t="str">
        <f>IF(装备表!$O1324=0,"xxx",IFERROR(IF(INT(IF($D1179=G$3,装备表!$E1324,"xxx")/10000)=1,IF($D1179=G$3,装备表!$E1324,"xxx")&amp;":2,1,1,"&amp;装备表!$O1324&amp;";","xxx"),"xxx"))</f>
        <v>xxx</v>
      </c>
      <c r="H1179" s="18" t="str">
        <f>IF(装备表!$O1324=0,"xxx",IFERROR(IF(INT(IF($D1179=H$3,装备表!$E1324,"xxx")/10000)=1,IF($D1179=H$3,装备表!$E1324,"xxx")&amp;":2,1,1,"&amp;装备表!$O1324&amp;";","xxx"),"xxx"))</f>
        <v>xxx</v>
      </c>
      <c r="I1179" s="18" t="str">
        <f>IF(装备表!$O1324=0,"xxx",IFERROR(IF(INT(IF($D1179=I$3,装备表!$E1324,"xxx")/10000)=1,IF($D1179=I$3,装备表!$E1324,"xxx")&amp;":2,1,1,"&amp;装备表!$O1324&amp;";","xxx"),"xxx"))</f>
        <v>xxx</v>
      </c>
      <c r="J1179" s="18" t="str">
        <f>IF(装备表!$O1324=0,"xxx",IFERROR(IF(INT(IF($D1179=J$3,装备表!$E1324,"xxx")/10000)=1,IF($D1179=J$3,装备表!$E1324,"xxx")&amp;":2,1,1,"&amp;装备表!$O1324&amp;";","xxx"),"xxx"))</f>
        <v>xxx</v>
      </c>
    </row>
    <row r="1180" spans="4:10" x14ac:dyDescent="0.2">
      <c r="D1180" s="18">
        <f>装备表!L1325</f>
        <v>0</v>
      </c>
      <c r="E1180" s="18" t="str">
        <f>IF(装备表!$O1325=0,"xxx",IFERROR(IF(INT(IF($D1180=E$3,装备表!$E1325,"xxx")/10000)=1,IF($D1180=E$3,装备表!$E1325,"xxx")&amp;":2,1,1,"&amp;装备表!$O1325&amp;";","xxx"),"xxx"))</f>
        <v>xxx</v>
      </c>
      <c r="F1180" s="18" t="str">
        <f>IF(装备表!$O1325=0,"xxx",IFERROR(IF(INT(IF($D1180=F$3,装备表!$E1325,"xxx")/10000)=1,IF($D1180=F$3,装备表!$E1325,"xxx")&amp;":2,1,1,"&amp;装备表!$O1325&amp;";","xxx"),"xxx"))</f>
        <v>xxx</v>
      </c>
      <c r="G1180" s="18" t="str">
        <f>IF(装备表!$O1325=0,"xxx",IFERROR(IF(INT(IF($D1180=G$3,装备表!$E1325,"xxx")/10000)=1,IF($D1180=G$3,装备表!$E1325,"xxx")&amp;":2,1,1,"&amp;装备表!$O1325&amp;";","xxx"),"xxx"))</f>
        <v>xxx</v>
      </c>
      <c r="H1180" s="18" t="str">
        <f>IF(装备表!$O1325=0,"xxx",IFERROR(IF(INT(IF($D1180=H$3,装备表!$E1325,"xxx")/10000)=1,IF($D1180=H$3,装备表!$E1325,"xxx")&amp;":2,1,1,"&amp;装备表!$O1325&amp;";","xxx"),"xxx"))</f>
        <v>xxx</v>
      </c>
      <c r="I1180" s="18" t="str">
        <f>IF(装备表!$O1325=0,"xxx",IFERROR(IF(INT(IF($D1180=I$3,装备表!$E1325,"xxx")/10000)=1,IF($D1180=I$3,装备表!$E1325,"xxx")&amp;":2,1,1,"&amp;装备表!$O1325&amp;";","xxx"),"xxx"))</f>
        <v>xxx</v>
      </c>
      <c r="J1180" s="18" t="str">
        <f>IF(装备表!$O1325=0,"xxx",IFERROR(IF(INT(IF($D1180=J$3,装备表!$E1325,"xxx")/10000)=1,IF($D1180=J$3,装备表!$E1325,"xxx")&amp;":2,1,1,"&amp;装备表!$O1325&amp;";","xxx"),"xxx"))</f>
        <v>xxx</v>
      </c>
    </row>
    <row r="1181" spans="4:10" x14ac:dyDescent="0.2">
      <c r="D1181" s="18">
        <f>装备表!L1326</f>
        <v>0</v>
      </c>
      <c r="E1181" s="18" t="str">
        <f>IF(装备表!$O1326=0,"xxx",IFERROR(IF(INT(IF($D1181=E$3,装备表!$E1326,"xxx")/10000)=1,IF($D1181=E$3,装备表!$E1326,"xxx")&amp;":2,1,1,"&amp;装备表!$O1326&amp;";","xxx"),"xxx"))</f>
        <v>xxx</v>
      </c>
      <c r="F1181" s="18" t="str">
        <f>IF(装备表!$O1326=0,"xxx",IFERROR(IF(INT(IF($D1181=F$3,装备表!$E1326,"xxx")/10000)=1,IF($D1181=F$3,装备表!$E1326,"xxx")&amp;":2,1,1,"&amp;装备表!$O1326&amp;";","xxx"),"xxx"))</f>
        <v>xxx</v>
      </c>
      <c r="G1181" s="18" t="str">
        <f>IF(装备表!$O1326=0,"xxx",IFERROR(IF(INT(IF($D1181=G$3,装备表!$E1326,"xxx")/10000)=1,IF($D1181=G$3,装备表!$E1326,"xxx")&amp;":2,1,1,"&amp;装备表!$O1326&amp;";","xxx"),"xxx"))</f>
        <v>xxx</v>
      </c>
      <c r="H1181" s="18" t="str">
        <f>IF(装备表!$O1326=0,"xxx",IFERROR(IF(INT(IF($D1181=H$3,装备表!$E1326,"xxx")/10000)=1,IF($D1181=H$3,装备表!$E1326,"xxx")&amp;":2,1,1,"&amp;装备表!$O1326&amp;";","xxx"),"xxx"))</f>
        <v>xxx</v>
      </c>
      <c r="I1181" s="18" t="str">
        <f>IF(装备表!$O1326=0,"xxx",IFERROR(IF(INT(IF($D1181=I$3,装备表!$E1326,"xxx")/10000)=1,IF($D1181=I$3,装备表!$E1326,"xxx")&amp;":2,1,1,"&amp;装备表!$O1326&amp;";","xxx"),"xxx"))</f>
        <v>xxx</v>
      </c>
      <c r="J1181" s="18" t="str">
        <f>IF(装备表!$O1326=0,"xxx",IFERROR(IF(INT(IF($D1181=J$3,装备表!$E1326,"xxx")/10000)=1,IF($D1181=J$3,装备表!$E1326,"xxx")&amp;":2,1,1,"&amp;装备表!$O1326&amp;";","xxx"),"xxx"))</f>
        <v>xxx</v>
      </c>
    </row>
    <row r="1182" spans="4:10" x14ac:dyDescent="0.2">
      <c r="D1182" s="18">
        <f>装备表!L1327</f>
        <v>0</v>
      </c>
      <c r="E1182" s="18" t="str">
        <f>IF(装备表!$O1327=0,"xxx",IFERROR(IF(INT(IF($D1182=E$3,装备表!$E1327,"xxx")/10000)=1,IF($D1182=E$3,装备表!$E1327,"xxx")&amp;":2,1,1,"&amp;装备表!$O1327&amp;";","xxx"),"xxx"))</f>
        <v>xxx</v>
      </c>
      <c r="F1182" s="18" t="str">
        <f>IF(装备表!$O1327=0,"xxx",IFERROR(IF(INT(IF($D1182=F$3,装备表!$E1327,"xxx")/10000)=1,IF($D1182=F$3,装备表!$E1327,"xxx")&amp;":2,1,1,"&amp;装备表!$O1327&amp;";","xxx"),"xxx"))</f>
        <v>xxx</v>
      </c>
      <c r="G1182" s="18" t="str">
        <f>IF(装备表!$O1327=0,"xxx",IFERROR(IF(INT(IF($D1182=G$3,装备表!$E1327,"xxx")/10000)=1,IF($D1182=G$3,装备表!$E1327,"xxx")&amp;":2,1,1,"&amp;装备表!$O1327&amp;";","xxx"),"xxx"))</f>
        <v>xxx</v>
      </c>
      <c r="H1182" s="18" t="str">
        <f>IF(装备表!$O1327=0,"xxx",IFERROR(IF(INT(IF($D1182=H$3,装备表!$E1327,"xxx")/10000)=1,IF($D1182=H$3,装备表!$E1327,"xxx")&amp;":2,1,1,"&amp;装备表!$O1327&amp;";","xxx"),"xxx"))</f>
        <v>xxx</v>
      </c>
      <c r="I1182" s="18" t="str">
        <f>IF(装备表!$O1327=0,"xxx",IFERROR(IF(INT(IF($D1182=I$3,装备表!$E1327,"xxx")/10000)=1,IF($D1182=I$3,装备表!$E1327,"xxx")&amp;":2,1,1,"&amp;装备表!$O1327&amp;";","xxx"),"xxx"))</f>
        <v>xxx</v>
      </c>
      <c r="J1182" s="18" t="str">
        <f>IF(装备表!$O1327=0,"xxx",IFERROR(IF(INT(IF($D1182=J$3,装备表!$E1327,"xxx")/10000)=1,IF($D1182=J$3,装备表!$E1327,"xxx")&amp;":2,1,1,"&amp;装备表!$O1327&amp;";","xxx"),"xxx"))</f>
        <v>xxx</v>
      </c>
    </row>
    <row r="1183" spans="4:10" x14ac:dyDescent="0.2">
      <c r="D1183" s="18">
        <f>装备表!L1328</f>
        <v>0</v>
      </c>
      <c r="E1183" s="18" t="str">
        <f>IF(装备表!$O1328=0,"xxx",IFERROR(IF(INT(IF($D1183=E$3,装备表!$E1328,"xxx")/10000)=1,IF($D1183=E$3,装备表!$E1328,"xxx")&amp;":2,1,1,"&amp;装备表!$O1328&amp;";","xxx"),"xxx"))</f>
        <v>xxx</v>
      </c>
      <c r="F1183" s="18" t="str">
        <f>IF(装备表!$O1328=0,"xxx",IFERROR(IF(INT(IF($D1183=F$3,装备表!$E1328,"xxx")/10000)=1,IF($D1183=F$3,装备表!$E1328,"xxx")&amp;":2,1,1,"&amp;装备表!$O1328&amp;";","xxx"),"xxx"))</f>
        <v>xxx</v>
      </c>
      <c r="G1183" s="18" t="str">
        <f>IF(装备表!$O1328=0,"xxx",IFERROR(IF(INT(IF($D1183=G$3,装备表!$E1328,"xxx")/10000)=1,IF($D1183=G$3,装备表!$E1328,"xxx")&amp;":2,1,1,"&amp;装备表!$O1328&amp;";","xxx"),"xxx"))</f>
        <v>xxx</v>
      </c>
      <c r="H1183" s="18" t="str">
        <f>IF(装备表!$O1328=0,"xxx",IFERROR(IF(INT(IF($D1183=H$3,装备表!$E1328,"xxx")/10000)=1,IF($D1183=H$3,装备表!$E1328,"xxx")&amp;":2,1,1,"&amp;装备表!$O1328&amp;";","xxx"),"xxx"))</f>
        <v>xxx</v>
      </c>
      <c r="I1183" s="18" t="str">
        <f>IF(装备表!$O1328=0,"xxx",IFERROR(IF(INT(IF($D1183=I$3,装备表!$E1328,"xxx")/10000)=1,IF($D1183=I$3,装备表!$E1328,"xxx")&amp;":2,1,1,"&amp;装备表!$O1328&amp;";","xxx"),"xxx"))</f>
        <v>xxx</v>
      </c>
      <c r="J1183" s="18" t="str">
        <f>IF(装备表!$O1328=0,"xxx",IFERROR(IF(INT(IF($D1183=J$3,装备表!$E1328,"xxx")/10000)=1,IF($D1183=J$3,装备表!$E1328,"xxx")&amp;":2,1,1,"&amp;装备表!$O1328&amp;";","xxx"),"xxx"))</f>
        <v>xxx</v>
      </c>
    </row>
    <row r="1184" spans="4:10" x14ac:dyDescent="0.2">
      <c r="D1184" s="18">
        <f>装备表!L1329</f>
        <v>0</v>
      </c>
      <c r="E1184" s="18" t="str">
        <f>IF(装备表!$O1329=0,"xxx",IFERROR(IF(INT(IF($D1184=E$3,装备表!$E1329,"xxx")/10000)=1,IF($D1184=E$3,装备表!$E1329,"xxx")&amp;":2,1,1,"&amp;装备表!$O1329&amp;";","xxx"),"xxx"))</f>
        <v>xxx</v>
      </c>
      <c r="F1184" s="18" t="str">
        <f>IF(装备表!$O1329=0,"xxx",IFERROR(IF(INT(IF($D1184=F$3,装备表!$E1329,"xxx")/10000)=1,IF($D1184=F$3,装备表!$E1329,"xxx")&amp;":2,1,1,"&amp;装备表!$O1329&amp;";","xxx"),"xxx"))</f>
        <v>xxx</v>
      </c>
      <c r="G1184" s="18" t="str">
        <f>IF(装备表!$O1329=0,"xxx",IFERROR(IF(INT(IF($D1184=G$3,装备表!$E1329,"xxx")/10000)=1,IF($D1184=G$3,装备表!$E1329,"xxx")&amp;":2,1,1,"&amp;装备表!$O1329&amp;";","xxx"),"xxx"))</f>
        <v>xxx</v>
      </c>
      <c r="H1184" s="18" t="str">
        <f>IF(装备表!$O1329=0,"xxx",IFERROR(IF(INT(IF($D1184=H$3,装备表!$E1329,"xxx")/10000)=1,IF($D1184=H$3,装备表!$E1329,"xxx")&amp;":2,1,1,"&amp;装备表!$O1329&amp;";","xxx"),"xxx"))</f>
        <v>xxx</v>
      </c>
      <c r="I1184" s="18" t="str">
        <f>IF(装备表!$O1329=0,"xxx",IFERROR(IF(INT(IF($D1184=I$3,装备表!$E1329,"xxx")/10000)=1,IF($D1184=I$3,装备表!$E1329,"xxx")&amp;":2,1,1,"&amp;装备表!$O1329&amp;";","xxx"),"xxx"))</f>
        <v>xxx</v>
      </c>
      <c r="J1184" s="18" t="str">
        <f>IF(装备表!$O1329=0,"xxx",IFERROR(IF(INT(IF($D1184=J$3,装备表!$E1329,"xxx")/10000)=1,IF($D1184=J$3,装备表!$E1329,"xxx")&amp;":2,1,1,"&amp;装备表!$O1329&amp;";","xxx"),"xxx"))</f>
        <v>xxx</v>
      </c>
    </row>
    <row r="1185" spans="4:10" x14ac:dyDescent="0.2">
      <c r="D1185" s="18">
        <f>装备表!L1330</f>
        <v>0</v>
      </c>
      <c r="E1185" s="18" t="str">
        <f>IF(装备表!$O1330=0,"xxx",IFERROR(IF(INT(IF($D1185=E$3,装备表!$E1330,"xxx")/10000)=1,IF($D1185=E$3,装备表!$E1330,"xxx")&amp;":2,1,1,"&amp;装备表!$O1330&amp;";","xxx"),"xxx"))</f>
        <v>xxx</v>
      </c>
      <c r="F1185" s="18" t="str">
        <f>IF(装备表!$O1330=0,"xxx",IFERROR(IF(INT(IF($D1185=F$3,装备表!$E1330,"xxx")/10000)=1,IF($D1185=F$3,装备表!$E1330,"xxx")&amp;":2,1,1,"&amp;装备表!$O1330&amp;";","xxx"),"xxx"))</f>
        <v>xxx</v>
      </c>
      <c r="G1185" s="18" t="str">
        <f>IF(装备表!$O1330=0,"xxx",IFERROR(IF(INT(IF($D1185=G$3,装备表!$E1330,"xxx")/10000)=1,IF($D1185=G$3,装备表!$E1330,"xxx")&amp;":2,1,1,"&amp;装备表!$O1330&amp;";","xxx"),"xxx"))</f>
        <v>xxx</v>
      </c>
      <c r="H1185" s="18" t="str">
        <f>IF(装备表!$O1330=0,"xxx",IFERROR(IF(INT(IF($D1185=H$3,装备表!$E1330,"xxx")/10000)=1,IF($D1185=H$3,装备表!$E1330,"xxx")&amp;":2,1,1,"&amp;装备表!$O1330&amp;";","xxx"),"xxx"))</f>
        <v>xxx</v>
      </c>
      <c r="I1185" s="18" t="str">
        <f>IF(装备表!$O1330=0,"xxx",IFERROR(IF(INT(IF($D1185=I$3,装备表!$E1330,"xxx")/10000)=1,IF($D1185=I$3,装备表!$E1330,"xxx")&amp;":2,1,1,"&amp;装备表!$O1330&amp;";","xxx"),"xxx"))</f>
        <v>xxx</v>
      </c>
      <c r="J1185" s="18" t="str">
        <f>IF(装备表!$O1330=0,"xxx",IFERROR(IF(INT(IF($D1185=J$3,装备表!$E1330,"xxx")/10000)=1,IF($D1185=J$3,装备表!$E1330,"xxx")&amp;":2,1,1,"&amp;装备表!$O1330&amp;";","xxx"),"xxx"))</f>
        <v>xxx</v>
      </c>
    </row>
    <row r="1186" spans="4:10" x14ac:dyDescent="0.2">
      <c r="D1186" s="18">
        <f>装备表!L1331</f>
        <v>0</v>
      </c>
      <c r="E1186" s="18" t="str">
        <f>IF(装备表!$O1331=0,"xxx",IFERROR(IF(INT(IF($D1186=E$3,装备表!$E1331,"xxx")/10000)=1,IF($D1186=E$3,装备表!$E1331,"xxx")&amp;":2,1,1,"&amp;装备表!$O1331&amp;";","xxx"),"xxx"))</f>
        <v>xxx</v>
      </c>
      <c r="F1186" s="18" t="str">
        <f>IF(装备表!$O1331=0,"xxx",IFERROR(IF(INT(IF($D1186=F$3,装备表!$E1331,"xxx")/10000)=1,IF($D1186=F$3,装备表!$E1331,"xxx")&amp;":2,1,1,"&amp;装备表!$O1331&amp;";","xxx"),"xxx"))</f>
        <v>xxx</v>
      </c>
      <c r="G1186" s="18" t="str">
        <f>IF(装备表!$O1331=0,"xxx",IFERROR(IF(INT(IF($D1186=G$3,装备表!$E1331,"xxx")/10000)=1,IF($D1186=G$3,装备表!$E1331,"xxx")&amp;":2,1,1,"&amp;装备表!$O1331&amp;";","xxx"),"xxx"))</f>
        <v>xxx</v>
      </c>
      <c r="H1186" s="18" t="str">
        <f>IF(装备表!$O1331=0,"xxx",IFERROR(IF(INT(IF($D1186=H$3,装备表!$E1331,"xxx")/10000)=1,IF($D1186=H$3,装备表!$E1331,"xxx")&amp;":2,1,1,"&amp;装备表!$O1331&amp;";","xxx"),"xxx"))</f>
        <v>xxx</v>
      </c>
      <c r="I1186" s="18" t="str">
        <f>IF(装备表!$O1331=0,"xxx",IFERROR(IF(INT(IF($D1186=I$3,装备表!$E1331,"xxx")/10000)=1,IF($D1186=I$3,装备表!$E1331,"xxx")&amp;":2,1,1,"&amp;装备表!$O1331&amp;";","xxx"),"xxx"))</f>
        <v>xxx</v>
      </c>
      <c r="J1186" s="18" t="str">
        <f>IF(装备表!$O1331=0,"xxx",IFERROR(IF(INT(IF($D1186=J$3,装备表!$E1331,"xxx")/10000)=1,IF($D1186=J$3,装备表!$E1331,"xxx")&amp;":2,1,1,"&amp;装备表!$O1331&amp;";","xxx"),"xxx"))</f>
        <v>xxx</v>
      </c>
    </row>
    <row r="1187" spans="4:10" x14ac:dyDescent="0.2">
      <c r="D1187" s="18">
        <f>装备表!L1332</f>
        <v>0</v>
      </c>
      <c r="E1187" s="18" t="str">
        <f>IF(装备表!$O1332=0,"xxx",IFERROR(IF(INT(IF($D1187=E$3,装备表!$E1332,"xxx")/10000)=1,IF($D1187=E$3,装备表!$E1332,"xxx")&amp;":2,1,1,"&amp;装备表!$O1332&amp;";","xxx"),"xxx"))</f>
        <v>xxx</v>
      </c>
      <c r="F1187" s="18" t="str">
        <f>IF(装备表!$O1332=0,"xxx",IFERROR(IF(INT(IF($D1187=F$3,装备表!$E1332,"xxx")/10000)=1,IF($D1187=F$3,装备表!$E1332,"xxx")&amp;":2,1,1,"&amp;装备表!$O1332&amp;";","xxx"),"xxx"))</f>
        <v>xxx</v>
      </c>
      <c r="G1187" s="18" t="str">
        <f>IF(装备表!$O1332=0,"xxx",IFERROR(IF(INT(IF($D1187=G$3,装备表!$E1332,"xxx")/10000)=1,IF($D1187=G$3,装备表!$E1332,"xxx")&amp;":2,1,1,"&amp;装备表!$O1332&amp;";","xxx"),"xxx"))</f>
        <v>xxx</v>
      </c>
      <c r="H1187" s="18" t="str">
        <f>IF(装备表!$O1332=0,"xxx",IFERROR(IF(INT(IF($D1187=H$3,装备表!$E1332,"xxx")/10000)=1,IF($D1187=H$3,装备表!$E1332,"xxx")&amp;":2,1,1,"&amp;装备表!$O1332&amp;";","xxx"),"xxx"))</f>
        <v>xxx</v>
      </c>
      <c r="I1187" s="18" t="str">
        <f>IF(装备表!$O1332=0,"xxx",IFERROR(IF(INT(IF($D1187=I$3,装备表!$E1332,"xxx")/10000)=1,IF($D1187=I$3,装备表!$E1332,"xxx")&amp;":2,1,1,"&amp;装备表!$O1332&amp;";","xxx"),"xxx"))</f>
        <v>xxx</v>
      </c>
      <c r="J1187" s="18" t="str">
        <f>IF(装备表!$O1332=0,"xxx",IFERROR(IF(INT(IF($D1187=J$3,装备表!$E1332,"xxx")/10000)=1,IF($D1187=J$3,装备表!$E1332,"xxx")&amp;":2,1,1,"&amp;装备表!$O1332&amp;";","xxx"),"xxx"))</f>
        <v>xxx</v>
      </c>
    </row>
    <row r="1188" spans="4:10" x14ac:dyDescent="0.2">
      <c r="D1188" s="18">
        <f>装备表!L1333</f>
        <v>0</v>
      </c>
      <c r="E1188" s="18" t="str">
        <f>IF(装备表!$O1333=0,"xxx",IFERROR(IF(INT(IF($D1188=E$3,装备表!$E1333,"xxx")/10000)=1,IF($D1188=E$3,装备表!$E1333,"xxx")&amp;":2,1,1,"&amp;装备表!$O1333&amp;";","xxx"),"xxx"))</f>
        <v>xxx</v>
      </c>
      <c r="F1188" s="18" t="str">
        <f>IF(装备表!$O1333=0,"xxx",IFERROR(IF(INT(IF($D1188=F$3,装备表!$E1333,"xxx")/10000)=1,IF($D1188=F$3,装备表!$E1333,"xxx")&amp;":2,1,1,"&amp;装备表!$O1333&amp;";","xxx"),"xxx"))</f>
        <v>xxx</v>
      </c>
      <c r="G1188" s="18" t="str">
        <f>IF(装备表!$O1333=0,"xxx",IFERROR(IF(INT(IF($D1188=G$3,装备表!$E1333,"xxx")/10000)=1,IF($D1188=G$3,装备表!$E1333,"xxx")&amp;":2,1,1,"&amp;装备表!$O1333&amp;";","xxx"),"xxx"))</f>
        <v>xxx</v>
      </c>
      <c r="H1188" s="18" t="str">
        <f>IF(装备表!$O1333=0,"xxx",IFERROR(IF(INT(IF($D1188=H$3,装备表!$E1333,"xxx")/10000)=1,IF($D1188=H$3,装备表!$E1333,"xxx")&amp;":2,1,1,"&amp;装备表!$O1333&amp;";","xxx"),"xxx"))</f>
        <v>xxx</v>
      </c>
      <c r="I1188" s="18" t="str">
        <f>IF(装备表!$O1333=0,"xxx",IFERROR(IF(INT(IF($D1188=I$3,装备表!$E1333,"xxx")/10000)=1,IF($D1188=I$3,装备表!$E1333,"xxx")&amp;":2,1,1,"&amp;装备表!$O1333&amp;";","xxx"),"xxx"))</f>
        <v>xxx</v>
      </c>
      <c r="J1188" s="18" t="str">
        <f>IF(装备表!$O1333=0,"xxx",IFERROR(IF(INT(IF($D1188=J$3,装备表!$E1333,"xxx")/10000)=1,IF($D1188=J$3,装备表!$E1333,"xxx")&amp;":2,1,1,"&amp;装备表!$O1333&amp;";","xxx"),"xxx"))</f>
        <v>xxx</v>
      </c>
    </row>
    <row r="1189" spans="4:10" x14ac:dyDescent="0.2">
      <c r="D1189" s="18">
        <f>装备表!L1334</f>
        <v>0</v>
      </c>
      <c r="E1189" s="18" t="str">
        <f>IF(装备表!$O1334=0,"xxx",IFERROR(IF(INT(IF($D1189=E$3,装备表!$E1334,"xxx")/10000)=1,IF($D1189=E$3,装备表!$E1334,"xxx")&amp;":2,1,1,"&amp;装备表!$O1334&amp;";","xxx"),"xxx"))</f>
        <v>xxx</v>
      </c>
      <c r="F1189" s="18" t="str">
        <f>IF(装备表!$O1334=0,"xxx",IFERROR(IF(INT(IF($D1189=F$3,装备表!$E1334,"xxx")/10000)=1,IF($D1189=F$3,装备表!$E1334,"xxx")&amp;":2,1,1,"&amp;装备表!$O1334&amp;";","xxx"),"xxx"))</f>
        <v>xxx</v>
      </c>
      <c r="G1189" s="18" t="str">
        <f>IF(装备表!$O1334=0,"xxx",IFERROR(IF(INT(IF($D1189=G$3,装备表!$E1334,"xxx")/10000)=1,IF($D1189=G$3,装备表!$E1334,"xxx")&amp;":2,1,1,"&amp;装备表!$O1334&amp;";","xxx"),"xxx"))</f>
        <v>xxx</v>
      </c>
      <c r="H1189" s="18" t="str">
        <f>IF(装备表!$O1334=0,"xxx",IFERROR(IF(INT(IF($D1189=H$3,装备表!$E1334,"xxx")/10000)=1,IF($D1189=H$3,装备表!$E1334,"xxx")&amp;":2,1,1,"&amp;装备表!$O1334&amp;";","xxx"),"xxx"))</f>
        <v>xxx</v>
      </c>
      <c r="I1189" s="18" t="str">
        <f>IF(装备表!$O1334=0,"xxx",IFERROR(IF(INT(IF($D1189=I$3,装备表!$E1334,"xxx")/10000)=1,IF($D1189=I$3,装备表!$E1334,"xxx")&amp;":2,1,1,"&amp;装备表!$O1334&amp;";","xxx"),"xxx"))</f>
        <v>xxx</v>
      </c>
      <c r="J1189" s="18" t="str">
        <f>IF(装备表!$O1334=0,"xxx",IFERROR(IF(INT(IF($D1189=J$3,装备表!$E1334,"xxx")/10000)=1,IF($D1189=J$3,装备表!$E1334,"xxx")&amp;":2,1,1,"&amp;装备表!$O1334&amp;";","xxx"),"xxx"))</f>
        <v>xxx</v>
      </c>
    </row>
    <row r="1190" spans="4:10" x14ac:dyDescent="0.2">
      <c r="D1190" s="18">
        <f>装备表!L1335</f>
        <v>0</v>
      </c>
      <c r="E1190" s="18" t="str">
        <f>IF(装备表!$O1335=0,"xxx",IFERROR(IF(INT(IF($D1190=E$3,装备表!$E1335,"xxx")/10000)=1,IF($D1190=E$3,装备表!$E1335,"xxx")&amp;":2,1,1,"&amp;装备表!$O1335&amp;";","xxx"),"xxx"))</f>
        <v>xxx</v>
      </c>
      <c r="F1190" s="18" t="str">
        <f>IF(装备表!$O1335=0,"xxx",IFERROR(IF(INT(IF($D1190=F$3,装备表!$E1335,"xxx")/10000)=1,IF($D1190=F$3,装备表!$E1335,"xxx")&amp;":2,1,1,"&amp;装备表!$O1335&amp;";","xxx"),"xxx"))</f>
        <v>xxx</v>
      </c>
      <c r="G1190" s="18" t="str">
        <f>IF(装备表!$O1335=0,"xxx",IFERROR(IF(INT(IF($D1190=G$3,装备表!$E1335,"xxx")/10000)=1,IF($D1190=G$3,装备表!$E1335,"xxx")&amp;":2,1,1,"&amp;装备表!$O1335&amp;";","xxx"),"xxx"))</f>
        <v>xxx</v>
      </c>
      <c r="H1190" s="18" t="str">
        <f>IF(装备表!$O1335=0,"xxx",IFERROR(IF(INT(IF($D1190=H$3,装备表!$E1335,"xxx")/10000)=1,IF($D1190=H$3,装备表!$E1335,"xxx")&amp;":2,1,1,"&amp;装备表!$O1335&amp;";","xxx"),"xxx"))</f>
        <v>xxx</v>
      </c>
      <c r="I1190" s="18" t="str">
        <f>IF(装备表!$O1335=0,"xxx",IFERROR(IF(INT(IF($D1190=I$3,装备表!$E1335,"xxx")/10000)=1,IF($D1190=I$3,装备表!$E1335,"xxx")&amp;":2,1,1,"&amp;装备表!$O1335&amp;";","xxx"),"xxx"))</f>
        <v>xxx</v>
      </c>
      <c r="J1190" s="18" t="str">
        <f>IF(装备表!$O1335=0,"xxx",IFERROR(IF(INT(IF($D1190=J$3,装备表!$E1335,"xxx")/10000)=1,IF($D1190=J$3,装备表!$E1335,"xxx")&amp;":2,1,1,"&amp;装备表!$O1335&amp;";","xxx"),"xxx"))</f>
        <v>xxx</v>
      </c>
    </row>
    <row r="1191" spans="4:10" x14ac:dyDescent="0.2">
      <c r="D1191" s="18">
        <f>装备表!L1336</f>
        <v>0</v>
      </c>
      <c r="E1191" s="18" t="str">
        <f>IF(装备表!$O1336=0,"xxx",IFERROR(IF(INT(IF($D1191=E$3,装备表!$E1336,"xxx")/10000)=1,IF($D1191=E$3,装备表!$E1336,"xxx")&amp;":2,1,1,"&amp;装备表!$O1336&amp;";","xxx"),"xxx"))</f>
        <v>xxx</v>
      </c>
      <c r="F1191" s="18" t="str">
        <f>IF(装备表!$O1336=0,"xxx",IFERROR(IF(INT(IF($D1191=F$3,装备表!$E1336,"xxx")/10000)=1,IF($D1191=F$3,装备表!$E1336,"xxx")&amp;":2,1,1,"&amp;装备表!$O1336&amp;";","xxx"),"xxx"))</f>
        <v>xxx</v>
      </c>
      <c r="G1191" s="18" t="str">
        <f>IF(装备表!$O1336=0,"xxx",IFERROR(IF(INT(IF($D1191=G$3,装备表!$E1336,"xxx")/10000)=1,IF($D1191=G$3,装备表!$E1336,"xxx")&amp;":2,1,1,"&amp;装备表!$O1336&amp;";","xxx"),"xxx"))</f>
        <v>xxx</v>
      </c>
      <c r="H1191" s="18" t="str">
        <f>IF(装备表!$O1336=0,"xxx",IFERROR(IF(INT(IF($D1191=H$3,装备表!$E1336,"xxx")/10000)=1,IF($D1191=H$3,装备表!$E1336,"xxx")&amp;":2,1,1,"&amp;装备表!$O1336&amp;";","xxx"),"xxx"))</f>
        <v>xxx</v>
      </c>
      <c r="I1191" s="18" t="str">
        <f>IF(装备表!$O1336=0,"xxx",IFERROR(IF(INT(IF($D1191=I$3,装备表!$E1336,"xxx")/10000)=1,IF($D1191=I$3,装备表!$E1336,"xxx")&amp;":2,1,1,"&amp;装备表!$O1336&amp;";","xxx"),"xxx"))</f>
        <v>xxx</v>
      </c>
      <c r="J1191" s="18" t="str">
        <f>IF(装备表!$O1336=0,"xxx",IFERROR(IF(INT(IF($D1191=J$3,装备表!$E1336,"xxx")/10000)=1,IF($D1191=J$3,装备表!$E1336,"xxx")&amp;":2,1,1,"&amp;装备表!$O1336&amp;";","xxx"),"xxx"))</f>
        <v>xxx</v>
      </c>
    </row>
    <row r="1192" spans="4:10" x14ac:dyDescent="0.2">
      <c r="D1192" s="18">
        <f>装备表!L1337</f>
        <v>0</v>
      </c>
      <c r="E1192" s="18" t="str">
        <f>IF(装备表!$O1337=0,"xxx",IFERROR(IF(INT(IF($D1192=E$3,装备表!$E1337,"xxx")/10000)=1,IF($D1192=E$3,装备表!$E1337,"xxx")&amp;":2,1,1,"&amp;装备表!$O1337&amp;";","xxx"),"xxx"))</f>
        <v>xxx</v>
      </c>
      <c r="F1192" s="18" t="str">
        <f>IF(装备表!$O1337=0,"xxx",IFERROR(IF(INT(IF($D1192=F$3,装备表!$E1337,"xxx")/10000)=1,IF($D1192=F$3,装备表!$E1337,"xxx")&amp;":2,1,1,"&amp;装备表!$O1337&amp;";","xxx"),"xxx"))</f>
        <v>xxx</v>
      </c>
      <c r="G1192" s="18" t="str">
        <f>IF(装备表!$O1337=0,"xxx",IFERROR(IF(INT(IF($D1192=G$3,装备表!$E1337,"xxx")/10000)=1,IF($D1192=G$3,装备表!$E1337,"xxx")&amp;":2,1,1,"&amp;装备表!$O1337&amp;";","xxx"),"xxx"))</f>
        <v>xxx</v>
      </c>
      <c r="H1192" s="18" t="str">
        <f>IF(装备表!$O1337=0,"xxx",IFERROR(IF(INT(IF($D1192=H$3,装备表!$E1337,"xxx")/10000)=1,IF($D1192=H$3,装备表!$E1337,"xxx")&amp;":2,1,1,"&amp;装备表!$O1337&amp;";","xxx"),"xxx"))</f>
        <v>xxx</v>
      </c>
      <c r="I1192" s="18" t="str">
        <f>IF(装备表!$O1337=0,"xxx",IFERROR(IF(INT(IF($D1192=I$3,装备表!$E1337,"xxx")/10000)=1,IF($D1192=I$3,装备表!$E1337,"xxx")&amp;":2,1,1,"&amp;装备表!$O1337&amp;";","xxx"),"xxx"))</f>
        <v>xxx</v>
      </c>
      <c r="J1192" s="18" t="str">
        <f>IF(装备表!$O1337=0,"xxx",IFERROR(IF(INT(IF($D1192=J$3,装备表!$E1337,"xxx")/10000)=1,IF($D1192=J$3,装备表!$E1337,"xxx")&amp;":2,1,1,"&amp;装备表!$O1337&amp;";","xxx"),"xxx"))</f>
        <v>xxx</v>
      </c>
    </row>
    <row r="1193" spans="4:10" x14ac:dyDescent="0.2">
      <c r="D1193" s="18">
        <f>装备表!L1338</f>
        <v>0</v>
      </c>
      <c r="E1193" s="18" t="str">
        <f>IF(装备表!$O1338=0,"xxx",IFERROR(IF(INT(IF($D1193=E$3,装备表!$E1338,"xxx")/10000)=1,IF($D1193=E$3,装备表!$E1338,"xxx")&amp;":2,1,1,"&amp;装备表!$O1338&amp;";","xxx"),"xxx"))</f>
        <v>xxx</v>
      </c>
      <c r="F1193" s="18" t="str">
        <f>IF(装备表!$O1338=0,"xxx",IFERROR(IF(INT(IF($D1193=F$3,装备表!$E1338,"xxx")/10000)=1,IF($D1193=F$3,装备表!$E1338,"xxx")&amp;":2,1,1,"&amp;装备表!$O1338&amp;";","xxx"),"xxx"))</f>
        <v>xxx</v>
      </c>
      <c r="G1193" s="18" t="str">
        <f>IF(装备表!$O1338=0,"xxx",IFERROR(IF(INT(IF($D1193=G$3,装备表!$E1338,"xxx")/10000)=1,IF($D1193=G$3,装备表!$E1338,"xxx")&amp;":2,1,1,"&amp;装备表!$O1338&amp;";","xxx"),"xxx"))</f>
        <v>xxx</v>
      </c>
      <c r="H1193" s="18" t="str">
        <f>IF(装备表!$O1338=0,"xxx",IFERROR(IF(INT(IF($D1193=H$3,装备表!$E1338,"xxx")/10000)=1,IF($D1193=H$3,装备表!$E1338,"xxx")&amp;":2,1,1,"&amp;装备表!$O1338&amp;";","xxx"),"xxx"))</f>
        <v>xxx</v>
      </c>
      <c r="I1193" s="18" t="str">
        <f>IF(装备表!$O1338=0,"xxx",IFERROR(IF(INT(IF($D1193=I$3,装备表!$E1338,"xxx")/10000)=1,IF($D1193=I$3,装备表!$E1338,"xxx")&amp;":2,1,1,"&amp;装备表!$O1338&amp;";","xxx"),"xxx"))</f>
        <v>xxx</v>
      </c>
      <c r="J1193" s="18" t="str">
        <f>IF(装备表!$O1338=0,"xxx",IFERROR(IF(INT(IF($D1193=J$3,装备表!$E1338,"xxx")/10000)=1,IF($D1193=J$3,装备表!$E1338,"xxx")&amp;":2,1,1,"&amp;装备表!$O1338&amp;";","xxx"),"xxx"))</f>
        <v>xxx</v>
      </c>
    </row>
    <row r="1194" spans="4:10" x14ac:dyDescent="0.2">
      <c r="D1194" s="18">
        <f>装备表!L1339</f>
        <v>0</v>
      </c>
      <c r="E1194" s="18" t="str">
        <f>IF(装备表!$O1339=0,"xxx",IFERROR(IF(INT(IF($D1194=E$3,装备表!$E1339,"xxx")/10000)=1,IF($D1194=E$3,装备表!$E1339,"xxx")&amp;":2,1,1,"&amp;装备表!$O1339&amp;";","xxx"),"xxx"))</f>
        <v>xxx</v>
      </c>
      <c r="F1194" s="18" t="str">
        <f>IF(装备表!$O1339=0,"xxx",IFERROR(IF(INT(IF($D1194=F$3,装备表!$E1339,"xxx")/10000)=1,IF($D1194=F$3,装备表!$E1339,"xxx")&amp;":2,1,1,"&amp;装备表!$O1339&amp;";","xxx"),"xxx"))</f>
        <v>xxx</v>
      </c>
      <c r="G1194" s="18" t="str">
        <f>IF(装备表!$O1339=0,"xxx",IFERROR(IF(INT(IF($D1194=G$3,装备表!$E1339,"xxx")/10000)=1,IF($D1194=G$3,装备表!$E1339,"xxx")&amp;":2,1,1,"&amp;装备表!$O1339&amp;";","xxx"),"xxx"))</f>
        <v>xxx</v>
      </c>
      <c r="H1194" s="18" t="str">
        <f>IF(装备表!$O1339=0,"xxx",IFERROR(IF(INT(IF($D1194=H$3,装备表!$E1339,"xxx")/10000)=1,IF($D1194=H$3,装备表!$E1339,"xxx")&amp;":2,1,1,"&amp;装备表!$O1339&amp;";","xxx"),"xxx"))</f>
        <v>xxx</v>
      </c>
      <c r="I1194" s="18" t="str">
        <f>IF(装备表!$O1339=0,"xxx",IFERROR(IF(INT(IF($D1194=I$3,装备表!$E1339,"xxx")/10000)=1,IF($D1194=I$3,装备表!$E1339,"xxx")&amp;":2,1,1,"&amp;装备表!$O1339&amp;";","xxx"),"xxx"))</f>
        <v>xxx</v>
      </c>
      <c r="J1194" s="18" t="str">
        <f>IF(装备表!$O1339=0,"xxx",IFERROR(IF(INT(IF($D1194=J$3,装备表!$E1339,"xxx")/10000)=1,IF($D1194=J$3,装备表!$E1339,"xxx")&amp;":2,1,1,"&amp;装备表!$O1339&amp;";","xxx"),"xxx"))</f>
        <v>xxx</v>
      </c>
    </row>
    <row r="1195" spans="4:10" x14ac:dyDescent="0.2">
      <c r="D1195" s="18">
        <f>装备表!L1340</f>
        <v>0</v>
      </c>
      <c r="E1195" s="18" t="str">
        <f>IF(装备表!$O1340=0,"xxx",IFERROR(IF(INT(IF($D1195=E$3,装备表!$E1340,"xxx")/10000)=1,IF($D1195=E$3,装备表!$E1340,"xxx")&amp;":2,1,1,"&amp;装备表!$O1340&amp;";","xxx"),"xxx"))</f>
        <v>xxx</v>
      </c>
      <c r="F1195" s="18" t="str">
        <f>IF(装备表!$O1340=0,"xxx",IFERROR(IF(INT(IF($D1195=F$3,装备表!$E1340,"xxx")/10000)=1,IF($D1195=F$3,装备表!$E1340,"xxx")&amp;":2,1,1,"&amp;装备表!$O1340&amp;";","xxx"),"xxx"))</f>
        <v>xxx</v>
      </c>
      <c r="G1195" s="18" t="str">
        <f>IF(装备表!$O1340=0,"xxx",IFERROR(IF(INT(IF($D1195=G$3,装备表!$E1340,"xxx")/10000)=1,IF($D1195=G$3,装备表!$E1340,"xxx")&amp;":2,1,1,"&amp;装备表!$O1340&amp;";","xxx"),"xxx"))</f>
        <v>xxx</v>
      </c>
      <c r="H1195" s="18" t="str">
        <f>IF(装备表!$O1340=0,"xxx",IFERROR(IF(INT(IF($D1195=H$3,装备表!$E1340,"xxx")/10000)=1,IF($D1195=H$3,装备表!$E1340,"xxx")&amp;":2,1,1,"&amp;装备表!$O1340&amp;";","xxx"),"xxx"))</f>
        <v>xxx</v>
      </c>
      <c r="I1195" s="18" t="str">
        <f>IF(装备表!$O1340=0,"xxx",IFERROR(IF(INT(IF($D1195=I$3,装备表!$E1340,"xxx")/10000)=1,IF($D1195=I$3,装备表!$E1340,"xxx")&amp;":2,1,1,"&amp;装备表!$O1340&amp;";","xxx"),"xxx"))</f>
        <v>xxx</v>
      </c>
      <c r="J1195" s="18" t="str">
        <f>IF(装备表!$O1340=0,"xxx",IFERROR(IF(INT(IF($D1195=J$3,装备表!$E1340,"xxx")/10000)=1,IF($D1195=J$3,装备表!$E1340,"xxx")&amp;":2,1,1,"&amp;装备表!$O1340&amp;";","xxx"),"xxx"))</f>
        <v>xxx</v>
      </c>
    </row>
    <row r="1196" spans="4:10" x14ac:dyDescent="0.2">
      <c r="D1196" s="18">
        <f>装备表!L1341</f>
        <v>0</v>
      </c>
      <c r="E1196" s="18" t="str">
        <f>IF(装备表!$O1341=0,"xxx",IFERROR(IF(INT(IF($D1196=E$3,装备表!$E1341,"xxx")/10000)=1,IF($D1196=E$3,装备表!$E1341,"xxx")&amp;":2,1,1,"&amp;装备表!$O1341&amp;";","xxx"),"xxx"))</f>
        <v>xxx</v>
      </c>
      <c r="F1196" s="18" t="str">
        <f>IF(装备表!$O1341=0,"xxx",IFERROR(IF(INT(IF($D1196=F$3,装备表!$E1341,"xxx")/10000)=1,IF($D1196=F$3,装备表!$E1341,"xxx")&amp;":2,1,1,"&amp;装备表!$O1341&amp;";","xxx"),"xxx"))</f>
        <v>xxx</v>
      </c>
      <c r="G1196" s="18" t="str">
        <f>IF(装备表!$O1341=0,"xxx",IFERROR(IF(INT(IF($D1196=G$3,装备表!$E1341,"xxx")/10000)=1,IF($D1196=G$3,装备表!$E1341,"xxx")&amp;":2,1,1,"&amp;装备表!$O1341&amp;";","xxx"),"xxx"))</f>
        <v>xxx</v>
      </c>
      <c r="H1196" s="18" t="str">
        <f>IF(装备表!$O1341=0,"xxx",IFERROR(IF(INT(IF($D1196=H$3,装备表!$E1341,"xxx")/10000)=1,IF($D1196=H$3,装备表!$E1341,"xxx")&amp;":2,1,1,"&amp;装备表!$O1341&amp;";","xxx"),"xxx"))</f>
        <v>xxx</v>
      </c>
      <c r="I1196" s="18" t="str">
        <f>IF(装备表!$O1341=0,"xxx",IFERROR(IF(INT(IF($D1196=I$3,装备表!$E1341,"xxx")/10000)=1,IF($D1196=I$3,装备表!$E1341,"xxx")&amp;":2,1,1,"&amp;装备表!$O1341&amp;";","xxx"),"xxx"))</f>
        <v>xxx</v>
      </c>
      <c r="J1196" s="18" t="str">
        <f>IF(装备表!$O1341=0,"xxx",IFERROR(IF(INT(IF($D1196=J$3,装备表!$E1341,"xxx")/10000)=1,IF($D1196=J$3,装备表!$E1341,"xxx")&amp;":2,1,1,"&amp;装备表!$O1341&amp;";","xxx"),"xxx"))</f>
        <v>xxx</v>
      </c>
    </row>
    <row r="1197" spans="4:10" x14ac:dyDescent="0.2">
      <c r="D1197" s="18">
        <f>装备表!L1342</f>
        <v>0</v>
      </c>
      <c r="E1197" s="18" t="str">
        <f>IF(装备表!$O1342=0,"xxx",IFERROR(IF(INT(IF($D1197=E$3,装备表!$E1342,"xxx")/10000)=1,IF($D1197=E$3,装备表!$E1342,"xxx")&amp;":2,1,1,"&amp;装备表!$O1342&amp;";","xxx"),"xxx"))</f>
        <v>xxx</v>
      </c>
      <c r="F1197" s="18" t="str">
        <f>IF(装备表!$O1342=0,"xxx",IFERROR(IF(INT(IF($D1197=F$3,装备表!$E1342,"xxx")/10000)=1,IF($D1197=F$3,装备表!$E1342,"xxx")&amp;":2,1,1,"&amp;装备表!$O1342&amp;";","xxx"),"xxx"))</f>
        <v>xxx</v>
      </c>
      <c r="G1197" s="18" t="str">
        <f>IF(装备表!$O1342=0,"xxx",IFERROR(IF(INT(IF($D1197=G$3,装备表!$E1342,"xxx")/10000)=1,IF($D1197=G$3,装备表!$E1342,"xxx")&amp;":2,1,1,"&amp;装备表!$O1342&amp;";","xxx"),"xxx"))</f>
        <v>xxx</v>
      </c>
      <c r="H1197" s="18" t="str">
        <f>IF(装备表!$O1342=0,"xxx",IFERROR(IF(INT(IF($D1197=H$3,装备表!$E1342,"xxx")/10000)=1,IF($D1197=H$3,装备表!$E1342,"xxx")&amp;":2,1,1,"&amp;装备表!$O1342&amp;";","xxx"),"xxx"))</f>
        <v>xxx</v>
      </c>
      <c r="I1197" s="18" t="str">
        <f>IF(装备表!$O1342=0,"xxx",IFERROR(IF(INT(IF($D1197=I$3,装备表!$E1342,"xxx")/10000)=1,IF($D1197=I$3,装备表!$E1342,"xxx")&amp;":2,1,1,"&amp;装备表!$O1342&amp;";","xxx"),"xxx"))</f>
        <v>xxx</v>
      </c>
      <c r="J1197" s="18" t="str">
        <f>IF(装备表!$O1342=0,"xxx",IFERROR(IF(INT(IF($D1197=J$3,装备表!$E1342,"xxx")/10000)=1,IF($D1197=J$3,装备表!$E1342,"xxx")&amp;":2,1,1,"&amp;装备表!$O1342&amp;";","xxx"),"xxx"))</f>
        <v>xxx</v>
      </c>
    </row>
    <row r="1198" spans="4:10" x14ac:dyDescent="0.2">
      <c r="D1198" s="18">
        <f>装备表!L1343</f>
        <v>0</v>
      </c>
      <c r="E1198" s="18" t="str">
        <f>IF(装备表!$O1343=0,"xxx",IFERROR(IF(INT(IF($D1198=E$3,装备表!$E1343,"xxx")/10000)=1,IF($D1198=E$3,装备表!$E1343,"xxx")&amp;":2,1,1,"&amp;装备表!$O1343&amp;";","xxx"),"xxx"))</f>
        <v>xxx</v>
      </c>
      <c r="F1198" s="18" t="str">
        <f>IF(装备表!$O1343=0,"xxx",IFERROR(IF(INT(IF($D1198=F$3,装备表!$E1343,"xxx")/10000)=1,IF($D1198=F$3,装备表!$E1343,"xxx")&amp;":2,1,1,"&amp;装备表!$O1343&amp;";","xxx"),"xxx"))</f>
        <v>xxx</v>
      </c>
      <c r="G1198" s="18" t="str">
        <f>IF(装备表!$O1343=0,"xxx",IFERROR(IF(INT(IF($D1198=G$3,装备表!$E1343,"xxx")/10000)=1,IF($D1198=G$3,装备表!$E1343,"xxx")&amp;":2,1,1,"&amp;装备表!$O1343&amp;";","xxx"),"xxx"))</f>
        <v>xxx</v>
      </c>
      <c r="H1198" s="18" t="str">
        <f>IF(装备表!$O1343=0,"xxx",IFERROR(IF(INT(IF($D1198=H$3,装备表!$E1343,"xxx")/10000)=1,IF($D1198=H$3,装备表!$E1343,"xxx")&amp;":2,1,1,"&amp;装备表!$O1343&amp;";","xxx"),"xxx"))</f>
        <v>xxx</v>
      </c>
      <c r="I1198" s="18" t="str">
        <f>IF(装备表!$O1343=0,"xxx",IFERROR(IF(INT(IF($D1198=I$3,装备表!$E1343,"xxx")/10000)=1,IF($D1198=I$3,装备表!$E1343,"xxx")&amp;":2,1,1,"&amp;装备表!$O1343&amp;";","xxx"),"xxx"))</f>
        <v>xxx</v>
      </c>
      <c r="J1198" s="18" t="str">
        <f>IF(装备表!$O1343=0,"xxx",IFERROR(IF(INT(IF($D1198=J$3,装备表!$E1343,"xxx")/10000)=1,IF($D1198=J$3,装备表!$E1343,"xxx")&amp;":2,1,1,"&amp;装备表!$O1343&amp;";","xxx"),"xxx"))</f>
        <v>xxx</v>
      </c>
    </row>
    <row r="1199" spans="4:10" x14ac:dyDescent="0.2">
      <c r="D1199" s="18">
        <f>装备表!L1344</f>
        <v>0</v>
      </c>
      <c r="E1199" s="18" t="str">
        <f>IF(装备表!$O1344=0,"xxx",IFERROR(IF(INT(IF($D1199=E$3,装备表!$E1344,"xxx")/10000)=1,IF($D1199=E$3,装备表!$E1344,"xxx")&amp;":2,1,1,"&amp;装备表!$O1344&amp;";","xxx"),"xxx"))</f>
        <v>xxx</v>
      </c>
      <c r="F1199" s="18" t="str">
        <f>IF(装备表!$O1344=0,"xxx",IFERROR(IF(INT(IF($D1199=F$3,装备表!$E1344,"xxx")/10000)=1,IF($D1199=F$3,装备表!$E1344,"xxx")&amp;":2,1,1,"&amp;装备表!$O1344&amp;";","xxx"),"xxx"))</f>
        <v>xxx</v>
      </c>
      <c r="G1199" s="18" t="str">
        <f>IF(装备表!$O1344=0,"xxx",IFERROR(IF(INT(IF($D1199=G$3,装备表!$E1344,"xxx")/10000)=1,IF($D1199=G$3,装备表!$E1344,"xxx")&amp;":2,1,1,"&amp;装备表!$O1344&amp;";","xxx"),"xxx"))</f>
        <v>xxx</v>
      </c>
      <c r="H1199" s="18" t="str">
        <f>IF(装备表!$O1344=0,"xxx",IFERROR(IF(INT(IF($D1199=H$3,装备表!$E1344,"xxx")/10000)=1,IF($D1199=H$3,装备表!$E1344,"xxx")&amp;":2,1,1,"&amp;装备表!$O1344&amp;";","xxx"),"xxx"))</f>
        <v>xxx</v>
      </c>
      <c r="I1199" s="18" t="str">
        <f>IF(装备表!$O1344=0,"xxx",IFERROR(IF(INT(IF($D1199=I$3,装备表!$E1344,"xxx")/10000)=1,IF($D1199=I$3,装备表!$E1344,"xxx")&amp;":2,1,1,"&amp;装备表!$O1344&amp;";","xxx"),"xxx"))</f>
        <v>xxx</v>
      </c>
      <c r="J1199" s="18" t="str">
        <f>IF(装备表!$O1344=0,"xxx",IFERROR(IF(INT(IF($D1199=J$3,装备表!$E1344,"xxx")/10000)=1,IF($D1199=J$3,装备表!$E1344,"xxx")&amp;":2,1,1,"&amp;装备表!$O1344&amp;";","xxx"),"xxx"))</f>
        <v>xxx</v>
      </c>
    </row>
    <row r="1200" spans="4:10" x14ac:dyDescent="0.2">
      <c r="D1200" s="18">
        <f>装备表!L1345</f>
        <v>0</v>
      </c>
      <c r="E1200" s="18" t="str">
        <f>IF(装备表!$O1345=0,"xxx",IFERROR(IF(INT(IF($D1200=E$3,装备表!$E1345,"xxx")/10000)=1,IF($D1200=E$3,装备表!$E1345,"xxx")&amp;":2,1,1,"&amp;装备表!$O1345&amp;";","xxx"),"xxx"))</f>
        <v>xxx</v>
      </c>
      <c r="F1200" s="18" t="str">
        <f>IF(装备表!$O1345=0,"xxx",IFERROR(IF(INT(IF($D1200=F$3,装备表!$E1345,"xxx")/10000)=1,IF($D1200=F$3,装备表!$E1345,"xxx")&amp;":2,1,1,"&amp;装备表!$O1345&amp;";","xxx"),"xxx"))</f>
        <v>xxx</v>
      </c>
      <c r="G1200" s="18" t="str">
        <f>IF(装备表!$O1345=0,"xxx",IFERROR(IF(INT(IF($D1200=G$3,装备表!$E1345,"xxx")/10000)=1,IF($D1200=G$3,装备表!$E1345,"xxx")&amp;":2,1,1,"&amp;装备表!$O1345&amp;";","xxx"),"xxx"))</f>
        <v>xxx</v>
      </c>
      <c r="H1200" s="18" t="str">
        <f>IF(装备表!$O1345=0,"xxx",IFERROR(IF(INT(IF($D1200=H$3,装备表!$E1345,"xxx")/10000)=1,IF($D1200=H$3,装备表!$E1345,"xxx")&amp;":2,1,1,"&amp;装备表!$O1345&amp;";","xxx"),"xxx"))</f>
        <v>xxx</v>
      </c>
      <c r="I1200" s="18" t="str">
        <f>IF(装备表!$O1345=0,"xxx",IFERROR(IF(INT(IF($D1200=I$3,装备表!$E1345,"xxx")/10000)=1,IF($D1200=I$3,装备表!$E1345,"xxx")&amp;":2,1,1,"&amp;装备表!$O1345&amp;";","xxx"),"xxx"))</f>
        <v>xxx</v>
      </c>
      <c r="J1200" s="18" t="str">
        <f>IF(装备表!$O1345=0,"xxx",IFERROR(IF(INT(IF($D1200=J$3,装备表!$E1345,"xxx")/10000)=1,IF($D1200=J$3,装备表!$E1345,"xxx")&amp;":2,1,1,"&amp;装备表!$O1345&amp;";","xxx"),"xxx"))</f>
        <v>xxx</v>
      </c>
    </row>
    <row r="1201" spans="4:10" x14ac:dyDescent="0.2">
      <c r="D1201" s="18">
        <f>装备表!L1346</f>
        <v>0</v>
      </c>
      <c r="E1201" s="18" t="str">
        <f>IF(装备表!$O1346=0,"xxx",IFERROR(IF(INT(IF($D1201=E$3,装备表!$E1346,"xxx")/10000)=1,IF($D1201=E$3,装备表!$E1346,"xxx")&amp;":2,1,1,"&amp;装备表!$O1346&amp;";","xxx"),"xxx"))</f>
        <v>xxx</v>
      </c>
      <c r="F1201" s="18" t="str">
        <f>IF(装备表!$O1346=0,"xxx",IFERROR(IF(INT(IF($D1201=F$3,装备表!$E1346,"xxx")/10000)=1,IF($D1201=F$3,装备表!$E1346,"xxx")&amp;":2,1,1,"&amp;装备表!$O1346&amp;";","xxx"),"xxx"))</f>
        <v>xxx</v>
      </c>
      <c r="G1201" s="18" t="str">
        <f>IF(装备表!$O1346=0,"xxx",IFERROR(IF(INT(IF($D1201=G$3,装备表!$E1346,"xxx")/10000)=1,IF($D1201=G$3,装备表!$E1346,"xxx")&amp;":2,1,1,"&amp;装备表!$O1346&amp;";","xxx"),"xxx"))</f>
        <v>xxx</v>
      </c>
      <c r="H1201" s="18" t="str">
        <f>IF(装备表!$O1346=0,"xxx",IFERROR(IF(INT(IF($D1201=H$3,装备表!$E1346,"xxx")/10000)=1,IF($D1201=H$3,装备表!$E1346,"xxx")&amp;":2,1,1,"&amp;装备表!$O1346&amp;";","xxx"),"xxx"))</f>
        <v>xxx</v>
      </c>
      <c r="I1201" s="18" t="str">
        <f>IF(装备表!$O1346=0,"xxx",IFERROR(IF(INT(IF($D1201=I$3,装备表!$E1346,"xxx")/10000)=1,IF($D1201=I$3,装备表!$E1346,"xxx")&amp;":2,1,1,"&amp;装备表!$O1346&amp;";","xxx"),"xxx"))</f>
        <v>xxx</v>
      </c>
      <c r="J1201" s="18" t="str">
        <f>IF(装备表!$O1346=0,"xxx",IFERROR(IF(INT(IF($D1201=J$3,装备表!$E1346,"xxx")/10000)=1,IF($D1201=J$3,装备表!$E1346,"xxx")&amp;":2,1,1,"&amp;装备表!$O1346&amp;";","xxx"),"xxx"))</f>
        <v>xxx</v>
      </c>
    </row>
    <row r="1202" spans="4:10" x14ac:dyDescent="0.2">
      <c r="D1202" s="18">
        <f>装备表!L1347</f>
        <v>0</v>
      </c>
      <c r="E1202" s="18" t="str">
        <f>IF(装备表!$O1347=0,"xxx",IFERROR(IF(INT(IF($D1202=E$3,装备表!$E1347,"xxx")/10000)=1,IF($D1202=E$3,装备表!$E1347,"xxx")&amp;":2,1,1,"&amp;装备表!$O1347&amp;";","xxx"),"xxx"))</f>
        <v>xxx</v>
      </c>
      <c r="F1202" s="18" t="str">
        <f>IF(装备表!$O1347=0,"xxx",IFERROR(IF(INT(IF($D1202=F$3,装备表!$E1347,"xxx")/10000)=1,IF($D1202=F$3,装备表!$E1347,"xxx")&amp;":2,1,1,"&amp;装备表!$O1347&amp;";","xxx"),"xxx"))</f>
        <v>xxx</v>
      </c>
      <c r="G1202" s="18" t="str">
        <f>IF(装备表!$O1347=0,"xxx",IFERROR(IF(INT(IF($D1202=G$3,装备表!$E1347,"xxx")/10000)=1,IF($D1202=G$3,装备表!$E1347,"xxx")&amp;":2,1,1,"&amp;装备表!$O1347&amp;";","xxx"),"xxx"))</f>
        <v>xxx</v>
      </c>
      <c r="H1202" s="18" t="str">
        <f>IF(装备表!$O1347=0,"xxx",IFERROR(IF(INT(IF($D1202=H$3,装备表!$E1347,"xxx")/10000)=1,IF($D1202=H$3,装备表!$E1347,"xxx")&amp;":2,1,1,"&amp;装备表!$O1347&amp;";","xxx"),"xxx"))</f>
        <v>xxx</v>
      </c>
      <c r="I1202" s="18" t="str">
        <f>IF(装备表!$O1347=0,"xxx",IFERROR(IF(INT(IF($D1202=I$3,装备表!$E1347,"xxx")/10000)=1,IF($D1202=I$3,装备表!$E1347,"xxx")&amp;":2,1,1,"&amp;装备表!$O1347&amp;";","xxx"),"xxx"))</f>
        <v>xxx</v>
      </c>
      <c r="J1202" s="18" t="str">
        <f>IF(装备表!$O1347=0,"xxx",IFERROR(IF(INT(IF($D1202=J$3,装备表!$E1347,"xxx")/10000)=1,IF($D1202=J$3,装备表!$E1347,"xxx")&amp;":2,1,1,"&amp;装备表!$O1347&amp;";","xxx"),"xxx"))</f>
        <v>xxx</v>
      </c>
    </row>
    <row r="1203" spans="4:10" x14ac:dyDescent="0.2">
      <c r="D1203" s="18">
        <f>装备表!L1348</f>
        <v>0</v>
      </c>
      <c r="E1203" s="18" t="str">
        <f>IF(装备表!$O1348=0,"xxx",IFERROR(IF(INT(IF($D1203=E$3,装备表!$E1348,"xxx")/10000)=1,IF($D1203=E$3,装备表!$E1348,"xxx")&amp;":2,1,1,"&amp;装备表!$O1348&amp;";","xxx"),"xxx"))</f>
        <v>xxx</v>
      </c>
      <c r="F1203" s="18" t="str">
        <f>IF(装备表!$O1348=0,"xxx",IFERROR(IF(INT(IF($D1203=F$3,装备表!$E1348,"xxx")/10000)=1,IF($D1203=F$3,装备表!$E1348,"xxx")&amp;":2,1,1,"&amp;装备表!$O1348&amp;";","xxx"),"xxx"))</f>
        <v>xxx</v>
      </c>
      <c r="G1203" s="18" t="str">
        <f>IF(装备表!$O1348=0,"xxx",IFERROR(IF(INT(IF($D1203=G$3,装备表!$E1348,"xxx")/10000)=1,IF($D1203=G$3,装备表!$E1348,"xxx")&amp;":2,1,1,"&amp;装备表!$O1348&amp;";","xxx"),"xxx"))</f>
        <v>xxx</v>
      </c>
      <c r="H1203" s="18" t="str">
        <f>IF(装备表!$O1348=0,"xxx",IFERROR(IF(INT(IF($D1203=H$3,装备表!$E1348,"xxx")/10000)=1,IF($D1203=H$3,装备表!$E1348,"xxx")&amp;":2,1,1,"&amp;装备表!$O1348&amp;";","xxx"),"xxx"))</f>
        <v>xxx</v>
      </c>
      <c r="I1203" s="18" t="str">
        <f>IF(装备表!$O1348=0,"xxx",IFERROR(IF(INT(IF($D1203=I$3,装备表!$E1348,"xxx")/10000)=1,IF($D1203=I$3,装备表!$E1348,"xxx")&amp;":2,1,1,"&amp;装备表!$O1348&amp;";","xxx"),"xxx"))</f>
        <v>xxx</v>
      </c>
      <c r="J1203" s="18" t="str">
        <f>IF(装备表!$O1348=0,"xxx",IFERROR(IF(INT(IF($D1203=J$3,装备表!$E1348,"xxx")/10000)=1,IF($D1203=J$3,装备表!$E1348,"xxx")&amp;":2,1,1,"&amp;装备表!$O1348&amp;";","xxx"),"xxx"))</f>
        <v>xxx</v>
      </c>
    </row>
    <row r="1204" spans="4:10" x14ac:dyDescent="0.2">
      <c r="D1204" s="18">
        <f>装备表!L1349</f>
        <v>0</v>
      </c>
      <c r="E1204" s="18" t="str">
        <f>IF(装备表!$O1349=0,"xxx",IFERROR(IF(INT(IF($D1204=E$3,装备表!$E1349,"xxx")/10000)=1,IF($D1204=E$3,装备表!$E1349,"xxx")&amp;":2,1,1,"&amp;装备表!$O1349&amp;";","xxx"),"xxx"))</f>
        <v>xxx</v>
      </c>
      <c r="F1204" s="18" t="str">
        <f>IF(装备表!$O1349=0,"xxx",IFERROR(IF(INT(IF($D1204=F$3,装备表!$E1349,"xxx")/10000)=1,IF($D1204=F$3,装备表!$E1349,"xxx")&amp;":2,1,1,"&amp;装备表!$O1349&amp;";","xxx"),"xxx"))</f>
        <v>xxx</v>
      </c>
      <c r="G1204" s="18" t="str">
        <f>IF(装备表!$O1349=0,"xxx",IFERROR(IF(INT(IF($D1204=G$3,装备表!$E1349,"xxx")/10000)=1,IF($D1204=G$3,装备表!$E1349,"xxx")&amp;":2,1,1,"&amp;装备表!$O1349&amp;";","xxx"),"xxx"))</f>
        <v>xxx</v>
      </c>
      <c r="H1204" s="18" t="str">
        <f>IF(装备表!$O1349=0,"xxx",IFERROR(IF(INT(IF($D1204=H$3,装备表!$E1349,"xxx")/10000)=1,IF($D1204=H$3,装备表!$E1349,"xxx")&amp;":2,1,1,"&amp;装备表!$O1349&amp;";","xxx"),"xxx"))</f>
        <v>xxx</v>
      </c>
      <c r="I1204" s="18" t="str">
        <f>IF(装备表!$O1349=0,"xxx",IFERROR(IF(INT(IF($D1204=I$3,装备表!$E1349,"xxx")/10000)=1,IF($D1204=I$3,装备表!$E1349,"xxx")&amp;":2,1,1,"&amp;装备表!$O1349&amp;";","xxx"),"xxx"))</f>
        <v>xxx</v>
      </c>
      <c r="J1204" s="18" t="str">
        <f>IF(装备表!$O1349=0,"xxx",IFERROR(IF(INT(IF($D1204=J$3,装备表!$E1349,"xxx")/10000)=1,IF($D1204=J$3,装备表!$E1349,"xxx")&amp;":2,1,1,"&amp;装备表!$O1349&amp;";","xxx"),"xxx"))</f>
        <v>xxx</v>
      </c>
    </row>
    <row r="1205" spans="4:10" x14ac:dyDescent="0.2">
      <c r="D1205" s="18">
        <f>装备表!L1350</f>
        <v>0</v>
      </c>
      <c r="E1205" s="18" t="str">
        <f>IF(装备表!$O1350=0,"xxx",IFERROR(IF(INT(IF($D1205=E$3,装备表!$E1350,"xxx")/10000)=1,IF($D1205=E$3,装备表!$E1350,"xxx")&amp;":2,1,1,"&amp;装备表!$O1350&amp;";","xxx"),"xxx"))</f>
        <v>xxx</v>
      </c>
      <c r="F1205" s="18" t="str">
        <f>IF(装备表!$O1350=0,"xxx",IFERROR(IF(INT(IF($D1205=F$3,装备表!$E1350,"xxx")/10000)=1,IF($D1205=F$3,装备表!$E1350,"xxx")&amp;":2,1,1,"&amp;装备表!$O1350&amp;";","xxx"),"xxx"))</f>
        <v>xxx</v>
      </c>
      <c r="G1205" s="18" t="str">
        <f>IF(装备表!$O1350=0,"xxx",IFERROR(IF(INT(IF($D1205=G$3,装备表!$E1350,"xxx")/10000)=1,IF($D1205=G$3,装备表!$E1350,"xxx")&amp;":2,1,1,"&amp;装备表!$O1350&amp;";","xxx"),"xxx"))</f>
        <v>xxx</v>
      </c>
      <c r="H1205" s="18" t="str">
        <f>IF(装备表!$O1350=0,"xxx",IFERROR(IF(INT(IF($D1205=H$3,装备表!$E1350,"xxx")/10000)=1,IF($D1205=H$3,装备表!$E1350,"xxx")&amp;":2,1,1,"&amp;装备表!$O1350&amp;";","xxx"),"xxx"))</f>
        <v>xxx</v>
      </c>
      <c r="I1205" s="18" t="str">
        <f>IF(装备表!$O1350=0,"xxx",IFERROR(IF(INT(IF($D1205=I$3,装备表!$E1350,"xxx")/10000)=1,IF($D1205=I$3,装备表!$E1350,"xxx")&amp;":2,1,1,"&amp;装备表!$O1350&amp;";","xxx"),"xxx"))</f>
        <v>xxx</v>
      </c>
      <c r="J1205" s="18" t="str">
        <f>IF(装备表!$O1350=0,"xxx",IFERROR(IF(INT(IF($D1205=J$3,装备表!$E1350,"xxx")/10000)=1,IF($D1205=J$3,装备表!$E1350,"xxx")&amp;":2,1,1,"&amp;装备表!$O1350&amp;";","xxx"),"xxx"))</f>
        <v>xxx</v>
      </c>
    </row>
    <row r="1206" spans="4:10" x14ac:dyDescent="0.2">
      <c r="D1206" s="18">
        <f>装备表!L1351</f>
        <v>0</v>
      </c>
      <c r="E1206" s="18" t="str">
        <f>IF(装备表!$O1351=0,"xxx",IFERROR(IF(INT(IF($D1206=E$3,装备表!$E1351,"xxx")/10000)=1,IF($D1206=E$3,装备表!$E1351,"xxx")&amp;":2,1,1,"&amp;装备表!$O1351&amp;";","xxx"),"xxx"))</f>
        <v>xxx</v>
      </c>
      <c r="F1206" s="18" t="str">
        <f>IF(装备表!$O1351=0,"xxx",IFERROR(IF(INT(IF($D1206=F$3,装备表!$E1351,"xxx")/10000)=1,IF($D1206=F$3,装备表!$E1351,"xxx")&amp;":2,1,1,"&amp;装备表!$O1351&amp;";","xxx"),"xxx"))</f>
        <v>xxx</v>
      </c>
      <c r="G1206" s="18" t="str">
        <f>IF(装备表!$O1351=0,"xxx",IFERROR(IF(INT(IF($D1206=G$3,装备表!$E1351,"xxx")/10000)=1,IF($D1206=G$3,装备表!$E1351,"xxx")&amp;":2,1,1,"&amp;装备表!$O1351&amp;";","xxx"),"xxx"))</f>
        <v>xxx</v>
      </c>
      <c r="H1206" s="18" t="str">
        <f>IF(装备表!$O1351=0,"xxx",IFERROR(IF(INT(IF($D1206=H$3,装备表!$E1351,"xxx")/10000)=1,IF($D1206=H$3,装备表!$E1351,"xxx")&amp;":2,1,1,"&amp;装备表!$O1351&amp;";","xxx"),"xxx"))</f>
        <v>xxx</v>
      </c>
      <c r="I1206" s="18" t="str">
        <f>IF(装备表!$O1351=0,"xxx",IFERROR(IF(INT(IF($D1206=I$3,装备表!$E1351,"xxx")/10000)=1,IF($D1206=I$3,装备表!$E1351,"xxx")&amp;":2,1,1,"&amp;装备表!$O1351&amp;";","xxx"),"xxx"))</f>
        <v>xxx</v>
      </c>
      <c r="J1206" s="18" t="str">
        <f>IF(装备表!$O1351=0,"xxx",IFERROR(IF(INT(IF($D1206=J$3,装备表!$E1351,"xxx")/10000)=1,IF($D1206=J$3,装备表!$E1351,"xxx")&amp;":2,1,1,"&amp;装备表!$O1351&amp;";","xxx"),"xxx"))</f>
        <v>xxx</v>
      </c>
    </row>
    <row r="1207" spans="4:10" x14ac:dyDescent="0.2">
      <c r="D1207" s="18">
        <f>装备表!L1352</f>
        <v>0</v>
      </c>
      <c r="E1207" s="18" t="str">
        <f>IF(装备表!$O1352=0,"xxx",IFERROR(IF(INT(IF($D1207=E$3,装备表!$E1352,"xxx")/10000)=1,IF($D1207=E$3,装备表!$E1352,"xxx")&amp;":2,1,1,"&amp;装备表!$O1352&amp;";","xxx"),"xxx"))</f>
        <v>xxx</v>
      </c>
      <c r="F1207" s="18" t="str">
        <f>IF(装备表!$O1352=0,"xxx",IFERROR(IF(INT(IF($D1207=F$3,装备表!$E1352,"xxx")/10000)=1,IF($D1207=F$3,装备表!$E1352,"xxx")&amp;":2,1,1,"&amp;装备表!$O1352&amp;";","xxx"),"xxx"))</f>
        <v>xxx</v>
      </c>
      <c r="G1207" s="18" t="str">
        <f>IF(装备表!$O1352=0,"xxx",IFERROR(IF(INT(IF($D1207=G$3,装备表!$E1352,"xxx")/10000)=1,IF($D1207=G$3,装备表!$E1352,"xxx")&amp;":2,1,1,"&amp;装备表!$O1352&amp;";","xxx"),"xxx"))</f>
        <v>xxx</v>
      </c>
      <c r="H1207" s="18" t="str">
        <f>IF(装备表!$O1352=0,"xxx",IFERROR(IF(INT(IF($D1207=H$3,装备表!$E1352,"xxx")/10000)=1,IF($D1207=H$3,装备表!$E1352,"xxx")&amp;":2,1,1,"&amp;装备表!$O1352&amp;";","xxx"),"xxx"))</f>
        <v>xxx</v>
      </c>
      <c r="I1207" s="18" t="str">
        <f>IF(装备表!$O1352=0,"xxx",IFERROR(IF(INT(IF($D1207=I$3,装备表!$E1352,"xxx")/10000)=1,IF($D1207=I$3,装备表!$E1352,"xxx")&amp;":2,1,1,"&amp;装备表!$O1352&amp;";","xxx"),"xxx"))</f>
        <v>xxx</v>
      </c>
      <c r="J1207" s="18" t="str">
        <f>IF(装备表!$O1352=0,"xxx",IFERROR(IF(INT(IF($D1207=J$3,装备表!$E1352,"xxx")/10000)=1,IF($D1207=J$3,装备表!$E1352,"xxx")&amp;":2,1,1,"&amp;装备表!$O1352&amp;";","xxx"),"xxx"))</f>
        <v>xxx</v>
      </c>
    </row>
    <row r="1208" spans="4:10" x14ac:dyDescent="0.2">
      <c r="D1208" s="18">
        <f>装备表!L1353</f>
        <v>0</v>
      </c>
      <c r="E1208" s="18" t="str">
        <f>IF(装备表!$O1353=0,"xxx",IFERROR(IF(INT(IF($D1208=E$3,装备表!$E1353,"xxx")/10000)=1,IF($D1208=E$3,装备表!$E1353,"xxx")&amp;":2,1,1,"&amp;装备表!$O1353&amp;";","xxx"),"xxx"))</f>
        <v>xxx</v>
      </c>
      <c r="F1208" s="18" t="str">
        <f>IF(装备表!$O1353=0,"xxx",IFERROR(IF(INT(IF($D1208=F$3,装备表!$E1353,"xxx")/10000)=1,IF($D1208=F$3,装备表!$E1353,"xxx")&amp;":2,1,1,"&amp;装备表!$O1353&amp;";","xxx"),"xxx"))</f>
        <v>xxx</v>
      </c>
      <c r="G1208" s="18" t="str">
        <f>IF(装备表!$O1353=0,"xxx",IFERROR(IF(INT(IF($D1208=G$3,装备表!$E1353,"xxx")/10000)=1,IF($D1208=G$3,装备表!$E1353,"xxx")&amp;":2,1,1,"&amp;装备表!$O1353&amp;";","xxx"),"xxx"))</f>
        <v>xxx</v>
      </c>
      <c r="H1208" s="18" t="str">
        <f>IF(装备表!$O1353=0,"xxx",IFERROR(IF(INT(IF($D1208=H$3,装备表!$E1353,"xxx")/10000)=1,IF($D1208=H$3,装备表!$E1353,"xxx")&amp;":2,1,1,"&amp;装备表!$O1353&amp;";","xxx"),"xxx"))</f>
        <v>xxx</v>
      </c>
      <c r="I1208" s="18" t="str">
        <f>IF(装备表!$O1353=0,"xxx",IFERROR(IF(INT(IF($D1208=I$3,装备表!$E1353,"xxx")/10000)=1,IF($D1208=I$3,装备表!$E1353,"xxx")&amp;":2,1,1,"&amp;装备表!$O1353&amp;";","xxx"),"xxx"))</f>
        <v>xxx</v>
      </c>
      <c r="J1208" s="18" t="str">
        <f>IF(装备表!$O1353=0,"xxx",IFERROR(IF(INT(IF($D1208=J$3,装备表!$E1353,"xxx")/10000)=1,IF($D1208=J$3,装备表!$E1353,"xxx")&amp;":2,1,1,"&amp;装备表!$O1353&amp;";","xxx"),"xxx"))</f>
        <v>xxx</v>
      </c>
    </row>
    <row r="1209" spans="4:10" x14ac:dyDescent="0.2">
      <c r="D1209" s="18">
        <f>装备表!L1354</f>
        <v>0</v>
      </c>
      <c r="E1209" s="18" t="str">
        <f>IF(装备表!$O1354=0,"xxx",IFERROR(IF(INT(IF($D1209=E$3,装备表!$E1354,"xxx")/10000)=1,IF($D1209=E$3,装备表!$E1354,"xxx")&amp;":2,1,1,"&amp;装备表!$O1354&amp;";","xxx"),"xxx"))</f>
        <v>xxx</v>
      </c>
      <c r="F1209" s="18" t="str">
        <f>IF(装备表!$O1354=0,"xxx",IFERROR(IF(INT(IF($D1209=F$3,装备表!$E1354,"xxx")/10000)=1,IF($D1209=F$3,装备表!$E1354,"xxx")&amp;":2,1,1,"&amp;装备表!$O1354&amp;";","xxx"),"xxx"))</f>
        <v>xxx</v>
      </c>
      <c r="G1209" s="18" t="str">
        <f>IF(装备表!$O1354=0,"xxx",IFERROR(IF(INT(IF($D1209=G$3,装备表!$E1354,"xxx")/10000)=1,IF($D1209=G$3,装备表!$E1354,"xxx")&amp;":2,1,1,"&amp;装备表!$O1354&amp;";","xxx"),"xxx"))</f>
        <v>xxx</v>
      </c>
      <c r="H1209" s="18" t="str">
        <f>IF(装备表!$O1354=0,"xxx",IFERROR(IF(INT(IF($D1209=H$3,装备表!$E1354,"xxx")/10000)=1,IF($D1209=H$3,装备表!$E1354,"xxx")&amp;":2,1,1,"&amp;装备表!$O1354&amp;";","xxx"),"xxx"))</f>
        <v>xxx</v>
      </c>
      <c r="I1209" s="18" t="str">
        <f>IF(装备表!$O1354=0,"xxx",IFERROR(IF(INT(IF($D1209=I$3,装备表!$E1354,"xxx")/10000)=1,IF($D1209=I$3,装备表!$E1354,"xxx")&amp;":2,1,1,"&amp;装备表!$O1354&amp;";","xxx"),"xxx"))</f>
        <v>xxx</v>
      </c>
      <c r="J1209" s="18" t="str">
        <f>IF(装备表!$O1354=0,"xxx",IFERROR(IF(INT(IF($D1209=J$3,装备表!$E1354,"xxx")/10000)=1,IF($D1209=J$3,装备表!$E1354,"xxx")&amp;":2,1,1,"&amp;装备表!$O1354&amp;";","xxx"),"xxx"))</f>
        <v>xxx</v>
      </c>
    </row>
    <row r="1210" spans="4:10" x14ac:dyDescent="0.2">
      <c r="D1210" s="18">
        <f>装备表!L1355</f>
        <v>0</v>
      </c>
      <c r="E1210" s="18" t="str">
        <f>IF(装备表!$O1355=0,"xxx",IFERROR(IF(INT(IF($D1210=E$3,装备表!$E1355,"xxx")/10000)=1,IF($D1210=E$3,装备表!$E1355,"xxx")&amp;":2,1,1,"&amp;装备表!$O1355&amp;";","xxx"),"xxx"))</f>
        <v>xxx</v>
      </c>
      <c r="F1210" s="18" t="str">
        <f>IF(装备表!$O1355=0,"xxx",IFERROR(IF(INT(IF($D1210=F$3,装备表!$E1355,"xxx")/10000)=1,IF($D1210=F$3,装备表!$E1355,"xxx")&amp;":2,1,1,"&amp;装备表!$O1355&amp;";","xxx"),"xxx"))</f>
        <v>xxx</v>
      </c>
      <c r="G1210" s="18" t="str">
        <f>IF(装备表!$O1355=0,"xxx",IFERROR(IF(INT(IF($D1210=G$3,装备表!$E1355,"xxx")/10000)=1,IF($D1210=G$3,装备表!$E1355,"xxx")&amp;":2,1,1,"&amp;装备表!$O1355&amp;";","xxx"),"xxx"))</f>
        <v>xxx</v>
      </c>
      <c r="H1210" s="18" t="str">
        <f>IF(装备表!$O1355=0,"xxx",IFERROR(IF(INT(IF($D1210=H$3,装备表!$E1355,"xxx")/10000)=1,IF($D1210=H$3,装备表!$E1355,"xxx")&amp;":2,1,1,"&amp;装备表!$O1355&amp;";","xxx"),"xxx"))</f>
        <v>xxx</v>
      </c>
      <c r="I1210" s="18" t="str">
        <f>IF(装备表!$O1355=0,"xxx",IFERROR(IF(INT(IF($D1210=I$3,装备表!$E1355,"xxx")/10000)=1,IF($D1210=I$3,装备表!$E1355,"xxx")&amp;":2,1,1,"&amp;装备表!$O1355&amp;";","xxx"),"xxx"))</f>
        <v>xxx</v>
      </c>
      <c r="J1210" s="18" t="str">
        <f>IF(装备表!$O1355=0,"xxx",IFERROR(IF(INT(IF($D1210=J$3,装备表!$E1355,"xxx")/10000)=1,IF($D1210=J$3,装备表!$E1355,"xxx")&amp;":2,1,1,"&amp;装备表!$O1355&amp;";","xxx"),"xxx"))</f>
        <v>xxx</v>
      </c>
    </row>
    <row r="1211" spans="4:10" x14ac:dyDescent="0.2">
      <c r="D1211" s="18">
        <f>装备表!L1356</f>
        <v>0</v>
      </c>
      <c r="E1211" s="18" t="str">
        <f>IF(装备表!$O1356=0,"xxx",IFERROR(IF(INT(IF($D1211=E$3,装备表!$E1356,"xxx")/10000)=1,IF($D1211=E$3,装备表!$E1356,"xxx")&amp;":2,1,1,"&amp;装备表!$O1356&amp;";","xxx"),"xxx"))</f>
        <v>xxx</v>
      </c>
      <c r="F1211" s="18" t="str">
        <f>IF(装备表!$O1356=0,"xxx",IFERROR(IF(INT(IF($D1211=F$3,装备表!$E1356,"xxx")/10000)=1,IF($D1211=F$3,装备表!$E1356,"xxx")&amp;":2,1,1,"&amp;装备表!$O1356&amp;";","xxx"),"xxx"))</f>
        <v>xxx</v>
      </c>
      <c r="G1211" s="18" t="str">
        <f>IF(装备表!$O1356=0,"xxx",IFERROR(IF(INT(IF($D1211=G$3,装备表!$E1356,"xxx")/10000)=1,IF($D1211=G$3,装备表!$E1356,"xxx")&amp;":2,1,1,"&amp;装备表!$O1356&amp;";","xxx"),"xxx"))</f>
        <v>xxx</v>
      </c>
      <c r="H1211" s="18" t="str">
        <f>IF(装备表!$O1356=0,"xxx",IFERROR(IF(INT(IF($D1211=H$3,装备表!$E1356,"xxx")/10000)=1,IF($D1211=H$3,装备表!$E1356,"xxx")&amp;":2,1,1,"&amp;装备表!$O1356&amp;";","xxx"),"xxx"))</f>
        <v>xxx</v>
      </c>
      <c r="I1211" s="18" t="str">
        <f>IF(装备表!$O1356=0,"xxx",IFERROR(IF(INT(IF($D1211=I$3,装备表!$E1356,"xxx")/10000)=1,IF($D1211=I$3,装备表!$E1356,"xxx")&amp;":2,1,1,"&amp;装备表!$O1356&amp;";","xxx"),"xxx"))</f>
        <v>xxx</v>
      </c>
      <c r="J1211" s="18" t="str">
        <f>IF(装备表!$O1356=0,"xxx",IFERROR(IF(INT(IF($D1211=J$3,装备表!$E1356,"xxx")/10000)=1,IF($D1211=J$3,装备表!$E1356,"xxx")&amp;":2,1,1,"&amp;装备表!$O1356&amp;";","xxx"),"xxx"))</f>
        <v>xxx</v>
      </c>
    </row>
    <row r="1212" spans="4:10" x14ac:dyDescent="0.2">
      <c r="D1212" s="18">
        <f>装备表!L1357</f>
        <v>0</v>
      </c>
      <c r="E1212" s="18" t="str">
        <f>IF(装备表!$O1357=0,"xxx",IFERROR(IF(INT(IF($D1212=E$3,装备表!$E1357,"xxx")/10000)=1,IF($D1212=E$3,装备表!$E1357,"xxx")&amp;":2,1,1,"&amp;装备表!$O1357&amp;";","xxx"),"xxx"))</f>
        <v>xxx</v>
      </c>
      <c r="F1212" s="18" t="str">
        <f>IF(装备表!$O1357=0,"xxx",IFERROR(IF(INT(IF($D1212=F$3,装备表!$E1357,"xxx")/10000)=1,IF($D1212=F$3,装备表!$E1357,"xxx")&amp;":2,1,1,"&amp;装备表!$O1357&amp;";","xxx"),"xxx"))</f>
        <v>xxx</v>
      </c>
      <c r="G1212" s="18" t="str">
        <f>IF(装备表!$O1357=0,"xxx",IFERROR(IF(INT(IF($D1212=G$3,装备表!$E1357,"xxx")/10000)=1,IF($D1212=G$3,装备表!$E1357,"xxx")&amp;":2,1,1,"&amp;装备表!$O1357&amp;";","xxx"),"xxx"))</f>
        <v>xxx</v>
      </c>
      <c r="H1212" s="18" t="str">
        <f>IF(装备表!$O1357=0,"xxx",IFERROR(IF(INT(IF($D1212=H$3,装备表!$E1357,"xxx")/10000)=1,IF($D1212=H$3,装备表!$E1357,"xxx")&amp;":2,1,1,"&amp;装备表!$O1357&amp;";","xxx"),"xxx"))</f>
        <v>xxx</v>
      </c>
      <c r="I1212" s="18" t="str">
        <f>IF(装备表!$O1357=0,"xxx",IFERROR(IF(INT(IF($D1212=I$3,装备表!$E1357,"xxx")/10000)=1,IF($D1212=I$3,装备表!$E1357,"xxx")&amp;":2,1,1,"&amp;装备表!$O1357&amp;";","xxx"),"xxx"))</f>
        <v>xxx</v>
      </c>
      <c r="J1212" s="18" t="str">
        <f>IF(装备表!$O1357=0,"xxx",IFERROR(IF(INT(IF($D1212=J$3,装备表!$E1357,"xxx")/10000)=1,IF($D1212=J$3,装备表!$E1357,"xxx")&amp;":2,1,1,"&amp;装备表!$O1357&amp;";","xxx"),"xxx"))</f>
        <v>xxx</v>
      </c>
    </row>
    <row r="1213" spans="4:10" x14ac:dyDescent="0.2">
      <c r="D1213" s="18">
        <f>装备表!L1358</f>
        <v>0</v>
      </c>
      <c r="E1213" s="18" t="str">
        <f>IF(装备表!$O1358=0,"xxx",IFERROR(IF(INT(IF($D1213=E$3,装备表!$E1358,"xxx")/10000)=1,IF($D1213=E$3,装备表!$E1358,"xxx")&amp;":2,1,1,"&amp;装备表!$O1358&amp;";","xxx"),"xxx"))</f>
        <v>xxx</v>
      </c>
      <c r="F1213" s="18" t="str">
        <f>IF(装备表!$O1358=0,"xxx",IFERROR(IF(INT(IF($D1213=F$3,装备表!$E1358,"xxx")/10000)=1,IF($D1213=F$3,装备表!$E1358,"xxx")&amp;":2,1,1,"&amp;装备表!$O1358&amp;";","xxx"),"xxx"))</f>
        <v>xxx</v>
      </c>
      <c r="G1213" s="18" t="str">
        <f>IF(装备表!$O1358=0,"xxx",IFERROR(IF(INT(IF($D1213=G$3,装备表!$E1358,"xxx")/10000)=1,IF($D1213=G$3,装备表!$E1358,"xxx")&amp;":2,1,1,"&amp;装备表!$O1358&amp;";","xxx"),"xxx"))</f>
        <v>xxx</v>
      </c>
      <c r="H1213" s="18" t="str">
        <f>IF(装备表!$O1358=0,"xxx",IFERROR(IF(INT(IF($D1213=H$3,装备表!$E1358,"xxx")/10000)=1,IF($D1213=H$3,装备表!$E1358,"xxx")&amp;":2,1,1,"&amp;装备表!$O1358&amp;";","xxx"),"xxx"))</f>
        <v>xxx</v>
      </c>
      <c r="I1213" s="18" t="str">
        <f>IF(装备表!$O1358=0,"xxx",IFERROR(IF(INT(IF($D1213=I$3,装备表!$E1358,"xxx")/10000)=1,IF($D1213=I$3,装备表!$E1358,"xxx")&amp;":2,1,1,"&amp;装备表!$O1358&amp;";","xxx"),"xxx"))</f>
        <v>xxx</v>
      </c>
      <c r="J1213" s="18" t="str">
        <f>IF(装备表!$O1358=0,"xxx",IFERROR(IF(INT(IF($D1213=J$3,装备表!$E1358,"xxx")/10000)=1,IF($D1213=J$3,装备表!$E1358,"xxx")&amp;":2,1,1,"&amp;装备表!$O1358&amp;";","xxx"),"xxx"))</f>
        <v>xxx</v>
      </c>
    </row>
    <row r="1214" spans="4:10" x14ac:dyDescent="0.2">
      <c r="D1214" s="18">
        <f>装备表!L1359</f>
        <v>0</v>
      </c>
      <c r="E1214" s="18" t="str">
        <f>IF(装备表!$O1359=0,"xxx",IFERROR(IF(INT(IF($D1214=E$3,装备表!$E1359,"xxx")/10000)=1,IF($D1214=E$3,装备表!$E1359,"xxx")&amp;":2,1,1,"&amp;装备表!$O1359&amp;";","xxx"),"xxx"))</f>
        <v>xxx</v>
      </c>
      <c r="F1214" s="18" t="str">
        <f>IF(装备表!$O1359=0,"xxx",IFERROR(IF(INT(IF($D1214=F$3,装备表!$E1359,"xxx")/10000)=1,IF($D1214=F$3,装备表!$E1359,"xxx")&amp;":2,1,1,"&amp;装备表!$O1359&amp;";","xxx"),"xxx"))</f>
        <v>xxx</v>
      </c>
      <c r="G1214" s="18" t="str">
        <f>IF(装备表!$O1359=0,"xxx",IFERROR(IF(INT(IF($D1214=G$3,装备表!$E1359,"xxx")/10000)=1,IF($D1214=G$3,装备表!$E1359,"xxx")&amp;":2,1,1,"&amp;装备表!$O1359&amp;";","xxx"),"xxx"))</f>
        <v>xxx</v>
      </c>
      <c r="H1214" s="18" t="str">
        <f>IF(装备表!$O1359=0,"xxx",IFERROR(IF(INT(IF($D1214=H$3,装备表!$E1359,"xxx")/10000)=1,IF($D1214=H$3,装备表!$E1359,"xxx")&amp;":2,1,1,"&amp;装备表!$O1359&amp;";","xxx"),"xxx"))</f>
        <v>xxx</v>
      </c>
      <c r="I1214" s="18" t="str">
        <f>IF(装备表!$O1359=0,"xxx",IFERROR(IF(INT(IF($D1214=I$3,装备表!$E1359,"xxx")/10000)=1,IF($D1214=I$3,装备表!$E1359,"xxx")&amp;":2,1,1,"&amp;装备表!$O1359&amp;";","xxx"),"xxx"))</f>
        <v>xxx</v>
      </c>
      <c r="J1214" s="18" t="str">
        <f>IF(装备表!$O1359=0,"xxx",IFERROR(IF(INT(IF($D1214=J$3,装备表!$E1359,"xxx")/10000)=1,IF($D1214=J$3,装备表!$E1359,"xxx")&amp;":2,1,1,"&amp;装备表!$O1359&amp;";","xxx"),"xxx"))</f>
        <v>xxx</v>
      </c>
    </row>
    <row r="1215" spans="4:10" x14ac:dyDescent="0.2">
      <c r="D1215" s="18">
        <f>装备表!L1360</f>
        <v>0</v>
      </c>
      <c r="E1215" s="18" t="str">
        <f>IF(装备表!$O1360=0,"xxx",IFERROR(IF(INT(IF($D1215=E$3,装备表!$E1360,"xxx")/10000)=1,IF($D1215=E$3,装备表!$E1360,"xxx")&amp;":2,1,1,"&amp;装备表!$O1360&amp;";","xxx"),"xxx"))</f>
        <v>xxx</v>
      </c>
      <c r="F1215" s="18" t="str">
        <f>IF(装备表!$O1360=0,"xxx",IFERROR(IF(INT(IF($D1215=F$3,装备表!$E1360,"xxx")/10000)=1,IF($D1215=F$3,装备表!$E1360,"xxx")&amp;":2,1,1,"&amp;装备表!$O1360&amp;";","xxx"),"xxx"))</f>
        <v>xxx</v>
      </c>
      <c r="G1215" s="18" t="str">
        <f>IF(装备表!$O1360=0,"xxx",IFERROR(IF(INT(IF($D1215=G$3,装备表!$E1360,"xxx")/10000)=1,IF($D1215=G$3,装备表!$E1360,"xxx")&amp;":2,1,1,"&amp;装备表!$O1360&amp;";","xxx"),"xxx"))</f>
        <v>xxx</v>
      </c>
      <c r="H1215" s="18" t="str">
        <f>IF(装备表!$O1360=0,"xxx",IFERROR(IF(INT(IF($D1215=H$3,装备表!$E1360,"xxx")/10000)=1,IF($D1215=H$3,装备表!$E1360,"xxx")&amp;":2,1,1,"&amp;装备表!$O1360&amp;";","xxx"),"xxx"))</f>
        <v>xxx</v>
      </c>
      <c r="I1215" s="18" t="str">
        <f>IF(装备表!$O1360=0,"xxx",IFERROR(IF(INT(IF($D1215=I$3,装备表!$E1360,"xxx")/10000)=1,IF($D1215=I$3,装备表!$E1360,"xxx")&amp;":2,1,1,"&amp;装备表!$O1360&amp;";","xxx"),"xxx"))</f>
        <v>xxx</v>
      </c>
      <c r="J1215" s="18" t="str">
        <f>IF(装备表!$O1360=0,"xxx",IFERROR(IF(INT(IF($D1215=J$3,装备表!$E1360,"xxx")/10000)=1,IF($D1215=J$3,装备表!$E1360,"xxx")&amp;":2,1,1,"&amp;装备表!$O1360&amp;";","xxx"),"xxx"))</f>
        <v>xxx</v>
      </c>
    </row>
    <row r="1216" spans="4:10" x14ac:dyDescent="0.2">
      <c r="D1216" s="18">
        <f>装备表!L1361</f>
        <v>0</v>
      </c>
      <c r="E1216" s="18" t="str">
        <f>IF(装备表!$O1361=0,"xxx",IFERROR(IF(INT(IF($D1216=E$3,装备表!$E1361,"xxx")/10000)=1,IF($D1216=E$3,装备表!$E1361,"xxx")&amp;":2,1,1,"&amp;装备表!$O1361&amp;";","xxx"),"xxx"))</f>
        <v>xxx</v>
      </c>
      <c r="F1216" s="18" t="str">
        <f>IF(装备表!$O1361=0,"xxx",IFERROR(IF(INT(IF($D1216=F$3,装备表!$E1361,"xxx")/10000)=1,IF($D1216=F$3,装备表!$E1361,"xxx")&amp;":2,1,1,"&amp;装备表!$O1361&amp;";","xxx"),"xxx"))</f>
        <v>xxx</v>
      </c>
      <c r="G1216" s="18" t="str">
        <f>IF(装备表!$O1361=0,"xxx",IFERROR(IF(INT(IF($D1216=G$3,装备表!$E1361,"xxx")/10000)=1,IF($D1216=G$3,装备表!$E1361,"xxx")&amp;":2,1,1,"&amp;装备表!$O1361&amp;";","xxx"),"xxx"))</f>
        <v>xxx</v>
      </c>
      <c r="H1216" s="18" t="str">
        <f>IF(装备表!$O1361=0,"xxx",IFERROR(IF(INT(IF($D1216=H$3,装备表!$E1361,"xxx")/10000)=1,IF($D1216=H$3,装备表!$E1361,"xxx")&amp;":2,1,1,"&amp;装备表!$O1361&amp;";","xxx"),"xxx"))</f>
        <v>xxx</v>
      </c>
      <c r="I1216" s="18" t="str">
        <f>IF(装备表!$O1361=0,"xxx",IFERROR(IF(INT(IF($D1216=I$3,装备表!$E1361,"xxx")/10000)=1,IF($D1216=I$3,装备表!$E1361,"xxx")&amp;":2,1,1,"&amp;装备表!$O1361&amp;";","xxx"),"xxx"))</f>
        <v>xxx</v>
      </c>
      <c r="J1216" s="18" t="str">
        <f>IF(装备表!$O1361=0,"xxx",IFERROR(IF(INT(IF($D1216=J$3,装备表!$E1361,"xxx")/10000)=1,IF($D1216=J$3,装备表!$E1361,"xxx")&amp;":2,1,1,"&amp;装备表!$O1361&amp;";","xxx"),"xxx"))</f>
        <v>xxx</v>
      </c>
    </row>
    <row r="1217" spans="4:10" x14ac:dyDescent="0.2">
      <c r="D1217" s="18">
        <f>装备表!L1362</f>
        <v>0</v>
      </c>
      <c r="E1217" s="18" t="str">
        <f>IF(装备表!$O1362=0,"xxx",IFERROR(IF(INT(IF($D1217=E$3,装备表!$E1362,"xxx")/10000)=1,IF($D1217=E$3,装备表!$E1362,"xxx")&amp;":2,1,1,"&amp;装备表!$O1362&amp;";","xxx"),"xxx"))</f>
        <v>xxx</v>
      </c>
      <c r="F1217" s="18" t="str">
        <f>IF(装备表!$O1362=0,"xxx",IFERROR(IF(INT(IF($D1217=F$3,装备表!$E1362,"xxx")/10000)=1,IF($D1217=F$3,装备表!$E1362,"xxx")&amp;":2,1,1,"&amp;装备表!$O1362&amp;";","xxx"),"xxx"))</f>
        <v>xxx</v>
      </c>
      <c r="G1217" s="18" t="str">
        <f>IF(装备表!$O1362=0,"xxx",IFERROR(IF(INT(IF($D1217=G$3,装备表!$E1362,"xxx")/10000)=1,IF($D1217=G$3,装备表!$E1362,"xxx")&amp;":2,1,1,"&amp;装备表!$O1362&amp;";","xxx"),"xxx"))</f>
        <v>xxx</v>
      </c>
      <c r="H1217" s="18" t="str">
        <f>IF(装备表!$O1362=0,"xxx",IFERROR(IF(INT(IF($D1217=H$3,装备表!$E1362,"xxx")/10000)=1,IF($D1217=H$3,装备表!$E1362,"xxx")&amp;":2,1,1,"&amp;装备表!$O1362&amp;";","xxx"),"xxx"))</f>
        <v>xxx</v>
      </c>
      <c r="I1217" s="18" t="str">
        <f>IF(装备表!$O1362=0,"xxx",IFERROR(IF(INT(IF($D1217=I$3,装备表!$E1362,"xxx")/10000)=1,IF($D1217=I$3,装备表!$E1362,"xxx")&amp;":2,1,1,"&amp;装备表!$O1362&amp;";","xxx"),"xxx"))</f>
        <v>xxx</v>
      </c>
      <c r="J1217" s="18" t="str">
        <f>IF(装备表!$O1362=0,"xxx",IFERROR(IF(INT(IF($D1217=J$3,装备表!$E1362,"xxx")/10000)=1,IF($D1217=J$3,装备表!$E1362,"xxx")&amp;":2,1,1,"&amp;装备表!$O1362&amp;";","xxx"),"xxx"))</f>
        <v>xxx</v>
      </c>
    </row>
    <row r="1218" spans="4:10" x14ac:dyDescent="0.2">
      <c r="D1218" s="18">
        <f>装备表!L1363</f>
        <v>0</v>
      </c>
      <c r="E1218" s="18" t="str">
        <f>IF(装备表!$O1363=0,"xxx",IFERROR(IF(INT(IF($D1218=E$3,装备表!$E1363,"xxx")/10000)=1,IF($D1218=E$3,装备表!$E1363,"xxx")&amp;":2,1,1,"&amp;装备表!$O1363&amp;";","xxx"),"xxx"))</f>
        <v>xxx</v>
      </c>
      <c r="F1218" s="18" t="str">
        <f>IF(装备表!$O1363=0,"xxx",IFERROR(IF(INT(IF($D1218=F$3,装备表!$E1363,"xxx")/10000)=1,IF($D1218=F$3,装备表!$E1363,"xxx")&amp;":2,1,1,"&amp;装备表!$O1363&amp;";","xxx"),"xxx"))</f>
        <v>xxx</v>
      </c>
      <c r="G1218" s="18" t="str">
        <f>IF(装备表!$O1363=0,"xxx",IFERROR(IF(INT(IF($D1218=G$3,装备表!$E1363,"xxx")/10000)=1,IF($D1218=G$3,装备表!$E1363,"xxx")&amp;":2,1,1,"&amp;装备表!$O1363&amp;";","xxx"),"xxx"))</f>
        <v>xxx</v>
      </c>
      <c r="H1218" s="18" t="str">
        <f>IF(装备表!$O1363=0,"xxx",IFERROR(IF(INT(IF($D1218=H$3,装备表!$E1363,"xxx")/10000)=1,IF($D1218=H$3,装备表!$E1363,"xxx")&amp;":2,1,1,"&amp;装备表!$O1363&amp;";","xxx"),"xxx"))</f>
        <v>xxx</v>
      </c>
      <c r="I1218" s="18" t="str">
        <f>IF(装备表!$O1363=0,"xxx",IFERROR(IF(INT(IF($D1218=I$3,装备表!$E1363,"xxx")/10000)=1,IF($D1218=I$3,装备表!$E1363,"xxx")&amp;":2,1,1,"&amp;装备表!$O1363&amp;";","xxx"),"xxx"))</f>
        <v>xxx</v>
      </c>
      <c r="J1218" s="18" t="str">
        <f>IF(装备表!$O1363=0,"xxx",IFERROR(IF(INT(IF($D1218=J$3,装备表!$E1363,"xxx")/10000)=1,IF($D1218=J$3,装备表!$E1363,"xxx")&amp;":2,1,1,"&amp;装备表!$O1363&amp;";","xxx"),"xxx"))</f>
        <v>xxx</v>
      </c>
    </row>
    <row r="1219" spans="4:10" x14ac:dyDescent="0.2">
      <c r="D1219" s="18">
        <f>装备表!L1364</f>
        <v>0</v>
      </c>
      <c r="E1219" s="18" t="str">
        <f>IF(装备表!$O1364=0,"xxx",IFERROR(IF(INT(IF($D1219=E$3,装备表!$E1364,"xxx")/10000)=1,IF($D1219=E$3,装备表!$E1364,"xxx")&amp;":2,1,1,"&amp;装备表!$O1364&amp;";","xxx"),"xxx"))</f>
        <v>xxx</v>
      </c>
      <c r="F1219" s="18" t="str">
        <f>IF(装备表!$O1364=0,"xxx",IFERROR(IF(INT(IF($D1219=F$3,装备表!$E1364,"xxx")/10000)=1,IF($D1219=F$3,装备表!$E1364,"xxx")&amp;":2,1,1,"&amp;装备表!$O1364&amp;";","xxx"),"xxx"))</f>
        <v>xxx</v>
      </c>
      <c r="G1219" s="18" t="str">
        <f>IF(装备表!$O1364=0,"xxx",IFERROR(IF(INT(IF($D1219=G$3,装备表!$E1364,"xxx")/10000)=1,IF($D1219=G$3,装备表!$E1364,"xxx")&amp;":2,1,1,"&amp;装备表!$O1364&amp;";","xxx"),"xxx"))</f>
        <v>xxx</v>
      </c>
      <c r="H1219" s="18" t="str">
        <f>IF(装备表!$O1364=0,"xxx",IFERROR(IF(INT(IF($D1219=H$3,装备表!$E1364,"xxx")/10000)=1,IF($D1219=H$3,装备表!$E1364,"xxx")&amp;":2,1,1,"&amp;装备表!$O1364&amp;";","xxx"),"xxx"))</f>
        <v>xxx</v>
      </c>
      <c r="I1219" s="18" t="str">
        <f>IF(装备表!$O1364=0,"xxx",IFERROR(IF(INT(IF($D1219=I$3,装备表!$E1364,"xxx")/10000)=1,IF($D1219=I$3,装备表!$E1364,"xxx")&amp;":2,1,1,"&amp;装备表!$O1364&amp;";","xxx"),"xxx"))</f>
        <v>xxx</v>
      </c>
      <c r="J1219" s="18" t="str">
        <f>IF(装备表!$O1364=0,"xxx",IFERROR(IF(INT(IF($D1219=J$3,装备表!$E1364,"xxx")/10000)=1,IF($D1219=J$3,装备表!$E1364,"xxx")&amp;":2,1,1,"&amp;装备表!$O1364&amp;";","xxx"),"xxx"))</f>
        <v>xxx</v>
      </c>
    </row>
    <row r="1220" spans="4:10" x14ac:dyDescent="0.2">
      <c r="D1220" s="18">
        <f>装备表!L1365</f>
        <v>0</v>
      </c>
      <c r="E1220" s="18" t="str">
        <f>IF(装备表!$O1365=0,"xxx",IFERROR(IF(INT(IF($D1220=E$3,装备表!$E1365,"xxx")/10000)=1,IF($D1220=E$3,装备表!$E1365,"xxx")&amp;":2,1,1,"&amp;装备表!$O1365&amp;";","xxx"),"xxx"))</f>
        <v>xxx</v>
      </c>
      <c r="F1220" s="18" t="str">
        <f>IF(装备表!$O1365=0,"xxx",IFERROR(IF(INT(IF($D1220=F$3,装备表!$E1365,"xxx")/10000)=1,IF($D1220=F$3,装备表!$E1365,"xxx")&amp;":2,1,1,"&amp;装备表!$O1365&amp;";","xxx"),"xxx"))</f>
        <v>xxx</v>
      </c>
      <c r="G1220" s="18" t="str">
        <f>IF(装备表!$O1365=0,"xxx",IFERROR(IF(INT(IF($D1220=G$3,装备表!$E1365,"xxx")/10000)=1,IF($D1220=G$3,装备表!$E1365,"xxx")&amp;":2,1,1,"&amp;装备表!$O1365&amp;";","xxx"),"xxx"))</f>
        <v>xxx</v>
      </c>
      <c r="H1220" s="18" t="str">
        <f>IF(装备表!$O1365=0,"xxx",IFERROR(IF(INT(IF($D1220=H$3,装备表!$E1365,"xxx")/10000)=1,IF($D1220=H$3,装备表!$E1365,"xxx")&amp;":2,1,1,"&amp;装备表!$O1365&amp;";","xxx"),"xxx"))</f>
        <v>xxx</v>
      </c>
      <c r="I1220" s="18" t="str">
        <f>IF(装备表!$O1365=0,"xxx",IFERROR(IF(INT(IF($D1220=I$3,装备表!$E1365,"xxx")/10000)=1,IF($D1220=I$3,装备表!$E1365,"xxx")&amp;":2,1,1,"&amp;装备表!$O1365&amp;";","xxx"),"xxx"))</f>
        <v>xxx</v>
      </c>
      <c r="J1220" s="18" t="str">
        <f>IF(装备表!$O1365=0,"xxx",IFERROR(IF(INT(IF($D1220=J$3,装备表!$E1365,"xxx")/10000)=1,IF($D1220=J$3,装备表!$E1365,"xxx")&amp;":2,1,1,"&amp;装备表!$O1365&amp;";","xxx"),"xxx"))</f>
        <v>xxx</v>
      </c>
    </row>
    <row r="1221" spans="4:10" x14ac:dyDescent="0.2">
      <c r="D1221" s="18">
        <f>装备表!L1366</f>
        <v>0</v>
      </c>
      <c r="E1221" s="18" t="str">
        <f>IF(装备表!$O1366=0,"xxx",IFERROR(IF(INT(IF($D1221=E$3,装备表!$E1366,"xxx")/10000)=1,IF($D1221=E$3,装备表!$E1366,"xxx")&amp;":2,1,1,"&amp;装备表!$O1366&amp;";","xxx"),"xxx"))</f>
        <v>xxx</v>
      </c>
      <c r="F1221" s="18" t="str">
        <f>IF(装备表!$O1366=0,"xxx",IFERROR(IF(INT(IF($D1221=F$3,装备表!$E1366,"xxx")/10000)=1,IF($D1221=F$3,装备表!$E1366,"xxx")&amp;":2,1,1,"&amp;装备表!$O1366&amp;";","xxx"),"xxx"))</f>
        <v>xxx</v>
      </c>
      <c r="G1221" s="18" t="str">
        <f>IF(装备表!$O1366=0,"xxx",IFERROR(IF(INT(IF($D1221=G$3,装备表!$E1366,"xxx")/10000)=1,IF($D1221=G$3,装备表!$E1366,"xxx")&amp;":2,1,1,"&amp;装备表!$O1366&amp;";","xxx"),"xxx"))</f>
        <v>xxx</v>
      </c>
      <c r="H1221" s="18" t="str">
        <f>IF(装备表!$O1366=0,"xxx",IFERROR(IF(INT(IF($D1221=H$3,装备表!$E1366,"xxx")/10000)=1,IF($D1221=H$3,装备表!$E1366,"xxx")&amp;":2,1,1,"&amp;装备表!$O1366&amp;";","xxx"),"xxx"))</f>
        <v>xxx</v>
      </c>
      <c r="I1221" s="18" t="str">
        <f>IF(装备表!$O1366=0,"xxx",IFERROR(IF(INT(IF($D1221=I$3,装备表!$E1366,"xxx")/10000)=1,IF($D1221=I$3,装备表!$E1366,"xxx")&amp;":2,1,1,"&amp;装备表!$O1366&amp;";","xxx"),"xxx"))</f>
        <v>xxx</v>
      </c>
      <c r="J1221" s="18" t="str">
        <f>IF(装备表!$O1366=0,"xxx",IFERROR(IF(INT(IF($D1221=J$3,装备表!$E1366,"xxx")/10000)=1,IF($D1221=J$3,装备表!$E1366,"xxx")&amp;":2,1,1,"&amp;装备表!$O1366&amp;";","xxx"),"xxx"))</f>
        <v>xxx</v>
      </c>
    </row>
    <row r="1222" spans="4:10" x14ac:dyDescent="0.2">
      <c r="D1222" s="18">
        <f>装备表!L1367</f>
        <v>0</v>
      </c>
      <c r="E1222" s="18" t="str">
        <f>IF(装备表!$O1367=0,"xxx",IFERROR(IF(INT(IF($D1222=E$3,装备表!$E1367,"xxx")/10000)=1,IF($D1222=E$3,装备表!$E1367,"xxx")&amp;":2,1,1,"&amp;装备表!$O1367&amp;";","xxx"),"xxx"))</f>
        <v>xxx</v>
      </c>
      <c r="F1222" s="18" t="str">
        <f>IF(装备表!$O1367=0,"xxx",IFERROR(IF(INT(IF($D1222=F$3,装备表!$E1367,"xxx")/10000)=1,IF($D1222=F$3,装备表!$E1367,"xxx")&amp;":2,1,1,"&amp;装备表!$O1367&amp;";","xxx"),"xxx"))</f>
        <v>xxx</v>
      </c>
      <c r="G1222" s="18" t="str">
        <f>IF(装备表!$O1367=0,"xxx",IFERROR(IF(INT(IF($D1222=G$3,装备表!$E1367,"xxx")/10000)=1,IF($D1222=G$3,装备表!$E1367,"xxx")&amp;":2,1,1,"&amp;装备表!$O1367&amp;";","xxx"),"xxx"))</f>
        <v>xxx</v>
      </c>
      <c r="H1222" s="18" t="str">
        <f>IF(装备表!$O1367=0,"xxx",IFERROR(IF(INT(IF($D1222=H$3,装备表!$E1367,"xxx")/10000)=1,IF($D1222=H$3,装备表!$E1367,"xxx")&amp;":2,1,1,"&amp;装备表!$O1367&amp;";","xxx"),"xxx"))</f>
        <v>xxx</v>
      </c>
      <c r="I1222" s="18" t="str">
        <f>IF(装备表!$O1367=0,"xxx",IFERROR(IF(INT(IF($D1222=I$3,装备表!$E1367,"xxx")/10000)=1,IF($D1222=I$3,装备表!$E1367,"xxx")&amp;":2,1,1,"&amp;装备表!$O1367&amp;";","xxx"),"xxx"))</f>
        <v>xxx</v>
      </c>
      <c r="J1222" s="18" t="str">
        <f>IF(装备表!$O1367=0,"xxx",IFERROR(IF(INT(IF($D1222=J$3,装备表!$E1367,"xxx")/10000)=1,IF($D1222=J$3,装备表!$E1367,"xxx")&amp;":2,1,1,"&amp;装备表!$O1367&amp;";","xxx"),"xxx"))</f>
        <v>xxx</v>
      </c>
    </row>
    <row r="1223" spans="4:10" x14ac:dyDescent="0.2">
      <c r="D1223" s="18">
        <f>装备表!L1368</f>
        <v>0</v>
      </c>
      <c r="E1223" s="18" t="str">
        <f>IF(装备表!$O1368=0,"xxx",IFERROR(IF(INT(IF($D1223=E$3,装备表!$E1368,"xxx")/10000)=1,IF($D1223=E$3,装备表!$E1368,"xxx")&amp;":2,1,1,"&amp;装备表!$O1368&amp;";","xxx"),"xxx"))</f>
        <v>xxx</v>
      </c>
      <c r="F1223" s="18" t="str">
        <f>IF(装备表!$O1368=0,"xxx",IFERROR(IF(INT(IF($D1223=F$3,装备表!$E1368,"xxx")/10000)=1,IF($D1223=F$3,装备表!$E1368,"xxx")&amp;":2,1,1,"&amp;装备表!$O1368&amp;";","xxx"),"xxx"))</f>
        <v>xxx</v>
      </c>
      <c r="G1223" s="18" t="str">
        <f>IF(装备表!$O1368=0,"xxx",IFERROR(IF(INT(IF($D1223=G$3,装备表!$E1368,"xxx")/10000)=1,IF($D1223=G$3,装备表!$E1368,"xxx")&amp;":2,1,1,"&amp;装备表!$O1368&amp;";","xxx"),"xxx"))</f>
        <v>xxx</v>
      </c>
      <c r="H1223" s="18" t="str">
        <f>IF(装备表!$O1368=0,"xxx",IFERROR(IF(INT(IF($D1223=H$3,装备表!$E1368,"xxx")/10000)=1,IF($D1223=H$3,装备表!$E1368,"xxx")&amp;":2,1,1,"&amp;装备表!$O1368&amp;";","xxx"),"xxx"))</f>
        <v>xxx</v>
      </c>
      <c r="I1223" s="18" t="str">
        <f>IF(装备表!$O1368=0,"xxx",IFERROR(IF(INT(IF($D1223=I$3,装备表!$E1368,"xxx")/10000)=1,IF($D1223=I$3,装备表!$E1368,"xxx")&amp;":2,1,1,"&amp;装备表!$O1368&amp;";","xxx"),"xxx"))</f>
        <v>xxx</v>
      </c>
      <c r="J1223" s="18" t="str">
        <f>IF(装备表!$O1368=0,"xxx",IFERROR(IF(INT(IF($D1223=J$3,装备表!$E1368,"xxx")/10000)=1,IF($D1223=J$3,装备表!$E1368,"xxx")&amp;":2,1,1,"&amp;装备表!$O1368&amp;";","xxx"),"xxx"))</f>
        <v>xxx</v>
      </c>
    </row>
    <row r="1224" spans="4:10" x14ac:dyDescent="0.2">
      <c r="D1224" s="18">
        <f>装备表!L1369</f>
        <v>0</v>
      </c>
      <c r="E1224" s="18" t="str">
        <f>IF(装备表!$O1369=0,"xxx",IFERROR(IF(INT(IF($D1224=E$3,装备表!$E1369,"xxx")/10000)=1,IF($D1224=E$3,装备表!$E1369,"xxx")&amp;":2,1,1,"&amp;装备表!$O1369&amp;";","xxx"),"xxx"))</f>
        <v>xxx</v>
      </c>
      <c r="F1224" s="18" t="str">
        <f>IF(装备表!$O1369=0,"xxx",IFERROR(IF(INT(IF($D1224=F$3,装备表!$E1369,"xxx")/10000)=1,IF($D1224=F$3,装备表!$E1369,"xxx")&amp;":2,1,1,"&amp;装备表!$O1369&amp;";","xxx"),"xxx"))</f>
        <v>xxx</v>
      </c>
      <c r="G1224" s="18" t="str">
        <f>IF(装备表!$O1369=0,"xxx",IFERROR(IF(INT(IF($D1224=G$3,装备表!$E1369,"xxx")/10000)=1,IF($D1224=G$3,装备表!$E1369,"xxx")&amp;":2,1,1,"&amp;装备表!$O1369&amp;";","xxx"),"xxx"))</f>
        <v>xxx</v>
      </c>
      <c r="H1224" s="18" t="str">
        <f>IF(装备表!$O1369=0,"xxx",IFERROR(IF(INT(IF($D1224=H$3,装备表!$E1369,"xxx")/10000)=1,IF($D1224=H$3,装备表!$E1369,"xxx")&amp;":2,1,1,"&amp;装备表!$O1369&amp;";","xxx"),"xxx"))</f>
        <v>xxx</v>
      </c>
      <c r="I1224" s="18" t="str">
        <f>IF(装备表!$O1369=0,"xxx",IFERROR(IF(INT(IF($D1224=I$3,装备表!$E1369,"xxx")/10000)=1,IF($D1224=I$3,装备表!$E1369,"xxx")&amp;":2,1,1,"&amp;装备表!$O1369&amp;";","xxx"),"xxx"))</f>
        <v>xxx</v>
      </c>
      <c r="J1224" s="18" t="str">
        <f>IF(装备表!$O1369=0,"xxx",IFERROR(IF(INT(IF($D1224=J$3,装备表!$E1369,"xxx")/10000)=1,IF($D1224=J$3,装备表!$E1369,"xxx")&amp;":2,1,1,"&amp;装备表!$O1369&amp;";","xxx"),"xxx"))</f>
        <v>xxx</v>
      </c>
    </row>
    <row r="1225" spans="4:10" x14ac:dyDescent="0.2">
      <c r="D1225" s="18">
        <f>装备表!L1370</f>
        <v>0</v>
      </c>
      <c r="E1225" s="18" t="str">
        <f>IF(装备表!$O1370=0,"xxx",IFERROR(IF(INT(IF($D1225=E$3,装备表!$E1370,"xxx")/10000)=1,IF($D1225=E$3,装备表!$E1370,"xxx")&amp;":2,1,1,"&amp;装备表!$O1370&amp;";","xxx"),"xxx"))</f>
        <v>xxx</v>
      </c>
      <c r="F1225" s="18" t="str">
        <f>IF(装备表!$O1370=0,"xxx",IFERROR(IF(INT(IF($D1225=F$3,装备表!$E1370,"xxx")/10000)=1,IF($D1225=F$3,装备表!$E1370,"xxx")&amp;":2,1,1,"&amp;装备表!$O1370&amp;";","xxx"),"xxx"))</f>
        <v>xxx</v>
      </c>
      <c r="G1225" s="18" t="str">
        <f>IF(装备表!$O1370=0,"xxx",IFERROR(IF(INT(IF($D1225=G$3,装备表!$E1370,"xxx")/10000)=1,IF($D1225=G$3,装备表!$E1370,"xxx")&amp;":2,1,1,"&amp;装备表!$O1370&amp;";","xxx"),"xxx"))</f>
        <v>xxx</v>
      </c>
      <c r="H1225" s="18" t="str">
        <f>IF(装备表!$O1370=0,"xxx",IFERROR(IF(INT(IF($D1225=H$3,装备表!$E1370,"xxx")/10000)=1,IF($D1225=H$3,装备表!$E1370,"xxx")&amp;":2,1,1,"&amp;装备表!$O1370&amp;";","xxx"),"xxx"))</f>
        <v>xxx</v>
      </c>
      <c r="I1225" s="18" t="str">
        <f>IF(装备表!$O1370=0,"xxx",IFERROR(IF(INT(IF($D1225=I$3,装备表!$E1370,"xxx")/10000)=1,IF($D1225=I$3,装备表!$E1370,"xxx")&amp;":2,1,1,"&amp;装备表!$O1370&amp;";","xxx"),"xxx"))</f>
        <v>xxx</v>
      </c>
      <c r="J1225" s="18" t="str">
        <f>IF(装备表!$O1370=0,"xxx",IFERROR(IF(INT(IF($D1225=J$3,装备表!$E1370,"xxx")/10000)=1,IF($D1225=J$3,装备表!$E1370,"xxx")&amp;":2,1,1,"&amp;装备表!$O1370&amp;";","xxx"),"xxx"))</f>
        <v>xxx</v>
      </c>
    </row>
    <row r="1226" spans="4:10" x14ac:dyDescent="0.2">
      <c r="D1226" s="18">
        <f>装备表!L1371</f>
        <v>0</v>
      </c>
      <c r="E1226" s="18" t="str">
        <f>IF(装备表!$O1371=0,"xxx",IFERROR(IF(INT(IF($D1226=E$3,装备表!$E1371,"xxx")/10000)=1,IF($D1226=E$3,装备表!$E1371,"xxx")&amp;":2,1,1,"&amp;装备表!$O1371&amp;";","xxx"),"xxx"))</f>
        <v>xxx</v>
      </c>
      <c r="F1226" s="18" t="str">
        <f>IF(装备表!$O1371=0,"xxx",IFERROR(IF(INT(IF($D1226=F$3,装备表!$E1371,"xxx")/10000)=1,IF($D1226=F$3,装备表!$E1371,"xxx")&amp;":2,1,1,"&amp;装备表!$O1371&amp;";","xxx"),"xxx"))</f>
        <v>xxx</v>
      </c>
      <c r="G1226" s="18" t="str">
        <f>IF(装备表!$O1371=0,"xxx",IFERROR(IF(INT(IF($D1226=G$3,装备表!$E1371,"xxx")/10000)=1,IF($D1226=G$3,装备表!$E1371,"xxx")&amp;":2,1,1,"&amp;装备表!$O1371&amp;";","xxx"),"xxx"))</f>
        <v>xxx</v>
      </c>
      <c r="H1226" s="18" t="str">
        <f>IF(装备表!$O1371=0,"xxx",IFERROR(IF(INT(IF($D1226=H$3,装备表!$E1371,"xxx")/10000)=1,IF($D1226=H$3,装备表!$E1371,"xxx")&amp;":2,1,1,"&amp;装备表!$O1371&amp;";","xxx"),"xxx"))</f>
        <v>xxx</v>
      </c>
      <c r="I1226" s="18" t="str">
        <f>IF(装备表!$O1371=0,"xxx",IFERROR(IF(INT(IF($D1226=I$3,装备表!$E1371,"xxx")/10000)=1,IF($D1226=I$3,装备表!$E1371,"xxx")&amp;":2,1,1,"&amp;装备表!$O1371&amp;";","xxx"),"xxx"))</f>
        <v>xxx</v>
      </c>
      <c r="J1226" s="18" t="str">
        <f>IF(装备表!$O1371=0,"xxx",IFERROR(IF(INT(IF($D1226=J$3,装备表!$E1371,"xxx")/10000)=1,IF($D1226=J$3,装备表!$E1371,"xxx")&amp;":2,1,1,"&amp;装备表!$O1371&amp;";","xxx"),"xxx"))</f>
        <v>xxx</v>
      </c>
    </row>
    <row r="1227" spans="4:10" x14ac:dyDescent="0.2">
      <c r="D1227" s="18">
        <f>装备表!L1372</f>
        <v>0</v>
      </c>
      <c r="E1227" s="18" t="str">
        <f>IF(装备表!$O1372=0,"xxx",IFERROR(IF(INT(IF($D1227=E$3,装备表!$E1372,"xxx")/10000)=1,IF($D1227=E$3,装备表!$E1372,"xxx")&amp;":2,1,1,"&amp;装备表!$O1372&amp;";","xxx"),"xxx"))</f>
        <v>xxx</v>
      </c>
      <c r="F1227" s="18" t="str">
        <f>IF(装备表!$O1372=0,"xxx",IFERROR(IF(INT(IF($D1227=F$3,装备表!$E1372,"xxx")/10000)=1,IF($D1227=F$3,装备表!$E1372,"xxx")&amp;":2,1,1,"&amp;装备表!$O1372&amp;";","xxx"),"xxx"))</f>
        <v>xxx</v>
      </c>
      <c r="G1227" s="18" t="str">
        <f>IF(装备表!$O1372=0,"xxx",IFERROR(IF(INT(IF($D1227=G$3,装备表!$E1372,"xxx")/10000)=1,IF($D1227=G$3,装备表!$E1372,"xxx")&amp;":2,1,1,"&amp;装备表!$O1372&amp;";","xxx"),"xxx"))</f>
        <v>xxx</v>
      </c>
      <c r="H1227" s="18" t="str">
        <f>IF(装备表!$O1372=0,"xxx",IFERROR(IF(INT(IF($D1227=H$3,装备表!$E1372,"xxx")/10000)=1,IF($D1227=H$3,装备表!$E1372,"xxx")&amp;":2,1,1,"&amp;装备表!$O1372&amp;";","xxx"),"xxx"))</f>
        <v>xxx</v>
      </c>
      <c r="I1227" s="18" t="str">
        <f>IF(装备表!$O1372=0,"xxx",IFERROR(IF(INT(IF($D1227=I$3,装备表!$E1372,"xxx")/10000)=1,IF($D1227=I$3,装备表!$E1372,"xxx")&amp;":2,1,1,"&amp;装备表!$O1372&amp;";","xxx"),"xxx"))</f>
        <v>xxx</v>
      </c>
      <c r="J1227" s="18" t="str">
        <f>IF(装备表!$O1372=0,"xxx",IFERROR(IF(INT(IF($D1227=J$3,装备表!$E1372,"xxx")/10000)=1,IF($D1227=J$3,装备表!$E1372,"xxx")&amp;":2,1,1,"&amp;装备表!$O1372&amp;";","xxx"),"xxx"))</f>
        <v>xxx</v>
      </c>
    </row>
    <row r="1228" spans="4:10" x14ac:dyDescent="0.2">
      <c r="D1228" s="18">
        <f>装备表!L1373</f>
        <v>0</v>
      </c>
      <c r="E1228" s="18" t="str">
        <f>IF(装备表!$O1373=0,"xxx",IFERROR(IF(INT(IF($D1228=E$3,装备表!$E1373,"xxx")/10000)=1,IF($D1228=E$3,装备表!$E1373,"xxx")&amp;":2,1,1,"&amp;装备表!$O1373&amp;";","xxx"),"xxx"))</f>
        <v>xxx</v>
      </c>
      <c r="F1228" s="18" t="str">
        <f>IF(装备表!$O1373=0,"xxx",IFERROR(IF(INT(IF($D1228=F$3,装备表!$E1373,"xxx")/10000)=1,IF($D1228=F$3,装备表!$E1373,"xxx")&amp;":2,1,1,"&amp;装备表!$O1373&amp;";","xxx"),"xxx"))</f>
        <v>xxx</v>
      </c>
      <c r="G1228" s="18" t="str">
        <f>IF(装备表!$O1373=0,"xxx",IFERROR(IF(INT(IF($D1228=G$3,装备表!$E1373,"xxx")/10000)=1,IF($D1228=G$3,装备表!$E1373,"xxx")&amp;":2,1,1,"&amp;装备表!$O1373&amp;";","xxx"),"xxx"))</f>
        <v>xxx</v>
      </c>
      <c r="H1228" s="18" t="str">
        <f>IF(装备表!$O1373=0,"xxx",IFERROR(IF(INT(IF($D1228=H$3,装备表!$E1373,"xxx")/10000)=1,IF($D1228=H$3,装备表!$E1373,"xxx")&amp;":2,1,1,"&amp;装备表!$O1373&amp;";","xxx"),"xxx"))</f>
        <v>xxx</v>
      </c>
      <c r="I1228" s="18" t="str">
        <f>IF(装备表!$O1373=0,"xxx",IFERROR(IF(INT(IF($D1228=I$3,装备表!$E1373,"xxx")/10000)=1,IF($D1228=I$3,装备表!$E1373,"xxx")&amp;":2,1,1,"&amp;装备表!$O1373&amp;";","xxx"),"xxx"))</f>
        <v>xxx</v>
      </c>
      <c r="J1228" s="18" t="str">
        <f>IF(装备表!$O1373=0,"xxx",IFERROR(IF(INT(IF($D1228=J$3,装备表!$E1373,"xxx")/10000)=1,IF($D1228=J$3,装备表!$E1373,"xxx")&amp;":2,1,1,"&amp;装备表!$O1373&amp;";","xxx"),"xxx"))</f>
        <v>xxx</v>
      </c>
    </row>
    <row r="1229" spans="4:10" x14ac:dyDescent="0.2">
      <c r="D1229" s="18">
        <f>装备表!L1374</f>
        <v>0</v>
      </c>
      <c r="E1229" s="18" t="str">
        <f>IF(装备表!$O1374=0,"xxx",IFERROR(IF(INT(IF($D1229=E$3,装备表!$E1374,"xxx")/10000)=1,IF($D1229=E$3,装备表!$E1374,"xxx")&amp;":2,1,1,"&amp;装备表!$O1374&amp;";","xxx"),"xxx"))</f>
        <v>xxx</v>
      </c>
      <c r="F1229" s="18" t="str">
        <f>IF(装备表!$O1374=0,"xxx",IFERROR(IF(INT(IF($D1229=F$3,装备表!$E1374,"xxx")/10000)=1,IF($D1229=F$3,装备表!$E1374,"xxx")&amp;":2,1,1,"&amp;装备表!$O1374&amp;";","xxx"),"xxx"))</f>
        <v>xxx</v>
      </c>
      <c r="G1229" s="18" t="str">
        <f>IF(装备表!$O1374=0,"xxx",IFERROR(IF(INT(IF($D1229=G$3,装备表!$E1374,"xxx")/10000)=1,IF($D1229=G$3,装备表!$E1374,"xxx")&amp;":2,1,1,"&amp;装备表!$O1374&amp;";","xxx"),"xxx"))</f>
        <v>xxx</v>
      </c>
      <c r="H1229" s="18" t="str">
        <f>IF(装备表!$O1374=0,"xxx",IFERROR(IF(INT(IF($D1229=H$3,装备表!$E1374,"xxx")/10000)=1,IF($D1229=H$3,装备表!$E1374,"xxx")&amp;":2,1,1,"&amp;装备表!$O1374&amp;";","xxx"),"xxx"))</f>
        <v>xxx</v>
      </c>
      <c r="I1229" s="18" t="str">
        <f>IF(装备表!$O1374=0,"xxx",IFERROR(IF(INT(IF($D1229=I$3,装备表!$E1374,"xxx")/10000)=1,IF($D1229=I$3,装备表!$E1374,"xxx")&amp;":2,1,1,"&amp;装备表!$O1374&amp;";","xxx"),"xxx"))</f>
        <v>xxx</v>
      </c>
      <c r="J1229" s="18" t="str">
        <f>IF(装备表!$O1374=0,"xxx",IFERROR(IF(INT(IF($D1229=J$3,装备表!$E1374,"xxx")/10000)=1,IF($D1229=J$3,装备表!$E1374,"xxx")&amp;":2,1,1,"&amp;装备表!$O1374&amp;";","xxx"),"xxx"))</f>
        <v>xxx</v>
      </c>
    </row>
    <row r="1230" spans="4:10" x14ac:dyDescent="0.2">
      <c r="D1230" s="18">
        <f>装备表!L1375</f>
        <v>0</v>
      </c>
      <c r="E1230" s="18" t="str">
        <f>IF(装备表!$O1375=0,"xxx",IFERROR(IF(INT(IF($D1230=E$3,装备表!$E1375,"xxx")/10000)=1,IF($D1230=E$3,装备表!$E1375,"xxx")&amp;":2,1,1,"&amp;装备表!$O1375&amp;";","xxx"),"xxx"))</f>
        <v>xxx</v>
      </c>
      <c r="F1230" s="18" t="str">
        <f>IF(装备表!$O1375=0,"xxx",IFERROR(IF(INT(IF($D1230=F$3,装备表!$E1375,"xxx")/10000)=1,IF($D1230=F$3,装备表!$E1375,"xxx")&amp;":2,1,1,"&amp;装备表!$O1375&amp;";","xxx"),"xxx"))</f>
        <v>xxx</v>
      </c>
      <c r="G1230" s="18" t="str">
        <f>IF(装备表!$O1375=0,"xxx",IFERROR(IF(INT(IF($D1230=G$3,装备表!$E1375,"xxx")/10000)=1,IF($D1230=G$3,装备表!$E1375,"xxx")&amp;":2,1,1,"&amp;装备表!$O1375&amp;";","xxx"),"xxx"))</f>
        <v>xxx</v>
      </c>
      <c r="H1230" s="18" t="str">
        <f>IF(装备表!$O1375=0,"xxx",IFERROR(IF(INT(IF($D1230=H$3,装备表!$E1375,"xxx")/10000)=1,IF($D1230=H$3,装备表!$E1375,"xxx")&amp;":2,1,1,"&amp;装备表!$O1375&amp;";","xxx"),"xxx"))</f>
        <v>xxx</v>
      </c>
      <c r="I1230" s="18" t="str">
        <f>IF(装备表!$O1375=0,"xxx",IFERROR(IF(INT(IF($D1230=I$3,装备表!$E1375,"xxx")/10000)=1,IF($D1230=I$3,装备表!$E1375,"xxx")&amp;":2,1,1,"&amp;装备表!$O1375&amp;";","xxx"),"xxx"))</f>
        <v>xxx</v>
      </c>
      <c r="J1230" s="18" t="str">
        <f>IF(装备表!$O1375=0,"xxx",IFERROR(IF(INT(IF($D1230=J$3,装备表!$E1375,"xxx")/10000)=1,IF($D1230=J$3,装备表!$E1375,"xxx")&amp;":2,1,1,"&amp;装备表!$O1375&amp;";","xxx"),"xxx"))</f>
        <v>xxx</v>
      </c>
    </row>
    <row r="1231" spans="4:10" x14ac:dyDescent="0.2">
      <c r="D1231" s="18">
        <f>装备表!L1376</f>
        <v>0</v>
      </c>
      <c r="E1231" s="18" t="str">
        <f>IF(装备表!$O1376=0,"xxx",IFERROR(IF(INT(IF($D1231=E$3,装备表!$E1376,"xxx")/10000)=1,IF($D1231=E$3,装备表!$E1376,"xxx")&amp;":2,1,1,"&amp;装备表!$O1376&amp;";","xxx"),"xxx"))</f>
        <v>xxx</v>
      </c>
      <c r="F1231" s="18" t="str">
        <f>IF(装备表!$O1376=0,"xxx",IFERROR(IF(INT(IF($D1231=F$3,装备表!$E1376,"xxx")/10000)=1,IF($D1231=F$3,装备表!$E1376,"xxx")&amp;":2,1,1,"&amp;装备表!$O1376&amp;";","xxx"),"xxx"))</f>
        <v>xxx</v>
      </c>
      <c r="G1231" s="18" t="str">
        <f>IF(装备表!$O1376=0,"xxx",IFERROR(IF(INT(IF($D1231=G$3,装备表!$E1376,"xxx")/10000)=1,IF($D1231=G$3,装备表!$E1376,"xxx")&amp;":2,1,1,"&amp;装备表!$O1376&amp;";","xxx"),"xxx"))</f>
        <v>xxx</v>
      </c>
      <c r="H1231" s="18" t="str">
        <f>IF(装备表!$O1376=0,"xxx",IFERROR(IF(INT(IF($D1231=H$3,装备表!$E1376,"xxx")/10000)=1,IF($D1231=H$3,装备表!$E1376,"xxx")&amp;":2,1,1,"&amp;装备表!$O1376&amp;";","xxx"),"xxx"))</f>
        <v>xxx</v>
      </c>
      <c r="I1231" s="18" t="str">
        <f>IF(装备表!$O1376=0,"xxx",IFERROR(IF(INT(IF($D1231=I$3,装备表!$E1376,"xxx")/10000)=1,IF($D1231=I$3,装备表!$E1376,"xxx")&amp;":2,1,1,"&amp;装备表!$O1376&amp;";","xxx"),"xxx"))</f>
        <v>xxx</v>
      </c>
      <c r="J1231" s="18" t="str">
        <f>IF(装备表!$O1376=0,"xxx",IFERROR(IF(INT(IF($D1231=J$3,装备表!$E1376,"xxx")/10000)=1,IF($D1231=J$3,装备表!$E1376,"xxx")&amp;":2,1,1,"&amp;装备表!$O1376&amp;";","xxx"),"xxx"))</f>
        <v>xxx</v>
      </c>
    </row>
    <row r="1232" spans="4:10" x14ac:dyDescent="0.2">
      <c r="D1232" s="18">
        <f>装备表!L1377</f>
        <v>0</v>
      </c>
      <c r="E1232" s="18" t="str">
        <f>IF(装备表!$O1377=0,"xxx",IFERROR(IF(INT(IF($D1232=E$3,装备表!$E1377,"xxx")/10000)=1,IF($D1232=E$3,装备表!$E1377,"xxx")&amp;":2,1,1,"&amp;装备表!$O1377&amp;";","xxx"),"xxx"))</f>
        <v>xxx</v>
      </c>
      <c r="F1232" s="18" t="str">
        <f>IF(装备表!$O1377=0,"xxx",IFERROR(IF(INT(IF($D1232=F$3,装备表!$E1377,"xxx")/10000)=1,IF($D1232=F$3,装备表!$E1377,"xxx")&amp;":2,1,1,"&amp;装备表!$O1377&amp;";","xxx"),"xxx"))</f>
        <v>xxx</v>
      </c>
      <c r="G1232" s="18" t="str">
        <f>IF(装备表!$O1377=0,"xxx",IFERROR(IF(INT(IF($D1232=G$3,装备表!$E1377,"xxx")/10000)=1,IF($D1232=G$3,装备表!$E1377,"xxx")&amp;":2,1,1,"&amp;装备表!$O1377&amp;";","xxx"),"xxx"))</f>
        <v>xxx</v>
      </c>
      <c r="H1232" s="18" t="str">
        <f>IF(装备表!$O1377=0,"xxx",IFERROR(IF(INT(IF($D1232=H$3,装备表!$E1377,"xxx")/10000)=1,IF($D1232=H$3,装备表!$E1377,"xxx")&amp;":2,1,1,"&amp;装备表!$O1377&amp;";","xxx"),"xxx"))</f>
        <v>xxx</v>
      </c>
      <c r="I1232" s="18" t="str">
        <f>IF(装备表!$O1377=0,"xxx",IFERROR(IF(INT(IF($D1232=I$3,装备表!$E1377,"xxx")/10000)=1,IF($D1232=I$3,装备表!$E1377,"xxx")&amp;":2,1,1,"&amp;装备表!$O1377&amp;";","xxx"),"xxx"))</f>
        <v>xxx</v>
      </c>
      <c r="J1232" s="18" t="str">
        <f>IF(装备表!$O1377=0,"xxx",IFERROR(IF(INT(IF($D1232=J$3,装备表!$E1377,"xxx")/10000)=1,IF($D1232=J$3,装备表!$E1377,"xxx")&amp;":2,1,1,"&amp;装备表!$O1377&amp;";","xxx"),"xxx"))</f>
        <v>xxx</v>
      </c>
    </row>
    <row r="1233" spans="4:10" x14ac:dyDescent="0.2">
      <c r="D1233" s="18">
        <f>装备表!L1378</f>
        <v>0</v>
      </c>
      <c r="E1233" s="18" t="str">
        <f>IF(装备表!$O1378=0,"xxx",IFERROR(IF(INT(IF($D1233=E$3,装备表!$E1378,"xxx")/10000)=1,IF($D1233=E$3,装备表!$E1378,"xxx")&amp;":2,1,1,"&amp;装备表!$O1378&amp;";","xxx"),"xxx"))</f>
        <v>xxx</v>
      </c>
      <c r="F1233" s="18" t="str">
        <f>IF(装备表!$O1378=0,"xxx",IFERROR(IF(INT(IF($D1233=F$3,装备表!$E1378,"xxx")/10000)=1,IF($D1233=F$3,装备表!$E1378,"xxx")&amp;":2,1,1,"&amp;装备表!$O1378&amp;";","xxx"),"xxx"))</f>
        <v>xxx</v>
      </c>
      <c r="G1233" s="18" t="str">
        <f>IF(装备表!$O1378=0,"xxx",IFERROR(IF(INT(IF($D1233=G$3,装备表!$E1378,"xxx")/10000)=1,IF($D1233=G$3,装备表!$E1378,"xxx")&amp;":2,1,1,"&amp;装备表!$O1378&amp;";","xxx"),"xxx"))</f>
        <v>xxx</v>
      </c>
      <c r="H1233" s="18" t="str">
        <f>IF(装备表!$O1378=0,"xxx",IFERROR(IF(INT(IF($D1233=H$3,装备表!$E1378,"xxx")/10000)=1,IF($D1233=H$3,装备表!$E1378,"xxx")&amp;":2,1,1,"&amp;装备表!$O1378&amp;";","xxx"),"xxx"))</f>
        <v>xxx</v>
      </c>
      <c r="I1233" s="18" t="str">
        <f>IF(装备表!$O1378=0,"xxx",IFERROR(IF(INT(IF($D1233=I$3,装备表!$E1378,"xxx")/10000)=1,IF($D1233=I$3,装备表!$E1378,"xxx")&amp;":2,1,1,"&amp;装备表!$O1378&amp;";","xxx"),"xxx"))</f>
        <v>xxx</v>
      </c>
      <c r="J1233" s="18" t="str">
        <f>IF(装备表!$O1378=0,"xxx",IFERROR(IF(INT(IF($D1233=J$3,装备表!$E1378,"xxx")/10000)=1,IF($D1233=J$3,装备表!$E1378,"xxx")&amp;":2,1,1,"&amp;装备表!$O1378&amp;";","xxx"),"xxx"))</f>
        <v>xxx</v>
      </c>
    </row>
    <row r="1234" spans="4:10" x14ac:dyDescent="0.2">
      <c r="D1234" s="18">
        <f>装备表!L1379</f>
        <v>0</v>
      </c>
      <c r="E1234" s="18" t="str">
        <f>IF(装备表!$O1379=0,"xxx",IFERROR(IF(INT(IF($D1234=E$3,装备表!$E1379,"xxx")/10000)=1,IF($D1234=E$3,装备表!$E1379,"xxx")&amp;":2,1,1,"&amp;装备表!$O1379&amp;";","xxx"),"xxx"))</f>
        <v>xxx</v>
      </c>
      <c r="F1234" s="18" t="str">
        <f>IF(装备表!$O1379=0,"xxx",IFERROR(IF(INT(IF($D1234=F$3,装备表!$E1379,"xxx")/10000)=1,IF($D1234=F$3,装备表!$E1379,"xxx")&amp;":2,1,1,"&amp;装备表!$O1379&amp;";","xxx"),"xxx"))</f>
        <v>xxx</v>
      </c>
      <c r="G1234" s="18" t="str">
        <f>IF(装备表!$O1379=0,"xxx",IFERROR(IF(INT(IF($D1234=G$3,装备表!$E1379,"xxx")/10000)=1,IF($D1234=G$3,装备表!$E1379,"xxx")&amp;":2,1,1,"&amp;装备表!$O1379&amp;";","xxx"),"xxx"))</f>
        <v>xxx</v>
      </c>
      <c r="H1234" s="18" t="str">
        <f>IF(装备表!$O1379=0,"xxx",IFERROR(IF(INT(IF($D1234=H$3,装备表!$E1379,"xxx")/10000)=1,IF($D1234=H$3,装备表!$E1379,"xxx")&amp;":2,1,1,"&amp;装备表!$O1379&amp;";","xxx"),"xxx"))</f>
        <v>xxx</v>
      </c>
      <c r="I1234" s="18" t="str">
        <f>IF(装备表!$O1379=0,"xxx",IFERROR(IF(INT(IF($D1234=I$3,装备表!$E1379,"xxx")/10000)=1,IF($D1234=I$3,装备表!$E1379,"xxx")&amp;":2,1,1,"&amp;装备表!$O1379&amp;";","xxx"),"xxx"))</f>
        <v>xxx</v>
      </c>
      <c r="J1234" s="18" t="str">
        <f>IF(装备表!$O1379=0,"xxx",IFERROR(IF(INT(IF($D1234=J$3,装备表!$E1379,"xxx")/10000)=1,IF($D1234=J$3,装备表!$E1379,"xxx")&amp;":2,1,1,"&amp;装备表!$O1379&amp;";","xxx"),"xxx"))</f>
        <v>xxx</v>
      </c>
    </row>
    <row r="1235" spans="4:10" x14ac:dyDescent="0.2">
      <c r="D1235" s="18">
        <f>装备表!L1380</f>
        <v>0</v>
      </c>
      <c r="E1235" s="18" t="str">
        <f>IF(装备表!$O1380=0,"xxx",IFERROR(IF(INT(IF($D1235=E$3,装备表!$E1380,"xxx")/10000)=1,IF($D1235=E$3,装备表!$E1380,"xxx")&amp;":2,1,1,"&amp;装备表!$O1380&amp;";","xxx"),"xxx"))</f>
        <v>xxx</v>
      </c>
      <c r="F1235" s="18" t="str">
        <f>IF(装备表!$O1380=0,"xxx",IFERROR(IF(INT(IF($D1235=F$3,装备表!$E1380,"xxx")/10000)=1,IF($D1235=F$3,装备表!$E1380,"xxx")&amp;":2,1,1,"&amp;装备表!$O1380&amp;";","xxx"),"xxx"))</f>
        <v>xxx</v>
      </c>
      <c r="G1235" s="18" t="str">
        <f>IF(装备表!$O1380=0,"xxx",IFERROR(IF(INT(IF($D1235=G$3,装备表!$E1380,"xxx")/10000)=1,IF($D1235=G$3,装备表!$E1380,"xxx")&amp;":2,1,1,"&amp;装备表!$O1380&amp;";","xxx"),"xxx"))</f>
        <v>xxx</v>
      </c>
      <c r="H1235" s="18" t="str">
        <f>IF(装备表!$O1380=0,"xxx",IFERROR(IF(INT(IF($D1235=H$3,装备表!$E1380,"xxx")/10000)=1,IF($D1235=H$3,装备表!$E1380,"xxx")&amp;":2,1,1,"&amp;装备表!$O1380&amp;";","xxx"),"xxx"))</f>
        <v>xxx</v>
      </c>
      <c r="I1235" s="18" t="str">
        <f>IF(装备表!$O1380=0,"xxx",IFERROR(IF(INT(IF($D1235=I$3,装备表!$E1380,"xxx")/10000)=1,IF($D1235=I$3,装备表!$E1380,"xxx")&amp;":2,1,1,"&amp;装备表!$O1380&amp;";","xxx"),"xxx"))</f>
        <v>xxx</v>
      </c>
      <c r="J1235" s="18" t="str">
        <f>IF(装备表!$O1380=0,"xxx",IFERROR(IF(INT(IF($D1235=J$3,装备表!$E1380,"xxx")/10000)=1,IF($D1235=J$3,装备表!$E1380,"xxx")&amp;":2,1,1,"&amp;装备表!$O1380&amp;";","xxx"),"xxx"))</f>
        <v>xxx</v>
      </c>
    </row>
    <row r="1236" spans="4:10" x14ac:dyDescent="0.2">
      <c r="D1236" s="18">
        <f>装备表!L1381</f>
        <v>0</v>
      </c>
      <c r="E1236" s="18" t="str">
        <f>IF(装备表!$O1381=0,"xxx",IFERROR(IF(INT(IF($D1236=E$3,装备表!$E1381,"xxx")/10000)=1,IF($D1236=E$3,装备表!$E1381,"xxx")&amp;":2,1,1,"&amp;装备表!$O1381&amp;";","xxx"),"xxx"))</f>
        <v>xxx</v>
      </c>
      <c r="F1236" s="18" t="str">
        <f>IF(装备表!$O1381=0,"xxx",IFERROR(IF(INT(IF($D1236=F$3,装备表!$E1381,"xxx")/10000)=1,IF($D1236=F$3,装备表!$E1381,"xxx")&amp;":2,1,1,"&amp;装备表!$O1381&amp;";","xxx"),"xxx"))</f>
        <v>xxx</v>
      </c>
      <c r="G1236" s="18" t="str">
        <f>IF(装备表!$O1381=0,"xxx",IFERROR(IF(INT(IF($D1236=G$3,装备表!$E1381,"xxx")/10000)=1,IF($D1236=G$3,装备表!$E1381,"xxx")&amp;":2,1,1,"&amp;装备表!$O1381&amp;";","xxx"),"xxx"))</f>
        <v>xxx</v>
      </c>
      <c r="H1236" s="18" t="str">
        <f>IF(装备表!$O1381=0,"xxx",IFERROR(IF(INT(IF($D1236=H$3,装备表!$E1381,"xxx")/10000)=1,IF($D1236=H$3,装备表!$E1381,"xxx")&amp;":2,1,1,"&amp;装备表!$O1381&amp;";","xxx"),"xxx"))</f>
        <v>xxx</v>
      </c>
      <c r="I1236" s="18" t="str">
        <f>IF(装备表!$O1381=0,"xxx",IFERROR(IF(INT(IF($D1236=I$3,装备表!$E1381,"xxx")/10000)=1,IF($D1236=I$3,装备表!$E1381,"xxx")&amp;":2,1,1,"&amp;装备表!$O1381&amp;";","xxx"),"xxx"))</f>
        <v>xxx</v>
      </c>
      <c r="J1236" s="18" t="str">
        <f>IF(装备表!$O1381=0,"xxx",IFERROR(IF(INT(IF($D1236=J$3,装备表!$E1381,"xxx")/10000)=1,IF($D1236=J$3,装备表!$E1381,"xxx")&amp;":2,1,1,"&amp;装备表!$O1381&amp;";","xxx"),"xxx"))</f>
        <v>xxx</v>
      </c>
    </row>
    <row r="1237" spans="4:10" x14ac:dyDescent="0.2">
      <c r="D1237" s="18">
        <f>装备表!L1382</f>
        <v>0</v>
      </c>
      <c r="E1237" s="18" t="str">
        <f>IF(装备表!$O1382=0,"xxx",IFERROR(IF(INT(IF($D1237=E$3,装备表!$E1382,"xxx")/10000)=1,IF($D1237=E$3,装备表!$E1382,"xxx")&amp;":2,1,1,"&amp;装备表!$O1382&amp;";","xxx"),"xxx"))</f>
        <v>xxx</v>
      </c>
      <c r="F1237" s="18" t="str">
        <f>IF(装备表!$O1382=0,"xxx",IFERROR(IF(INT(IF($D1237=F$3,装备表!$E1382,"xxx")/10000)=1,IF($D1237=F$3,装备表!$E1382,"xxx")&amp;":2,1,1,"&amp;装备表!$O1382&amp;";","xxx"),"xxx"))</f>
        <v>xxx</v>
      </c>
      <c r="G1237" s="18" t="str">
        <f>IF(装备表!$O1382=0,"xxx",IFERROR(IF(INT(IF($D1237=G$3,装备表!$E1382,"xxx")/10000)=1,IF($D1237=G$3,装备表!$E1382,"xxx")&amp;":2,1,1,"&amp;装备表!$O1382&amp;";","xxx"),"xxx"))</f>
        <v>xxx</v>
      </c>
      <c r="H1237" s="18" t="str">
        <f>IF(装备表!$O1382=0,"xxx",IFERROR(IF(INT(IF($D1237=H$3,装备表!$E1382,"xxx")/10000)=1,IF($D1237=H$3,装备表!$E1382,"xxx")&amp;":2,1,1,"&amp;装备表!$O1382&amp;";","xxx"),"xxx"))</f>
        <v>xxx</v>
      </c>
      <c r="I1237" s="18" t="str">
        <f>IF(装备表!$O1382=0,"xxx",IFERROR(IF(INT(IF($D1237=I$3,装备表!$E1382,"xxx")/10000)=1,IF($D1237=I$3,装备表!$E1382,"xxx")&amp;":2,1,1,"&amp;装备表!$O1382&amp;";","xxx"),"xxx"))</f>
        <v>xxx</v>
      </c>
      <c r="J1237" s="18" t="str">
        <f>IF(装备表!$O1382=0,"xxx",IFERROR(IF(INT(IF($D1237=J$3,装备表!$E1382,"xxx")/10000)=1,IF($D1237=J$3,装备表!$E1382,"xxx")&amp;":2,1,1,"&amp;装备表!$O1382&amp;";","xxx"),"xxx"))</f>
        <v>xxx</v>
      </c>
    </row>
    <row r="1238" spans="4:10" x14ac:dyDescent="0.2">
      <c r="D1238" s="18">
        <f>装备表!L1383</f>
        <v>0</v>
      </c>
      <c r="E1238" s="18" t="str">
        <f>IF(装备表!$O1383=0,"xxx",IFERROR(IF(INT(IF($D1238=E$3,装备表!$E1383,"xxx")/10000)=1,IF($D1238=E$3,装备表!$E1383,"xxx")&amp;":2,1,1,"&amp;装备表!$O1383&amp;";","xxx"),"xxx"))</f>
        <v>xxx</v>
      </c>
      <c r="F1238" s="18" t="str">
        <f>IF(装备表!$O1383=0,"xxx",IFERROR(IF(INT(IF($D1238=F$3,装备表!$E1383,"xxx")/10000)=1,IF($D1238=F$3,装备表!$E1383,"xxx")&amp;":2,1,1,"&amp;装备表!$O1383&amp;";","xxx"),"xxx"))</f>
        <v>xxx</v>
      </c>
      <c r="G1238" s="18" t="str">
        <f>IF(装备表!$O1383=0,"xxx",IFERROR(IF(INT(IF($D1238=G$3,装备表!$E1383,"xxx")/10000)=1,IF($D1238=G$3,装备表!$E1383,"xxx")&amp;":2,1,1,"&amp;装备表!$O1383&amp;";","xxx"),"xxx"))</f>
        <v>xxx</v>
      </c>
      <c r="H1238" s="18" t="str">
        <f>IF(装备表!$O1383=0,"xxx",IFERROR(IF(INT(IF($D1238=H$3,装备表!$E1383,"xxx")/10000)=1,IF($D1238=H$3,装备表!$E1383,"xxx")&amp;":2,1,1,"&amp;装备表!$O1383&amp;";","xxx"),"xxx"))</f>
        <v>xxx</v>
      </c>
      <c r="I1238" s="18" t="str">
        <f>IF(装备表!$O1383=0,"xxx",IFERROR(IF(INT(IF($D1238=I$3,装备表!$E1383,"xxx")/10000)=1,IF($D1238=I$3,装备表!$E1383,"xxx")&amp;":2,1,1,"&amp;装备表!$O1383&amp;";","xxx"),"xxx"))</f>
        <v>xxx</v>
      </c>
      <c r="J1238" s="18" t="str">
        <f>IF(装备表!$O1383=0,"xxx",IFERROR(IF(INT(IF($D1238=J$3,装备表!$E1383,"xxx")/10000)=1,IF($D1238=J$3,装备表!$E1383,"xxx")&amp;":2,1,1,"&amp;装备表!$O1383&amp;";","xxx"),"xxx"))</f>
        <v>xxx</v>
      </c>
    </row>
    <row r="1239" spans="4:10" x14ac:dyDescent="0.2">
      <c r="D1239" s="18">
        <f>装备表!L1384</f>
        <v>0</v>
      </c>
      <c r="E1239" s="18" t="str">
        <f>IF(装备表!$O1384=0,"xxx",IFERROR(IF(INT(IF($D1239=E$3,装备表!$E1384,"xxx")/10000)=1,IF($D1239=E$3,装备表!$E1384,"xxx")&amp;":2,1,1,"&amp;装备表!$O1384&amp;";","xxx"),"xxx"))</f>
        <v>xxx</v>
      </c>
      <c r="F1239" s="18" t="str">
        <f>IF(装备表!$O1384=0,"xxx",IFERROR(IF(INT(IF($D1239=F$3,装备表!$E1384,"xxx")/10000)=1,IF($D1239=F$3,装备表!$E1384,"xxx")&amp;":2,1,1,"&amp;装备表!$O1384&amp;";","xxx"),"xxx"))</f>
        <v>xxx</v>
      </c>
      <c r="G1239" s="18" t="str">
        <f>IF(装备表!$O1384=0,"xxx",IFERROR(IF(INT(IF($D1239=G$3,装备表!$E1384,"xxx")/10000)=1,IF($D1239=G$3,装备表!$E1384,"xxx")&amp;":2,1,1,"&amp;装备表!$O1384&amp;";","xxx"),"xxx"))</f>
        <v>xxx</v>
      </c>
      <c r="H1239" s="18" t="str">
        <f>IF(装备表!$O1384=0,"xxx",IFERROR(IF(INT(IF($D1239=H$3,装备表!$E1384,"xxx")/10000)=1,IF($D1239=H$3,装备表!$E1384,"xxx")&amp;":2,1,1,"&amp;装备表!$O1384&amp;";","xxx"),"xxx"))</f>
        <v>xxx</v>
      </c>
      <c r="I1239" s="18" t="str">
        <f>IF(装备表!$O1384=0,"xxx",IFERROR(IF(INT(IF($D1239=I$3,装备表!$E1384,"xxx")/10000)=1,IF($D1239=I$3,装备表!$E1384,"xxx")&amp;":2,1,1,"&amp;装备表!$O1384&amp;";","xxx"),"xxx"))</f>
        <v>xxx</v>
      </c>
      <c r="J1239" s="18" t="str">
        <f>IF(装备表!$O1384=0,"xxx",IFERROR(IF(INT(IF($D1239=J$3,装备表!$E1384,"xxx")/10000)=1,IF($D1239=J$3,装备表!$E1384,"xxx")&amp;":2,1,1,"&amp;装备表!$O1384&amp;";","xxx"),"xxx"))</f>
        <v>xxx</v>
      </c>
    </row>
    <row r="1240" spans="4:10" x14ac:dyDescent="0.2">
      <c r="D1240" s="18">
        <f>装备表!L1385</f>
        <v>0</v>
      </c>
      <c r="E1240" s="18" t="str">
        <f>IF(装备表!$O1385=0,"xxx",IFERROR(IF(INT(IF($D1240=E$3,装备表!$E1385,"xxx")/10000)=1,IF($D1240=E$3,装备表!$E1385,"xxx")&amp;":2,1,1,"&amp;装备表!$O1385&amp;";","xxx"),"xxx"))</f>
        <v>xxx</v>
      </c>
      <c r="F1240" s="18" t="str">
        <f>IF(装备表!$O1385=0,"xxx",IFERROR(IF(INT(IF($D1240=F$3,装备表!$E1385,"xxx")/10000)=1,IF($D1240=F$3,装备表!$E1385,"xxx")&amp;":2,1,1,"&amp;装备表!$O1385&amp;";","xxx"),"xxx"))</f>
        <v>xxx</v>
      </c>
      <c r="G1240" s="18" t="str">
        <f>IF(装备表!$O1385=0,"xxx",IFERROR(IF(INT(IF($D1240=G$3,装备表!$E1385,"xxx")/10000)=1,IF($D1240=G$3,装备表!$E1385,"xxx")&amp;":2,1,1,"&amp;装备表!$O1385&amp;";","xxx"),"xxx"))</f>
        <v>xxx</v>
      </c>
      <c r="H1240" s="18" t="str">
        <f>IF(装备表!$O1385=0,"xxx",IFERROR(IF(INT(IF($D1240=H$3,装备表!$E1385,"xxx")/10000)=1,IF($D1240=H$3,装备表!$E1385,"xxx")&amp;":2,1,1,"&amp;装备表!$O1385&amp;";","xxx"),"xxx"))</f>
        <v>xxx</v>
      </c>
      <c r="I1240" s="18" t="str">
        <f>IF(装备表!$O1385=0,"xxx",IFERROR(IF(INT(IF($D1240=I$3,装备表!$E1385,"xxx")/10000)=1,IF($D1240=I$3,装备表!$E1385,"xxx")&amp;":2,1,1,"&amp;装备表!$O1385&amp;";","xxx"),"xxx"))</f>
        <v>xxx</v>
      </c>
      <c r="J1240" s="18" t="str">
        <f>IF(装备表!$O1385=0,"xxx",IFERROR(IF(INT(IF($D1240=J$3,装备表!$E1385,"xxx")/10000)=1,IF($D1240=J$3,装备表!$E1385,"xxx")&amp;":2,1,1,"&amp;装备表!$O1385&amp;";","xxx"),"xxx"))</f>
        <v>xxx</v>
      </c>
    </row>
    <row r="1241" spans="4:10" x14ac:dyDescent="0.2">
      <c r="D1241" s="18">
        <f>装备表!L1386</f>
        <v>0</v>
      </c>
      <c r="E1241" s="18" t="str">
        <f>IF(装备表!$O1386=0,"xxx",IFERROR(IF(INT(IF($D1241=E$3,装备表!$E1386,"xxx")/10000)=1,IF($D1241=E$3,装备表!$E1386,"xxx")&amp;":2,1,1,"&amp;装备表!$O1386&amp;";","xxx"),"xxx"))</f>
        <v>xxx</v>
      </c>
      <c r="F1241" s="18" t="str">
        <f>IF(装备表!$O1386=0,"xxx",IFERROR(IF(INT(IF($D1241=F$3,装备表!$E1386,"xxx")/10000)=1,IF($D1241=F$3,装备表!$E1386,"xxx")&amp;":2,1,1,"&amp;装备表!$O1386&amp;";","xxx"),"xxx"))</f>
        <v>xxx</v>
      </c>
      <c r="G1241" s="18" t="str">
        <f>IF(装备表!$O1386=0,"xxx",IFERROR(IF(INT(IF($D1241=G$3,装备表!$E1386,"xxx")/10000)=1,IF($D1241=G$3,装备表!$E1386,"xxx")&amp;":2,1,1,"&amp;装备表!$O1386&amp;";","xxx"),"xxx"))</f>
        <v>xxx</v>
      </c>
      <c r="H1241" s="18" t="str">
        <f>IF(装备表!$O1386=0,"xxx",IFERROR(IF(INT(IF($D1241=H$3,装备表!$E1386,"xxx")/10000)=1,IF($D1241=H$3,装备表!$E1386,"xxx")&amp;":2,1,1,"&amp;装备表!$O1386&amp;";","xxx"),"xxx"))</f>
        <v>xxx</v>
      </c>
      <c r="I1241" s="18" t="str">
        <f>IF(装备表!$O1386=0,"xxx",IFERROR(IF(INT(IF($D1241=I$3,装备表!$E1386,"xxx")/10000)=1,IF($D1241=I$3,装备表!$E1386,"xxx")&amp;":2,1,1,"&amp;装备表!$O1386&amp;";","xxx"),"xxx"))</f>
        <v>xxx</v>
      </c>
      <c r="J1241" s="18" t="str">
        <f>IF(装备表!$O1386=0,"xxx",IFERROR(IF(INT(IF($D1241=J$3,装备表!$E1386,"xxx")/10000)=1,IF($D1241=J$3,装备表!$E1386,"xxx")&amp;":2,1,1,"&amp;装备表!$O1386&amp;";","xxx"),"xxx"))</f>
        <v>xxx</v>
      </c>
    </row>
    <row r="1242" spans="4:10" x14ac:dyDescent="0.2">
      <c r="D1242" s="18">
        <f>装备表!L1387</f>
        <v>0</v>
      </c>
      <c r="E1242" s="18" t="str">
        <f>IF(装备表!$O1387=0,"xxx",IFERROR(IF(INT(IF($D1242=E$3,装备表!$E1387,"xxx")/10000)=1,IF($D1242=E$3,装备表!$E1387,"xxx")&amp;":2,1,1,"&amp;装备表!$O1387&amp;";","xxx"),"xxx"))</f>
        <v>xxx</v>
      </c>
      <c r="F1242" s="18" t="str">
        <f>IF(装备表!$O1387=0,"xxx",IFERROR(IF(INT(IF($D1242=F$3,装备表!$E1387,"xxx")/10000)=1,IF($D1242=F$3,装备表!$E1387,"xxx")&amp;":2,1,1,"&amp;装备表!$O1387&amp;";","xxx"),"xxx"))</f>
        <v>xxx</v>
      </c>
      <c r="G1242" s="18" t="str">
        <f>IF(装备表!$O1387=0,"xxx",IFERROR(IF(INT(IF($D1242=G$3,装备表!$E1387,"xxx")/10000)=1,IF($D1242=G$3,装备表!$E1387,"xxx")&amp;":2,1,1,"&amp;装备表!$O1387&amp;";","xxx"),"xxx"))</f>
        <v>xxx</v>
      </c>
      <c r="H1242" s="18" t="str">
        <f>IF(装备表!$O1387=0,"xxx",IFERROR(IF(INT(IF($D1242=H$3,装备表!$E1387,"xxx")/10000)=1,IF($D1242=H$3,装备表!$E1387,"xxx")&amp;":2,1,1,"&amp;装备表!$O1387&amp;";","xxx"),"xxx"))</f>
        <v>xxx</v>
      </c>
      <c r="I1242" s="18" t="str">
        <f>IF(装备表!$O1387=0,"xxx",IFERROR(IF(INT(IF($D1242=I$3,装备表!$E1387,"xxx")/10000)=1,IF($D1242=I$3,装备表!$E1387,"xxx")&amp;":2,1,1,"&amp;装备表!$O1387&amp;";","xxx"),"xxx"))</f>
        <v>xxx</v>
      </c>
      <c r="J1242" s="18" t="str">
        <f>IF(装备表!$O1387=0,"xxx",IFERROR(IF(INT(IF($D1242=J$3,装备表!$E1387,"xxx")/10000)=1,IF($D1242=J$3,装备表!$E1387,"xxx")&amp;":2,1,1,"&amp;装备表!$O1387&amp;";","xxx"),"xxx"))</f>
        <v>xxx</v>
      </c>
    </row>
    <row r="1243" spans="4:10" x14ac:dyDescent="0.2">
      <c r="D1243" s="18">
        <f>装备表!L1388</f>
        <v>0</v>
      </c>
      <c r="E1243" s="18" t="str">
        <f>IF(装备表!$O1388=0,"xxx",IFERROR(IF(INT(IF($D1243=E$3,装备表!$E1388,"xxx")/10000)=1,IF($D1243=E$3,装备表!$E1388,"xxx")&amp;":2,1,1,"&amp;装备表!$O1388&amp;";","xxx"),"xxx"))</f>
        <v>xxx</v>
      </c>
      <c r="F1243" s="18" t="str">
        <f>IF(装备表!$O1388=0,"xxx",IFERROR(IF(INT(IF($D1243=F$3,装备表!$E1388,"xxx")/10000)=1,IF($D1243=F$3,装备表!$E1388,"xxx")&amp;":2,1,1,"&amp;装备表!$O1388&amp;";","xxx"),"xxx"))</f>
        <v>xxx</v>
      </c>
      <c r="G1243" s="18" t="str">
        <f>IF(装备表!$O1388=0,"xxx",IFERROR(IF(INT(IF($D1243=G$3,装备表!$E1388,"xxx")/10000)=1,IF($D1243=G$3,装备表!$E1388,"xxx")&amp;":2,1,1,"&amp;装备表!$O1388&amp;";","xxx"),"xxx"))</f>
        <v>xxx</v>
      </c>
      <c r="H1243" s="18" t="str">
        <f>IF(装备表!$O1388=0,"xxx",IFERROR(IF(INT(IF($D1243=H$3,装备表!$E1388,"xxx")/10000)=1,IF($D1243=H$3,装备表!$E1388,"xxx")&amp;":2,1,1,"&amp;装备表!$O1388&amp;";","xxx"),"xxx"))</f>
        <v>xxx</v>
      </c>
      <c r="I1243" s="18" t="str">
        <f>IF(装备表!$O1388=0,"xxx",IFERROR(IF(INT(IF($D1243=I$3,装备表!$E1388,"xxx")/10000)=1,IF($D1243=I$3,装备表!$E1388,"xxx")&amp;":2,1,1,"&amp;装备表!$O1388&amp;";","xxx"),"xxx"))</f>
        <v>xxx</v>
      </c>
      <c r="J1243" s="18" t="str">
        <f>IF(装备表!$O1388=0,"xxx",IFERROR(IF(INT(IF($D1243=J$3,装备表!$E1388,"xxx")/10000)=1,IF($D1243=J$3,装备表!$E1388,"xxx")&amp;":2,1,1,"&amp;装备表!$O1388&amp;";","xxx"),"xxx"))</f>
        <v>xxx</v>
      </c>
    </row>
    <row r="1244" spans="4:10" x14ac:dyDescent="0.2">
      <c r="D1244" s="18">
        <f>装备表!L1389</f>
        <v>0</v>
      </c>
      <c r="E1244" s="18" t="str">
        <f>IF(装备表!$O1389=0,"xxx",IFERROR(IF(INT(IF($D1244=E$3,装备表!$E1389,"xxx")/10000)=1,IF($D1244=E$3,装备表!$E1389,"xxx")&amp;":2,1,1,"&amp;装备表!$O1389&amp;";","xxx"),"xxx"))</f>
        <v>xxx</v>
      </c>
      <c r="F1244" s="18" t="str">
        <f>IF(装备表!$O1389=0,"xxx",IFERROR(IF(INT(IF($D1244=F$3,装备表!$E1389,"xxx")/10000)=1,IF($D1244=F$3,装备表!$E1389,"xxx")&amp;":2,1,1,"&amp;装备表!$O1389&amp;";","xxx"),"xxx"))</f>
        <v>xxx</v>
      </c>
      <c r="G1244" s="18" t="str">
        <f>IF(装备表!$O1389=0,"xxx",IFERROR(IF(INT(IF($D1244=G$3,装备表!$E1389,"xxx")/10000)=1,IF($D1244=G$3,装备表!$E1389,"xxx")&amp;":2,1,1,"&amp;装备表!$O1389&amp;";","xxx"),"xxx"))</f>
        <v>xxx</v>
      </c>
      <c r="H1244" s="18" t="str">
        <f>IF(装备表!$O1389=0,"xxx",IFERROR(IF(INT(IF($D1244=H$3,装备表!$E1389,"xxx")/10000)=1,IF($D1244=H$3,装备表!$E1389,"xxx")&amp;":2,1,1,"&amp;装备表!$O1389&amp;";","xxx"),"xxx"))</f>
        <v>xxx</v>
      </c>
      <c r="I1244" s="18" t="str">
        <f>IF(装备表!$O1389=0,"xxx",IFERROR(IF(INT(IF($D1244=I$3,装备表!$E1389,"xxx")/10000)=1,IF($D1244=I$3,装备表!$E1389,"xxx")&amp;":2,1,1,"&amp;装备表!$O1389&amp;";","xxx"),"xxx"))</f>
        <v>xxx</v>
      </c>
      <c r="J1244" s="18" t="str">
        <f>IF(装备表!$O1389=0,"xxx",IFERROR(IF(INT(IF($D1244=J$3,装备表!$E1389,"xxx")/10000)=1,IF($D1244=J$3,装备表!$E1389,"xxx")&amp;":2,1,1,"&amp;装备表!$O1389&amp;";","xxx"),"xxx"))</f>
        <v>xxx</v>
      </c>
    </row>
    <row r="1245" spans="4:10" x14ac:dyDescent="0.2">
      <c r="D1245" s="18">
        <f>装备表!L1390</f>
        <v>0</v>
      </c>
      <c r="E1245" s="18" t="str">
        <f>IF(装备表!$O1390=0,"xxx",IFERROR(IF(INT(IF($D1245=E$3,装备表!$E1390,"xxx")/10000)=1,IF($D1245=E$3,装备表!$E1390,"xxx")&amp;":2,1,1,"&amp;装备表!$O1390&amp;";","xxx"),"xxx"))</f>
        <v>xxx</v>
      </c>
      <c r="F1245" s="18" t="str">
        <f>IF(装备表!$O1390=0,"xxx",IFERROR(IF(INT(IF($D1245=F$3,装备表!$E1390,"xxx")/10000)=1,IF($D1245=F$3,装备表!$E1390,"xxx")&amp;":2,1,1,"&amp;装备表!$O1390&amp;";","xxx"),"xxx"))</f>
        <v>xxx</v>
      </c>
      <c r="G1245" s="18" t="str">
        <f>IF(装备表!$O1390=0,"xxx",IFERROR(IF(INT(IF($D1245=G$3,装备表!$E1390,"xxx")/10000)=1,IF($D1245=G$3,装备表!$E1390,"xxx")&amp;":2,1,1,"&amp;装备表!$O1390&amp;";","xxx"),"xxx"))</f>
        <v>xxx</v>
      </c>
      <c r="H1245" s="18" t="str">
        <f>IF(装备表!$O1390=0,"xxx",IFERROR(IF(INT(IF($D1245=H$3,装备表!$E1390,"xxx")/10000)=1,IF($D1245=H$3,装备表!$E1390,"xxx")&amp;":2,1,1,"&amp;装备表!$O1390&amp;";","xxx"),"xxx"))</f>
        <v>xxx</v>
      </c>
      <c r="I1245" s="18" t="str">
        <f>IF(装备表!$O1390=0,"xxx",IFERROR(IF(INT(IF($D1245=I$3,装备表!$E1390,"xxx")/10000)=1,IF($D1245=I$3,装备表!$E1390,"xxx")&amp;":2,1,1,"&amp;装备表!$O1390&amp;";","xxx"),"xxx"))</f>
        <v>xxx</v>
      </c>
      <c r="J1245" s="18" t="str">
        <f>IF(装备表!$O1390=0,"xxx",IFERROR(IF(INT(IF($D1245=J$3,装备表!$E1390,"xxx")/10000)=1,IF($D1245=J$3,装备表!$E1390,"xxx")&amp;":2,1,1,"&amp;装备表!$O1390&amp;";","xxx"),"xxx"))</f>
        <v>xxx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BC637-3302-4B09-B653-46499B6CC0F5}">
  <sheetPr codeName="Sheet10"/>
  <dimension ref="D2:AB1370"/>
  <sheetViews>
    <sheetView workbookViewId="0">
      <selection activeCell="K30" sqref="K30"/>
    </sheetView>
  </sheetViews>
  <sheetFormatPr defaultRowHeight="14.25" x14ac:dyDescent="0.2"/>
  <cols>
    <col min="19" max="19" width="12.75" bestFit="1" customWidth="1"/>
  </cols>
  <sheetData>
    <row r="2" spans="4:28" x14ac:dyDescent="0.2">
      <c r="G2" s="18">
        <v>1</v>
      </c>
      <c r="H2" s="18">
        <v>2</v>
      </c>
      <c r="I2" s="18">
        <v>3</v>
      </c>
      <c r="J2" s="18">
        <v>4</v>
      </c>
      <c r="K2" s="18">
        <v>5</v>
      </c>
    </row>
    <row r="3" spans="4:28" x14ac:dyDescent="0.2">
      <c r="G3" s="18" t="s">
        <v>2736</v>
      </c>
      <c r="H3" s="18" t="s">
        <v>2737</v>
      </c>
      <c r="I3" s="18" t="s">
        <v>2738</v>
      </c>
      <c r="J3" s="18" t="s">
        <v>2739</v>
      </c>
      <c r="K3" s="18" t="s">
        <v>2740</v>
      </c>
      <c r="M3" s="18" t="s">
        <v>2736</v>
      </c>
      <c r="N3" s="18" t="s">
        <v>2737</v>
      </c>
      <c r="O3" s="18" t="s">
        <v>2738</v>
      </c>
      <c r="P3" s="18" t="s">
        <v>2739</v>
      </c>
      <c r="Q3" s="18" t="s">
        <v>2740</v>
      </c>
    </row>
    <row r="4" spans="4:28" x14ac:dyDescent="0.2">
      <c r="F4" s="18" t="s">
        <v>2741</v>
      </c>
      <c r="G4" s="18" t="s">
        <v>2742</v>
      </c>
      <c r="H4" s="18" t="s">
        <v>2742</v>
      </c>
      <c r="I4" s="18" t="s">
        <v>2742</v>
      </c>
      <c r="J4" s="18" t="s">
        <v>2742</v>
      </c>
      <c r="K4" s="18" t="s">
        <v>2742</v>
      </c>
      <c r="L4" s="18" t="s">
        <v>2743</v>
      </c>
      <c r="M4" s="18" t="s">
        <v>2742</v>
      </c>
      <c r="N4" s="18" t="s">
        <v>2742</v>
      </c>
      <c r="O4" s="18" t="s">
        <v>2742</v>
      </c>
      <c r="P4" s="18" t="s">
        <v>2742</v>
      </c>
      <c r="Q4" s="18" t="s">
        <v>2742</v>
      </c>
    </row>
    <row r="5" spans="4:28" x14ac:dyDescent="0.2">
      <c r="D5" s="18">
        <v>1</v>
      </c>
      <c r="E5" s="18" t="s">
        <v>2744</v>
      </c>
      <c r="F5" s="18">
        <f>SUMIF(装备表!$K$7:$K$315,D5,装备表!$O$7:$O$315)</f>
        <v>252</v>
      </c>
      <c r="G5" s="18">
        <v>100</v>
      </c>
      <c r="H5" s="18">
        <v>625</v>
      </c>
      <c r="I5" s="18">
        <v>256</v>
      </c>
      <c r="J5" s="18">
        <v>81</v>
      </c>
      <c r="K5" s="18">
        <v>5</v>
      </c>
      <c r="L5" s="24">
        <v>0.5</v>
      </c>
      <c r="M5" s="25">
        <f>ROUND($L5*G5,0)</f>
        <v>50</v>
      </c>
      <c r="N5" s="25">
        <f t="shared" ref="N5:Q5" si="0">ROUND($L5*H5,0)</f>
        <v>313</v>
      </c>
      <c r="O5" s="25">
        <f t="shared" si="0"/>
        <v>128</v>
      </c>
      <c r="P5" s="25">
        <f t="shared" si="0"/>
        <v>41</v>
      </c>
      <c r="Q5" s="25">
        <f t="shared" si="0"/>
        <v>3</v>
      </c>
      <c r="R5" s="26">
        <f>L5*F5</f>
        <v>126</v>
      </c>
      <c r="S5" s="28">
        <f>R5/SUM($R$5:$R$22)</f>
        <v>1.411764705882353E-2</v>
      </c>
    </row>
    <row r="6" spans="4:28" x14ac:dyDescent="0.2">
      <c r="D6" s="18">
        <v>2</v>
      </c>
      <c r="E6" s="18" t="s">
        <v>22</v>
      </c>
      <c r="F6" s="18">
        <f>SUMIF(装备表!$K$7:$K$315,D6,装备表!$O$7:$O$315)</f>
        <v>232</v>
      </c>
      <c r="G6" s="18">
        <v>100</v>
      </c>
      <c r="H6" s="18">
        <v>625</v>
      </c>
      <c r="I6" s="18">
        <v>256</v>
      </c>
      <c r="J6" s="18">
        <v>81</v>
      </c>
      <c r="K6" s="18">
        <v>5</v>
      </c>
      <c r="L6" s="24">
        <v>0.5</v>
      </c>
      <c r="M6" s="25">
        <f t="shared" ref="M6:M22" si="1">ROUND($L6*G6,0)</f>
        <v>50</v>
      </c>
      <c r="N6" s="25">
        <f t="shared" ref="N6:N22" si="2">ROUND($L6*H6,0)</f>
        <v>313</v>
      </c>
      <c r="O6" s="25">
        <f t="shared" ref="O6:O22" si="3">ROUND($L6*I6,0)</f>
        <v>128</v>
      </c>
      <c r="P6" s="25">
        <f t="shared" ref="P6:P22" si="4">ROUND($L6*J6,0)</f>
        <v>41</v>
      </c>
      <c r="Q6" s="25">
        <f t="shared" ref="Q6:Q22" si="5">ROUND($L6*K6,0)</f>
        <v>3</v>
      </c>
      <c r="R6" s="26">
        <f t="shared" ref="R6:R22" si="6">L6*F6</f>
        <v>116</v>
      </c>
      <c r="S6" s="28">
        <f t="shared" ref="S6:S21" si="7">R6/SUM($R$5:$R$22)</f>
        <v>1.299719887955182E-2</v>
      </c>
      <c r="U6" s="18" t="s">
        <v>33</v>
      </c>
      <c r="V6" s="27">
        <f>SUM(S5:S15)</f>
        <v>0.20112044817927172</v>
      </c>
      <c r="Y6">
        <v>1</v>
      </c>
      <c r="Z6">
        <v>2</v>
      </c>
      <c r="AA6">
        <f>Z6+9</f>
        <v>11</v>
      </c>
      <c r="AB6">
        <f>VLOOKUP(Y6,$D$5:$Q$22,AA6,FALSE)</f>
        <v>313</v>
      </c>
    </row>
    <row r="7" spans="4:28" x14ac:dyDescent="0.2">
      <c r="D7" s="18">
        <v>3</v>
      </c>
      <c r="E7" s="18" t="s">
        <v>23</v>
      </c>
      <c r="F7" s="18">
        <f>SUMIF(装备表!$K$7:$K$315,D7,装备表!$O$7:$O$315)</f>
        <v>202</v>
      </c>
      <c r="G7" s="18">
        <v>100</v>
      </c>
      <c r="H7" s="18">
        <v>625</v>
      </c>
      <c r="I7" s="18">
        <v>256</v>
      </c>
      <c r="J7" s="18">
        <v>81</v>
      </c>
      <c r="K7" s="18">
        <v>0</v>
      </c>
      <c r="L7" s="24">
        <v>0.5</v>
      </c>
      <c r="M7" s="25">
        <f t="shared" si="1"/>
        <v>50</v>
      </c>
      <c r="N7" s="25">
        <f t="shared" si="2"/>
        <v>313</v>
      </c>
      <c r="O7" s="25">
        <f t="shared" si="3"/>
        <v>128</v>
      </c>
      <c r="P7" s="25">
        <f t="shared" si="4"/>
        <v>41</v>
      </c>
      <c r="Q7" s="25">
        <f t="shared" si="5"/>
        <v>0</v>
      </c>
      <c r="R7" s="26">
        <f t="shared" si="6"/>
        <v>101</v>
      </c>
      <c r="S7" s="28">
        <f t="shared" si="7"/>
        <v>1.1316526610644258E-2</v>
      </c>
      <c r="U7" s="18" t="s">
        <v>34</v>
      </c>
      <c r="V7" s="27">
        <f>SUM(S16:S20)</f>
        <v>0.63305322128851538</v>
      </c>
      <c r="Y7">
        <v>1</v>
      </c>
      <c r="Z7">
        <v>2</v>
      </c>
      <c r="AA7">
        <f t="shared" ref="AA7:AA70" si="8">Z7+9</f>
        <v>11</v>
      </c>
      <c r="AB7">
        <f t="shared" ref="AB7:AB70" si="9">VLOOKUP(Y7,$D$5:$Q$22,AA7,FALSE)</f>
        <v>313</v>
      </c>
    </row>
    <row r="8" spans="4:28" x14ac:dyDescent="0.2">
      <c r="D8" s="18">
        <v>4</v>
      </c>
      <c r="E8" s="18" t="s">
        <v>24</v>
      </c>
      <c r="F8" s="18">
        <f>SUMIF(装备表!$K$7:$K$315,D8,装备表!$O$7:$O$315)</f>
        <v>262</v>
      </c>
      <c r="G8" s="18">
        <v>100</v>
      </c>
      <c r="H8" s="18">
        <v>625</v>
      </c>
      <c r="I8" s="18">
        <v>256</v>
      </c>
      <c r="J8" s="18">
        <v>81</v>
      </c>
      <c r="K8" s="18">
        <v>5</v>
      </c>
      <c r="L8" s="24">
        <v>0.5</v>
      </c>
      <c r="M8" s="25">
        <f t="shared" si="1"/>
        <v>50</v>
      </c>
      <c r="N8" s="25">
        <f t="shared" si="2"/>
        <v>313</v>
      </c>
      <c r="O8" s="25">
        <f t="shared" si="3"/>
        <v>128</v>
      </c>
      <c r="P8" s="25">
        <f t="shared" si="4"/>
        <v>41</v>
      </c>
      <c r="Q8" s="25">
        <f t="shared" si="5"/>
        <v>3</v>
      </c>
      <c r="R8" s="26">
        <f t="shared" si="6"/>
        <v>131</v>
      </c>
      <c r="S8" s="28">
        <f t="shared" si="7"/>
        <v>1.4677871148459384E-2</v>
      </c>
      <c r="U8" s="18" t="s">
        <v>2754</v>
      </c>
      <c r="V8" s="27">
        <f>SUM(S21:S22)</f>
        <v>0.16582633053221288</v>
      </c>
      <c r="Y8">
        <v>1</v>
      </c>
      <c r="Z8">
        <v>2</v>
      </c>
      <c r="AA8">
        <f t="shared" si="8"/>
        <v>11</v>
      </c>
      <c r="AB8">
        <f t="shared" si="9"/>
        <v>313</v>
      </c>
    </row>
    <row r="9" spans="4:28" x14ac:dyDescent="0.2">
      <c r="D9" s="18">
        <v>5</v>
      </c>
      <c r="E9" s="18" t="s">
        <v>25</v>
      </c>
      <c r="F9" s="18">
        <f>SUMIF(装备表!$K$7:$K$315,D9,装备表!$O$7:$O$315)</f>
        <v>242</v>
      </c>
      <c r="G9" s="18">
        <v>100</v>
      </c>
      <c r="H9" s="18">
        <v>625</v>
      </c>
      <c r="I9" s="18">
        <v>256</v>
      </c>
      <c r="J9" s="18">
        <v>81</v>
      </c>
      <c r="K9" s="18">
        <v>5</v>
      </c>
      <c r="L9" s="24">
        <v>0.5</v>
      </c>
      <c r="M9" s="25">
        <f t="shared" si="1"/>
        <v>50</v>
      </c>
      <c r="N9" s="25">
        <f t="shared" si="2"/>
        <v>313</v>
      </c>
      <c r="O9" s="25">
        <f t="shared" si="3"/>
        <v>128</v>
      </c>
      <c r="P9" s="25">
        <f t="shared" si="4"/>
        <v>41</v>
      </c>
      <c r="Q9" s="25">
        <f t="shared" si="5"/>
        <v>3</v>
      </c>
      <c r="R9" s="26">
        <f t="shared" si="6"/>
        <v>121</v>
      </c>
      <c r="S9" s="28">
        <f t="shared" si="7"/>
        <v>1.3557422969187676E-2</v>
      </c>
      <c r="Y9">
        <v>1</v>
      </c>
      <c r="Z9">
        <v>2</v>
      </c>
      <c r="AA9">
        <f t="shared" si="8"/>
        <v>11</v>
      </c>
      <c r="AB9">
        <f t="shared" si="9"/>
        <v>313</v>
      </c>
    </row>
    <row r="10" spans="4:28" x14ac:dyDescent="0.2">
      <c r="D10" s="18">
        <v>6</v>
      </c>
      <c r="E10" s="18" t="s">
        <v>26</v>
      </c>
      <c r="F10" s="18">
        <f>SUMIF(装备表!$K$7:$K$315,D10,装备表!$O$7:$O$315)</f>
        <v>242</v>
      </c>
      <c r="G10" s="18">
        <v>100</v>
      </c>
      <c r="H10" s="18">
        <v>625</v>
      </c>
      <c r="I10" s="18">
        <v>256</v>
      </c>
      <c r="J10" s="18">
        <v>81</v>
      </c>
      <c r="K10" s="18">
        <v>5</v>
      </c>
      <c r="L10" s="24">
        <v>0.5</v>
      </c>
      <c r="M10" s="25">
        <f t="shared" si="1"/>
        <v>50</v>
      </c>
      <c r="N10" s="25">
        <f t="shared" si="2"/>
        <v>313</v>
      </c>
      <c r="O10" s="25">
        <f t="shared" si="3"/>
        <v>128</v>
      </c>
      <c r="P10" s="25">
        <f t="shared" si="4"/>
        <v>41</v>
      </c>
      <c r="Q10" s="25">
        <f t="shared" si="5"/>
        <v>3</v>
      </c>
      <c r="R10" s="26">
        <f t="shared" si="6"/>
        <v>121</v>
      </c>
      <c r="S10" s="28">
        <f t="shared" si="7"/>
        <v>1.3557422969187676E-2</v>
      </c>
      <c r="Y10">
        <v>1</v>
      </c>
      <c r="Z10">
        <v>2</v>
      </c>
      <c r="AA10">
        <f t="shared" si="8"/>
        <v>11</v>
      </c>
      <c r="AB10">
        <f t="shared" si="9"/>
        <v>313</v>
      </c>
    </row>
    <row r="11" spans="4:28" x14ac:dyDescent="0.2">
      <c r="D11" s="18">
        <v>7</v>
      </c>
      <c r="E11" s="18" t="s">
        <v>27</v>
      </c>
      <c r="F11" s="18">
        <f>SUMIF(装备表!$K$7:$K$315,D11,装备表!$O$7:$O$315)</f>
        <v>212</v>
      </c>
      <c r="G11" s="18">
        <v>100</v>
      </c>
      <c r="H11" s="18">
        <v>625</v>
      </c>
      <c r="I11" s="18">
        <v>256</v>
      </c>
      <c r="J11" s="18">
        <v>81</v>
      </c>
      <c r="K11" s="18">
        <v>5</v>
      </c>
      <c r="L11" s="24">
        <v>0.5</v>
      </c>
      <c r="M11" s="25">
        <f t="shared" si="1"/>
        <v>50</v>
      </c>
      <c r="N11" s="25">
        <f t="shared" si="2"/>
        <v>313</v>
      </c>
      <c r="O11" s="25">
        <f t="shared" si="3"/>
        <v>128</v>
      </c>
      <c r="P11" s="25">
        <f t="shared" si="4"/>
        <v>41</v>
      </c>
      <c r="Q11" s="25">
        <f t="shared" si="5"/>
        <v>3</v>
      </c>
      <c r="R11" s="26">
        <f t="shared" si="6"/>
        <v>106</v>
      </c>
      <c r="S11" s="28">
        <f t="shared" si="7"/>
        <v>1.1876750700280112E-2</v>
      </c>
      <c r="Y11">
        <v>1</v>
      </c>
      <c r="Z11">
        <v>2</v>
      </c>
      <c r="AA11">
        <f t="shared" si="8"/>
        <v>11</v>
      </c>
      <c r="AB11">
        <f t="shared" si="9"/>
        <v>313</v>
      </c>
    </row>
    <row r="12" spans="4:28" x14ac:dyDescent="0.2">
      <c r="D12" s="18">
        <v>8</v>
      </c>
      <c r="E12" s="18" t="s">
        <v>28</v>
      </c>
      <c r="F12" s="18">
        <f>SUMIF(装备表!$K$7:$K$315,D12,装备表!$O$7:$O$315)</f>
        <v>1110</v>
      </c>
      <c r="G12" s="18">
        <v>100</v>
      </c>
      <c r="H12" s="18">
        <v>625</v>
      </c>
      <c r="I12" s="18">
        <v>256</v>
      </c>
      <c r="J12" s="18">
        <v>81</v>
      </c>
      <c r="K12" s="18">
        <v>5</v>
      </c>
      <c r="L12" s="24">
        <v>0.5</v>
      </c>
      <c r="M12" s="25">
        <f t="shared" si="1"/>
        <v>50</v>
      </c>
      <c r="N12" s="25">
        <f t="shared" si="2"/>
        <v>313</v>
      </c>
      <c r="O12" s="25">
        <f t="shared" si="3"/>
        <v>128</v>
      </c>
      <c r="P12" s="25">
        <f t="shared" si="4"/>
        <v>41</v>
      </c>
      <c r="Q12" s="25">
        <f t="shared" si="5"/>
        <v>3</v>
      </c>
      <c r="R12" s="26">
        <f t="shared" si="6"/>
        <v>555</v>
      </c>
      <c r="S12" s="28">
        <f t="shared" si="7"/>
        <v>6.2184873949579833E-2</v>
      </c>
      <c r="Y12">
        <v>1</v>
      </c>
      <c r="Z12">
        <v>2</v>
      </c>
      <c r="AA12">
        <f t="shared" si="8"/>
        <v>11</v>
      </c>
      <c r="AB12">
        <f t="shared" si="9"/>
        <v>313</v>
      </c>
    </row>
    <row r="13" spans="4:28" x14ac:dyDescent="0.2">
      <c r="D13" s="18">
        <v>9</v>
      </c>
      <c r="E13" s="18" t="s">
        <v>29</v>
      </c>
      <c r="F13" s="18">
        <f>SUMIF(装备表!$K$7:$K$315,D13,装备表!$O$7:$O$315)</f>
        <v>322</v>
      </c>
      <c r="G13" s="18">
        <v>100</v>
      </c>
      <c r="H13" s="18">
        <v>625</v>
      </c>
      <c r="I13" s="18">
        <v>256</v>
      </c>
      <c r="J13" s="18">
        <v>81</v>
      </c>
      <c r="K13" s="18">
        <v>5</v>
      </c>
      <c r="L13" s="24">
        <v>0.5</v>
      </c>
      <c r="M13" s="25">
        <f t="shared" si="1"/>
        <v>50</v>
      </c>
      <c r="N13" s="25">
        <f t="shared" si="2"/>
        <v>313</v>
      </c>
      <c r="O13" s="25">
        <f t="shared" si="3"/>
        <v>128</v>
      </c>
      <c r="P13" s="25">
        <f t="shared" si="4"/>
        <v>41</v>
      </c>
      <c r="Q13" s="25">
        <f t="shared" si="5"/>
        <v>3</v>
      </c>
      <c r="R13" s="26">
        <f t="shared" si="6"/>
        <v>161</v>
      </c>
      <c r="S13" s="28">
        <f t="shared" si="7"/>
        <v>1.803921568627451E-2</v>
      </c>
      <c r="Y13">
        <v>1</v>
      </c>
      <c r="Z13">
        <v>2</v>
      </c>
      <c r="AA13">
        <f t="shared" si="8"/>
        <v>11</v>
      </c>
      <c r="AB13">
        <f t="shared" si="9"/>
        <v>313</v>
      </c>
    </row>
    <row r="14" spans="4:28" x14ac:dyDescent="0.2">
      <c r="D14" s="18">
        <v>10</v>
      </c>
      <c r="E14" s="18" t="s">
        <v>2745</v>
      </c>
      <c r="F14" s="18">
        <f>SUMIF(装备表!$K$7:$K$315,D14,装备表!$O$7:$O$315)</f>
        <v>222</v>
      </c>
      <c r="G14" s="18">
        <v>100</v>
      </c>
      <c r="H14" s="18">
        <v>625</v>
      </c>
      <c r="I14" s="18">
        <v>256</v>
      </c>
      <c r="J14" s="18">
        <v>81</v>
      </c>
      <c r="K14" s="18">
        <v>5</v>
      </c>
      <c r="L14" s="24">
        <v>0.5</v>
      </c>
      <c r="M14" s="25">
        <f t="shared" si="1"/>
        <v>50</v>
      </c>
      <c r="N14" s="25">
        <f t="shared" si="2"/>
        <v>313</v>
      </c>
      <c r="O14" s="25">
        <f t="shared" si="3"/>
        <v>128</v>
      </c>
      <c r="P14" s="25">
        <f t="shared" si="4"/>
        <v>41</v>
      </c>
      <c r="Q14" s="25">
        <f t="shared" si="5"/>
        <v>3</v>
      </c>
      <c r="R14" s="26">
        <f t="shared" si="6"/>
        <v>111</v>
      </c>
      <c r="S14" s="28">
        <f t="shared" si="7"/>
        <v>1.2436974789915966E-2</v>
      </c>
      <c r="Y14">
        <v>1</v>
      </c>
      <c r="Z14">
        <v>2</v>
      </c>
      <c r="AA14">
        <f t="shared" si="8"/>
        <v>11</v>
      </c>
      <c r="AB14">
        <f t="shared" si="9"/>
        <v>313</v>
      </c>
    </row>
    <row r="15" spans="4:28" x14ac:dyDescent="0.2">
      <c r="D15" s="18">
        <v>11</v>
      </c>
      <c r="E15" s="18" t="s">
        <v>2746</v>
      </c>
      <c r="F15" s="18">
        <f>SUMIF(装备表!$K$7:$K$315,D15,装备表!$O$7:$O$315)</f>
        <v>292</v>
      </c>
      <c r="G15" s="18">
        <v>100</v>
      </c>
      <c r="H15" s="18">
        <v>625</v>
      </c>
      <c r="I15" s="18">
        <v>256</v>
      </c>
      <c r="J15" s="18">
        <v>81</v>
      </c>
      <c r="K15" s="18">
        <v>5</v>
      </c>
      <c r="L15" s="24">
        <v>0.5</v>
      </c>
      <c r="M15" s="25">
        <f t="shared" si="1"/>
        <v>50</v>
      </c>
      <c r="N15" s="25">
        <f t="shared" si="2"/>
        <v>313</v>
      </c>
      <c r="O15" s="25">
        <f t="shared" si="3"/>
        <v>128</v>
      </c>
      <c r="P15" s="25">
        <f t="shared" si="4"/>
        <v>41</v>
      </c>
      <c r="Q15" s="25">
        <f t="shared" si="5"/>
        <v>3</v>
      </c>
      <c r="R15" s="26">
        <f t="shared" si="6"/>
        <v>146</v>
      </c>
      <c r="S15" s="28">
        <f t="shared" si="7"/>
        <v>1.6358543417366946E-2</v>
      </c>
      <c r="Y15">
        <v>1</v>
      </c>
      <c r="Z15">
        <v>2</v>
      </c>
      <c r="AA15">
        <f t="shared" si="8"/>
        <v>11</v>
      </c>
      <c r="AB15">
        <f t="shared" si="9"/>
        <v>313</v>
      </c>
    </row>
    <row r="16" spans="4:28" x14ac:dyDescent="0.2">
      <c r="D16" s="18">
        <v>21</v>
      </c>
      <c r="E16" s="18" t="s">
        <v>2747</v>
      </c>
      <c r="F16" s="18">
        <f>SUMIF(装备表!$K$7:$K$315,D16,装备表!$O$7:$O$315)</f>
        <v>545</v>
      </c>
      <c r="G16" s="18">
        <v>100</v>
      </c>
      <c r="H16" s="18">
        <v>625</v>
      </c>
      <c r="I16" s="18">
        <v>256</v>
      </c>
      <c r="J16" s="18">
        <v>81</v>
      </c>
      <c r="K16" s="18">
        <v>5</v>
      </c>
      <c r="L16" s="24">
        <v>2</v>
      </c>
      <c r="M16" s="25">
        <f t="shared" si="1"/>
        <v>200</v>
      </c>
      <c r="N16" s="25">
        <f t="shared" si="2"/>
        <v>1250</v>
      </c>
      <c r="O16" s="25">
        <f t="shared" si="3"/>
        <v>512</v>
      </c>
      <c r="P16" s="25">
        <f t="shared" si="4"/>
        <v>162</v>
      </c>
      <c r="Q16" s="25">
        <f t="shared" si="5"/>
        <v>10</v>
      </c>
      <c r="R16" s="26">
        <f t="shared" si="6"/>
        <v>1090</v>
      </c>
      <c r="S16" s="28">
        <f t="shared" si="7"/>
        <v>0.12212885154061624</v>
      </c>
      <c r="Y16">
        <v>1</v>
      </c>
      <c r="Z16">
        <v>2</v>
      </c>
      <c r="AA16">
        <f t="shared" si="8"/>
        <v>11</v>
      </c>
      <c r="AB16">
        <f t="shared" si="9"/>
        <v>313</v>
      </c>
    </row>
    <row r="17" spans="4:28" x14ac:dyDescent="0.2">
      <c r="D17" s="18">
        <v>22</v>
      </c>
      <c r="E17" s="18" t="s">
        <v>2748</v>
      </c>
      <c r="F17" s="18">
        <f>SUMIF(装备表!$K$7:$K$315,D17,装备表!$O$7:$O$315)</f>
        <v>645</v>
      </c>
      <c r="G17" s="18">
        <v>100</v>
      </c>
      <c r="H17" s="18">
        <v>625</v>
      </c>
      <c r="I17" s="18">
        <v>256</v>
      </c>
      <c r="J17" s="18">
        <v>81</v>
      </c>
      <c r="K17" s="18">
        <v>5</v>
      </c>
      <c r="L17" s="24">
        <v>2</v>
      </c>
      <c r="M17" s="25">
        <f t="shared" si="1"/>
        <v>200</v>
      </c>
      <c r="N17" s="25">
        <f t="shared" si="2"/>
        <v>1250</v>
      </c>
      <c r="O17" s="25">
        <f t="shared" si="3"/>
        <v>512</v>
      </c>
      <c r="P17" s="25">
        <f t="shared" si="4"/>
        <v>162</v>
      </c>
      <c r="Q17" s="25">
        <f t="shared" si="5"/>
        <v>10</v>
      </c>
      <c r="R17" s="26">
        <f t="shared" si="6"/>
        <v>1290</v>
      </c>
      <c r="S17" s="28">
        <f t="shared" si="7"/>
        <v>0.14453781512605043</v>
      </c>
      <c r="Y17">
        <v>1</v>
      </c>
      <c r="Z17">
        <v>2</v>
      </c>
      <c r="AA17">
        <f t="shared" si="8"/>
        <v>11</v>
      </c>
      <c r="AB17">
        <f t="shared" si="9"/>
        <v>313</v>
      </c>
    </row>
    <row r="18" spans="4:28" x14ac:dyDescent="0.2">
      <c r="D18" s="18">
        <v>23</v>
      </c>
      <c r="E18" s="18" t="s">
        <v>2749</v>
      </c>
      <c r="F18" s="18">
        <f>SUMIF(装备表!$K$7:$K$315,D18,装备表!$O$7:$O$315)</f>
        <v>575</v>
      </c>
      <c r="G18" s="18">
        <v>100</v>
      </c>
      <c r="H18" s="18">
        <v>625</v>
      </c>
      <c r="I18" s="18">
        <v>256</v>
      </c>
      <c r="J18" s="18">
        <v>81</v>
      </c>
      <c r="K18" s="18">
        <v>5</v>
      </c>
      <c r="L18" s="24">
        <v>2</v>
      </c>
      <c r="M18" s="25">
        <f t="shared" si="1"/>
        <v>200</v>
      </c>
      <c r="N18" s="25">
        <f t="shared" si="2"/>
        <v>1250</v>
      </c>
      <c r="O18" s="25">
        <f t="shared" si="3"/>
        <v>512</v>
      </c>
      <c r="P18" s="25">
        <f t="shared" si="4"/>
        <v>162</v>
      </c>
      <c r="Q18" s="25">
        <f t="shared" si="5"/>
        <v>10</v>
      </c>
      <c r="R18" s="26">
        <f t="shared" si="6"/>
        <v>1150</v>
      </c>
      <c r="S18" s="28">
        <f t="shared" si="7"/>
        <v>0.12885154061624648</v>
      </c>
      <c r="Y18">
        <v>1</v>
      </c>
      <c r="Z18">
        <v>2</v>
      </c>
      <c r="AA18">
        <f t="shared" si="8"/>
        <v>11</v>
      </c>
      <c r="AB18">
        <f t="shared" si="9"/>
        <v>313</v>
      </c>
    </row>
    <row r="19" spans="4:28" x14ac:dyDescent="0.2">
      <c r="D19" s="18">
        <v>24</v>
      </c>
      <c r="E19" s="18" t="s">
        <v>2750</v>
      </c>
      <c r="F19" s="18">
        <f>SUMIF(装备表!$K$7:$K$315,D19,装备表!$O$7:$O$315)</f>
        <v>525</v>
      </c>
      <c r="G19" s="18">
        <v>100</v>
      </c>
      <c r="H19" s="18">
        <v>625</v>
      </c>
      <c r="I19" s="18">
        <v>256</v>
      </c>
      <c r="J19" s="18">
        <v>81</v>
      </c>
      <c r="K19" s="18">
        <v>5</v>
      </c>
      <c r="L19" s="24">
        <v>2</v>
      </c>
      <c r="M19" s="25">
        <f t="shared" si="1"/>
        <v>200</v>
      </c>
      <c r="N19" s="25">
        <f t="shared" si="2"/>
        <v>1250</v>
      </c>
      <c r="O19" s="25">
        <f t="shared" si="3"/>
        <v>512</v>
      </c>
      <c r="P19" s="25">
        <f t="shared" si="4"/>
        <v>162</v>
      </c>
      <c r="Q19" s="25">
        <f t="shared" si="5"/>
        <v>10</v>
      </c>
      <c r="R19" s="26">
        <f t="shared" si="6"/>
        <v>1050</v>
      </c>
      <c r="S19" s="28">
        <f t="shared" si="7"/>
        <v>0.11764705882352941</v>
      </c>
      <c r="Y19">
        <v>1</v>
      </c>
      <c r="Z19">
        <v>2</v>
      </c>
      <c r="AA19">
        <f t="shared" si="8"/>
        <v>11</v>
      </c>
      <c r="AB19">
        <f t="shared" si="9"/>
        <v>313</v>
      </c>
    </row>
    <row r="20" spans="4:28" x14ac:dyDescent="0.2">
      <c r="D20" s="18">
        <v>25</v>
      </c>
      <c r="E20" s="18" t="s">
        <v>2751</v>
      </c>
      <c r="F20" s="18">
        <f>SUMIF(装备表!$K$7:$K$315,D20,装备表!$O$7:$O$315)</f>
        <v>535</v>
      </c>
      <c r="G20" s="18">
        <v>100</v>
      </c>
      <c r="H20" s="18">
        <v>625</v>
      </c>
      <c r="I20" s="18">
        <v>256</v>
      </c>
      <c r="J20" s="18">
        <v>81</v>
      </c>
      <c r="K20" s="18">
        <v>5</v>
      </c>
      <c r="L20" s="24">
        <v>2</v>
      </c>
      <c r="M20" s="25">
        <f t="shared" si="1"/>
        <v>200</v>
      </c>
      <c r="N20" s="25">
        <f t="shared" si="2"/>
        <v>1250</v>
      </c>
      <c r="O20" s="25">
        <f t="shared" si="3"/>
        <v>512</v>
      </c>
      <c r="P20" s="25">
        <f t="shared" si="4"/>
        <v>162</v>
      </c>
      <c r="Q20" s="25">
        <f t="shared" si="5"/>
        <v>10</v>
      </c>
      <c r="R20" s="26">
        <f t="shared" si="6"/>
        <v>1070</v>
      </c>
      <c r="S20" s="28">
        <f t="shared" si="7"/>
        <v>0.11988795518207283</v>
      </c>
      <c r="Y20">
        <v>1</v>
      </c>
      <c r="Z20">
        <v>2</v>
      </c>
      <c r="AA20">
        <f t="shared" si="8"/>
        <v>11</v>
      </c>
      <c r="AB20">
        <f t="shared" si="9"/>
        <v>313</v>
      </c>
    </row>
    <row r="21" spans="4:28" x14ac:dyDescent="0.2">
      <c r="D21" s="18">
        <v>31</v>
      </c>
      <c r="E21" s="18" t="s">
        <v>2752</v>
      </c>
      <c r="F21" s="18">
        <f>SUMIF(装备表!$K$7:$K$315,D21,装备表!$O$7:$O$315)</f>
        <v>300</v>
      </c>
      <c r="G21" s="18">
        <v>0</v>
      </c>
      <c r="H21" s="18">
        <v>625</v>
      </c>
      <c r="I21" s="18">
        <v>256</v>
      </c>
      <c r="J21" s="18">
        <v>81</v>
      </c>
      <c r="K21" s="18">
        <v>5</v>
      </c>
      <c r="L21" s="24">
        <v>1</v>
      </c>
      <c r="M21" s="25">
        <f t="shared" si="1"/>
        <v>0</v>
      </c>
      <c r="N21" s="25">
        <f t="shared" si="2"/>
        <v>625</v>
      </c>
      <c r="O21" s="25">
        <f t="shared" si="3"/>
        <v>256</v>
      </c>
      <c r="P21" s="25">
        <f t="shared" si="4"/>
        <v>81</v>
      </c>
      <c r="Q21" s="25">
        <f t="shared" si="5"/>
        <v>5</v>
      </c>
      <c r="R21" s="26">
        <f t="shared" si="6"/>
        <v>300</v>
      </c>
      <c r="S21" s="28">
        <f t="shared" si="7"/>
        <v>3.3613445378151259E-2</v>
      </c>
      <c r="Y21">
        <v>1</v>
      </c>
      <c r="Z21">
        <v>2</v>
      </c>
      <c r="AA21">
        <f t="shared" si="8"/>
        <v>11</v>
      </c>
      <c r="AB21">
        <f t="shared" si="9"/>
        <v>313</v>
      </c>
    </row>
    <row r="22" spans="4:28" x14ac:dyDescent="0.2">
      <c r="D22" s="18">
        <v>32</v>
      </c>
      <c r="E22" s="18" t="s">
        <v>2753</v>
      </c>
      <c r="F22" s="18">
        <f>SUMIF(装备表!$K$7:$K$315,D22,装备表!$O$7:$O$315)</f>
        <v>590</v>
      </c>
      <c r="G22" s="18">
        <v>0</v>
      </c>
      <c r="H22" s="18">
        <v>625</v>
      </c>
      <c r="I22" s="18">
        <v>256</v>
      </c>
      <c r="J22" s="18">
        <v>81</v>
      </c>
      <c r="K22" s="18">
        <v>5</v>
      </c>
      <c r="L22" s="24">
        <v>2</v>
      </c>
      <c r="M22" s="25">
        <f t="shared" si="1"/>
        <v>0</v>
      </c>
      <c r="N22" s="25">
        <f t="shared" si="2"/>
        <v>1250</v>
      </c>
      <c r="O22" s="25">
        <f t="shared" si="3"/>
        <v>512</v>
      </c>
      <c r="P22" s="25">
        <f t="shared" si="4"/>
        <v>162</v>
      </c>
      <c r="Q22" s="25">
        <f t="shared" si="5"/>
        <v>10</v>
      </c>
      <c r="R22" s="26">
        <f t="shared" si="6"/>
        <v>1180</v>
      </c>
      <c r="S22" s="28">
        <f>R22/SUM($R$5:$R$22)</f>
        <v>0.13221288515406163</v>
      </c>
      <c r="Y22">
        <v>1</v>
      </c>
      <c r="Z22">
        <v>2</v>
      </c>
      <c r="AA22">
        <f t="shared" si="8"/>
        <v>11</v>
      </c>
      <c r="AB22">
        <f t="shared" si="9"/>
        <v>313</v>
      </c>
    </row>
    <row r="23" spans="4:28" x14ac:dyDescent="0.2">
      <c r="Y23">
        <v>1</v>
      </c>
      <c r="Z23">
        <v>2</v>
      </c>
      <c r="AA23">
        <f t="shared" si="8"/>
        <v>11</v>
      </c>
      <c r="AB23">
        <f t="shared" si="9"/>
        <v>313</v>
      </c>
    </row>
    <row r="24" spans="4:28" x14ac:dyDescent="0.2">
      <c r="Y24">
        <v>1</v>
      </c>
      <c r="Z24">
        <v>2</v>
      </c>
      <c r="AA24">
        <f t="shared" si="8"/>
        <v>11</v>
      </c>
      <c r="AB24">
        <f t="shared" si="9"/>
        <v>313</v>
      </c>
    </row>
    <row r="25" spans="4:28" x14ac:dyDescent="0.2">
      <c r="Y25">
        <v>1</v>
      </c>
      <c r="Z25">
        <v>2</v>
      </c>
      <c r="AA25">
        <f t="shared" si="8"/>
        <v>11</v>
      </c>
      <c r="AB25">
        <f t="shared" si="9"/>
        <v>313</v>
      </c>
    </row>
    <row r="26" spans="4:28" x14ac:dyDescent="0.2">
      <c r="Y26">
        <v>1</v>
      </c>
      <c r="Z26">
        <v>2</v>
      </c>
      <c r="AA26">
        <f t="shared" si="8"/>
        <v>11</v>
      </c>
      <c r="AB26">
        <f t="shared" si="9"/>
        <v>313</v>
      </c>
    </row>
    <row r="27" spans="4:28" x14ac:dyDescent="0.2">
      <c r="Y27">
        <v>1</v>
      </c>
      <c r="Z27">
        <v>2</v>
      </c>
      <c r="AA27">
        <f t="shared" si="8"/>
        <v>11</v>
      </c>
      <c r="AB27">
        <f t="shared" si="9"/>
        <v>313</v>
      </c>
    </row>
    <row r="28" spans="4:28" x14ac:dyDescent="0.2">
      <c r="Y28">
        <v>1</v>
      </c>
      <c r="Z28">
        <v>2</v>
      </c>
      <c r="AA28">
        <f t="shared" si="8"/>
        <v>11</v>
      </c>
      <c r="AB28">
        <f t="shared" si="9"/>
        <v>313</v>
      </c>
    </row>
    <row r="29" spans="4:28" x14ac:dyDescent="0.2">
      <c r="Y29">
        <v>1</v>
      </c>
      <c r="Z29">
        <v>2</v>
      </c>
      <c r="AA29">
        <f t="shared" si="8"/>
        <v>11</v>
      </c>
      <c r="AB29">
        <f t="shared" si="9"/>
        <v>313</v>
      </c>
    </row>
    <row r="30" spans="4:28" x14ac:dyDescent="0.2">
      <c r="Y30">
        <v>1</v>
      </c>
      <c r="Z30">
        <v>2</v>
      </c>
      <c r="AA30">
        <f t="shared" si="8"/>
        <v>11</v>
      </c>
      <c r="AB30">
        <f t="shared" si="9"/>
        <v>313</v>
      </c>
    </row>
    <row r="31" spans="4:28" x14ac:dyDescent="0.2">
      <c r="Y31">
        <v>2</v>
      </c>
      <c r="Z31">
        <v>2</v>
      </c>
      <c r="AA31">
        <f t="shared" si="8"/>
        <v>11</v>
      </c>
      <c r="AB31">
        <f t="shared" si="9"/>
        <v>313</v>
      </c>
    </row>
    <row r="32" spans="4:28" x14ac:dyDescent="0.2">
      <c r="Y32">
        <v>2</v>
      </c>
      <c r="Z32">
        <v>2</v>
      </c>
      <c r="AA32">
        <f t="shared" si="8"/>
        <v>11</v>
      </c>
      <c r="AB32">
        <f t="shared" si="9"/>
        <v>313</v>
      </c>
    </row>
    <row r="33" spans="25:28" x14ac:dyDescent="0.2">
      <c r="Y33">
        <v>2</v>
      </c>
      <c r="Z33">
        <v>2</v>
      </c>
      <c r="AA33">
        <f t="shared" si="8"/>
        <v>11</v>
      </c>
      <c r="AB33">
        <f t="shared" si="9"/>
        <v>313</v>
      </c>
    </row>
    <row r="34" spans="25:28" x14ac:dyDescent="0.2">
      <c r="Y34">
        <v>2</v>
      </c>
      <c r="Z34">
        <v>2</v>
      </c>
      <c r="AA34">
        <f t="shared" si="8"/>
        <v>11</v>
      </c>
      <c r="AB34">
        <f t="shared" si="9"/>
        <v>313</v>
      </c>
    </row>
    <row r="35" spans="25:28" x14ac:dyDescent="0.2">
      <c r="Y35">
        <v>2</v>
      </c>
      <c r="Z35">
        <v>2</v>
      </c>
      <c r="AA35">
        <f t="shared" si="8"/>
        <v>11</v>
      </c>
      <c r="AB35">
        <f t="shared" si="9"/>
        <v>313</v>
      </c>
    </row>
    <row r="36" spans="25:28" x14ac:dyDescent="0.2">
      <c r="Y36">
        <v>2</v>
      </c>
      <c r="Z36">
        <v>2</v>
      </c>
      <c r="AA36">
        <f t="shared" si="8"/>
        <v>11</v>
      </c>
      <c r="AB36">
        <f t="shared" si="9"/>
        <v>313</v>
      </c>
    </row>
    <row r="37" spans="25:28" x14ac:dyDescent="0.2">
      <c r="Y37">
        <v>2</v>
      </c>
      <c r="Z37">
        <v>2</v>
      </c>
      <c r="AA37">
        <f t="shared" si="8"/>
        <v>11</v>
      </c>
      <c r="AB37">
        <f t="shared" si="9"/>
        <v>313</v>
      </c>
    </row>
    <row r="38" spans="25:28" x14ac:dyDescent="0.2">
      <c r="Y38">
        <v>2</v>
      </c>
      <c r="Z38">
        <v>2</v>
      </c>
      <c r="AA38">
        <f t="shared" si="8"/>
        <v>11</v>
      </c>
      <c r="AB38">
        <f t="shared" si="9"/>
        <v>313</v>
      </c>
    </row>
    <row r="39" spans="25:28" x14ac:dyDescent="0.2">
      <c r="Y39">
        <v>2</v>
      </c>
      <c r="Z39">
        <v>2</v>
      </c>
      <c r="AA39">
        <f t="shared" si="8"/>
        <v>11</v>
      </c>
      <c r="AB39">
        <f t="shared" si="9"/>
        <v>313</v>
      </c>
    </row>
    <row r="40" spans="25:28" x14ac:dyDescent="0.2">
      <c r="Y40">
        <v>2</v>
      </c>
      <c r="Z40">
        <v>2</v>
      </c>
      <c r="AA40">
        <f t="shared" si="8"/>
        <v>11</v>
      </c>
      <c r="AB40">
        <f t="shared" si="9"/>
        <v>313</v>
      </c>
    </row>
    <row r="41" spans="25:28" x14ac:dyDescent="0.2">
      <c r="Y41">
        <v>2</v>
      </c>
      <c r="Z41">
        <v>2</v>
      </c>
      <c r="AA41">
        <f t="shared" si="8"/>
        <v>11</v>
      </c>
      <c r="AB41">
        <f t="shared" si="9"/>
        <v>313</v>
      </c>
    </row>
    <row r="42" spans="25:28" x14ac:dyDescent="0.2">
      <c r="Y42">
        <v>2</v>
      </c>
      <c r="Z42">
        <v>2</v>
      </c>
      <c r="AA42">
        <f t="shared" si="8"/>
        <v>11</v>
      </c>
      <c r="AB42">
        <f t="shared" si="9"/>
        <v>313</v>
      </c>
    </row>
    <row r="43" spans="25:28" x14ac:dyDescent="0.2">
      <c r="Y43">
        <v>2</v>
      </c>
      <c r="Z43">
        <v>2</v>
      </c>
      <c r="AA43">
        <f t="shared" si="8"/>
        <v>11</v>
      </c>
      <c r="AB43">
        <f t="shared" si="9"/>
        <v>313</v>
      </c>
    </row>
    <row r="44" spans="25:28" x14ac:dyDescent="0.2">
      <c r="Y44">
        <v>2</v>
      </c>
      <c r="Z44">
        <v>2</v>
      </c>
      <c r="AA44">
        <f t="shared" si="8"/>
        <v>11</v>
      </c>
      <c r="AB44">
        <f t="shared" si="9"/>
        <v>313</v>
      </c>
    </row>
    <row r="45" spans="25:28" x14ac:dyDescent="0.2">
      <c r="Y45">
        <v>2</v>
      </c>
      <c r="Z45">
        <v>2</v>
      </c>
      <c r="AA45">
        <f t="shared" si="8"/>
        <v>11</v>
      </c>
      <c r="AB45">
        <f t="shared" si="9"/>
        <v>313</v>
      </c>
    </row>
    <row r="46" spans="25:28" x14ac:dyDescent="0.2">
      <c r="Y46">
        <v>2</v>
      </c>
      <c r="Z46">
        <v>2</v>
      </c>
      <c r="AA46">
        <f t="shared" si="8"/>
        <v>11</v>
      </c>
      <c r="AB46">
        <f t="shared" si="9"/>
        <v>313</v>
      </c>
    </row>
    <row r="47" spans="25:28" x14ac:dyDescent="0.2">
      <c r="Y47">
        <v>2</v>
      </c>
      <c r="Z47">
        <v>2</v>
      </c>
      <c r="AA47">
        <f t="shared" si="8"/>
        <v>11</v>
      </c>
      <c r="AB47">
        <f t="shared" si="9"/>
        <v>313</v>
      </c>
    </row>
    <row r="48" spans="25:28" x14ac:dyDescent="0.2">
      <c r="Y48">
        <v>2</v>
      </c>
      <c r="Z48">
        <v>2</v>
      </c>
      <c r="AA48">
        <f t="shared" si="8"/>
        <v>11</v>
      </c>
      <c r="AB48">
        <f t="shared" si="9"/>
        <v>313</v>
      </c>
    </row>
    <row r="49" spans="25:28" x14ac:dyDescent="0.2">
      <c r="Y49">
        <v>2</v>
      </c>
      <c r="Z49">
        <v>2</v>
      </c>
      <c r="AA49">
        <f t="shared" si="8"/>
        <v>11</v>
      </c>
      <c r="AB49">
        <f t="shared" si="9"/>
        <v>313</v>
      </c>
    </row>
    <row r="50" spans="25:28" x14ac:dyDescent="0.2">
      <c r="Y50">
        <v>2</v>
      </c>
      <c r="Z50">
        <v>2</v>
      </c>
      <c r="AA50">
        <f t="shared" si="8"/>
        <v>11</v>
      </c>
      <c r="AB50">
        <f t="shared" si="9"/>
        <v>313</v>
      </c>
    </row>
    <row r="51" spans="25:28" x14ac:dyDescent="0.2">
      <c r="Y51">
        <v>2</v>
      </c>
      <c r="Z51">
        <v>2</v>
      </c>
      <c r="AA51">
        <f t="shared" si="8"/>
        <v>11</v>
      </c>
      <c r="AB51">
        <f t="shared" si="9"/>
        <v>313</v>
      </c>
    </row>
    <row r="52" spans="25:28" x14ac:dyDescent="0.2">
      <c r="Y52">
        <v>2</v>
      </c>
      <c r="Z52">
        <v>2</v>
      </c>
      <c r="AA52">
        <f t="shared" si="8"/>
        <v>11</v>
      </c>
      <c r="AB52">
        <f t="shared" si="9"/>
        <v>313</v>
      </c>
    </row>
    <row r="53" spans="25:28" x14ac:dyDescent="0.2">
      <c r="Y53">
        <v>2</v>
      </c>
      <c r="Z53">
        <v>2</v>
      </c>
      <c r="AA53">
        <f t="shared" si="8"/>
        <v>11</v>
      </c>
      <c r="AB53">
        <f t="shared" si="9"/>
        <v>313</v>
      </c>
    </row>
    <row r="54" spans="25:28" x14ac:dyDescent="0.2">
      <c r="Y54">
        <v>2</v>
      </c>
      <c r="Z54">
        <v>2</v>
      </c>
      <c r="AA54">
        <f t="shared" si="8"/>
        <v>11</v>
      </c>
      <c r="AB54">
        <f t="shared" si="9"/>
        <v>313</v>
      </c>
    </row>
    <row r="55" spans="25:28" x14ac:dyDescent="0.2">
      <c r="Y55">
        <v>2</v>
      </c>
      <c r="Z55">
        <v>2</v>
      </c>
      <c r="AA55">
        <f t="shared" si="8"/>
        <v>11</v>
      </c>
      <c r="AB55">
        <f t="shared" si="9"/>
        <v>313</v>
      </c>
    </row>
    <row r="56" spans="25:28" x14ac:dyDescent="0.2">
      <c r="Y56">
        <v>3</v>
      </c>
      <c r="Z56">
        <v>2</v>
      </c>
      <c r="AA56">
        <f t="shared" si="8"/>
        <v>11</v>
      </c>
      <c r="AB56">
        <f t="shared" si="9"/>
        <v>313</v>
      </c>
    </row>
    <row r="57" spans="25:28" x14ac:dyDescent="0.2">
      <c r="Y57">
        <v>3</v>
      </c>
      <c r="Z57">
        <v>2</v>
      </c>
      <c r="AA57">
        <f t="shared" si="8"/>
        <v>11</v>
      </c>
      <c r="AB57">
        <f t="shared" si="9"/>
        <v>313</v>
      </c>
    </row>
    <row r="58" spans="25:28" x14ac:dyDescent="0.2">
      <c r="Y58">
        <v>3</v>
      </c>
      <c r="Z58">
        <v>2</v>
      </c>
      <c r="AA58">
        <f t="shared" si="8"/>
        <v>11</v>
      </c>
      <c r="AB58">
        <f t="shared" si="9"/>
        <v>313</v>
      </c>
    </row>
    <row r="59" spans="25:28" x14ac:dyDescent="0.2">
      <c r="Y59">
        <v>3</v>
      </c>
      <c r="Z59">
        <v>2</v>
      </c>
      <c r="AA59">
        <f t="shared" si="8"/>
        <v>11</v>
      </c>
      <c r="AB59">
        <f t="shared" si="9"/>
        <v>313</v>
      </c>
    </row>
    <row r="60" spans="25:28" x14ac:dyDescent="0.2">
      <c r="Y60">
        <v>3</v>
      </c>
      <c r="Z60">
        <v>2</v>
      </c>
      <c r="AA60">
        <f t="shared" si="8"/>
        <v>11</v>
      </c>
      <c r="AB60">
        <f t="shared" si="9"/>
        <v>313</v>
      </c>
    </row>
    <row r="61" spans="25:28" x14ac:dyDescent="0.2">
      <c r="Y61">
        <v>3</v>
      </c>
      <c r="Z61">
        <v>2</v>
      </c>
      <c r="AA61">
        <f t="shared" si="8"/>
        <v>11</v>
      </c>
      <c r="AB61">
        <f t="shared" si="9"/>
        <v>313</v>
      </c>
    </row>
    <row r="62" spans="25:28" x14ac:dyDescent="0.2">
      <c r="Y62">
        <v>3</v>
      </c>
      <c r="Z62">
        <v>2</v>
      </c>
      <c r="AA62">
        <f t="shared" si="8"/>
        <v>11</v>
      </c>
      <c r="AB62">
        <f t="shared" si="9"/>
        <v>313</v>
      </c>
    </row>
    <row r="63" spans="25:28" x14ac:dyDescent="0.2">
      <c r="Y63">
        <v>3</v>
      </c>
      <c r="Z63">
        <v>2</v>
      </c>
      <c r="AA63">
        <f t="shared" si="8"/>
        <v>11</v>
      </c>
      <c r="AB63">
        <f t="shared" si="9"/>
        <v>313</v>
      </c>
    </row>
    <row r="64" spans="25:28" x14ac:dyDescent="0.2">
      <c r="Y64">
        <v>3</v>
      </c>
      <c r="Z64">
        <v>2</v>
      </c>
      <c r="AA64">
        <f t="shared" si="8"/>
        <v>11</v>
      </c>
      <c r="AB64">
        <f t="shared" si="9"/>
        <v>313</v>
      </c>
    </row>
    <row r="65" spans="25:28" x14ac:dyDescent="0.2">
      <c r="Y65">
        <v>3</v>
      </c>
      <c r="Z65">
        <v>2</v>
      </c>
      <c r="AA65">
        <f t="shared" si="8"/>
        <v>11</v>
      </c>
      <c r="AB65">
        <f t="shared" si="9"/>
        <v>313</v>
      </c>
    </row>
    <row r="66" spans="25:28" x14ac:dyDescent="0.2">
      <c r="Y66">
        <v>3</v>
      </c>
      <c r="Z66">
        <v>2</v>
      </c>
      <c r="AA66">
        <f t="shared" si="8"/>
        <v>11</v>
      </c>
      <c r="AB66">
        <f t="shared" si="9"/>
        <v>313</v>
      </c>
    </row>
    <row r="67" spans="25:28" x14ac:dyDescent="0.2">
      <c r="Y67">
        <v>3</v>
      </c>
      <c r="Z67">
        <v>2</v>
      </c>
      <c r="AA67">
        <f t="shared" si="8"/>
        <v>11</v>
      </c>
      <c r="AB67">
        <f t="shared" si="9"/>
        <v>313</v>
      </c>
    </row>
    <row r="68" spans="25:28" x14ac:dyDescent="0.2">
      <c r="Y68">
        <v>3</v>
      </c>
      <c r="Z68">
        <v>2</v>
      </c>
      <c r="AA68">
        <f t="shared" si="8"/>
        <v>11</v>
      </c>
      <c r="AB68">
        <f t="shared" si="9"/>
        <v>313</v>
      </c>
    </row>
    <row r="69" spans="25:28" x14ac:dyDescent="0.2">
      <c r="Y69">
        <v>3</v>
      </c>
      <c r="Z69">
        <v>2</v>
      </c>
      <c r="AA69">
        <f t="shared" si="8"/>
        <v>11</v>
      </c>
      <c r="AB69">
        <f t="shared" si="9"/>
        <v>313</v>
      </c>
    </row>
    <row r="70" spans="25:28" x14ac:dyDescent="0.2">
      <c r="Y70">
        <v>3</v>
      </c>
      <c r="Z70">
        <v>2</v>
      </c>
      <c r="AA70">
        <f t="shared" si="8"/>
        <v>11</v>
      </c>
      <c r="AB70">
        <f t="shared" si="9"/>
        <v>313</v>
      </c>
    </row>
    <row r="71" spans="25:28" x14ac:dyDescent="0.2">
      <c r="Y71">
        <v>3</v>
      </c>
      <c r="Z71">
        <v>2</v>
      </c>
      <c r="AA71">
        <f t="shared" ref="AA71:AA134" si="10">Z71+9</f>
        <v>11</v>
      </c>
      <c r="AB71">
        <f t="shared" ref="AB71:AB134" si="11">VLOOKUP(Y71,$D$5:$Q$22,AA71,FALSE)</f>
        <v>313</v>
      </c>
    </row>
    <row r="72" spans="25:28" x14ac:dyDescent="0.2">
      <c r="Y72">
        <v>3</v>
      </c>
      <c r="Z72">
        <v>2</v>
      </c>
      <c r="AA72">
        <f t="shared" si="10"/>
        <v>11</v>
      </c>
      <c r="AB72">
        <f t="shared" si="11"/>
        <v>313</v>
      </c>
    </row>
    <row r="73" spans="25:28" x14ac:dyDescent="0.2">
      <c r="Y73">
        <v>3</v>
      </c>
      <c r="Z73">
        <v>2</v>
      </c>
      <c r="AA73">
        <f t="shared" si="10"/>
        <v>11</v>
      </c>
      <c r="AB73">
        <f t="shared" si="11"/>
        <v>313</v>
      </c>
    </row>
    <row r="74" spans="25:28" x14ac:dyDescent="0.2">
      <c r="Y74">
        <v>3</v>
      </c>
      <c r="Z74">
        <v>2</v>
      </c>
      <c r="AA74">
        <f t="shared" si="10"/>
        <v>11</v>
      </c>
      <c r="AB74">
        <f t="shared" si="11"/>
        <v>313</v>
      </c>
    </row>
    <row r="75" spans="25:28" x14ac:dyDescent="0.2">
      <c r="Y75">
        <v>3</v>
      </c>
      <c r="Z75">
        <v>2</v>
      </c>
      <c r="AA75">
        <f t="shared" si="10"/>
        <v>11</v>
      </c>
      <c r="AB75">
        <f t="shared" si="11"/>
        <v>313</v>
      </c>
    </row>
    <row r="76" spans="25:28" x14ac:dyDescent="0.2">
      <c r="Y76">
        <v>3</v>
      </c>
      <c r="Z76">
        <v>2</v>
      </c>
      <c r="AA76">
        <f t="shared" si="10"/>
        <v>11</v>
      </c>
      <c r="AB76">
        <f t="shared" si="11"/>
        <v>313</v>
      </c>
    </row>
    <row r="77" spans="25:28" x14ac:dyDescent="0.2">
      <c r="Y77">
        <v>3</v>
      </c>
      <c r="Z77">
        <v>2</v>
      </c>
      <c r="AA77">
        <f t="shared" si="10"/>
        <v>11</v>
      </c>
      <c r="AB77">
        <f t="shared" si="11"/>
        <v>313</v>
      </c>
    </row>
    <row r="78" spans="25:28" x14ac:dyDescent="0.2">
      <c r="Y78">
        <v>3</v>
      </c>
      <c r="Z78">
        <v>2</v>
      </c>
      <c r="AA78">
        <f t="shared" si="10"/>
        <v>11</v>
      </c>
      <c r="AB78">
        <f t="shared" si="11"/>
        <v>313</v>
      </c>
    </row>
    <row r="79" spans="25:28" x14ac:dyDescent="0.2">
      <c r="Y79">
        <v>3</v>
      </c>
      <c r="Z79">
        <v>2</v>
      </c>
      <c r="AA79">
        <f t="shared" si="10"/>
        <v>11</v>
      </c>
      <c r="AB79">
        <f t="shared" si="11"/>
        <v>313</v>
      </c>
    </row>
    <row r="80" spans="25:28" x14ac:dyDescent="0.2">
      <c r="Y80">
        <v>3</v>
      </c>
      <c r="Z80">
        <v>2</v>
      </c>
      <c r="AA80">
        <f t="shared" si="10"/>
        <v>11</v>
      </c>
      <c r="AB80">
        <f t="shared" si="11"/>
        <v>313</v>
      </c>
    </row>
    <row r="81" spans="25:28" x14ac:dyDescent="0.2">
      <c r="Y81">
        <v>4</v>
      </c>
      <c r="Z81">
        <v>2</v>
      </c>
      <c r="AA81">
        <f t="shared" si="10"/>
        <v>11</v>
      </c>
      <c r="AB81">
        <f t="shared" si="11"/>
        <v>313</v>
      </c>
    </row>
    <row r="82" spans="25:28" x14ac:dyDescent="0.2">
      <c r="Y82">
        <v>4</v>
      </c>
      <c r="Z82">
        <v>2</v>
      </c>
      <c r="AA82">
        <f t="shared" si="10"/>
        <v>11</v>
      </c>
      <c r="AB82">
        <f t="shared" si="11"/>
        <v>313</v>
      </c>
    </row>
    <row r="83" spans="25:28" x14ac:dyDescent="0.2">
      <c r="Y83">
        <v>4</v>
      </c>
      <c r="Z83">
        <v>2</v>
      </c>
      <c r="AA83">
        <f t="shared" si="10"/>
        <v>11</v>
      </c>
      <c r="AB83">
        <f t="shared" si="11"/>
        <v>313</v>
      </c>
    </row>
    <row r="84" spans="25:28" x14ac:dyDescent="0.2">
      <c r="Y84">
        <v>4</v>
      </c>
      <c r="Z84">
        <v>2</v>
      </c>
      <c r="AA84">
        <f t="shared" si="10"/>
        <v>11</v>
      </c>
      <c r="AB84">
        <f t="shared" si="11"/>
        <v>313</v>
      </c>
    </row>
    <row r="85" spans="25:28" x14ac:dyDescent="0.2">
      <c r="Y85">
        <v>4</v>
      </c>
      <c r="Z85">
        <v>2</v>
      </c>
      <c r="AA85">
        <f t="shared" si="10"/>
        <v>11</v>
      </c>
      <c r="AB85">
        <f t="shared" si="11"/>
        <v>313</v>
      </c>
    </row>
    <row r="86" spans="25:28" x14ac:dyDescent="0.2">
      <c r="Y86">
        <v>4</v>
      </c>
      <c r="Z86">
        <v>2</v>
      </c>
      <c r="AA86">
        <f t="shared" si="10"/>
        <v>11</v>
      </c>
      <c r="AB86">
        <f t="shared" si="11"/>
        <v>313</v>
      </c>
    </row>
    <row r="87" spans="25:28" x14ac:dyDescent="0.2">
      <c r="Y87">
        <v>4</v>
      </c>
      <c r="Z87">
        <v>2</v>
      </c>
      <c r="AA87">
        <f t="shared" si="10"/>
        <v>11</v>
      </c>
      <c r="AB87">
        <f t="shared" si="11"/>
        <v>313</v>
      </c>
    </row>
    <row r="88" spans="25:28" x14ac:dyDescent="0.2">
      <c r="Y88">
        <v>4</v>
      </c>
      <c r="Z88">
        <v>2</v>
      </c>
      <c r="AA88">
        <f t="shared" si="10"/>
        <v>11</v>
      </c>
      <c r="AB88">
        <f t="shared" si="11"/>
        <v>313</v>
      </c>
    </row>
    <row r="89" spans="25:28" x14ac:dyDescent="0.2">
      <c r="Y89">
        <v>4</v>
      </c>
      <c r="Z89">
        <v>2</v>
      </c>
      <c r="AA89">
        <f t="shared" si="10"/>
        <v>11</v>
      </c>
      <c r="AB89">
        <f t="shared" si="11"/>
        <v>313</v>
      </c>
    </row>
    <row r="90" spans="25:28" x14ac:dyDescent="0.2">
      <c r="Y90">
        <v>4</v>
      </c>
      <c r="Z90">
        <v>2</v>
      </c>
      <c r="AA90">
        <f t="shared" si="10"/>
        <v>11</v>
      </c>
      <c r="AB90">
        <f t="shared" si="11"/>
        <v>313</v>
      </c>
    </row>
    <row r="91" spans="25:28" x14ac:dyDescent="0.2">
      <c r="Y91">
        <v>4</v>
      </c>
      <c r="Z91">
        <v>2</v>
      </c>
      <c r="AA91">
        <f t="shared" si="10"/>
        <v>11</v>
      </c>
      <c r="AB91">
        <f t="shared" si="11"/>
        <v>313</v>
      </c>
    </row>
    <row r="92" spans="25:28" x14ac:dyDescent="0.2">
      <c r="Y92">
        <v>4</v>
      </c>
      <c r="Z92">
        <v>2</v>
      </c>
      <c r="AA92">
        <f t="shared" si="10"/>
        <v>11</v>
      </c>
      <c r="AB92">
        <f t="shared" si="11"/>
        <v>313</v>
      </c>
    </row>
    <row r="93" spans="25:28" x14ac:dyDescent="0.2">
      <c r="Y93">
        <v>4</v>
      </c>
      <c r="Z93">
        <v>2</v>
      </c>
      <c r="AA93">
        <f t="shared" si="10"/>
        <v>11</v>
      </c>
      <c r="AB93">
        <f t="shared" si="11"/>
        <v>313</v>
      </c>
    </row>
    <row r="94" spans="25:28" x14ac:dyDescent="0.2">
      <c r="Y94">
        <v>4</v>
      </c>
      <c r="Z94">
        <v>2</v>
      </c>
      <c r="AA94">
        <f t="shared" si="10"/>
        <v>11</v>
      </c>
      <c r="AB94">
        <f t="shared" si="11"/>
        <v>313</v>
      </c>
    </row>
    <row r="95" spans="25:28" x14ac:dyDescent="0.2">
      <c r="Y95">
        <v>4</v>
      </c>
      <c r="Z95">
        <v>2</v>
      </c>
      <c r="AA95">
        <f t="shared" si="10"/>
        <v>11</v>
      </c>
      <c r="AB95">
        <f t="shared" si="11"/>
        <v>313</v>
      </c>
    </row>
    <row r="96" spans="25:28" x14ac:dyDescent="0.2">
      <c r="Y96">
        <v>4</v>
      </c>
      <c r="Z96">
        <v>2</v>
      </c>
      <c r="AA96">
        <f t="shared" si="10"/>
        <v>11</v>
      </c>
      <c r="AB96">
        <f t="shared" si="11"/>
        <v>313</v>
      </c>
    </row>
    <row r="97" spans="25:28" x14ac:dyDescent="0.2">
      <c r="Y97">
        <v>4</v>
      </c>
      <c r="Z97">
        <v>2</v>
      </c>
      <c r="AA97">
        <f t="shared" si="10"/>
        <v>11</v>
      </c>
      <c r="AB97">
        <f t="shared" si="11"/>
        <v>313</v>
      </c>
    </row>
    <row r="98" spans="25:28" x14ac:dyDescent="0.2">
      <c r="Y98">
        <v>4</v>
      </c>
      <c r="Z98">
        <v>2</v>
      </c>
      <c r="AA98">
        <f t="shared" si="10"/>
        <v>11</v>
      </c>
      <c r="AB98">
        <f t="shared" si="11"/>
        <v>313</v>
      </c>
    </row>
    <row r="99" spans="25:28" x14ac:dyDescent="0.2">
      <c r="Y99">
        <v>4</v>
      </c>
      <c r="Z99">
        <v>2</v>
      </c>
      <c r="AA99">
        <f t="shared" si="10"/>
        <v>11</v>
      </c>
      <c r="AB99">
        <f t="shared" si="11"/>
        <v>313</v>
      </c>
    </row>
    <row r="100" spans="25:28" x14ac:dyDescent="0.2">
      <c r="Y100">
        <v>4</v>
      </c>
      <c r="Z100">
        <v>2</v>
      </c>
      <c r="AA100">
        <f t="shared" si="10"/>
        <v>11</v>
      </c>
      <c r="AB100">
        <f t="shared" si="11"/>
        <v>313</v>
      </c>
    </row>
    <row r="101" spans="25:28" x14ac:dyDescent="0.2">
      <c r="Y101">
        <v>4</v>
      </c>
      <c r="Z101">
        <v>2</v>
      </c>
      <c r="AA101">
        <f t="shared" si="10"/>
        <v>11</v>
      </c>
      <c r="AB101">
        <f t="shared" si="11"/>
        <v>313</v>
      </c>
    </row>
    <row r="102" spans="25:28" x14ac:dyDescent="0.2">
      <c r="Y102">
        <v>4</v>
      </c>
      <c r="Z102">
        <v>2</v>
      </c>
      <c r="AA102">
        <f t="shared" si="10"/>
        <v>11</v>
      </c>
      <c r="AB102">
        <f t="shared" si="11"/>
        <v>313</v>
      </c>
    </row>
    <row r="103" spans="25:28" x14ac:dyDescent="0.2">
      <c r="Y103">
        <v>4</v>
      </c>
      <c r="Z103">
        <v>2</v>
      </c>
      <c r="AA103">
        <f t="shared" si="10"/>
        <v>11</v>
      </c>
      <c r="AB103">
        <f t="shared" si="11"/>
        <v>313</v>
      </c>
    </row>
    <row r="104" spans="25:28" x14ac:dyDescent="0.2">
      <c r="Y104">
        <v>4</v>
      </c>
      <c r="Z104">
        <v>2</v>
      </c>
      <c r="AA104">
        <f t="shared" si="10"/>
        <v>11</v>
      </c>
      <c r="AB104">
        <f t="shared" si="11"/>
        <v>313</v>
      </c>
    </row>
    <row r="105" spans="25:28" x14ac:dyDescent="0.2">
      <c r="Y105">
        <v>4</v>
      </c>
      <c r="Z105">
        <v>2</v>
      </c>
      <c r="AA105">
        <f t="shared" si="10"/>
        <v>11</v>
      </c>
      <c r="AB105">
        <f t="shared" si="11"/>
        <v>313</v>
      </c>
    </row>
    <row r="106" spans="25:28" x14ac:dyDescent="0.2">
      <c r="Y106">
        <v>5</v>
      </c>
      <c r="Z106">
        <v>2</v>
      </c>
      <c r="AA106">
        <f t="shared" si="10"/>
        <v>11</v>
      </c>
      <c r="AB106">
        <f t="shared" si="11"/>
        <v>313</v>
      </c>
    </row>
    <row r="107" spans="25:28" x14ac:dyDescent="0.2">
      <c r="Y107">
        <v>5</v>
      </c>
      <c r="Z107">
        <v>2</v>
      </c>
      <c r="AA107">
        <f t="shared" si="10"/>
        <v>11</v>
      </c>
      <c r="AB107">
        <f t="shared" si="11"/>
        <v>313</v>
      </c>
    </row>
    <row r="108" spans="25:28" x14ac:dyDescent="0.2">
      <c r="Y108">
        <v>5</v>
      </c>
      <c r="Z108">
        <v>2</v>
      </c>
      <c r="AA108">
        <f t="shared" si="10"/>
        <v>11</v>
      </c>
      <c r="AB108">
        <f t="shared" si="11"/>
        <v>313</v>
      </c>
    </row>
    <row r="109" spans="25:28" x14ac:dyDescent="0.2">
      <c r="Y109">
        <v>5</v>
      </c>
      <c r="Z109">
        <v>2</v>
      </c>
      <c r="AA109">
        <f t="shared" si="10"/>
        <v>11</v>
      </c>
      <c r="AB109">
        <f t="shared" si="11"/>
        <v>313</v>
      </c>
    </row>
    <row r="110" spans="25:28" x14ac:dyDescent="0.2">
      <c r="Y110">
        <v>5</v>
      </c>
      <c r="Z110">
        <v>2</v>
      </c>
      <c r="AA110">
        <f t="shared" si="10"/>
        <v>11</v>
      </c>
      <c r="AB110">
        <f t="shared" si="11"/>
        <v>313</v>
      </c>
    </row>
    <row r="111" spans="25:28" x14ac:dyDescent="0.2">
      <c r="Y111">
        <v>5</v>
      </c>
      <c r="Z111">
        <v>2</v>
      </c>
      <c r="AA111">
        <f t="shared" si="10"/>
        <v>11</v>
      </c>
      <c r="AB111">
        <f t="shared" si="11"/>
        <v>313</v>
      </c>
    </row>
    <row r="112" spans="25:28" x14ac:dyDescent="0.2">
      <c r="Y112">
        <v>5</v>
      </c>
      <c r="Z112">
        <v>2</v>
      </c>
      <c r="AA112">
        <f t="shared" si="10"/>
        <v>11</v>
      </c>
      <c r="AB112">
        <f t="shared" si="11"/>
        <v>313</v>
      </c>
    </row>
    <row r="113" spans="25:28" x14ac:dyDescent="0.2">
      <c r="Y113">
        <v>5</v>
      </c>
      <c r="Z113">
        <v>2</v>
      </c>
      <c r="AA113">
        <f t="shared" si="10"/>
        <v>11</v>
      </c>
      <c r="AB113">
        <f t="shared" si="11"/>
        <v>313</v>
      </c>
    </row>
    <row r="114" spans="25:28" x14ac:dyDescent="0.2">
      <c r="Y114">
        <v>5</v>
      </c>
      <c r="Z114">
        <v>2</v>
      </c>
      <c r="AA114">
        <f t="shared" si="10"/>
        <v>11</v>
      </c>
      <c r="AB114">
        <f t="shared" si="11"/>
        <v>313</v>
      </c>
    </row>
    <row r="115" spans="25:28" x14ac:dyDescent="0.2">
      <c r="Y115">
        <v>5</v>
      </c>
      <c r="Z115">
        <v>2</v>
      </c>
      <c r="AA115">
        <f t="shared" si="10"/>
        <v>11</v>
      </c>
      <c r="AB115">
        <f t="shared" si="11"/>
        <v>313</v>
      </c>
    </row>
    <row r="116" spans="25:28" x14ac:dyDescent="0.2">
      <c r="Y116">
        <v>5</v>
      </c>
      <c r="Z116">
        <v>2</v>
      </c>
      <c r="AA116">
        <f t="shared" si="10"/>
        <v>11</v>
      </c>
      <c r="AB116">
        <f t="shared" si="11"/>
        <v>313</v>
      </c>
    </row>
    <row r="117" spans="25:28" x14ac:dyDescent="0.2">
      <c r="Y117">
        <v>5</v>
      </c>
      <c r="Z117">
        <v>2</v>
      </c>
      <c r="AA117">
        <f t="shared" si="10"/>
        <v>11</v>
      </c>
      <c r="AB117">
        <f t="shared" si="11"/>
        <v>313</v>
      </c>
    </row>
    <row r="118" spans="25:28" x14ac:dyDescent="0.2">
      <c r="Y118">
        <v>5</v>
      </c>
      <c r="Z118">
        <v>2</v>
      </c>
      <c r="AA118">
        <f t="shared" si="10"/>
        <v>11</v>
      </c>
      <c r="AB118">
        <f t="shared" si="11"/>
        <v>313</v>
      </c>
    </row>
    <row r="119" spans="25:28" x14ac:dyDescent="0.2">
      <c r="Y119">
        <v>5</v>
      </c>
      <c r="Z119">
        <v>2</v>
      </c>
      <c r="AA119">
        <f t="shared" si="10"/>
        <v>11</v>
      </c>
      <c r="AB119">
        <f t="shared" si="11"/>
        <v>313</v>
      </c>
    </row>
    <row r="120" spans="25:28" x14ac:dyDescent="0.2">
      <c r="Y120">
        <v>5</v>
      </c>
      <c r="Z120">
        <v>2</v>
      </c>
      <c r="AA120">
        <f t="shared" si="10"/>
        <v>11</v>
      </c>
      <c r="AB120">
        <f t="shared" si="11"/>
        <v>313</v>
      </c>
    </row>
    <row r="121" spans="25:28" x14ac:dyDescent="0.2">
      <c r="Y121">
        <v>5</v>
      </c>
      <c r="Z121">
        <v>2</v>
      </c>
      <c r="AA121">
        <f t="shared" si="10"/>
        <v>11</v>
      </c>
      <c r="AB121">
        <f t="shared" si="11"/>
        <v>313</v>
      </c>
    </row>
    <row r="122" spans="25:28" x14ac:dyDescent="0.2">
      <c r="Y122">
        <v>5</v>
      </c>
      <c r="Z122">
        <v>2</v>
      </c>
      <c r="AA122">
        <f t="shared" si="10"/>
        <v>11</v>
      </c>
      <c r="AB122">
        <f t="shared" si="11"/>
        <v>313</v>
      </c>
    </row>
    <row r="123" spans="25:28" x14ac:dyDescent="0.2">
      <c r="Y123">
        <v>5</v>
      </c>
      <c r="Z123">
        <v>2</v>
      </c>
      <c r="AA123">
        <f t="shared" si="10"/>
        <v>11</v>
      </c>
      <c r="AB123">
        <f t="shared" si="11"/>
        <v>313</v>
      </c>
    </row>
    <row r="124" spans="25:28" x14ac:dyDescent="0.2">
      <c r="Y124">
        <v>5</v>
      </c>
      <c r="Z124">
        <v>2</v>
      </c>
      <c r="AA124">
        <f t="shared" si="10"/>
        <v>11</v>
      </c>
      <c r="AB124">
        <f t="shared" si="11"/>
        <v>313</v>
      </c>
    </row>
    <row r="125" spans="25:28" x14ac:dyDescent="0.2">
      <c r="Y125">
        <v>5</v>
      </c>
      <c r="Z125">
        <v>2</v>
      </c>
      <c r="AA125">
        <f t="shared" si="10"/>
        <v>11</v>
      </c>
      <c r="AB125">
        <f t="shared" si="11"/>
        <v>313</v>
      </c>
    </row>
    <row r="126" spans="25:28" x14ac:dyDescent="0.2">
      <c r="Y126">
        <v>5</v>
      </c>
      <c r="Z126">
        <v>2</v>
      </c>
      <c r="AA126">
        <f t="shared" si="10"/>
        <v>11</v>
      </c>
      <c r="AB126">
        <f t="shared" si="11"/>
        <v>313</v>
      </c>
    </row>
    <row r="127" spans="25:28" x14ac:dyDescent="0.2">
      <c r="Y127">
        <v>5</v>
      </c>
      <c r="Z127">
        <v>2</v>
      </c>
      <c r="AA127">
        <f t="shared" si="10"/>
        <v>11</v>
      </c>
      <c r="AB127">
        <f t="shared" si="11"/>
        <v>313</v>
      </c>
    </row>
    <row r="128" spans="25:28" x14ac:dyDescent="0.2">
      <c r="Y128">
        <v>5</v>
      </c>
      <c r="Z128">
        <v>2</v>
      </c>
      <c r="AA128">
        <f t="shared" si="10"/>
        <v>11</v>
      </c>
      <c r="AB128">
        <f t="shared" si="11"/>
        <v>313</v>
      </c>
    </row>
    <row r="129" spans="25:28" x14ac:dyDescent="0.2">
      <c r="Y129">
        <v>5</v>
      </c>
      <c r="Z129">
        <v>2</v>
      </c>
      <c r="AA129">
        <f t="shared" si="10"/>
        <v>11</v>
      </c>
      <c r="AB129">
        <f t="shared" si="11"/>
        <v>313</v>
      </c>
    </row>
    <row r="130" spans="25:28" x14ac:dyDescent="0.2">
      <c r="Y130">
        <v>5</v>
      </c>
      <c r="Z130">
        <v>2</v>
      </c>
      <c r="AA130">
        <f t="shared" si="10"/>
        <v>11</v>
      </c>
      <c r="AB130">
        <f t="shared" si="11"/>
        <v>313</v>
      </c>
    </row>
    <row r="131" spans="25:28" x14ac:dyDescent="0.2">
      <c r="Y131">
        <v>6</v>
      </c>
      <c r="Z131">
        <v>2</v>
      </c>
      <c r="AA131">
        <f t="shared" si="10"/>
        <v>11</v>
      </c>
      <c r="AB131">
        <f t="shared" si="11"/>
        <v>313</v>
      </c>
    </row>
    <row r="132" spans="25:28" x14ac:dyDescent="0.2">
      <c r="Y132">
        <v>6</v>
      </c>
      <c r="Z132">
        <v>2</v>
      </c>
      <c r="AA132">
        <f t="shared" si="10"/>
        <v>11</v>
      </c>
      <c r="AB132">
        <f t="shared" si="11"/>
        <v>313</v>
      </c>
    </row>
    <row r="133" spans="25:28" x14ac:dyDescent="0.2">
      <c r="Y133">
        <v>6</v>
      </c>
      <c r="Z133">
        <v>2</v>
      </c>
      <c r="AA133">
        <f t="shared" si="10"/>
        <v>11</v>
      </c>
      <c r="AB133">
        <f t="shared" si="11"/>
        <v>313</v>
      </c>
    </row>
    <row r="134" spans="25:28" x14ac:dyDescent="0.2">
      <c r="Y134">
        <v>6</v>
      </c>
      <c r="Z134">
        <v>2</v>
      </c>
      <c r="AA134">
        <f t="shared" si="10"/>
        <v>11</v>
      </c>
      <c r="AB134">
        <f t="shared" si="11"/>
        <v>313</v>
      </c>
    </row>
    <row r="135" spans="25:28" x14ac:dyDescent="0.2">
      <c r="Y135">
        <v>6</v>
      </c>
      <c r="Z135">
        <v>2</v>
      </c>
      <c r="AA135">
        <f t="shared" ref="AA135:AA198" si="12">Z135+9</f>
        <v>11</v>
      </c>
      <c r="AB135">
        <f t="shared" ref="AB135:AB198" si="13">VLOOKUP(Y135,$D$5:$Q$22,AA135,FALSE)</f>
        <v>313</v>
      </c>
    </row>
    <row r="136" spans="25:28" x14ac:dyDescent="0.2">
      <c r="Y136">
        <v>6</v>
      </c>
      <c r="Z136">
        <v>2</v>
      </c>
      <c r="AA136">
        <f t="shared" si="12"/>
        <v>11</v>
      </c>
      <c r="AB136">
        <f t="shared" si="13"/>
        <v>313</v>
      </c>
    </row>
    <row r="137" spans="25:28" x14ac:dyDescent="0.2">
      <c r="Y137">
        <v>6</v>
      </c>
      <c r="Z137">
        <v>2</v>
      </c>
      <c r="AA137">
        <f t="shared" si="12"/>
        <v>11</v>
      </c>
      <c r="AB137">
        <f t="shared" si="13"/>
        <v>313</v>
      </c>
    </row>
    <row r="138" spans="25:28" x14ac:dyDescent="0.2">
      <c r="Y138">
        <v>6</v>
      </c>
      <c r="Z138">
        <v>2</v>
      </c>
      <c r="AA138">
        <f t="shared" si="12"/>
        <v>11</v>
      </c>
      <c r="AB138">
        <f t="shared" si="13"/>
        <v>313</v>
      </c>
    </row>
    <row r="139" spans="25:28" x14ac:dyDescent="0.2">
      <c r="Y139">
        <v>6</v>
      </c>
      <c r="Z139">
        <v>2</v>
      </c>
      <c r="AA139">
        <f t="shared" si="12"/>
        <v>11</v>
      </c>
      <c r="AB139">
        <f t="shared" si="13"/>
        <v>313</v>
      </c>
    </row>
    <row r="140" spans="25:28" x14ac:dyDescent="0.2">
      <c r="Y140">
        <v>6</v>
      </c>
      <c r="Z140">
        <v>2</v>
      </c>
      <c r="AA140">
        <f t="shared" si="12"/>
        <v>11</v>
      </c>
      <c r="AB140">
        <f t="shared" si="13"/>
        <v>313</v>
      </c>
    </row>
    <row r="141" spans="25:28" x14ac:dyDescent="0.2">
      <c r="Y141">
        <v>6</v>
      </c>
      <c r="Z141">
        <v>2</v>
      </c>
      <c r="AA141">
        <f t="shared" si="12"/>
        <v>11</v>
      </c>
      <c r="AB141">
        <f t="shared" si="13"/>
        <v>313</v>
      </c>
    </row>
    <row r="142" spans="25:28" x14ac:dyDescent="0.2">
      <c r="Y142">
        <v>6</v>
      </c>
      <c r="Z142">
        <v>2</v>
      </c>
      <c r="AA142">
        <f t="shared" si="12"/>
        <v>11</v>
      </c>
      <c r="AB142">
        <f t="shared" si="13"/>
        <v>313</v>
      </c>
    </row>
    <row r="143" spans="25:28" x14ac:dyDescent="0.2">
      <c r="Y143">
        <v>6</v>
      </c>
      <c r="Z143">
        <v>2</v>
      </c>
      <c r="AA143">
        <f t="shared" si="12"/>
        <v>11</v>
      </c>
      <c r="AB143">
        <f t="shared" si="13"/>
        <v>313</v>
      </c>
    </row>
    <row r="144" spans="25:28" x14ac:dyDescent="0.2">
      <c r="Y144">
        <v>6</v>
      </c>
      <c r="Z144">
        <v>2</v>
      </c>
      <c r="AA144">
        <f t="shared" si="12"/>
        <v>11</v>
      </c>
      <c r="AB144">
        <f t="shared" si="13"/>
        <v>313</v>
      </c>
    </row>
    <row r="145" spans="25:28" x14ac:dyDescent="0.2">
      <c r="Y145">
        <v>6</v>
      </c>
      <c r="Z145">
        <v>2</v>
      </c>
      <c r="AA145">
        <f t="shared" si="12"/>
        <v>11</v>
      </c>
      <c r="AB145">
        <f t="shared" si="13"/>
        <v>313</v>
      </c>
    </row>
    <row r="146" spans="25:28" x14ac:dyDescent="0.2">
      <c r="Y146">
        <v>6</v>
      </c>
      <c r="Z146">
        <v>2</v>
      </c>
      <c r="AA146">
        <f t="shared" si="12"/>
        <v>11</v>
      </c>
      <c r="AB146">
        <f t="shared" si="13"/>
        <v>313</v>
      </c>
    </row>
    <row r="147" spans="25:28" x14ac:dyDescent="0.2">
      <c r="Y147">
        <v>6</v>
      </c>
      <c r="Z147">
        <v>2</v>
      </c>
      <c r="AA147">
        <f t="shared" si="12"/>
        <v>11</v>
      </c>
      <c r="AB147">
        <f t="shared" si="13"/>
        <v>313</v>
      </c>
    </row>
    <row r="148" spans="25:28" x14ac:dyDescent="0.2">
      <c r="Y148">
        <v>6</v>
      </c>
      <c r="Z148">
        <v>2</v>
      </c>
      <c r="AA148">
        <f t="shared" si="12"/>
        <v>11</v>
      </c>
      <c r="AB148">
        <f t="shared" si="13"/>
        <v>313</v>
      </c>
    </row>
    <row r="149" spans="25:28" x14ac:dyDescent="0.2">
      <c r="Y149">
        <v>6</v>
      </c>
      <c r="Z149">
        <v>2</v>
      </c>
      <c r="AA149">
        <f t="shared" si="12"/>
        <v>11</v>
      </c>
      <c r="AB149">
        <f t="shared" si="13"/>
        <v>313</v>
      </c>
    </row>
    <row r="150" spans="25:28" x14ac:dyDescent="0.2">
      <c r="Y150">
        <v>6</v>
      </c>
      <c r="Z150">
        <v>2</v>
      </c>
      <c r="AA150">
        <f t="shared" si="12"/>
        <v>11</v>
      </c>
      <c r="AB150">
        <f t="shared" si="13"/>
        <v>313</v>
      </c>
    </row>
    <row r="151" spans="25:28" x14ac:dyDescent="0.2">
      <c r="Y151">
        <v>6</v>
      </c>
      <c r="Z151">
        <v>2</v>
      </c>
      <c r="AA151">
        <f t="shared" si="12"/>
        <v>11</v>
      </c>
      <c r="AB151">
        <f t="shared" si="13"/>
        <v>313</v>
      </c>
    </row>
    <row r="152" spans="25:28" x14ac:dyDescent="0.2">
      <c r="Y152">
        <v>6</v>
      </c>
      <c r="Z152">
        <v>2</v>
      </c>
      <c r="AA152">
        <f t="shared" si="12"/>
        <v>11</v>
      </c>
      <c r="AB152">
        <f t="shared" si="13"/>
        <v>313</v>
      </c>
    </row>
    <row r="153" spans="25:28" x14ac:dyDescent="0.2">
      <c r="Y153">
        <v>6</v>
      </c>
      <c r="Z153">
        <v>2</v>
      </c>
      <c r="AA153">
        <f t="shared" si="12"/>
        <v>11</v>
      </c>
      <c r="AB153">
        <f t="shared" si="13"/>
        <v>313</v>
      </c>
    </row>
    <row r="154" spans="25:28" x14ac:dyDescent="0.2">
      <c r="Y154">
        <v>6</v>
      </c>
      <c r="Z154">
        <v>2</v>
      </c>
      <c r="AA154">
        <f t="shared" si="12"/>
        <v>11</v>
      </c>
      <c r="AB154">
        <f t="shared" si="13"/>
        <v>313</v>
      </c>
    </row>
    <row r="155" spans="25:28" x14ac:dyDescent="0.2">
      <c r="Y155">
        <v>6</v>
      </c>
      <c r="Z155">
        <v>2</v>
      </c>
      <c r="AA155">
        <f t="shared" si="12"/>
        <v>11</v>
      </c>
      <c r="AB155">
        <f t="shared" si="13"/>
        <v>313</v>
      </c>
    </row>
    <row r="156" spans="25:28" x14ac:dyDescent="0.2">
      <c r="Y156">
        <v>7</v>
      </c>
      <c r="Z156">
        <v>2</v>
      </c>
      <c r="AA156">
        <f t="shared" si="12"/>
        <v>11</v>
      </c>
      <c r="AB156">
        <f t="shared" si="13"/>
        <v>313</v>
      </c>
    </row>
    <row r="157" spans="25:28" x14ac:dyDescent="0.2">
      <c r="Y157">
        <v>7</v>
      </c>
      <c r="Z157">
        <v>2</v>
      </c>
      <c r="AA157">
        <f t="shared" si="12"/>
        <v>11</v>
      </c>
      <c r="AB157">
        <f t="shared" si="13"/>
        <v>313</v>
      </c>
    </row>
    <row r="158" spans="25:28" x14ac:dyDescent="0.2">
      <c r="Y158">
        <v>7</v>
      </c>
      <c r="Z158">
        <v>2</v>
      </c>
      <c r="AA158">
        <f t="shared" si="12"/>
        <v>11</v>
      </c>
      <c r="AB158">
        <f t="shared" si="13"/>
        <v>313</v>
      </c>
    </row>
    <row r="159" spans="25:28" x14ac:dyDescent="0.2">
      <c r="Y159">
        <v>7</v>
      </c>
      <c r="Z159">
        <v>2</v>
      </c>
      <c r="AA159">
        <f t="shared" si="12"/>
        <v>11</v>
      </c>
      <c r="AB159">
        <f t="shared" si="13"/>
        <v>313</v>
      </c>
    </row>
    <row r="160" spans="25:28" x14ac:dyDescent="0.2">
      <c r="Y160">
        <v>7</v>
      </c>
      <c r="Z160">
        <v>2</v>
      </c>
      <c r="AA160">
        <f t="shared" si="12"/>
        <v>11</v>
      </c>
      <c r="AB160">
        <f t="shared" si="13"/>
        <v>313</v>
      </c>
    </row>
    <row r="161" spans="25:28" x14ac:dyDescent="0.2">
      <c r="Y161">
        <v>7</v>
      </c>
      <c r="Z161">
        <v>2</v>
      </c>
      <c r="AA161">
        <f t="shared" si="12"/>
        <v>11</v>
      </c>
      <c r="AB161">
        <f t="shared" si="13"/>
        <v>313</v>
      </c>
    </row>
    <row r="162" spans="25:28" x14ac:dyDescent="0.2">
      <c r="Y162">
        <v>7</v>
      </c>
      <c r="Z162">
        <v>2</v>
      </c>
      <c r="AA162">
        <f t="shared" si="12"/>
        <v>11</v>
      </c>
      <c r="AB162">
        <f t="shared" si="13"/>
        <v>313</v>
      </c>
    </row>
    <row r="163" spans="25:28" x14ac:dyDescent="0.2">
      <c r="Y163">
        <v>7</v>
      </c>
      <c r="Z163">
        <v>2</v>
      </c>
      <c r="AA163">
        <f t="shared" si="12"/>
        <v>11</v>
      </c>
      <c r="AB163">
        <f t="shared" si="13"/>
        <v>313</v>
      </c>
    </row>
    <row r="164" spans="25:28" x14ac:dyDescent="0.2">
      <c r="Y164">
        <v>7</v>
      </c>
      <c r="Z164">
        <v>2</v>
      </c>
      <c r="AA164">
        <f t="shared" si="12"/>
        <v>11</v>
      </c>
      <c r="AB164">
        <f t="shared" si="13"/>
        <v>313</v>
      </c>
    </row>
    <row r="165" spans="25:28" x14ac:dyDescent="0.2">
      <c r="Y165">
        <v>7</v>
      </c>
      <c r="Z165">
        <v>2</v>
      </c>
      <c r="AA165">
        <f t="shared" si="12"/>
        <v>11</v>
      </c>
      <c r="AB165">
        <f t="shared" si="13"/>
        <v>313</v>
      </c>
    </row>
    <row r="166" spans="25:28" x14ac:dyDescent="0.2">
      <c r="Y166">
        <v>7</v>
      </c>
      <c r="Z166">
        <v>2</v>
      </c>
      <c r="AA166">
        <f t="shared" si="12"/>
        <v>11</v>
      </c>
      <c r="AB166">
        <f t="shared" si="13"/>
        <v>313</v>
      </c>
    </row>
    <row r="167" spans="25:28" x14ac:dyDescent="0.2">
      <c r="Y167">
        <v>7</v>
      </c>
      <c r="Z167">
        <v>2</v>
      </c>
      <c r="AA167">
        <f t="shared" si="12"/>
        <v>11</v>
      </c>
      <c r="AB167">
        <f t="shared" si="13"/>
        <v>313</v>
      </c>
    </row>
    <row r="168" spans="25:28" x14ac:dyDescent="0.2">
      <c r="Y168">
        <v>7</v>
      </c>
      <c r="Z168">
        <v>2</v>
      </c>
      <c r="AA168">
        <f t="shared" si="12"/>
        <v>11</v>
      </c>
      <c r="AB168">
        <f t="shared" si="13"/>
        <v>313</v>
      </c>
    </row>
    <row r="169" spans="25:28" x14ac:dyDescent="0.2">
      <c r="Y169">
        <v>7</v>
      </c>
      <c r="Z169">
        <v>2</v>
      </c>
      <c r="AA169">
        <f t="shared" si="12"/>
        <v>11</v>
      </c>
      <c r="AB169">
        <f t="shared" si="13"/>
        <v>313</v>
      </c>
    </row>
    <row r="170" spans="25:28" x14ac:dyDescent="0.2">
      <c r="Y170">
        <v>7</v>
      </c>
      <c r="Z170">
        <v>2</v>
      </c>
      <c r="AA170">
        <f t="shared" si="12"/>
        <v>11</v>
      </c>
      <c r="AB170">
        <f t="shared" si="13"/>
        <v>313</v>
      </c>
    </row>
    <row r="171" spans="25:28" x14ac:dyDescent="0.2">
      <c r="Y171">
        <v>7</v>
      </c>
      <c r="Z171">
        <v>2</v>
      </c>
      <c r="AA171">
        <f t="shared" si="12"/>
        <v>11</v>
      </c>
      <c r="AB171">
        <f t="shared" si="13"/>
        <v>313</v>
      </c>
    </row>
    <row r="172" spans="25:28" x14ac:dyDescent="0.2">
      <c r="Y172">
        <v>7</v>
      </c>
      <c r="Z172">
        <v>2</v>
      </c>
      <c r="AA172">
        <f t="shared" si="12"/>
        <v>11</v>
      </c>
      <c r="AB172">
        <f t="shared" si="13"/>
        <v>313</v>
      </c>
    </row>
    <row r="173" spans="25:28" x14ac:dyDescent="0.2">
      <c r="Y173">
        <v>7</v>
      </c>
      <c r="Z173">
        <v>2</v>
      </c>
      <c r="AA173">
        <f t="shared" si="12"/>
        <v>11</v>
      </c>
      <c r="AB173">
        <f t="shared" si="13"/>
        <v>313</v>
      </c>
    </row>
    <row r="174" spans="25:28" x14ac:dyDescent="0.2">
      <c r="Y174">
        <v>7</v>
      </c>
      <c r="Z174">
        <v>2</v>
      </c>
      <c r="AA174">
        <f t="shared" si="12"/>
        <v>11</v>
      </c>
      <c r="AB174">
        <f t="shared" si="13"/>
        <v>313</v>
      </c>
    </row>
    <row r="175" spans="25:28" x14ac:dyDescent="0.2">
      <c r="Y175">
        <v>7</v>
      </c>
      <c r="Z175">
        <v>2</v>
      </c>
      <c r="AA175">
        <f t="shared" si="12"/>
        <v>11</v>
      </c>
      <c r="AB175">
        <f t="shared" si="13"/>
        <v>313</v>
      </c>
    </row>
    <row r="176" spans="25:28" x14ac:dyDescent="0.2">
      <c r="Y176">
        <v>7</v>
      </c>
      <c r="Z176">
        <v>2</v>
      </c>
      <c r="AA176">
        <f t="shared" si="12"/>
        <v>11</v>
      </c>
      <c r="AB176">
        <f t="shared" si="13"/>
        <v>313</v>
      </c>
    </row>
    <row r="177" spans="25:28" x14ac:dyDescent="0.2">
      <c r="Y177">
        <v>7</v>
      </c>
      <c r="Z177">
        <v>2</v>
      </c>
      <c r="AA177">
        <f t="shared" si="12"/>
        <v>11</v>
      </c>
      <c r="AB177">
        <f t="shared" si="13"/>
        <v>313</v>
      </c>
    </row>
    <row r="178" spans="25:28" x14ac:dyDescent="0.2">
      <c r="Y178">
        <v>7</v>
      </c>
      <c r="Z178">
        <v>2</v>
      </c>
      <c r="AA178">
        <f t="shared" si="12"/>
        <v>11</v>
      </c>
      <c r="AB178">
        <f t="shared" si="13"/>
        <v>313</v>
      </c>
    </row>
    <row r="179" spans="25:28" x14ac:dyDescent="0.2">
      <c r="Y179">
        <v>7</v>
      </c>
      <c r="Z179">
        <v>2</v>
      </c>
      <c r="AA179">
        <f t="shared" si="12"/>
        <v>11</v>
      </c>
      <c r="AB179">
        <f t="shared" si="13"/>
        <v>313</v>
      </c>
    </row>
    <row r="180" spans="25:28" x14ac:dyDescent="0.2">
      <c r="Y180">
        <v>7</v>
      </c>
      <c r="Z180">
        <v>2</v>
      </c>
      <c r="AA180">
        <f t="shared" si="12"/>
        <v>11</v>
      </c>
      <c r="AB180">
        <f t="shared" si="13"/>
        <v>313</v>
      </c>
    </row>
    <row r="181" spans="25:28" x14ac:dyDescent="0.2">
      <c r="Y181">
        <v>8</v>
      </c>
      <c r="Z181">
        <v>2</v>
      </c>
      <c r="AA181">
        <f t="shared" si="12"/>
        <v>11</v>
      </c>
      <c r="AB181">
        <f t="shared" si="13"/>
        <v>313</v>
      </c>
    </row>
    <row r="182" spans="25:28" x14ac:dyDescent="0.2">
      <c r="Y182">
        <v>8</v>
      </c>
      <c r="Z182">
        <v>2</v>
      </c>
      <c r="AA182">
        <f t="shared" si="12"/>
        <v>11</v>
      </c>
      <c r="AB182">
        <f t="shared" si="13"/>
        <v>313</v>
      </c>
    </row>
    <row r="183" spans="25:28" x14ac:dyDescent="0.2">
      <c r="Y183">
        <v>8</v>
      </c>
      <c r="Z183">
        <v>2</v>
      </c>
      <c r="AA183">
        <f t="shared" si="12"/>
        <v>11</v>
      </c>
      <c r="AB183">
        <f t="shared" si="13"/>
        <v>313</v>
      </c>
    </row>
    <row r="184" spans="25:28" x14ac:dyDescent="0.2">
      <c r="Y184">
        <v>8</v>
      </c>
      <c r="Z184">
        <v>2</v>
      </c>
      <c r="AA184">
        <f t="shared" si="12"/>
        <v>11</v>
      </c>
      <c r="AB184">
        <f t="shared" si="13"/>
        <v>313</v>
      </c>
    </row>
    <row r="185" spans="25:28" x14ac:dyDescent="0.2">
      <c r="Y185">
        <v>8</v>
      </c>
      <c r="Z185">
        <v>2</v>
      </c>
      <c r="AA185">
        <f t="shared" si="12"/>
        <v>11</v>
      </c>
      <c r="AB185">
        <f t="shared" si="13"/>
        <v>313</v>
      </c>
    </row>
    <row r="186" spans="25:28" x14ac:dyDescent="0.2">
      <c r="Y186">
        <v>8</v>
      </c>
      <c r="Z186">
        <v>2</v>
      </c>
      <c r="AA186">
        <f t="shared" si="12"/>
        <v>11</v>
      </c>
      <c r="AB186">
        <f t="shared" si="13"/>
        <v>313</v>
      </c>
    </row>
    <row r="187" spans="25:28" x14ac:dyDescent="0.2">
      <c r="Y187">
        <v>8</v>
      </c>
      <c r="Z187">
        <v>2</v>
      </c>
      <c r="AA187">
        <f t="shared" si="12"/>
        <v>11</v>
      </c>
      <c r="AB187">
        <f t="shared" si="13"/>
        <v>313</v>
      </c>
    </row>
    <row r="188" spans="25:28" x14ac:dyDescent="0.2">
      <c r="Y188">
        <v>8</v>
      </c>
      <c r="Z188">
        <v>2</v>
      </c>
      <c r="AA188">
        <f t="shared" si="12"/>
        <v>11</v>
      </c>
      <c r="AB188">
        <f t="shared" si="13"/>
        <v>313</v>
      </c>
    </row>
    <row r="189" spans="25:28" x14ac:dyDescent="0.2">
      <c r="Y189">
        <v>8</v>
      </c>
      <c r="Z189">
        <v>2</v>
      </c>
      <c r="AA189">
        <f t="shared" si="12"/>
        <v>11</v>
      </c>
      <c r="AB189">
        <f t="shared" si="13"/>
        <v>313</v>
      </c>
    </row>
    <row r="190" spans="25:28" x14ac:dyDescent="0.2">
      <c r="Y190">
        <v>8</v>
      </c>
      <c r="Z190">
        <v>2</v>
      </c>
      <c r="AA190">
        <f t="shared" si="12"/>
        <v>11</v>
      </c>
      <c r="AB190">
        <f t="shared" si="13"/>
        <v>313</v>
      </c>
    </row>
    <row r="191" spans="25:28" x14ac:dyDescent="0.2">
      <c r="Y191">
        <v>8</v>
      </c>
      <c r="Z191">
        <v>2</v>
      </c>
      <c r="AA191">
        <f t="shared" si="12"/>
        <v>11</v>
      </c>
      <c r="AB191">
        <f t="shared" si="13"/>
        <v>313</v>
      </c>
    </row>
    <row r="192" spans="25:28" x14ac:dyDescent="0.2">
      <c r="Y192">
        <v>8</v>
      </c>
      <c r="Z192">
        <v>2</v>
      </c>
      <c r="AA192">
        <f t="shared" si="12"/>
        <v>11</v>
      </c>
      <c r="AB192">
        <f t="shared" si="13"/>
        <v>313</v>
      </c>
    </row>
    <row r="193" spans="25:28" x14ac:dyDescent="0.2">
      <c r="Y193">
        <v>8</v>
      </c>
      <c r="Z193">
        <v>2</v>
      </c>
      <c r="AA193">
        <f t="shared" si="12"/>
        <v>11</v>
      </c>
      <c r="AB193">
        <f t="shared" si="13"/>
        <v>313</v>
      </c>
    </row>
    <row r="194" spans="25:28" x14ac:dyDescent="0.2">
      <c r="Y194">
        <v>8</v>
      </c>
      <c r="Z194">
        <v>2</v>
      </c>
      <c r="AA194">
        <f t="shared" si="12"/>
        <v>11</v>
      </c>
      <c r="AB194">
        <f t="shared" si="13"/>
        <v>313</v>
      </c>
    </row>
    <row r="195" spans="25:28" x14ac:dyDescent="0.2">
      <c r="Y195">
        <v>8</v>
      </c>
      <c r="Z195">
        <v>2</v>
      </c>
      <c r="AA195">
        <f t="shared" si="12"/>
        <v>11</v>
      </c>
      <c r="AB195">
        <f t="shared" si="13"/>
        <v>313</v>
      </c>
    </row>
    <row r="196" spans="25:28" x14ac:dyDescent="0.2">
      <c r="Y196">
        <v>8</v>
      </c>
      <c r="Z196">
        <v>2</v>
      </c>
      <c r="AA196">
        <f t="shared" si="12"/>
        <v>11</v>
      </c>
      <c r="AB196">
        <f t="shared" si="13"/>
        <v>313</v>
      </c>
    </row>
    <row r="197" spans="25:28" x14ac:dyDescent="0.2">
      <c r="Y197">
        <v>8</v>
      </c>
      <c r="Z197">
        <v>2</v>
      </c>
      <c r="AA197">
        <f t="shared" si="12"/>
        <v>11</v>
      </c>
      <c r="AB197">
        <f t="shared" si="13"/>
        <v>313</v>
      </c>
    </row>
    <row r="198" spans="25:28" x14ac:dyDescent="0.2">
      <c r="Y198">
        <v>8</v>
      </c>
      <c r="Z198">
        <v>2</v>
      </c>
      <c r="AA198">
        <f t="shared" si="12"/>
        <v>11</v>
      </c>
      <c r="AB198">
        <f t="shared" si="13"/>
        <v>313</v>
      </c>
    </row>
    <row r="199" spans="25:28" x14ac:dyDescent="0.2">
      <c r="Y199">
        <v>8</v>
      </c>
      <c r="Z199">
        <v>2</v>
      </c>
      <c r="AA199">
        <f t="shared" ref="AA199:AA262" si="14">Z199+9</f>
        <v>11</v>
      </c>
      <c r="AB199">
        <f t="shared" ref="AB199:AB262" si="15">VLOOKUP(Y199,$D$5:$Q$22,AA199,FALSE)</f>
        <v>313</v>
      </c>
    </row>
    <row r="200" spans="25:28" x14ac:dyDescent="0.2">
      <c r="Y200">
        <v>8</v>
      </c>
      <c r="Z200">
        <v>2</v>
      </c>
      <c r="AA200">
        <f t="shared" si="14"/>
        <v>11</v>
      </c>
      <c r="AB200">
        <f t="shared" si="15"/>
        <v>313</v>
      </c>
    </row>
    <row r="201" spans="25:28" x14ac:dyDescent="0.2">
      <c r="Y201">
        <v>8</v>
      </c>
      <c r="Z201">
        <v>2</v>
      </c>
      <c r="AA201">
        <f t="shared" si="14"/>
        <v>11</v>
      </c>
      <c r="AB201">
        <f t="shared" si="15"/>
        <v>313</v>
      </c>
    </row>
    <row r="202" spans="25:28" x14ac:dyDescent="0.2">
      <c r="Y202">
        <v>8</v>
      </c>
      <c r="Z202">
        <v>2</v>
      </c>
      <c r="AA202">
        <f t="shared" si="14"/>
        <v>11</v>
      </c>
      <c r="AB202">
        <f t="shared" si="15"/>
        <v>313</v>
      </c>
    </row>
    <row r="203" spans="25:28" x14ac:dyDescent="0.2">
      <c r="Y203">
        <v>8</v>
      </c>
      <c r="Z203">
        <v>2</v>
      </c>
      <c r="AA203">
        <f t="shared" si="14"/>
        <v>11</v>
      </c>
      <c r="AB203">
        <f t="shared" si="15"/>
        <v>313</v>
      </c>
    </row>
    <row r="204" spans="25:28" x14ac:dyDescent="0.2">
      <c r="Y204">
        <v>8</v>
      </c>
      <c r="Z204">
        <v>2</v>
      </c>
      <c r="AA204">
        <f t="shared" si="14"/>
        <v>11</v>
      </c>
      <c r="AB204">
        <f t="shared" si="15"/>
        <v>313</v>
      </c>
    </row>
    <row r="205" spans="25:28" x14ac:dyDescent="0.2">
      <c r="Y205">
        <v>8</v>
      </c>
      <c r="Z205">
        <v>2</v>
      </c>
      <c r="AA205">
        <f t="shared" si="14"/>
        <v>11</v>
      </c>
      <c r="AB205">
        <f t="shared" si="15"/>
        <v>313</v>
      </c>
    </row>
    <row r="206" spans="25:28" x14ac:dyDescent="0.2">
      <c r="Y206">
        <v>9</v>
      </c>
      <c r="Z206">
        <v>2</v>
      </c>
      <c r="AA206">
        <f t="shared" si="14"/>
        <v>11</v>
      </c>
      <c r="AB206">
        <f t="shared" si="15"/>
        <v>313</v>
      </c>
    </row>
    <row r="207" spans="25:28" x14ac:dyDescent="0.2">
      <c r="Y207">
        <v>9</v>
      </c>
      <c r="Z207">
        <v>2</v>
      </c>
      <c r="AA207">
        <f t="shared" si="14"/>
        <v>11</v>
      </c>
      <c r="AB207">
        <f t="shared" si="15"/>
        <v>313</v>
      </c>
    </row>
    <row r="208" spans="25:28" x14ac:dyDescent="0.2">
      <c r="Y208">
        <v>9</v>
      </c>
      <c r="Z208">
        <v>2</v>
      </c>
      <c r="AA208">
        <f t="shared" si="14"/>
        <v>11</v>
      </c>
      <c r="AB208">
        <f t="shared" si="15"/>
        <v>313</v>
      </c>
    </row>
    <row r="209" spans="25:28" x14ac:dyDescent="0.2">
      <c r="Y209">
        <v>9</v>
      </c>
      <c r="Z209">
        <v>2</v>
      </c>
      <c r="AA209">
        <f t="shared" si="14"/>
        <v>11</v>
      </c>
      <c r="AB209">
        <f t="shared" si="15"/>
        <v>313</v>
      </c>
    </row>
    <row r="210" spans="25:28" x14ac:dyDescent="0.2">
      <c r="Y210">
        <v>9</v>
      </c>
      <c r="Z210">
        <v>2</v>
      </c>
      <c r="AA210">
        <f t="shared" si="14"/>
        <v>11</v>
      </c>
      <c r="AB210">
        <f t="shared" si="15"/>
        <v>313</v>
      </c>
    </row>
    <row r="211" spans="25:28" x14ac:dyDescent="0.2">
      <c r="Y211">
        <v>9</v>
      </c>
      <c r="Z211">
        <v>2</v>
      </c>
      <c r="AA211">
        <f t="shared" si="14"/>
        <v>11</v>
      </c>
      <c r="AB211">
        <f t="shared" si="15"/>
        <v>313</v>
      </c>
    </row>
    <row r="212" spans="25:28" x14ac:dyDescent="0.2">
      <c r="Y212">
        <v>9</v>
      </c>
      <c r="Z212">
        <v>2</v>
      </c>
      <c r="AA212">
        <f t="shared" si="14"/>
        <v>11</v>
      </c>
      <c r="AB212">
        <f t="shared" si="15"/>
        <v>313</v>
      </c>
    </row>
    <row r="213" spans="25:28" x14ac:dyDescent="0.2">
      <c r="Y213">
        <v>9</v>
      </c>
      <c r="Z213">
        <v>2</v>
      </c>
      <c r="AA213">
        <f t="shared" si="14"/>
        <v>11</v>
      </c>
      <c r="AB213">
        <f t="shared" si="15"/>
        <v>313</v>
      </c>
    </row>
    <row r="214" spans="25:28" x14ac:dyDescent="0.2">
      <c r="Y214">
        <v>9</v>
      </c>
      <c r="Z214">
        <v>2</v>
      </c>
      <c r="AA214">
        <f t="shared" si="14"/>
        <v>11</v>
      </c>
      <c r="AB214">
        <f t="shared" si="15"/>
        <v>313</v>
      </c>
    </row>
    <row r="215" spans="25:28" x14ac:dyDescent="0.2">
      <c r="Y215">
        <v>9</v>
      </c>
      <c r="Z215">
        <v>2</v>
      </c>
      <c r="AA215">
        <f t="shared" si="14"/>
        <v>11</v>
      </c>
      <c r="AB215">
        <f t="shared" si="15"/>
        <v>313</v>
      </c>
    </row>
    <row r="216" spans="25:28" x14ac:dyDescent="0.2">
      <c r="Y216">
        <v>9</v>
      </c>
      <c r="Z216">
        <v>2</v>
      </c>
      <c r="AA216">
        <f t="shared" si="14"/>
        <v>11</v>
      </c>
      <c r="AB216">
        <f t="shared" si="15"/>
        <v>313</v>
      </c>
    </row>
    <row r="217" spans="25:28" x14ac:dyDescent="0.2">
      <c r="Y217">
        <v>9</v>
      </c>
      <c r="Z217">
        <v>2</v>
      </c>
      <c r="AA217">
        <f t="shared" si="14"/>
        <v>11</v>
      </c>
      <c r="AB217">
        <f t="shared" si="15"/>
        <v>313</v>
      </c>
    </row>
    <row r="218" spans="25:28" x14ac:dyDescent="0.2">
      <c r="Y218">
        <v>9</v>
      </c>
      <c r="Z218">
        <v>2</v>
      </c>
      <c r="AA218">
        <f t="shared" si="14"/>
        <v>11</v>
      </c>
      <c r="AB218">
        <f t="shared" si="15"/>
        <v>313</v>
      </c>
    </row>
    <row r="219" spans="25:28" x14ac:dyDescent="0.2">
      <c r="Y219">
        <v>9</v>
      </c>
      <c r="Z219">
        <v>2</v>
      </c>
      <c r="AA219">
        <f t="shared" si="14"/>
        <v>11</v>
      </c>
      <c r="AB219">
        <f t="shared" si="15"/>
        <v>313</v>
      </c>
    </row>
    <row r="220" spans="25:28" x14ac:dyDescent="0.2">
      <c r="Y220">
        <v>9</v>
      </c>
      <c r="Z220">
        <v>2</v>
      </c>
      <c r="AA220">
        <f t="shared" si="14"/>
        <v>11</v>
      </c>
      <c r="AB220">
        <f t="shared" si="15"/>
        <v>313</v>
      </c>
    </row>
    <row r="221" spans="25:28" x14ac:dyDescent="0.2">
      <c r="Y221">
        <v>9</v>
      </c>
      <c r="Z221">
        <v>2</v>
      </c>
      <c r="AA221">
        <f t="shared" si="14"/>
        <v>11</v>
      </c>
      <c r="AB221">
        <f t="shared" si="15"/>
        <v>313</v>
      </c>
    </row>
    <row r="222" spans="25:28" x14ac:dyDescent="0.2">
      <c r="Y222">
        <v>9</v>
      </c>
      <c r="Z222">
        <v>2</v>
      </c>
      <c r="AA222">
        <f t="shared" si="14"/>
        <v>11</v>
      </c>
      <c r="AB222">
        <f t="shared" si="15"/>
        <v>313</v>
      </c>
    </row>
    <row r="223" spans="25:28" x14ac:dyDescent="0.2">
      <c r="Y223">
        <v>9</v>
      </c>
      <c r="Z223">
        <v>2</v>
      </c>
      <c r="AA223">
        <f t="shared" si="14"/>
        <v>11</v>
      </c>
      <c r="AB223">
        <f t="shared" si="15"/>
        <v>313</v>
      </c>
    </row>
    <row r="224" spans="25:28" x14ac:dyDescent="0.2">
      <c r="Y224">
        <v>9</v>
      </c>
      <c r="Z224">
        <v>2</v>
      </c>
      <c r="AA224">
        <f t="shared" si="14"/>
        <v>11</v>
      </c>
      <c r="AB224">
        <f t="shared" si="15"/>
        <v>313</v>
      </c>
    </row>
    <row r="225" spans="25:28" x14ac:dyDescent="0.2">
      <c r="Y225">
        <v>9</v>
      </c>
      <c r="Z225">
        <v>2</v>
      </c>
      <c r="AA225">
        <f t="shared" si="14"/>
        <v>11</v>
      </c>
      <c r="AB225">
        <f t="shared" si="15"/>
        <v>313</v>
      </c>
    </row>
    <row r="226" spans="25:28" x14ac:dyDescent="0.2">
      <c r="Y226">
        <v>9</v>
      </c>
      <c r="Z226">
        <v>2</v>
      </c>
      <c r="AA226">
        <f t="shared" si="14"/>
        <v>11</v>
      </c>
      <c r="AB226">
        <f t="shared" si="15"/>
        <v>313</v>
      </c>
    </row>
    <row r="227" spans="25:28" x14ac:dyDescent="0.2">
      <c r="Y227">
        <v>9</v>
      </c>
      <c r="Z227">
        <v>2</v>
      </c>
      <c r="AA227">
        <f t="shared" si="14"/>
        <v>11</v>
      </c>
      <c r="AB227">
        <f t="shared" si="15"/>
        <v>313</v>
      </c>
    </row>
    <row r="228" spans="25:28" x14ac:dyDescent="0.2">
      <c r="Y228">
        <v>9</v>
      </c>
      <c r="Z228">
        <v>2</v>
      </c>
      <c r="AA228">
        <f t="shared" si="14"/>
        <v>11</v>
      </c>
      <c r="AB228">
        <f t="shared" si="15"/>
        <v>313</v>
      </c>
    </row>
    <row r="229" spans="25:28" x14ac:dyDescent="0.2">
      <c r="Y229">
        <v>9</v>
      </c>
      <c r="Z229">
        <v>2</v>
      </c>
      <c r="AA229">
        <f t="shared" si="14"/>
        <v>11</v>
      </c>
      <c r="AB229">
        <f t="shared" si="15"/>
        <v>313</v>
      </c>
    </row>
    <row r="230" spans="25:28" x14ac:dyDescent="0.2">
      <c r="Y230">
        <v>9</v>
      </c>
      <c r="Z230">
        <v>2</v>
      </c>
      <c r="AA230">
        <f t="shared" si="14"/>
        <v>11</v>
      </c>
      <c r="AB230">
        <f t="shared" si="15"/>
        <v>313</v>
      </c>
    </row>
    <row r="231" spans="25:28" x14ac:dyDescent="0.2">
      <c r="Y231">
        <v>10</v>
      </c>
      <c r="Z231">
        <v>2</v>
      </c>
      <c r="AA231">
        <f t="shared" si="14"/>
        <v>11</v>
      </c>
      <c r="AB231">
        <f t="shared" si="15"/>
        <v>313</v>
      </c>
    </row>
    <row r="232" spans="25:28" x14ac:dyDescent="0.2">
      <c r="Y232">
        <v>10</v>
      </c>
      <c r="Z232">
        <v>2</v>
      </c>
      <c r="AA232">
        <f t="shared" si="14"/>
        <v>11</v>
      </c>
      <c r="AB232">
        <f t="shared" si="15"/>
        <v>313</v>
      </c>
    </row>
    <row r="233" spans="25:28" x14ac:dyDescent="0.2">
      <c r="Y233">
        <v>10</v>
      </c>
      <c r="Z233">
        <v>2</v>
      </c>
      <c r="AA233">
        <f t="shared" si="14"/>
        <v>11</v>
      </c>
      <c r="AB233">
        <f t="shared" si="15"/>
        <v>313</v>
      </c>
    </row>
    <row r="234" spans="25:28" x14ac:dyDescent="0.2">
      <c r="Y234">
        <v>10</v>
      </c>
      <c r="Z234">
        <v>2</v>
      </c>
      <c r="AA234">
        <f t="shared" si="14"/>
        <v>11</v>
      </c>
      <c r="AB234">
        <f t="shared" si="15"/>
        <v>313</v>
      </c>
    </row>
    <row r="235" spans="25:28" x14ac:dyDescent="0.2">
      <c r="Y235">
        <v>10</v>
      </c>
      <c r="Z235">
        <v>2</v>
      </c>
      <c r="AA235">
        <f t="shared" si="14"/>
        <v>11</v>
      </c>
      <c r="AB235">
        <f t="shared" si="15"/>
        <v>313</v>
      </c>
    </row>
    <row r="236" spans="25:28" x14ac:dyDescent="0.2">
      <c r="Y236">
        <v>10</v>
      </c>
      <c r="Z236">
        <v>2</v>
      </c>
      <c r="AA236">
        <f t="shared" si="14"/>
        <v>11</v>
      </c>
      <c r="AB236">
        <f t="shared" si="15"/>
        <v>313</v>
      </c>
    </row>
    <row r="237" spans="25:28" x14ac:dyDescent="0.2">
      <c r="Y237">
        <v>10</v>
      </c>
      <c r="Z237">
        <v>2</v>
      </c>
      <c r="AA237">
        <f t="shared" si="14"/>
        <v>11</v>
      </c>
      <c r="AB237">
        <f t="shared" si="15"/>
        <v>313</v>
      </c>
    </row>
    <row r="238" spans="25:28" x14ac:dyDescent="0.2">
      <c r="Y238">
        <v>10</v>
      </c>
      <c r="Z238">
        <v>2</v>
      </c>
      <c r="AA238">
        <f t="shared" si="14"/>
        <v>11</v>
      </c>
      <c r="AB238">
        <f t="shared" si="15"/>
        <v>313</v>
      </c>
    </row>
    <row r="239" spans="25:28" x14ac:dyDescent="0.2">
      <c r="Y239">
        <v>10</v>
      </c>
      <c r="Z239">
        <v>2</v>
      </c>
      <c r="AA239">
        <f t="shared" si="14"/>
        <v>11</v>
      </c>
      <c r="AB239">
        <f t="shared" si="15"/>
        <v>313</v>
      </c>
    </row>
    <row r="240" spans="25:28" x14ac:dyDescent="0.2">
      <c r="Y240">
        <v>10</v>
      </c>
      <c r="Z240">
        <v>2</v>
      </c>
      <c r="AA240">
        <f t="shared" si="14"/>
        <v>11</v>
      </c>
      <c r="AB240">
        <f t="shared" si="15"/>
        <v>313</v>
      </c>
    </row>
    <row r="241" spans="25:28" x14ac:dyDescent="0.2">
      <c r="Y241">
        <v>10</v>
      </c>
      <c r="Z241">
        <v>2</v>
      </c>
      <c r="AA241">
        <f t="shared" si="14"/>
        <v>11</v>
      </c>
      <c r="AB241">
        <f t="shared" si="15"/>
        <v>313</v>
      </c>
    </row>
    <row r="242" spans="25:28" x14ac:dyDescent="0.2">
      <c r="Y242">
        <v>10</v>
      </c>
      <c r="Z242">
        <v>2</v>
      </c>
      <c r="AA242">
        <f t="shared" si="14"/>
        <v>11</v>
      </c>
      <c r="AB242">
        <f t="shared" si="15"/>
        <v>313</v>
      </c>
    </row>
    <row r="243" spans="25:28" x14ac:dyDescent="0.2">
      <c r="Y243">
        <v>10</v>
      </c>
      <c r="Z243">
        <v>2</v>
      </c>
      <c r="AA243">
        <f t="shared" si="14"/>
        <v>11</v>
      </c>
      <c r="AB243">
        <f t="shared" si="15"/>
        <v>313</v>
      </c>
    </row>
    <row r="244" spans="25:28" x14ac:dyDescent="0.2">
      <c r="Y244">
        <v>10</v>
      </c>
      <c r="Z244">
        <v>2</v>
      </c>
      <c r="AA244">
        <f t="shared" si="14"/>
        <v>11</v>
      </c>
      <c r="AB244">
        <f t="shared" si="15"/>
        <v>313</v>
      </c>
    </row>
    <row r="245" spans="25:28" x14ac:dyDescent="0.2">
      <c r="Y245">
        <v>10</v>
      </c>
      <c r="Z245">
        <v>2</v>
      </c>
      <c r="AA245">
        <f t="shared" si="14"/>
        <v>11</v>
      </c>
      <c r="AB245">
        <f t="shared" si="15"/>
        <v>313</v>
      </c>
    </row>
    <row r="246" spans="25:28" x14ac:dyDescent="0.2">
      <c r="Y246">
        <v>10</v>
      </c>
      <c r="Z246">
        <v>2</v>
      </c>
      <c r="AA246">
        <f t="shared" si="14"/>
        <v>11</v>
      </c>
      <c r="AB246">
        <f t="shared" si="15"/>
        <v>313</v>
      </c>
    </row>
    <row r="247" spans="25:28" x14ac:dyDescent="0.2">
      <c r="Y247">
        <v>10</v>
      </c>
      <c r="Z247">
        <v>2</v>
      </c>
      <c r="AA247">
        <f t="shared" si="14"/>
        <v>11</v>
      </c>
      <c r="AB247">
        <f t="shared" si="15"/>
        <v>313</v>
      </c>
    </row>
    <row r="248" spans="25:28" x14ac:dyDescent="0.2">
      <c r="Y248">
        <v>10</v>
      </c>
      <c r="Z248">
        <v>2</v>
      </c>
      <c r="AA248">
        <f t="shared" si="14"/>
        <v>11</v>
      </c>
      <c r="AB248">
        <f t="shared" si="15"/>
        <v>313</v>
      </c>
    </row>
    <row r="249" spans="25:28" x14ac:dyDescent="0.2">
      <c r="Y249">
        <v>10</v>
      </c>
      <c r="Z249">
        <v>2</v>
      </c>
      <c r="AA249">
        <f t="shared" si="14"/>
        <v>11</v>
      </c>
      <c r="AB249">
        <f t="shared" si="15"/>
        <v>313</v>
      </c>
    </row>
    <row r="250" spans="25:28" x14ac:dyDescent="0.2">
      <c r="Y250">
        <v>10</v>
      </c>
      <c r="Z250">
        <v>2</v>
      </c>
      <c r="AA250">
        <f t="shared" si="14"/>
        <v>11</v>
      </c>
      <c r="AB250">
        <f t="shared" si="15"/>
        <v>313</v>
      </c>
    </row>
    <row r="251" spans="25:28" x14ac:dyDescent="0.2">
      <c r="Y251">
        <v>10</v>
      </c>
      <c r="Z251">
        <v>2</v>
      </c>
      <c r="AA251">
        <f t="shared" si="14"/>
        <v>11</v>
      </c>
      <c r="AB251">
        <f t="shared" si="15"/>
        <v>313</v>
      </c>
    </row>
    <row r="252" spans="25:28" x14ac:dyDescent="0.2">
      <c r="Y252">
        <v>10</v>
      </c>
      <c r="Z252">
        <v>2</v>
      </c>
      <c r="AA252">
        <f t="shared" si="14"/>
        <v>11</v>
      </c>
      <c r="AB252">
        <f t="shared" si="15"/>
        <v>313</v>
      </c>
    </row>
    <row r="253" spans="25:28" x14ac:dyDescent="0.2">
      <c r="Y253">
        <v>10</v>
      </c>
      <c r="Z253">
        <v>2</v>
      </c>
      <c r="AA253">
        <f t="shared" si="14"/>
        <v>11</v>
      </c>
      <c r="AB253">
        <f t="shared" si="15"/>
        <v>313</v>
      </c>
    </row>
    <row r="254" spans="25:28" x14ac:dyDescent="0.2">
      <c r="Y254">
        <v>10</v>
      </c>
      <c r="Z254">
        <v>2</v>
      </c>
      <c r="AA254">
        <f t="shared" si="14"/>
        <v>11</v>
      </c>
      <c r="AB254">
        <f t="shared" si="15"/>
        <v>313</v>
      </c>
    </row>
    <row r="255" spans="25:28" x14ac:dyDescent="0.2">
      <c r="Y255">
        <v>10</v>
      </c>
      <c r="Z255">
        <v>2</v>
      </c>
      <c r="AA255">
        <f t="shared" si="14"/>
        <v>11</v>
      </c>
      <c r="AB255">
        <f t="shared" si="15"/>
        <v>313</v>
      </c>
    </row>
    <row r="256" spans="25:28" x14ac:dyDescent="0.2">
      <c r="Y256">
        <v>11</v>
      </c>
      <c r="Z256">
        <v>2</v>
      </c>
      <c r="AA256">
        <f t="shared" si="14"/>
        <v>11</v>
      </c>
      <c r="AB256">
        <f t="shared" si="15"/>
        <v>313</v>
      </c>
    </row>
    <row r="257" spans="25:28" x14ac:dyDescent="0.2">
      <c r="Y257">
        <v>11</v>
      </c>
      <c r="Z257">
        <v>2</v>
      </c>
      <c r="AA257">
        <f t="shared" si="14"/>
        <v>11</v>
      </c>
      <c r="AB257">
        <f t="shared" si="15"/>
        <v>313</v>
      </c>
    </row>
    <row r="258" spans="25:28" x14ac:dyDescent="0.2">
      <c r="Y258">
        <v>11</v>
      </c>
      <c r="Z258">
        <v>2</v>
      </c>
      <c r="AA258">
        <f t="shared" si="14"/>
        <v>11</v>
      </c>
      <c r="AB258">
        <f t="shared" si="15"/>
        <v>313</v>
      </c>
    </row>
    <row r="259" spans="25:28" x14ac:dyDescent="0.2">
      <c r="Y259">
        <v>11</v>
      </c>
      <c r="Z259">
        <v>2</v>
      </c>
      <c r="AA259">
        <f t="shared" si="14"/>
        <v>11</v>
      </c>
      <c r="AB259">
        <f t="shared" si="15"/>
        <v>313</v>
      </c>
    </row>
    <row r="260" spans="25:28" x14ac:dyDescent="0.2">
      <c r="Y260">
        <v>11</v>
      </c>
      <c r="Z260">
        <v>2</v>
      </c>
      <c r="AA260">
        <f t="shared" si="14"/>
        <v>11</v>
      </c>
      <c r="AB260">
        <f t="shared" si="15"/>
        <v>313</v>
      </c>
    </row>
    <row r="261" spans="25:28" x14ac:dyDescent="0.2">
      <c r="Y261">
        <v>11</v>
      </c>
      <c r="Z261">
        <v>2</v>
      </c>
      <c r="AA261">
        <f t="shared" si="14"/>
        <v>11</v>
      </c>
      <c r="AB261">
        <f t="shared" si="15"/>
        <v>313</v>
      </c>
    </row>
    <row r="262" spans="25:28" x14ac:dyDescent="0.2">
      <c r="Y262">
        <v>11</v>
      </c>
      <c r="Z262">
        <v>2</v>
      </c>
      <c r="AA262">
        <f t="shared" si="14"/>
        <v>11</v>
      </c>
      <c r="AB262">
        <f t="shared" si="15"/>
        <v>313</v>
      </c>
    </row>
    <row r="263" spans="25:28" x14ac:dyDescent="0.2">
      <c r="Y263">
        <v>11</v>
      </c>
      <c r="Z263">
        <v>2</v>
      </c>
      <c r="AA263">
        <f t="shared" ref="AA263:AA326" si="16">Z263+9</f>
        <v>11</v>
      </c>
      <c r="AB263">
        <f t="shared" ref="AB263:AB326" si="17">VLOOKUP(Y263,$D$5:$Q$22,AA263,FALSE)</f>
        <v>313</v>
      </c>
    </row>
    <row r="264" spans="25:28" x14ac:dyDescent="0.2">
      <c r="Y264">
        <v>11</v>
      </c>
      <c r="Z264">
        <v>2</v>
      </c>
      <c r="AA264">
        <f t="shared" si="16"/>
        <v>11</v>
      </c>
      <c r="AB264">
        <f t="shared" si="17"/>
        <v>313</v>
      </c>
    </row>
    <row r="265" spans="25:28" x14ac:dyDescent="0.2">
      <c r="Y265">
        <v>11</v>
      </c>
      <c r="Z265">
        <v>2</v>
      </c>
      <c r="AA265">
        <f t="shared" si="16"/>
        <v>11</v>
      </c>
      <c r="AB265">
        <f t="shared" si="17"/>
        <v>313</v>
      </c>
    </row>
    <row r="266" spans="25:28" x14ac:dyDescent="0.2">
      <c r="Y266">
        <v>11</v>
      </c>
      <c r="Z266">
        <v>2</v>
      </c>
      <c r="AA266">
        <f t="shared" si="16"/>
        <v>11</v>
      </c>
      <c r="AB266">
        <f t="shared" si="17"/>
        <v>313</v>
      </c>
    </row>
    <row r="267" spans="25:28" x14ac:dyDescent="0.2">
      <c r="Y267">
        <v>11</v>
      </c>
      <c r="Z267">
        <v>2</v>
      </c>
      <c r="AA267">
        <f t="shared" si="16"/>
        <v>11</v>
      </c>
      <c r="AB267">
        <f t="shared" si="17"/>
        <v>313</v>
      </c>
    </row>
    <row r="268" spans="25:28" x14ac:dyDescent="0.2">
      <c r="Y268">
        <v>11</v>
      </c>
      <c r="Z268">
        <v>2</v>
      </c>
      <c r="AA268">
        <f t="shared" si="16"/>
        <v>11</v>
      </c>
      <c r="AB268">
        <f t="shared" si="17"/>
        <v>313</v>
      </c>
    </row>
    <row r="269" spans="25:28" x14ac:dyDescent="0.2">
      <c r="Y269">
        <v>21</v>
      </c>
      <c r="Z269">
        <v>2</v>
      </c>
      <c r="AA269">
        <f t="shared" si="16"/>
        <v>11</v>
      </c>
      <c r="AB269">
        <f t="shared" si="17"/>
        <v>1250</v>
      </c>
    </row>
    <row r="270" spans="25:28" x14ac:dyDescent="0.2">
      <c r="Y270">
        <v>21</v>
      </c>
      <c r="Z270">
        <v>2</v>
      </c>
      <c r="AA270">
        <f t="shared" si="16"/>
        <v>11</v>
      </c>
      <c r="AB270">
        <f t="shared" si="17"/>
        <v>1250</v>
      </c>
    </row>
    <row r="271" spans="25:28" x14ac:dyDescent="0.2">
      <c r="Y271">
        <v>21</v>
      </c>
      <c r="Z271">
        <v>2</v>
      </c>
      <c r="AA271">
        <f t="shared" si="16"/>
        <v>11</v>
      </c>
      <c r="AB271">
        <f t="shared" si="17"/>
        <v>1250</v>
      </c>
    </row>
    <row r="272" spans="25:28" x14ac:dyDescent="0.2">
      <c r="Y272">
        <v>21</v>
      </c>
      <c r="Z272">
        <v>2</v>
      </c>
      <c r="AA272">
        <f t="shared" si="16"/>
        <v>11</v>
      </c>
      <c r="AB272">
        <f t="shared" si="17"/>
        <v>1250</v>
      </c>
    </row>
    <row r="273" spans="25:28" x14ac:dyDescent="0.2">
      <c r="Y273">
        <v>21</v>
      </c>
      <c r="Z273">
        <v>2</v>
      </c>
      <c r="AA273">
        <f t="shared" si="16"/>
        <v>11</v>
      </c>
      <c r="AB273">
        <f t="shared" si="17"/>
        <v>1250</v>
      </c>
    </row>
    <row r="274" spans="25:28" x14ac:dyDescent="0.2">
      <c r="Y274">
        <v>21</v>
      </c>
      <c r="Z274">
        <v>2</v>
      </c>
      <c r="AA274">
        <f t="shared" si="16"/>
        <v>11</v>
      </c>
      <c r="AB274">
        <f t="shared" si="17"/>
        <v>1250</v>
      </c>
    </row>
    <row r="275" spans="25:28" x14ac:dyDescent="0.2">
      <c r="Y275">
        <v>21</v>
      </c>
      <c r="Z275">
        <v>2</v>
      </c>
      <c r="AA275">
        <f t="shared" si="16"/>
        <v>11</v>
      </c>
      <c r="AB275">
        <f t="shared" si="17"/>
        <v>1250</v>
      </c>
    </row>
    <row r="276" spans="25:28" x14ac:dyDescent="0.2">
      <c r="Y276">
        <v>21</v>
      </c>
      <c r="Z276">
        <v>2</v>
      </c>
      <c r="AA276">
        <f t="shared" si="16"/>
        <v>11</v>
      </c>
      <c r="AB276">
        <f t="shared" si="17"/>
        <v>1250</v>
      </c>
    </row>
    <row r="277" spans="25:28" x14ac:dyDescent="0.2">
      <c r="Y277">
        <v>21</v>
      </c>
      <c r="Z277">
        <v>2</v>
      </c>
      <c r="AA277">
        <f t="shared" si="16"/>
        <v>11</v>
      </c>
      <c r="AB277">
        <f t="shared" si="17"/>
        <v>1250</v>
      </c>
    </row>
    <row r="278" spans="25:28" x14ac:dyDescent="0.2">
      <c r="Y278">
        <v>21</v>
      </c>
      <c r="Z278">
        <v>2</v>
      </c>
      <c r="AA278">
        <f t="shared" si="16"/>
        <v>11</v>
      </c>
      <c r="AB278">
        <f t="shared" si="17"/>
        <v>1250</v>
      </c>
    </row>
    <row r="279" spans="25:28" x14ac:dyDescent="0.2">
      <c r="Y279">
        <v>21</v>
      </c>
      <c r="Z279">
        <v>2</v>
      </c>
      <c r="AA279">
        <f t="shared" si="16"/>
        <v>11</v>
      </c>
      <c r="AB279">
        <f t="shared" si="17"/>
        <v>1250</v>
      </c>
    </row>
    <row r="280" spans="25:28" x14ac:dyDescent="0.2">
      <c r="Y280">
        <v>21</v>
      </c>
      <c r="Z280">
        <v>2</v>
      </c>
      <c r="AA280">
        <f t="shared" si="16"/>
        <v>11</v>
      </c>
      <c r="AB280">
        <f t="shared" si="17"/>
        <v>1250</v>
      </c>
    </row>
    <row r="281" spans="25:28" x14ac:dyDescent="0.2">
      <c r="Y281">
        <v>21</v>
      </c>
      <c r="Z281">
        <v>2</v>
      </c>
      <c r="AA281">
        <f t="shared" si="16"/>
        <v>11</v>
      </c>
      <c r="AB281">
        <f t="shared" si="17"/>
        <v>1250</v>
      </c>
    </row>
    <row r="282" spans="25:28" x14ac:dyDescent="0.2">
      <c r="Y282">
        <v>21</v>
      </c>
      <c r="Z282">
        <v>2</v>
      </c>
      <c r="AA282">
        <f t="shared" si="16"/>
        <v>11</v>
      </c>
      <c r="AB282">
        <f t="shared" si="17"/>
        <v>1250</v>
      </c>
    </row>
    <row r="283" spans="25:28" x14ac:dyDescent="0.2">
      <c r="Y283">
        <v>21</v>
      </c>
      <c r="Z283">
        <v>2</v>
      </c>
      <c r="AA283">
        <f t="shared" si="16"/>
        <v>11</v>
      </c>
      <c r="AB283">
        <f t="shared" si="17"/>
        <v>1250</v>
      </c>
    </row>
    <row r="284" spans="25:28" x14ac:dyDescent="0.2">
      <c r="Y284">
        <v>21</v>
      </c>
      <c r="Z284">
        <v>2</v>
      </c>
      <c r="AA284">
        <f t="shared" si="16"/>
        <v>11</v>
      </c>
      <c r="AB284">
        <f t="shared" si="17"/>
        <v>1250</v>
      </c>
    </row>
    <row r="285" spans="25:28" x14ac:dyDescent="0.2">
      <c r="Y285">
        <v>21</v>
      </c>
      <c r="Z285">
        <v>2</v>
      </c>
      <c r="AA285">
        <f t="shared" si="16"/>
        <v>11</v>
      </c>
      <c r="AB285">
        <f t="shared" si="17"/>
        <v>1250</v>
      </c>
    </row>
    <row r="286" spans="25:28" x14ac:dyDescent="0.2">
      <c r="Y286">
        <v>21</v>
      </c>
      <c r="Z286">
        <v>2</v>
      </c>
      <c r="AA286">
        <f t="shared" si="16"/>
        <v>11</v>
      </c>
      <c r="AB286">
        <f t="shared" si="17"/>
        <v>1250</v>
      </c>
    </row>
    <row r="287" spans="25:28" x14ac:dyDescent="0.2">
      <c r="Y287">
        <v>21</v>
      </c>
      <c r="Z287">
        <v>2</v>
      </c>
      <c r="AA287">
        <f t="shared" si="16"/>
        <v>11</v>
      </c>
      <c r="AB287">
        <f t="shared" si="17"/>
        <v>1250</v>
      </c>
    </row>
    <row r="288" spans="25:28" x14ac:dyDescent="0.2">
      <c r="Y288">
        <v>21</v>
      </c>
      <c r="Z288">
        <v>2</v>
      </c>
      <c r="AA288">
        <f t="shared" si="16"/>
        <v>11</v>
      </c>
      <c r="AB288">
        <f t="shared" si="17"/>
        <v>1250</v>
      </c>
    </row>
    <row r="289" spans="25:28" x14ac:dyDescent="0.2">
      <c r="Y289">
        <v>21</v>
      </c>
      <c r="Z289">
        <v>2</v>
      </c>
      <c r="AA289">
        <f t="shared" si="16"/>
        <v>11</v>
      </c>
      <c r="AB289">
        <f t="shared" si="17"/>
        <v>1250</v>
      </c>
    </row>
    <row r="290" spans="25:28" x14ac:dyDescent="0.2">
      <c r="Y290">
        <v>21</v>
      </c>
      <c r="Z290">
        <v>2</v>
      </c>
      <c r="AA290">
        <f t="shared" si="16"/>
        <v>11</v>
      </c>
      <c r="AB290">
        <f t="shared" si="17"/>
        <v>1250</v>
      </c>
    </row>
    <row r="291" spans="25:28" x14ac:dyDescent="0.2">
      <c r="Y291">
        <v>21</v>
      </c>
      <c r="Z291">
        <v>2</v>
      </c>
      <c r="AA291">
        <f t="shared" si="16"/>
        <v>11</v>
      </c>
      <c r="AB291">
        <f t="shared" si="17"/>
        <v>1250</v>
      </c>
    </row>
    <row r="292" spans="25:28" x14ac:dyDescent="0.2">
      <c r="Y292">
        <v>21</v>
      </c>
      <c r="Z292">
        <v>2</v>
      </c>
      <c r="AA292">
        <f t="shared" si="16"/>
        <v>11</v>
      </c>
      <c r="AB292">
        <f t="shared" si="17"/>
        <v>1250</v>
      </c>
    </row>
    <row r="293" spans="25:28" x14ac:dyDescent="0.2">
      <c r="Y293">
        <v>21</v>
      </c>
      <c r="Z293">
        <v>2</v>
      </c>
      <c r="AA293">
        <f t="shared" si="16"/>
        <v>11</v>
      </c>
      <c r="AB293">
        <f t="shared" si="17"/>
        <v>1250</v>
      </c>
    </row>
    <row r="294" spans="25:28" x14ac:dyDescent="0.2">
      <c r="Y294">
        <v>22</v>
      </c>
      <c r="Z294">
        <v>2</v>
      </c>
      <c r="AA294">
        <f t="shared" si="16"/>
        <v>11</v>
      </c>
      <c r="AB294">
        <f t="shared" si="17"/>
        <v>1250</v>
      </c>
    </row>
    <row r="295" spans="25:28" x14ac:dyDescent="0.2">
      <c r="Y295">
        <v>22</v>
      </c>
      <c r="Z295">
        <v>2</v>
      </c>
      <c r="AA295">
        <f t="shared" si="16"/>
        <v>11</v>
      </c>
      <c r="AB295">
        <f t="shared" si="17"/>
        <v>1250</v>
      </c>
    </row>
    <row r="296" spans="25:28" x14ac:dyDescent="0.2">
      <c r="Y296">
        <v>22</v>
      </c>
      <c r="Z296">
        <v>2</v>
      </c>
      <c r="AA296">
        <f t="shared" si="16"/>
        <v>11</v>
      </c>
      <c r="AB296">
        <f t="shared" si="17"/>
        <v>1250</v>
      </c>
    </row>
    <row r="297" spans="25:28" x14ac:dyDescent="0.2">
      <c r="Y297">
        <v>22</v>
      </c>
      <c r="Z297">
        <v>2</v>
      </c>
      <c r="AA297">
        <f t="shared" si="16"/>
        <v>11</v>
      </c>
      <c r="AB297">
        <f t="shared" si="17"/>
        <v>1250</v>
      </c>
    </row>
    <row r="298" spans="25:28" x14ac:dyDescent="0.2">
      <c r="Y298">
        <v>22</v>
      </c>
      <c r="Z298">
        <v>2</v>
      </c>
      <c r="AA298">
        <f t="shared" si="16"/>
        <v>11</v>
      </c>
      <c r="AB298">
        <f t="shared" si="17"/>
        <v>1250</v>
      </c>
    </row>
    <row r="299" spans="25:28" x14ac:dyDescent="0.2">
      <c r="Y299">
        <v>22</v>
      </c>
      <c r="Z299">
        <v>2</v>
      </c>
      <c r="AA299">
        <f t="shared" si="16"/>
        <v>11</v>
      </c>
      <c r="AB299">
        <f t="shared" si="17"/>
        <v>1250</v>
      </c>
    </row>
    <row r="300" spans="25:28" x14ac:dyDescent="0.2">
      <c r="Y300">
        <v>22</v>
      </c>
      <c r="Z300">
        <v>2</v>
      </c>
      <c r="AA300">
        <f t="shared" si="16"/>
        <v>11</v>
      </c>
      <c r="AB300">
        <f t="shared" si="17"/>
        <v>1250</v>
      </c>
    </row>
    <row r="301" spans="25:28" x14ac:dyDescent="0.2">
      <c r="Y301">
        <v>22</v>
      </c>
      <c r="Z301">
        <v>2</v>
      </c>
      <c r="AA301">
        <f t="shared" si="16"/>
        <v>11</v>
      </c>
      <c r="AB301">
        <f t="shared" si="17"/>
        <v>1250</v>
      </c>
    </row>
    <row r="302" spans="25:28" x14ac:dyDescent="0.2">
      <c r="Y302">
        <v>22</v>
      </c>
      <c r="Z302">
        <v>2</v>
      </c>
      <c r="AA302">
        <f t="shared" si="16"/>
        <v>11</v>
      </c>
      <c r="AB302">
        <f t="shared" si="17"/>
        <v>1250</v>
      </c>
    </row>
    <row r="303" spans="25:28" x14ac:dyDescent="0.2">
      <c r="Y303">
        <v>22</v>
      </c>
      <c r="Z303">
        <v>2</v>
      </c>
      <c r="AA303">
        <f t="shared" si="16"/>
        <v>11</v>
      </c>
      <c r="AB303">
        <f t="shared" si="17"/>
        <v>1250</v>
      </c>
    </row>
    <row r="304" spans="25:28" x14ac:dyDescent="0.2">
      <c r="Y304">
        <v>22</v>
      </c>
      <c r="Z304">
        <v>2</v>
      </c>
      <c r="AA304">
        <f t="shared" si="16"/>
        <v>11</v>
      </c>
      <c r="AB304">
        <f t="shared" si="17"/>
        <v>1250</v>
      </c>
    </row>
    <row r="305" spans="25:28" x14ac:dyDescent="0.2">
      <c r="Y305">
        <v>22</v>
      </c>
      <c r="Z305">
        <v>2</v>
      </c>
      <c r="AA305">
        <f t="shared" si="16"/>
        <v>11</v>
      </c>
      <c r="AB305">
        <f t="shared" si="17"/>
        <v>1250</v>
      </c>
    </row>
    <row r="306" spans="25:28" x14ac:dyDescent="0.2">
      <c r="Y306">
        <v>22</v>
      </c>
      <c r="Z306">
        <v>2</v>
      </c>
      <c r="AA306">
        <f t="shared" si="16"/>
        <v>11</v>
      </c>
      <c r="AB306">
        <f t="shared" si="17"/>
        <v>1250</v>
      </c>
    </row>
    <row r="307" spans="25:28" x14ac:dyDescent="0.2">
      <c r="Y307">
        <v>22</v>
      </c>
      <c r="Z307">
        <v>2</v>
      </c>
      <c r="AA307">
        <f t="shared" si="16"/>
        <v>11</v>
      </c>
      <c r="AB307">
        <f t="shared" si="17"/>
        <v>1250</v>
      </c>
    </row>
    <row r="308" spans="25:28" x14ac:dyDescent="0.2">
      <c r="Y308">
        <v>22</v>
      </c>
      <c r="Z308">
        <v>2</v>
      </c>
      <c r="AA308">
        <f t="shared" si="16"/>
        <v>11</v>
      </c>
      <c r="AB308">
        <f t="shared" si="17"/>
        <v>1250</v>
      </c>
    </row>
    <row r="309" spans="25:28" x14ac:dyDescent="0.2">
      <c r="Y309">
        <v>22</v>
      </c>
      <c r="Z309">
        <v>2</v>
      </c>
      <c r="AA309">
        <f t="shared" si="16"/>
        <v>11</v>
      </c>
      <c r="AB309">
        <f t="shared" si="17"/>
        <v>1250</v>
      </c>
    </row>
    <row r="310" spans="25:28" x14ac:dyDescent="0.2">
      <c r="Y310">
        <v>22</v>
      </c>
      <c r="Z310">
        <v>2</v>
      </c>
      <c r="AA310">
        <f t="shared" si="16"/>
        <v>11</v>
      </c>
      <c r="AB310">
        <f t="shared" si="17"/>
        <v>1250</v>
      </c>
    </row>
    <row r="311" spans="25:28" x14ac:dyDescent="0.2">
      <c r="Y311">
        <v>22</v>
      </c>
      <c r="Z311">
        <v>2</v>
      </c>
      <c r="AA311">
        <f t="shared" si="16"/>
        <v>11</v>
      </c>
      <c r="AB311">
        <f t="shared" si="17"/>
        <v>1250</v>
      </c>
    </row>
    <row r="312" spans="25:28" x14ac:dyDescent="0.2">
      <c r="Y312">
        <v>22</v>
      </c>
      <c r="Z312">
        <v>2</v>
      </c>
      <c r="AA312">
        <f t="shared" si="16"/>
        <v>11</v>
      </c>
      <c r="AB312">
        <f t="shared" si="17"/>
        <v>1250</v>
      </c>
    </row>
    <row r="313" spans="25:28" x14ac:dyDescent="0.2">
      <c r="Y313">
        <v>22</v>
      </c>
      <c r="Z313">
        <v>2</v>
      </c>
      <c r="AA313">
        <f t="shared" si="16"/>
        <v>11</v>
      </c>
      <c r="AB313">
        <f t="shared" si="17"/>
        <v>1250</v>
      </c>
    </row>
    <row r="314" spans="25:28" x14ac:dyDescent="0.2">
      <c r="Y314">
        <v>22</v>
      </c>
      <c r="Z314">
        <v>2</v>
      </c>
      <c r="AA314">
        <f t="shared" si="16"/>
        <v>11</v>
      </c>
      <c r="AB314">
        <f t="shared" si="17"/>
        <v>1250</v>
      </c>
    </row>
    <row r="315" spans="25:28" x14ac:dyDescent="0.2">
      <c r="Y315">
        <v>22</v>
      </c>
      <c r="Z315">
        <v>2</v>
      </c>
      <c r="AA315">
        <f t="shared" si="16"/>
        <v>11</v>
      </c>
      <c r="AB315">
        <f t="shared" si="17"/>
        <v>1250</v>
      </c>
    </row>
    <row r="316" spans="25:28" x14ac:dyDescent="0.2">
      <c r="Y316">
        <v>22</v>
      </c>
      <c r="Z316">
        <v>2</v>
      </c>
      <c r="AA316">
        <f t="shared" si="16"/>
        <v>11</v>
      </c>
      <c r="AB316">
        <f t="shared" si="17"/>
        <v>1250</v>
      </c>
    </row>
    <row r="317" spans="25:28" x14ac:dyDescent="0.2">
      <c r="Y317">
        <v>22</v>
      </c>
      <c r="Z317">
        <v>2</v>
      </c>
      <c r="AA317">
        <f t="shared" si="16"/>
        <v>11</v>
      </c>
      <c r="AB317">
        <f t="shared" si="17"/>
        <v>1250</v>
      </c>
    </row>
    <row r="318" spans="25:28" x14ac:dyDescent="0.2">
      <c r="Y318">
        <v>22</v>
      </c>
      <c r="Z318">
        <v>2</v>
      </c>
      <c r="AA318">
        <f t="shared" si="16"/>
        <v>11</v>
      </c>
      <c r="AB318">
        <f t="shared" si="17"/>
        <v>1250</v>
      </c>
    </row>
    <row r="319" spans="25:28" x14ac:dyDescent="0.2">
      <c r="Y319">
        <v>23</v>
      </c>
      <c r="Z319">
        <v>2</v>
      </c>
      <c r="AA319">
        <f t="shared" si="16"/>
        <v>11</v>
      </c>
      <c r="AB319">
        <f t="shared" si="17"/>
        <v>1250</v>
      </c>
    </row>
    <row r="320" spans="25:28" x14ac:dyDescent="0.2">
      <c r="Y320">
        <v>23</v>
      </c>
      <c r="Z320">
        <v>2</v>
      </c>
      <c r="AA320">
        <f t="shared" si="16"/>
        <v>11</v>
      </c>
      <c r="AB320">
        <f t="shared" si="17"/>
        <v>1250</v>
      </c>
    </row>
    <row r="321" spans="25:28" x14ac:dyDescent="0.2">
      <c r="Y321">
        <v>23</v>
      </c>
      <c r="Z321">
        <v>2</v>
      </c>
      <c r="AA321">
        <f t="shared" si="16"/>
        <v>11</v>
      </c>
      <c r="AB321">
        <f t="shared" si="17"/>
        <v>1250</v>
      </c>
    </row>
    <row r="322" spans="25:28" x14ac:dyDescent="0.2">
      <c r="Y322">
        <v>23</v>
      </c>
      <c r="Z322">
        <v>2</v>
      </c>
      <c r="AA322">
        <f t="shared" si="16"/>
        <v>11</v>
      </c>
      <c r="AB322">
        <f t="shared" si="17"/>
        <v>1250</v>
      </c>
    </row>
    <row r="323" spans="25:28" x14ac:dyDescent="0.2">
      <c r="Y323">
        <v>23</v>
      </c>
      <c r="Z323">
        <v>2</v>
      </c>
      <c r="AA323">
        <f t="shared" si="16"/>
        <v>11</v>
      </c>
      <c r="AB323">
        <f t="shared" si="17"/>
        <v>1250</v>
      </c>
    </row>
    <row r="324" spans="25:28" x14ac:dyDescent="0.2">
      <c r="Y324">
        <v>23</v>
      </c>
      <c r="Z324">
        <v>2</v>
      </c>
      <c r="AA324">
        <f t="shared" si="16"/>
        <v>11</v>
      </c>
      <c r="AB324">
        <f t="shared" si="17"/>
        <v>1250</v>
      </c>
    </row>
    <row r="325" spans="25:28" x14ac:dyDescent="0.2">
      <c r="Y325">
        <v>23</v>
      </c>
      <c r="Z325">
        <v>2</v>
      </c>
      <c r="AA325">
        <f t="shared" si="16"/>
        <v>11</v>
      </c>
      <c r="AB325">
        <f t="shared" si="17"/>
        <v>1250</v>
      </c>
    </row>
    <row r="326" spans="25:28" x14ac:dyDescent="0.2">
      <c r="Y326">
        <v>23</v>
      </c>
      <c r="Z326">
        <v>2</v>
      </c>
      <c r="AA326">
        <f t="shared" si="16"/>
        <v>11</v>
      </c>
      <c r="AB326">
        <f t="shared" si="17"/>
        <v>1250</v>
      </c>
    </row>
    <row r="327" spans="25:28" x14ac:dyDescent="0.2">
      <c r="Y327">
        <v>23</v>
      </c>
      <c r="Z327">
        <v>2</v>
      </c>
      <c r="AA327">
        <f t="shared" ref="AA327:AA390" si="18">Z327+9</f>
        <v>11</v>
      </c>
      <c r="AB327">
        <f t="shared" ref="AB327:AB390" si="19">VLOOKUP(Y327,$D$5:$Q$22,AA327,FALSE)</f>
        <v>1250</v>
      </c>
    </row>
    <row r="328" spans="25:28" x14ac:dyDescent="0.2">
      <c r="Y328">
        <v>23</v>
      </c>
      <c r="Z328">
        <v>2</v>
      </c>
      <c r="AA328">
        <f t="shared" si="18"/>
        <v>11</v>
      </c>
      <c r="AB328">
        <f t="shared" si="19"/>
        <v>1250</v>
      </c>
    </row>
    <row r="329" spans="25:28" x14ac:dyDescent="0.2">
      <c r="Y329">
        <v>23</v>
      </c>
      <c r="Z329">
        <v>2</v>
      </c>
      <c r="AA329">
        <f t="shared" si="18"/>
        <v>11</v>
      </c>
      <c r="AB329">
        <f t="shared" si="19"/>
        <v>1250</v>
      </c>
    </row>
    <row r="330" spans="25:28" x14ac:dyDescent="0.2">
      <c r="Y330">
        <v>23</v>
      </c>
      <c r="Z330">
        <v>2</v>
      </c>
      <c r="AA330">
        <f t="shared" si="18"/>
        <v>11</v>
      </c>
      <c r="AB330">
        <f t="shared" si="19"/>
        <v>1250</v>
      </c>
    </row>
    <row r="331" spans="25:28" x14ac:dyDescent="0.2">
      <c r="Y331">
        <v>23</v>
      </c>
      <c r="Z331">
        <v>2</v>
      </c>
      <c r="AA331">
        <f t="shared" si="18"/>
        <v>11</v>
      </c>
      <c r="AB331">
        <f t="shared" si="19"/>
        <v>1250</v>
      </c>
    </row>
    <row r="332" spans="25:28" x14ac:dyDescent="0.2">
      <c r="Y332">
        <v>23</v>
      </c>
      <c r="Z332">
        <v>2</v>
      </c>
      <c r="AA332">
        <f t="shared" si="18"/>
        <v>11</v>
      </c>
      <c r="AB332">
        <f t="shared" si="19"/>
        <v>1250</v>
      </c>
    </row>
    <row r="333" spans="25:28" x14ac:dyDescent="0.2">
      <c r="Y333">
        <v>23</v>
      </c>
      <c r="Z333">
        <v>2</v>
      </c>
      <c r="AA333">
        <f t="shared" si="18"/>
        <v>11</v>
      </c>
      <c r="AB333">
        <f t="shared" si="19"/>
        <v>1250</v>
      </c>
    </row>
    <row r="334" spans="25:28" x14ac:dyDescent="0.2">
      <c r="Y334">
        <v>23</v>
      </c>
      <c r="Z334">
        <v>2</v>
      </c>
      <c r="AA334">
        <f t="shared" si="18"/>
        <v>11</v>
      </c>
      <c r="AB334">
        <f t="shared" si="19"/>
        <v>1250</v>
      </c>
    </row>
    <row r="335" spans="25:28" x14ac:dyDescent="0.2">
      <c r="Y335">
        <v>23</v>
      </c>
      <c r="Z335">
        <v>2</v>
      </c>
      <c r="AA335">
        <f t="shared" si="18"/>
        <v>11</v>
      </c>
      <c r="AB335">
        <f t="shared" si="19"/>
        <v>1250</v>
      </c>
    </row>
    <row r="336" spans="25:28" x14ac:dyDescent="0.2">
      <c r="Y336">
        <v>23</v>
      </c>
      <c r="Z336">
        <v>2</v>
      </c>
      <c r="AA336">
        <f t="shared" si="18"/>
        <v>11</v>
      </c>
      <c r="AB336">
        <f t="shared" si="19"/>
        <v>1250</v>
      </c>
    </row>
    <row r="337" spans="25:28" x14ac:dyDescent="0.2">
      <c r="Y337">
        <v>23</v>
      </c>
      <c r="Z337">
        <v>2</v>
      </c>
      <c r="AA337">
        <f t="shared" si="18"/>
        <v>11</v>
      </c>
      <c r="AB337">
        <f t="shared" si="19"/>
        <v>1250</v>
      </c>
    </row>
    <row r="338" spans="25:28" x14ac:dyDescent="0.2">
      <c r="Y338">
        <v>23</v>
      </c>
      <c r="Z338">
        <v>2</v>
      </c>
      <c r="AA338">
        <f t="shared" si="18"/>
        <v>11</v>
      </c>
      <c r="AB338">
        <f t="shared" si="19"/>
        <v>1250</v>
      </c>
    </row>
    <row r="339" spans="25:28" x14ac:dyDescent="0.2">
      <c r="Y339">
        <v>23</v>
      </c>
      <c r="Z339">
        <v>2</v>
      </c>
      <c r="AA339">
        <f t="shared" si="18"/>
        <v>11</v>
      </c>
      <c r="AB339">
        <f t="shared" si="19"/>
        <v>1250</v>
      </c>
    </row>
    <row r="340" spans="25:28" x14ac:dyDescent="0.2">
      <c r="Y340">
        <v>23</v>
      </c>
      <c r="Z340">
        <v>2</v>
      </c>
      <c r="AA340">
        <f t="shared" si="18"/>
        <v>11</v>
      </c>
      <c r="AB340">
        <f t="shared" si="19"/>
        <v>1250</v>
      </c>
    </row>
    <row r="341" spans="25:28" x14ac:dyDescent="0.2">
      <c r="Y341">
        <v>23</v>
      </c>
      <c r="Z341">
        <v>2</v>
      </c>
      <c r="AA341">
        <f t="shared" si="18"/>
        <v>11</v>
      </c>
      <c r="AB341">
        <f t="shared" si="19"/>
        <v>1250</v>
      </c>
    </row>
    <row r="342" spans="25:28" x14ac:dyDescent="0.2">
      <c r="Y342">
        <v>23</v>
      </c>
      <c r="Z342">
        <v>2</v>
      </c>
      <c r="AA342">
        <f t="shared" si="18"/>
        <v>11</v>
      </c>
      <c r="AB342">
        <f t="shared" si="19"/>
        <v>1250</v>
      </c>
    </row>
    <row r="343" spans="25:28" x14ac:dyDescent="0.2">
      <c r="Y343">
        <v>23</v>
      </c>
      <c r="Z343">
        <v>2</v>
      </c>
      <c r="AA343">
        <f t="shared" si="18"/>
        <v>11</v>
      </c>
      <c r="AB343">
        <f t="shared" si="19"/>
        <v>1250</v>
      </c>
    </row>
    <row r="344" spans="25:28" x14ac:dyDescent="0.2">
      <c r="Y344">
        <v>24</v>
      </c>
      <c r="Z344">
        <v>2</v>
      </c>
      <c r="AA344">
        <f t="shared" si="18"/>
        <v>11</v>
      </c>
      <c r="AB344">
        <f t="shared" si="19"/>
        <v>1250</v>
      </c>
    </row>
    <row r="345" spans="25:28" x14ac:dyDescent="0.2">
      <c r="Y345">
        <v>24</v>
      </c>
      <c r="Z345">
        <v>2</v>
      </c>
      <c r="AA345">
        <f t="shared" si="18"/>
        <v>11</v>
      </c>
      <c r="AB345">
        <f t="shared" si="19"/>
        <v>1250</v>
      </c>
    </row>
    <row r="346" spans="25:28" x14ac:dyDescent="0.2">
      <c r="Y346">
        <v>24</v>
      </c>
      <c r="Z346">
        <v>2</v>
      </c>
      <c r="AA346">
        <f t="shared" si="18"/>
        <v>11</v>
      </c>
      <c r="AB346">
        <f t="shared" si="19"/>
        <v>1250</v>
      </c>
    </row>
    <row r="347" spans="25:28" x14ac:dyDescent="0.2">
      <c r="Y347">
        <v>24</v>
      </c>
      <c r="Z347">
        <v>2</v>
      </c>
      <c r="AA347">
        <f t="shared" si="18"/>
        <v>11</v>
      </c>
      <c r="AB347">
        <f t="shared" si="19"/>
        <v>1250</v>
      </c>
    </row>
    <row r="348" spans="25:28" x14ac:dyDescent="0.2">
      <c r="Y348">
        <v>24</v>
      </c>
      <c r="Z348">
        <v>2</v>
      </c>
      <c r="AA348">
        <f t="shared" si="18"/>
        <v>11</v>
      </c>
      <c r="AB348">
        <f t="shared" si="19"/>
        <v>1250</v>
      </c>
    </row>
    <row r="349" spans="25:28" x14ac:dyDescent="0.2">
      <c r="Y349">
        <v>24</v>
      </c>
      <c r="Z349">
        <v>2</v>
      </c>
      <c r="AA349">
        <f t="shared" si="18"/>
        <v>11</v>
      </c>
      <c r="AB349">
        <f t="shared" si="19"/>
        <v>1250</v>
      </c>
    </row>
    <row r="350" spans="25:28" x14ac:dyDescent="0.2">
      <c r="Y350">
        <v>24</v>
      </c>
      <c r="Z350">
        <v>2</v>
      </c>
      <c r="AA350">
        <f t="shared" si="18"/>
        <v>11</v>
      </c>
      <c r="AB350">
        <f t="shared" si="19"/>
        <v>1250</v>
      </c>
    </row>
    <row r="351" spans="25:28" x14ac:dyDescent="0.2">
      <c r="Y351">
        <v>25</v>
      </c>
      <c r="Z351">
        <v>2</v>
      </c>
      <c r="AA351">
        <f t="shared" si="18"/>
        <v>11</v>
      </c>
      <c r="AB351">
        <f t="shared" si="19"/>
        <v>1250</v>
      </c>
    </row>
    <row r="352" spans="25:28" x14ac:dyDescent="0.2">
      <c r="Y352">
        <v>25</v>
      </c>
      <c r="Z352">
        <v>2</v>
      </c>
      <c r="AA352">
        <f t="shared" si="18"/>
        <v>11</v>
      </c>
      <c r="AB352">
        <f t="shared" si="19"/>
        <v>1250</v>
      </c>
    </row>
    <row r="353" spans="25:28" x14ac:dyDescent="0.2">
      <c r="Y353">
        <v>25</v>
      </c>
      <c r="Z353">
        <v>2</v>
      </c>
      <c r="AA353">
        <f t="shared" si="18"/>
        <v>11</v>
      </c>
      <c r="AB353">
        <f t="shared" si="19"/>
        <v>1250</v>
      </c>
    </row>
    <row r="354" spans="25:28" x14ac:dyDescent="0.2">
      <c r="Y354">
        <v>25</v>
      </c>
      <c r="Z354">
        <v>2</v>
      </c>
      <c r="AA354">
        <f t="shared" si="18"/>
        <v>11</v>
      </c>
      <c r="AB354">
        <f t="shared" si="19"/>
        <v>1250</v>
      </c>
    </row>
    <row r="355" spans="25:28" x14ac:dyDescent="0.2">
      <c r="Y355">
        <v>25</v>
      </c>
      <c r="Z355">
        <v>2</v>
      </c>
      <c r="AA355">
        <f t="shared" si="18"/>
        <v>11</v>
      </c>
      <c r="AB355">
        <f t="shared" si="19"/>
        <v>1250</v>
      </c>
    </row>
    <row r="356" spans="25:28" x14ac:dyDescent="0.2">
      <c r="Y356">
        <v>25</v>
      </c>
      <c r="Z356">
        <v>2</v>
      </c>
      <c r="AA356">
        <f t="shared" si="18"/>
        <v>11</v>
      </c>
      <c r="AB356">
        <f t="shared" si="19"/>
        <v>1250</v>
      </c>
    </row>
    <row r="357" spans="25:28" x14ac:dyDescent="0.2">
      <c r="Y357">
        <v>25</v>
      </c>
      <c r="Z357">
        <v>2</v>
      </c>
      <c r="AA357">
        <f t="shared" si="18"/>
        <v>11</v>
      </c>
      <c r="AB357">
        <f t="shared" si="19"/>
        <v>1250</v>
      </c>
    </row>
    <row r="358" spans="25:28" x14ac:dyDescent="0.2">
      <c r="Y358">
        <v>25</v>
      </c>
      <c r="Z358">
        <v>2</v>
      </c>
      <c r="AA358">
        <f t="shared" si="18"/>
        <v>11</v>
      </c>
      <c r="AB358">
        <f t="shared" si="19"/>
        <v>1250</v>
      </c>
    </row>
    <row r="359" spans="25:28" x14ac:dyDescent="0.2">
      <c r="Y359">
        <v>25</v>
      </c>
      <c r="Z359">
        <v>2</v>
      </c>
      <c r="AA359">
        <f t="shared" si="18"/>
        <v>11</v>
      </c>
      <c r="AB359">
        <f t="shared" si="19"/>
        <v>1250</v>
      </c>
    </row>
    <row r="360" spans="25:28" x14ac:dyDescent="0.2">
      <c r="Y360">
        <v>25</v>
      </c>
      <c r="Z360">
        <v>2</v>
      </c>
      <c r="AA360">
        <f t="shared" si="18"/>
        <v>11</v>
      </c>
      <c r="AB360">
        <f t="shared" si="19"/>
        <v>1250</v>
      </c>
    </row>
    <row r="361" spans="25:28" x14ac:dyDescent="0.2">
      <c r="Y361">
        <v>25</v>
      </c>
      <c r="Z361">
        <v>2</v>
      </c>
      <c r="AA361">
        <f t="shared" si="18"/>
        <v>11</v>
      </c>
      <c r="AB361">
        <f t="shared" si="19"/>
        <v>1250</v>
      </c>
    </row>
    <row r="362" spans="25:28" x14ac:dyDescent="0.2">
      <c r="Y362">
        <v>25</v>
      </c>
      <c r="Z362">
        <v>2</v>
      </c>
      <c r="AA362">
        <f t="shared" si="18"/>
        <v>11</v>
      </c>
      <c r="AB362">
        <f t="shared" si="19"/>
        <v>1250</v>
      </c>
    </row>
    <row r="363" spans="25:28" x14ac:dyDescent="0.2">
      <c r="Y363">
        <v>25</v>
      </c>
      <c r="Z363">
        <v>2</v>
      </c>
      <c r="AA363">
        <f t="shared" si="18"/>
        <v>11</v>
      </c>
      <c r="AB363">
        <f t="shared" si="19"/>
        <v>1250</v>
      </c>
    </row>
    <row r="364" spans="25:28" x14ac:dyDescent="0.2">
      <c r="Y364">
        <v>25</v>
      </c>
      <c r="Z364">
        <v>2</v>
      </c>
      <c r="AA364">
        <f t="shared" si="18"/>
        <v>11</v>
      </c>
      <c r="AB364">
        <f t="shared" si="19"/>
        <v>1250</v>
      </c>
    </row>
    <row r="365" spans="25:28" x14ac:dyDescent="0.2">
      <c r="Y365">
        <v>25</v>
      </c>
      <c r="Z365">
        <v>2</v>
      </c>
      <c r="AA365">
        <f t="shared" si="18"/>
        <v>11</v>
      </c>
      <c r="AB365">
        <f t="shared" si="19"/>
        <v>1250</v>
      </c>
    </row>
    <row r="366" spans="25:28" x14ac:dyDescent="0.2">
      <c r="Y366">
        <v>31</v>
      </c>
      <c r="Z366">
        <v>2</v>
      </c>
      <c r="AA366">
        <f t="shared" si="18"/>
        <v>11</v>
      </c>
      <c r="AB366">
        <f t="shared" si="19"/>
        <v>625</v>
      </c>
    </row>
    <row r="367" spans="25:28" x14ac:dyDescent="0.2">
      <c r="Y367">
        <v>31</v>
      </c>
      <c r="Z367">
        <v>2</v>
      </c>
      <c r="AA367">
        <f t="shared" si="18"/>
        <v>11</v>
      </c>
      <c r="AB367">
        <f t="shared" si="19"/>
        <v>625</v>
      </c>
    </row>
    <row r="368" spans="25:28" x14ac:dyDescent="0.2">
      <c r="Y368">
        <v>31</v>
      </c>
      <c r="Z368">
        <v>2</v>
      </c>
      <c r="AA368">
        <f t="shared" si="18"/>
        <v>11</v>
      </c>
      <c r="AB368">
        <f t="shared" si="19"/>
        <v>625</v>
      </c>
    </row>
    <row r="369" spans="25:28" x14ac:dyDescent="0.2">
      <c r="Y369">
        <v>31</v>
      </c>
      <c r="Z369">
        <v>2</v>
      </c>
      <c r="AA369">
        <f t="shared" si="18"/>
        <v>11</v>
      </c>
      <c r="AB369">
        <f t="shared" si="19"/>
        <v>625</v>
      </c>
    </row>
    <row r="370" spans="25:28" x14ac:dyDescent="0.2">
      <c r="Y370">
        <v>31</v>
      </c>
      <c r="Z370">
        <v>2</v>
      </c>
      <c r="AA370">
        <f t="shared" si="18"/>
        <v>11</v>
      </c>
      <c r="AB370">
        <f t="shared" si="19"/>
        <v>625</v>
      </c>
    </row>
    <row r="371" spans="25:28" x14ac:dyDescent="0.2">
      <c r="Y371">
        <v>31</v>
      </c>
      <c r="Z371">
        <v>2</v>
      </c>
      <c r="AA371">
        <f t="shared" si="18"/>
        <v>11</v>
      </c>
      <c r="AB371">
        <f t="shared" si="19"/>
        <v>625</v>
      </c>
    </row>
    <row r="372" spans="25:28" x14ac:dyDescent="0.2">
      <c r="Y372">
        <v>31</v>
      </c>
      <c r="Z372">
        <v>2</v>
      </c>
      <c r="AA372">
        <f t="shared" si="18"/>
        <v>11</v>
      </c>
      <c r="AB372">
        <f t="shared" si="19"/>
        <v>625</v>
      </c>
    </row>
    <row r="373" spans="25:28" x14ac:dyDescent="0.2">
      <c r="Y373">
        <v>31</v>
      </c>
      <c r="Z373">
        <v>2</v>
      </c>
      <c r="AA373">
        <f t="shared" si="18"/>
        <v>11</v>
      </c>
      <c r="AB373">
        <f t="shared" si="19"/>
        <v>625</v>
      </c>
    </row>
    <row r="374" spans="25:28" x14ac:dyDescent="0.2">
      <c r="Y374">
        <v>31</v>
      </c>
      <c r="Z374">
        <v>2</v>
      </c>
      <c r="AA374">
        <f t="shared" si="18"/>
        <v>11</v>
      </c>
      <c r="AB374">
        <f t="shared" si="19"/>
        <v>625</v>
      </c>
    </row>
    <row r="375" spans="25:28" x14ac:dyDescent="0.2">
      <c r="Y375">
        <v>31</v>
      </c>
      <c r="Z375">
        <v>2</v>
      </c>
      <c r="AA375">
        <f t="shared" si="18"/>
        <v>11</v>
      </c>
      <c r="AB375">
        <f t="shared" si="19"/>
        <v>625</v>
      </c>
    </row>
    <row r="376" spans="25:28" x14ac:dyDescent="0.2">
      <c r="Y376">
        <v>31</v>
      </c>
      <c r="Z376">
        <v>2</v>
      </c>
      <c r="AA376">
        <f t="shared" si="18"/>
        <v>11</v>
      </c>
      <c r="AB376">
        <f t="shared" si="19"/>
        <v>625</v>
      </c>
    </row>
    <row r="377" spans="25:28" x14ac:dyDescent="0.2">
      <c r="Y377">
        <v>31</v>
      </c>
      <c r="Z377">
        <v>2</v>
      </c>
      <c r="AA377">
        <f t="shared" si="18"/>
        <v>11</v>
      </c>
      <c r="AB377">
        <f t="shared" si="19"/>
        <v>625</v>
      </c>
    </row>
    <row r="378" spans="25:28" x14ac:dyDescent="0.2">
      <c r="Y378">
        <v>31</v>
      </c>
      <c r="Z378">
        <v>2</v>
      </c>
      <c r="AA378">
        <f t="shared" si="18"/>
        <v>11</v>
      </c>
      <c r="AB378">
        <f t="shared" si="19"/>
        <v>625</v>
      </c>
    </row>
    <row r="379" spans="25:28" x14ac:dyDescent="0.2">
      <c r="Y379">
        <v>31</v>
      </c>
      <c r="Z379">
        <v>2</v>
      </c>
      <c r="AA379">
        <f t="shared" si="18"/>
        <v>11</v>
      </c>
      <c r="AB379">
        <f t="shared" si="19"/>
        <v>625</v>
      </c>
    </row>
    <row r="380" spans="25:28" x14ac:dyDescent="0.2">
      <c r="Y380">
        <v>31</v>
      </c>
      <c r="Z380">
        <v>2</v>
      </c>
      <c r="AA380">
        <f t="shared" si="18"/>
        <v>11</v>
      </c>
      <c r="AB380">
        <f t="shared" si="19"/>
        <v>625</v>
      </c>
    </row>
    <row r="381" spans="25:28" x14ac:dyDescent="0.2">
      <c r="Y381">
        <v>31</v>
      </c>
      <c r="Z381">
        <v>2</v>
      </c>
      <c r="AA381">
        <f t="shared" si="18"/>
        <v>11</v>
      </c>
      <c r="AB381">
        <f t="shared" si="19"/>
        <v>625</v>
      </c>
    </row>
    <row r="382" spans="25:28" x14ac:dyDescent="0.2">
      <c r="Y382">
        <v>31</v>
      </c>
      <c r="Z382">
        <v>2</v>
      </c>
      <c r="AA382">
        <f t="shared" si="18"/>
        <v>11</v>
      </c>
      <c r="AB382">
        <f t="shared" si="19"/>
        <v>625</v>
      </c>
    </row>
    <row r="383" spans="25:28" x14ac:dyDescent="0.2">
      <c r="Y383">
        <v>31</v>
      </c>
      <c r="Z383">
        <v>2</v>
      </c>
      <c r="AA383">
        <f t="shared" si="18"/>
        <v>11</v>
      </c>
      <c r="AB383">
        <f t="shared" si="19"/>
        <v>625</v>
      </c>
    </row>
    <row r="384" spans="25:28" x14ac:dyDescent="0.2">
      <c r="Y384">
        <v>31</v>
      </c>
      <c r="Z384">
        <v>2</v>
      </c>
      <c r="AA384">
        <f t="shared" si="18"/>
        <v>11</v>
      </c>
      <c r="AB384">
        <f t="shared" si="19"/>
        <v>625</v>
      </c>
    </row>
    <row r="385" spans="25:28" x14ac:dyDescent="0.2">
      <c r="Y385">
        <v>31</v>
      </c>
      <c r="Z385">
        <v>2</v>
      </c>
      <c r="AA385">
        <f t="shared" si="18"/>
        <v>11</v>
      </c>
      <c r="AB385">
        <f t="shared" si="19"/>
        <v>625</v>
      </c>
    </row>
    <row r="386" spans="25:28" x14ac:dyDescent="0.2">
      <c r="Y386">
        <v>31</v>
      </c>
      <c r="Z386">
        <v>2</v>
      </c>
      <c r="AA386">
        <f t="shared" si="18"/>
        <v>11</v>
      </c>
      <c r="AB386">
        <f t="shared" si="19"/>
        <v>625</v>
      </c>
    </row>
    <row r="387" spans="25:28" x14ac:dyDescent="0.2">
      <c r="Y387">
        <v>31</v>
      </c>
      <c r="Z387">
        <v>2</v>
      </c>
      <c r="AA387">
        <f t="shared" si="18"/>
        <v>11</v>
      </c>
      <c r="AB387">
        <f t="shared" si="19"/>
        <v>625</v>
      </c>
    </row>
    <row r="388" spans="25:28" x14ac:dyDescent="0.2">
      <c r="Y388">
        <v>31</v>
      </c>
      <c r="Z388">
        <v>2</v>
      </c>
      <c r="AA388">
        <f t="shared" si="18"/>
        <v>11</v>
      </c>
      <c r="AB388">
        <f t="shared" si="19"/>
        <v>625</v>
      </c>
    </row>
    <row r="389" spans="25:28" x14ac:dyDescent="0.2">
      <c r="Y389">
        <v>31</v>
      </c>
      <c r="Z389">
        <v>2</v>
      </c>
      <c r="AA389">
        <f t="shared" si="18"/>
        <v>11</v>
      </c>
      <c r="AB389">
        <f t="shared" si="19"/>
        <v>625</v>
      </c>
    </row>
    <row r="390" spans="25:28" x14ac:dyDescent="0.2">
      <c r="Y390">
        <v>31</v>
      </c>
      <c r="Z390">
        <v>2</v>
      </c>
      <c r="AA390">
        <f t="shared" si="18"/>
        <v>11</v>
      </c>
      <c r="AB390">
        <f t="shared" si="19"/>
        <v>625</v>
      </c>
    </row>
    <row r="391" spans="25:28" x14ac:dyDescent="0.2">
      <c r="Y391">
        <v>32</v>
      </c>
      <c r="Z391">
        <v>2</v>
      </c>
      <c r="AA391">
        <f t="shared" ref="AA391:AA454" si="20">Z391+9</f>
        <v>11</v>
      </c>
      <c r="AB391">
        <f t="shared" ref="AB391:AB454" si="21">VLOOKUP(Y391,$D$5:$Q$22,AA391,FALSE)</f>
        <v>1250</v>
      </c>
    </row>
    <row r="392" spans="25:28" x14ac:dyDescent="0.2">
      <c r="Y392">
        <v>32</v>
      </c>
      <c r="Z392">
        <v>2</v>
      </c>
      <c r="AA392">
        <f t="shared" si="20"/>
        <v>11</v>
      </c>
      <c r="AB392">
        <f t="shared" si="21"/>
        <v>1250</v>
      </c>
    </row>
    <row r="393" spans="25:28" x14ac:dyDescent="0.2">
      <c r="Y393">
        <v>32</v>
      </c>
      <c r="Z393">
        <v>2</v>
      </c>
      <c r="AA393">
        <f t="shared" si="20"/>
        <v>11</v>
      </c>
      <c r="AB393">
        <f t="shared" si="21"/>
        <v>1250</v>
      </c>
    </row>
    <row r="394" spans="25:28" x14ac:dyDescent="0.2">
      <c r="Y394">
        <v>32</v>
      </c>
      <c r="Z394">
        <v>2</v>
      </c>
      <c r="AA394">
        <f t="shared" si="20"/>
        <v>11</v>
      </c>
      <c r="AB394">
        <f t="shared" si="21"/>
        <v>1250</v>
      </c>
    </row>
    <row r="395" spans="25:28" x14ac:dyDescent="0.2">
      <c r="Y395">
        <v>32</v>
      </c>
      <c r="Z395">
        <v>2</v>
      </c>
      <c r="AA395">
        <f t="shared" si="20"/>
        <v>11</v>
      </c>
      <c r="AB395">
        <f t="shared" si="21"/>
        <v>1250</v>
      </c>
    </row>
    <row r="396" spans="25:28" x14ac:dyDescent="0.2">
      <c r="Y396">
        <v>32</v>
      </c>
      <c r="Z396">
        <v>2</v>
      </c>
      <c r="AA396">
        <f t="shared" si="20"/>
        <v>11</v>
      </c>
      <c r="AB396">
        <f t="shared" si="21"/>
        <v>1250</v>
      </c>
    </row>
    <row r="397" spans="25:28" x14ac:dyDescent="0.2">
      <c r="Y397">
        <v>32</v>
      </c>
      <c r="Z397">
        <v>2</v>
      </c>
      <c r="AA397">
        <f t="shared" si="20"/>
        <v>11</v>
      </c>
      <c r="AB397">
        <f t="shared" si="21"/>
        <v>1250</v>
      </c>
    </row>
    <row r="398" spans="25:28" x14ac:dyDescent="0.2">
      <c r="Y398">
        <v>32</v>
      </c>
      <c r="Z398">
        <v>2</v>
      </c>
      <c r="AA398">
        <f t="shared" si="20"/>
        <v>11</v>
      </c>
      <c r="AB398">
        <f t="shared" si="21"/>
        <v>1250</v>
      </c>
    </row>
    <row r="399" spans="25:28" x14ac:dyDescent="0.2">
      <c r="Y399">
        <v>32</v>
      </c>
      <c r="Z399">
        <v>2</v>
      </c>
      <c r="AA399">
        <f t="shared" si="20"/>
        <v>11</v>
      </c>
      <c r="AB399">
        <f t="shared" si="21"/>
        <v>1250</v>
      </c>
    </row>
    <row r="400" spans="25:28" x14ac:dyDescent="0.2">
      <c r="Y400">
        <v>32</v>
      </c>
      <c r="Z400">
        <v>2</v>
      </c>
      <c r="AA400">
        <f t="shared" si="20"/>
        <v>11</v>
      </c>
      <c r="AB400">
        <f t="shared" si="21"/>
        <v>1250</v>
      </c>
    </row>
    <row r="401" spans="25:28" x14ac:dyDescent="0.2">
      <c r="Y401">
        <v>1</v>
      </c>
      <c r="Z401">
        <v>3</v>
      </c>
      <c r="AA401">
        <f t="shared" si="20"/>
        <v>12</v>
      </c>
      <c r="AB401">
        <f t="shared" si="21"/>
        <v>128</v>
      </c>
    </row>
    <row r="402" spans="25:28" x14ac:dyDescent="0.2">
      <c r="Y402">
        <v>1</v>
      </c>
      <c r="Z402">
        <v>3</v>
      </c>
      <c r="AA402">
        <f t="shared" si="20"/>
        <v>12</v>
      </c>
      <c r="AB402">
        <f t="shared" si="21"/>
        <v>128</v>
      </c>
    </row>
    <row r="403" spans="25:28" x14ac:dyDescent="0.2">
      <c r="Y403">
        <v>1</v>
      </c>
      <c r="Z403">
        <v>3</v>
      </c>
      <c r="AA403">
        <f t="shared" si="20"/>
        <v>12</v>
      </c>
      <c r="AB403">
        <f t="shared" si="21"/>
        <v>128</v>
      </c>
    </row>
    <row r="404" spans="25:28" x14ac:dyDescent="0.2">
      <c r="Y404">
        <v>1</v>
      </c>
      <c r="Z404">
        <v>3</v>
      </c>
      <c r="AA404">
        <f t="shared" si="20"/>
        <v>12</v>
      </c>
      <c r="AB404">
        <f t="shared" si="21"/>
        <v>128</v>
      </c>
    </row>
    <row r="405" spans="25:28" x14ac:dyDescent="0.2">
      <c r="Y405">
        <v>1</v>
      </c>
      <c r="Z405">
        <v>3</v>
      </c>
      <c r="AA405">
        <f t="shared" si="20"/>
        <v>12</v>
      </c>
      <c r="AB405">
        <f t="shared" si="21"/>
        <v>128</v>
      </c>
    </row>
    <row r="406" spans="25:28" x14ac:dyDescent="0.2">
      <c r="Y406">
        <v>1</v>
      </c>
      <c r="Z406">
        <v>3</v>
      </c>
      <c r="AA406">
        <f t="shared" si="20"/>
        <v>12</v>
      </c>
      <c r="AB406">
        <f t="shared" si="21"/>
        <v>128</v>
      </c>
    </row>
    <row r="407" spans="25:28" x14ac:dyDescent="0.2">
      <c r="Y407">
        <v>1</v>
      </c>
      <c r="Z407">
        <v>3</v>
      </c>
      <c r="AA407">
        <f t="shared" si="20"/>
        <v>12</v>
      </c>
      <c r="AB407">
        <f t="shared" si="21"/>
        <v>128</v>
      </c>
    </row>
    <row r="408" spans="25:28" x14ac:dyDescent="0.2">
      <c r="Y408">
        <v>1</v>
      </c>
      <c r="Z408">
        <v>3</v>
      </c>
      <c r="AA408">
        <f t="shared" si="20"/>
        <v>12</v>
      </c>
      <c r="AB408">
        <f t="shared" si="21"/>
        <v>128</v>
      </c>
    </row>
    <row r="409" spans="25:28" x14ac:dyDescent="0.2">
      <c r="Y409">
        <v>1</v>
      </c>
      <c r="Z409">
        <v>3</v>
      </c>
      <c r="AA409">
        <f t="shared" si="20"/>
        <v>12</v>
      </c>
      <c r="AB409">
        <f t="shared" si="21"/>
        <v>128</v>
      </c>
    </row>
    <row r="410" spans="25:28" x14ac:dyDescent="0.2">
      <c r="Y410">
        <v>1</v>
      </c>
      <c r="Z410">
        <v>3</v>
      </c>
      <c r="AA410">
        <f t="shared" si="20"/>
        <v>12</v>
      </c>
      <c r="AB410">
        <f t="shared" si="21"/>
        <v>128</v>
      </c>
    </row>
    <row r="411" spans="25:28" x14ac:dyDescent="0.2">
      <c r="Y411">
        <v>1</v>
      </c>
      <c r="Z411">
        <v>3</v>
      </c>
      <c r="AA411">
        <f t="shared" si="20"/>
        <v>12</v>
      </c>
      <c r="AB411">
        <f t="shared" si="21"/>
        <v>128</v>
      </c>
    </row>
    <row r="412" spans="25:28" x14ac:dyDescent="0.2">
      <c r="Y412">
        <v>1</v>
      </c>
      <c r="Z412">
        <v>3</v>
      </c>
      <c r="AA412">
        <f t="shared" si="20"/>
        <v>12</v>
      </c>
      <c r="AB412">
        <f t="shared" si="21"/>
        <v>128</v>
      </c>
    </row>
    <row r="413" spans="25:28" x14ac:dyDescent="0.2">
      <c r="Y413">
        <v>1</v>
      </c>
      <c r="Z413">
        <v>3</v>
      </c>
      <c r="AA413">
        <f t="shared" si="20"/>
        <v>12</v>
      </c>
      <c r="AB413">
        <f t="shared" si="21"/>
        <v>128</v>
      </c>
    </row>
    <row r="414" spans="25:28" x14ac:dyDescent="0.2">
      <c r="Y414">
        <v>1</v>
      </c>
      <c r="Z414">
        <v>3</v>
      </c>
      <c r="AA414">
        <f t="shared" si="20"/>
        <v>12</v>
      </c>
      <c r="AB414">
        <f t="shared" si="21"/>
        <v>128</v>
      </c>
    </row>
    <row r="415" spans="25:28" x14ac:dyDescent="0.2">
      <c r="Y415">
        <v>1</v>
      </c>
      <c r="Z415">
        <v>3</v>
      </c>
      <c r="AA415">
        <f t="shared" si="20"/>
        <v>12</v>
      </c>
      <c r="AB415">
        <f t="shared" si="21"/>
        <v>128</v>
      </c>
    </row>
    <row r="416" spans="25:28" x14ac:dyDescent="0.2">
      <c r="Y416">
        <v>1</v>
      </c>
      <c r="Z416">
        <v>3</v>
      </c>
      <c r="AA416">
        <f t="shared" si="20"/>
        <v>12</v>
      </c>
      <c r="AB416">
        <f t="shared" si="21"/>
        <v>128</v>
      </c>
    </row>
    <row r="417" spans="25:28" x14ac:dyDescent="0.2">
      <c r="Y417">
        <v>1</v>
      </c>
      <c r="Z417">
        <v>3</v>
      </c>
      <c r="AA417">
        <f t="shared" si="20"/>
        <v>12</v>
      </c>
      <c r="AB417">
        <f t="shared" si="21"/>
        <v>128</v>
      </c>
    </row>
    <row r="418" spans="25:28" x14ac:dyDescent="0.2">
      <c r="Y418">
        <v>1</v>
      </c>
      <c r="Z418">
        <v>3</v>
      </c>
      <c r="AA418">
        <f t="shared" si="20"/>
        <v>12</v>
      </c>
      <c r="AB418">
        <f t="shared" si="21"/>
        <v>128</v>
      </c>
    </row>
    <row r="419" spans="25:28" x14ac:dyDescent="0.2">
      <c r="Y419">
        <v>1</v>
      </c>
      <c r="Z419">
        <v>3</v>
      </c>
      <c r="AA419">
        <f t="shared" si="20"/>
        <v>12</v>
      </c>
      <c r="AB419">
        <f t="shared" si="21"/>
        <v>128</v>
      </c>
    </row>
    <row r="420" spans="25:28" x14ac:dyDescent="0.2">
      <c r="Y420">
        <v>1</v>
      </c>
      <c r="Z420">
        <v>3</v>
      </c>
      <c r="AA420">
        <f t="shared" si="20"/>
        <v>12</v>
      </c>
      <c r="AB420">
        <f t="shared" si="21"/>
        <v>128</v>
      </c>
    </row>
    <row r="421" spans="25:28" x14ac:dyDescent="0.2">
      <c r="Y421">
        <v>1</v>
      </c>
      <c r="Z421">
        <v>3</v>
      </c>
      <c r="AA421">
        <f t="shared" si="20"/>
        <v>12</v>
      </c>
      <c r="AB421">
        <f t="shared" si="21"/>
        <v>128</v>
      </c>
    </row>
    <row r="422" spans="25:28" x14ac:dyDescent="0.2">
      <c r="Y422">
        <v>1</v>
      </c>
      <c r="Z422">
        <v>3</v>
      </c>
      <c r="AA422">
        <f t="shared" si="20"/>
        <v>12</v>
      </c>
      <c r="AB422">
        <f t="shared" si="21"/>
        <v>128</v>
      </c>
    </row>
    <row r="423" spans="25:28" x14ac:dyDescent="0.2">
      <c r="Y423">
        <v>1</v>
      </c>
      <c r="Z423">
        <v>3</v>
      </c>
      <c r="AA423">
        <f t="shared" si="20"/>
        <v>12</v>
      </c>
      <c r="AB423">
        <f t="shared" si="21"/>
        <v>128</v>
      </c>
    </row>
    <row r="424" spans="25:28" x14ac:dyDescent="0.2">
      <c r="Y424">
        <v>1</v>
      </c>
      <c r="Z424">
        <v>3</v>
      </c>
      <c r="AA424">
        <f t="shared" si="20"/>
        <v>12</v>
      </c>
      <c r="AB424">
        <f t="shared" si="21"/>
        <v>128</v>
      </c>
    </row>
    <row r="425" spans="25:28" x14ac:dyDescent="0.2">
      <c r="Y425">
        <v>1</v>
      </c>
      <c r="Z425">
        <v>3</v>
      </c>
      <c r="AA425">
        <f t="shared" si="20"/>
        <v>12</v>
      </c>
      <c r="AB425">
        <f t="shared" si="21"/>
        <v>128</v>
      </c>
    </row>
    <row r="426" spans="25:28" x14ac:dyDescent="0.2">
      <c r="Y426">
        <v>2</v>
      </c>
      <c r="Z426">
        <v>3</v>
      </c>
      <c r="AA426">
        <f t="shared" si="20"/>
        <v>12</v>
      </c>
      <c r="AB426">
        <f t="shared" si="21"/>
        <v>128</v>
      </c>
    </row>
    <row r="427" spans="25:28" x14ac:dyDescent="0.2">
      <c r="Y427">
        <v>2</v>
      </c>
      <c r="Z427">
        <v>3</v>
      </c>
      <c r="AA427">
        <f t="shared" si="20"/>
        <v>12</v>
      </c>
      <c r="AB427">
        <f t="shared" si="21"/>
        <v>128</v>
      </c>
    </row>
    <row r="428" spans="25:28" x14ac:dyDescent="0.2">
      <c r="Y428">
        <v>2</v>
      </c>
      <c r="Z428">
        <v>3</v>
      </c>
      <c r="AA428">
        <f t="shared" si="20"/>
        <v>12</v>
      </c>
      <c r="AB428">
        <f t="shared" si="21"/>
        <v>128</v>
      </c>
    </row>
    <row r="429" spans="25:28" x14ac:dyDescent="0.2">
      <c r="Y429">
        <v>2</v>
      </c>
      <c r="Z429">
        <v>3</v>
      </c>
      <c r="AA429">
        <f t="shared" si="20"/>
        <v>12</v>
      </c>
      <c r="AB429">
        <f t="shared" si="21"/>
        <v>128</v>
      </c>
    </row>
    <row r="430" spans="25:28" x14ac:dyDescent="0.2">
      <c r="Y430">
        <v>2</v>
      </c>
      <c r="Z430">
        <v>3</v>
      </c>
      <c r="AA430">
        <f t="shared" si="20"/>
        <v>12</v>
      </c>
      <c r="AB430">
        <f t="shared" si="21"/>
        <v>128</v>
      </c>
    </row>
    <row r="431" spans="25:28" x14ac:dyDescent="0.2">
      <c r="Y431">
        <v>2</v>
      </c>
      <c r="Z431">
        <v>3</v>
      </c>
      <c r="AA431">
        <f t="shared" si="20"/>
        <v>12</v>
      </c>
      <c r="AB431">
        <f t="shared" si="21"/>
        <v>128</v>
      </c>
    </row>
    <row r="432" spans="25:28" x14ac:dyDescent="0.2">
      <c r="Y432">
        <v>2</v>
      </c>
      <c r="Z432">
        <v>3</v>
      </c>
      <c r="AA432">
        <f t="shared" si="20"/>
        <v>12</v>
      </c>
      <c r="AB432">
        <f t="shared" si="21"/>
        <v>128</v>
      </c>
    </row>
    <row r="433" spans="25:28" x14ac:dyDescent="0.2">
      <c r="Y433">
        <v>2</v>
      </c>
      <c r="Z433">
        <v>3</v>
      </c>
      <c r="AA433">
        <f t="shared" si="20"/>
        <v>12</v>
      </c>
      <c r="AB433">
        <f t="shared" si="21"/>
        <v>128</v>
      </c>
    </row>
    <row r="434" spans="25:28" x14ac:dyDescent="0.2">
      <c r="Y434">
        <v>2</v>
      </c>
      <c r="Z434">
        <v>3</v>
      </c>
      <c r="AA434">
        <f t="shared" si="20"/>
        <v>12</v>
      </c>
      <c r="AB434">
        <f t="shared" si="21"/>
        <v>128</v>
      </c>
    </row>
    <row r="435" spans="25:28" x14ac:dyDescent="0.2">
      <c r="Y435">
        <v>2</v>
      </c>
      <c r="Z435">
        <v>3</v>
      </c>
      <c r="AA435">
        <f t="shared" si="20"/>
        <v>12</v>
      </c>
      <c r="AB435">
        <f t="shared" si="21"/>
        <v>128</v>
      </c>
    </row>
    <row r="436" spans="25:28" x14ac:dyDescent="0.2">
      <c r="Y436">
        <v>2</v>
      </c>
      <c r="Z436">
        <v>3</v>
      </c>
      <c r="AA436">
        <f t="shared" si="20"/>
        <v>12</v>
      </c>
      <c r="AB436">
        <f t="shared" si="21"/>
        <v>128</v>
      </c>
    </row>
    <row r="437" spans="25:28" x14ac:dyDescent="0.2">
      <c r="Y437">
        <v>2</v>
      </c>
      <c r="Z437">
        <v>3</v>
      </c>
      <c r="AA437">
        <f t="shared" si="20"/>
        <v>12</v>
      </c>
      <c r="AB437">
        <f t="shared" si="21"/>
        <v>128</v>
      </c>
    </row>
    <row r="438" spans="25:28" x14ac:dyDescent="0.2">
      <c r="Y438">
        <v>2</v>
      </c>
      <c r="Z438">
        <v>3</v>
      </c>
      <c r="AA438">
        <f t="shared" si="20"/>
        <v>12</v>
      </c>
      <c r="AB438">
        <f t="shared" si="21"/>
        <v>128</v>
      </c>
    </row>
    <row r="439" spans="25:28" x14ac:dyDescent="0.2">
      <c r="Y439">
        <v>2</v>
      </c>
      <c r="Z439">
        <v>3</v>
      </c>
      <c r="AA439">
        <f t="shared" si="20"/>
        <v>12</v>
      </c>
      <c r="AB439">
        <f t="shared" si="21"/>
        <v>128</v>
      </c>
    </row>
    <row r="440" spans="25:28" x14ac:dyDescent="0.2">
      <c r="Y440">
        <v>2</v>
      </c>
      <c r="Z440">
        <v>3</v>
      </c>
      <c r="AA440">
        <f t="shared" si="20"/>
        <v>12</v>
      </c>
      <c r="AB440">
        <f t="shared" si="21"/>
        <v>128</v>
      </c>
    </row>
    <row r="441" spans="25:28" x14ac:dyDescent="0.2">
      <c r="Y441">
        <v>2</v>
      </c>
      <c r="Z441">
        <v>3</v>
      </c>
      <c r="AA441">
        <f t="shared" si="20"/>
        <v>12</v>
      </c>
      <c r="AB441">
        <f t="shared" si="21"/>
        <v>128</v>
      </c>
    </row>
    <row r="442" spans="25:28" x14ac:dyDescent="0.2">
      <c r="Y442">
        <v>2</v>
      </c>
      <c r="Z442">
        <v>3</v>
      </c>
      <c r="AA442">
        <f t="shared" si="20"/>
        <v>12</v>
      </c>
      <c r="AB442">
        <f t="shared" si="21"/>
        <v>128</v>
      </c>
    </row>
    <row r="443" spans="25:28" x14ac:dyDescent="0.2">
      <c r="Y443">
        <v>2</v>
      </c>
      <c r="Z443">
        <v>3</v>
      </c>
      <c r="AA443">
        <f t="shared" si="20"/>
        <v>12</v>
      </c>
      <c r="AB443">
        <f t="shared" si="21"/>
        <v>128</v>
      </c>
    </row>
    <row r="444" spans="25:28" x14ac:dyDescent="0.2">
      <c r="Y444">
        <v>2</v>
      </c>
      <c r="Z444">
        <v>3</v>
      </c>
      <c r="AA444">
        <f t="shared" si="20"/>
        <v>12</v>
      </c>
      <c r="AB444">
        <f t="shared" si="21"/>
        <v>128</v>
      </c>
    </row>
    <row r="445" spans="25:28" x14ac:dyDescent="0.2">
      <c r="Y445">
        <v>2</v>
      </c>
      <c r="Z445">
        <v>3</v>
      </c>
      <c r="AA445">
        <f t="shared" si="20"/>
        <v>12</v>
      </c>
      <c r="AB445">
        <f t="shared" si="21"/>
        <v>128</v>
      </c>
    </row>
    <row r="446" spans="25:28" x14ac:dyDescent="0.2">
      <c r="Y446">
        <v>2</v>
      </c>
      <c r="Z446">
        <v>3</v>
      </c>
      <c r="AA446">
        <f t="shared" si="20"/>
        <v>12</v>
      </c>
      <c r="AB446">
        <f t="shared" si="21"/>
        <v>128</v>
      </c>
    </row>
    <row r="447" spans="25:28" x14ac:dyDescent="0.2">
      <c r="Y447">
        <v>2</v>
      </c>
      <c r="Z447">
        <v>3</v>
      </c>
      <c r="AA447">
        <f t="shared" si="20"/>
        <v>12</v>
      </c>
      <c r="AB447">
        <f t="shared" si="21"/>
        <v>128</v>
      </c>
    </row>
    <row r="448" spans="25:28" x14ac:dyDescent="0.2">
      <c r="Y448">
        <v>2</v>
      </c>
      <c r="Z448">
        <v>3</v>
      </c>
      <c r="AA448">
        <f t="shared" si="20"/>
        <v>12</v>
      </c>
      <c r="AB448">
        <f t="shared" si="21"/>
        <v>128</v>
      </c>
    </row>
    <row r="449" spans="25:28" x14ac:dyDescent="0.2">
      <c r="Y449">
        <v>2</v>
      </c>
      <c r="Z449">
        <v>3</v>
      </c>
      <c r="AA449">
        <f t="shared" si="20"/>
        <v>12</v>
      </c>
      <c r="AB449">
        <f t="shared" si="21"/>
        <v>128</v>
      </c>
    </row>
    <row r="450" spans="25:28" x14ac:dyDescent="0.2">
      <c r="Y450">
        <v>2</v>
      </c>
      <c r="Z450">
        <v>3</v>
      </c>
      <c r="AA450">
        <f t="shared" si="20"/>
        <v>12</v>
      </c>
      <c r="AB450">
        <f t="shared" si="21"/>
        <v>128</v>
      </c>
    </row>
    <row r="451" spans="25:28" x14ac:dyDescent="0.2">
      <c r="Y451">
        <v>3</v>
      </c>
      <c r="Z451">
        <v>3</v>
      </c>
      <c r="AA451">
        <f t="shared" si="20"/>
        <v>12</v>
      </c>
      <c r="AB451">
        <f t="shared" si="21"/>
        <v>128</v>
      </c>
    </row>
    <row r="452" spans="25:28" x14ac:dyDescent="0.2">
      <c r="Y452">
        <v>3</v>
      </c>
      <c r="Z452">
        <v>3</v>
      </c>
      <c r="AA452">
        <f t="shared" si="20"/>
        <v>12</v>
      </c>
      <c r="AB452">
        <f t="shared" si="21"/>
        <v>128</v>
      </c>
    </row>
    <row r="453" spans="25:28" x14ac:dyDescent="0.2">
      <c r="Y453">
        <v>3</v>
      </c>
      <c r="Z453">
        <v>3</v>
      </c>
      <c r="AA453">
        <f t="shared" si="20"/>
        <v>12</v>
      </c>
      <c r="AB453">
        <f t="shared" si="21"/>
        <v>128</v>
      </c>
    </row>
    <row r="454" spans="25:28" x14ac:dyDescent="0.2">
      <c r="Y454">
        <v>3</v>
      </c>
      <c r="Z454">
        <v>3</v>
      </c>
      <c r="AA454">
        <f t="shared" si="20"/>
        <v>12</v>
      </c>
      <c r="AB454">
        <f t="shared" si="21"/>
        <v>128</v>
      </c>
    </row>
    <row r="455" spans="25:28" x14ac:dyDescent="0.2">
      <c r="Y455">
        <v>3</v>
      </c>
      <c r="Z455">
        <v>3</v>
      </c>
      <c r="AA455">
        <f t="shared" ref="AA455:AA518" si="22">Z455+9</f>
        <v>12</v>
      </c>
      <c r="AB455">
        <f t="shared" ref="AB455:AB518" si="23">VLOOKUP(Y455,$D$5:$Q$22,AA455,FALSE)</f>
        <v>128</v>
      </c>
    </row>
    <row r="456" spans="25:28" x14ac:dyDescent="0.2">
      <c r="Y456">
        <v>3</v>
      </c>
      <c r="Z456">
        <v>3</v>
      </c>
      <c r="AA456">
        <f t="shared" si="22"/>
        <v>12</v>
      </c>
      <c r="AB456">
        <f t="shared" si="23"/>
        <v>128</v>
      </c>
    </row>
    <row r="457" spans="25:28" x14ac:dyDescent="0.2">
      <c r="Y457">
        <v>3</v>
      </c>
      <c r="Z457">
        <v>3</v>
      </c>
      <c r="AA457">
        <f t="shared" si="22"/>
        <v>12</v>
      </c>
      <c r="AB457">
        <f t="shared" si="23"/>
        <v>128</v>
      </c>
    </row>
    <row r="458" spans="25:28" x14ac:dyDescent="0.2">
      <c r="Y458">
        <v>3</v>
      </c>
      <c r="Z458">
        <v>3</v>
      </c>
      <c r="AA458">
        <f t="shared" si="22"/>
        <v>12</v>
      </c>
      <c r="AB458">
        <f t="shared" si="23"/>
        <v>128</v>
      </c>
    </row>
    <row r="459" spans="25:28" x14ac:dyDescent="0.2">
      <c r="Y459">
        <v>3</v>
      </c>
      <c r="Z459">
        <v>3</v>
      </c>
      <c r="AA459">
        <f t="shared" si="22"/>
        <v>12</v>
      </c>
      <c r="AB459">
        <f t="shared" si="23"/>
        <v>128</v>
      </c>
    </row>
    <row r="460" spans="25:28" x14ac:dyDescent="0.2">
      <c r="Y460">
        <v>3</v>
      </c>
      <c r="Z460">
        <v>3</v>
      </c>
      <c r="AA460">
        <f t="shared" si="22"/>
        <v>12</v>
      </c>
      <c r="AB460">
        <f t="shared" si="23"/>
        <v>128</v>
      </c>
    </row>
    <row r="461" spans="25:28" x14ac:dyDescent="0.2">
      <c r="Y461">
        <v>3</v>
      </c>
      <c r="Z461">
        <v>3</v>
      </c>
      <c r="AA461">
        <f t="shared" si="22"/>
        <v>12</v>
      </c>
      <c r="AB461">
        <f t="shared" si="23"/>
        <v>128</v>
      </c>
    </row>
    <row r="462" spans="25:28" x14ac:dyDescent="0.2">
      <c r="Y462">
        <v>3</v>
      </c>
      <c r="Z462">
        <v>3</v>
      </c>
      <c r="AA462">
        <f t="shared" si="22"/>
        <v>12</v>
      </c>
      <c r="AB462">
        <f t="shared" si="23"/>
        <v>128</v>
      </c>
    </row>
    <row r="463" spans="25:28" x14ac:dyDescent="0.2">
      <c r="Y463">
        <v>3</v>
      </c>
      <c r="Z463">
        <v>3</v>
      </c>
      <c r="AA463">
        <f t="shared" si="22"/>
        <v>12</v>
      </c>
      <c r="AB463">
        <f t="shared" si="23"/>
        <v>128</v>
      </c>
    </row>
    <row r="464" spans="25:28" x14ac:dyDescent="0.2">
      <c r="Y464">
        <v>3</v>
      </c>
      <c r="Z464">
        <v>3</v>
      </c>
      <c r="AA464">
        <f t="shared" si="22"/>
        <v>12</v>
      </c>
      <c r="AB464">
        <f t="shared" si="23"/>
        <v>128</v>
      </c>
    </row>
    <row r="465" spans="25:28" x14ac:dyDescent="0.2">
      <c r="Y465">
        <v>3</v>
      </c>
      <c r="Z465">
        <v>3</v>
      </c>
      <c r="AA465">
        <f t="shared" si="22"/>
        <v>12</v>
      </c>
      <c r="AB465">
        <f t="shared" si="23"/>
        <v>128</v>
      </c>
    </row>
    <row r="466" spans="25:28" x14ac:dyDescent="0.2">
      <c r="Y466">
        <v>3</v>
      </c>
      <c r="Z466">
        <v>3</v>
      </c>
      <c r="AA466">
        <f t="shared" si="22"/>
        <v>12</v>
      </c>
      <c r="AB466">
        <f t="shared" si="23"/>
        <v>128</v>
      </c>
    </row>
    <row r="467" spans="25:28" x14ac:dyDescent="0.2">
      <c r="Y467">
        <v>3</v>
      </c>
      <c r="Z467">
        <v>3</v>
      </c>
      <c r="AA467">
        <f t="shared" si="22"/>
        <v>12</v>
      </c>
      <c r="AB467">
        <f t="shared" si="23"/>
        <v>128</v>
      </c>
    </row>
    <row r="468" spans="25:28" x14ac:dyDescent="0.2">
      <c r="Y468">
        <v>3</v>
      </c>
      <c r="Z468">
        <v>3</v>
      </c>
      <c r="AA468">
        <f t="shared" si="22"/>
        <v>12</v>
      </c>
      <c r="AB468">
        <f t="shared" si="23"/>
        <v>128</v>
      </c>
    </row>
    <row r="469" spans="25:28" x14ac:dyDescent="0.2">
      <c r="Y469">
        <v>3</v>
      </c>
      <c r="Z469">
        <v>3</v>
      </c>
      <c r="AA469">
        <f t="shared" si="22"/>
        <v>12</v>
      </c>
      <c r="AB469">
        <f t="shared" si="23"/>
        <v>128</v>
      </c>
    </row>
    <row r="470" spans="25:28" x14ac:dyDescent="0.2">
      <c r="Y470">
        <v>3</v>
      </c>
      <c r="Z470">
        <v>3</v>
      </c>
      <c r="AA470">
        <f t="shared" si="22"/>
        <v>12</v>
      </c>
      <c r="AB470">
        <f t="shared" si="23"/>
        <v>128</v>
      </c>
    </row>
    <row r="471" spans="25:28" x14ac:dyDescent="0.2">
      <c r="Y471">
        <v>3</v>
      </c>
      <c r="Z471">
        <v>3</v>
      </c>
      <c r="AA471">
        <f t="shared" si="22"/>
        <v>12</v>
      </c>
      <c r="AB471">
        <f t="shared" si="23"/>
        <v>128</v>
      </c>
    </row>
    <row r="472" spans="25:28" x14ac:dyDescent="0.2">
      <c r="Y472">
        <v>3</v>
      </c>
      <c r="Z472">
        <v>3</v>
      </c>
      <c r="AA472">
        <f t="shared" si="22"/>
        <v>12</v>
      </c>
      <c r="AB472">
        <f t="shared" si="23"/>
        <v>128</v>
      </c>
    </row>
    <row r="473" spans="25:28" x14ac:dyDescent="0.2">
      <c r="Y473">
        <v>3</v>
      </c>
      <c r="Z473">
        <v>3</v>
      </c>
      <c r="AA473">
        <f t="shared" si="22"/>
        <v>12</v>
      </c>
      <c r="AB473">
        <f t="shared" si="23"/>
        <v>128</v>
      </c>
    </row>
    <row r="474" spans="25:28" x14ac:dyDescent="0.2">
      <c r="Y474">
        <v>3</v>
      </c>
      <c r="Z474">
        <v>3</v>
      </c>
      <c r="AA474">
        <f t="shared" si="22"/>
        <v>12</v>
      </c>
      <c r="AB474">
        <f t="shared" si="23"/>
        <v>128</v>
      </c>
    </row>
    <row r="475" spans="25:28" x14ac:dyDescent="0.2">
      <c r="Y475">
        <v>3</v>
      </c>
      <c r="Z475">
        <v>3</v>
      </c>
      <c r="AA475">
        <f t="shared" si="22"/>
        <v>12</v>
      </c>
      <c r="AB475">
        <f t="shared" si="23"/>
        <v>128</v>
      </c>
    </row>
    <row r="476" spans="25:28" x14ac:dyDescent="0.2">
      <c r="Y476">
        <v>4</v>
      </c>
      <c r="Z476">
        <v>3</v>
      </c>
      <c r="AA476">
        <f t="shared" si="22"/>
        <v>12</v>
      </c>
      <c r="AB476">
        <f t="shared" si="23"/>
        <v>128</v>
      </c>
    </row>
    <row r="477" spans="25:28" x14ac:dyDescent="0.2">
      <c r="Y477">
        <v>4</v>
      </c>
      <c r="Z477">
        <v>3</v>
      </c>
      <c r="AA477">
        <f t="shared" si="22"/>
        <v>12</v>
      </c>
      <c r="AB477">
        <f t="shared" si="23"/>
        <v>128</v>
      </c>
    </row>
    <row r="478" spans="25:28" x14ac:dyDescent="0.2">
      <c r="Y478">
        <v>4</v>
      </c>
      <c r="Z478">
        <v>3</v>
      </c>
      <c r="AA478">
        <f t="shared" si="22"/>
        <v>12</v>
      </c>
      <c r="AB478">
        <f t="shared" si="23"/>
        <v>128</v>
      </c>
    </row>
    <row r="479" spans="25:28" x14ac:dyDescent="0.2">
      <c r="Y479">
        <v>4</v>
      </c>
      <c r="Z479">
        <v>3</v>
      </c>
      <c r="AA479">
        <f t="shared" si="22"/>
        <v>12</v>
      </c>
      <c r="AB479">
        <f t="shared" si="23"/>
        <v>128</v>
      </c>
    </row>
    <row r="480" spans="25:28" x14ac:dyDescent="0.2">
      <c r="Y480">
        <v>4</v>
      </c>
      <c r="Z480">
        <v>3</v>
      </c>
      <c r="AA480">
        <f t="shared" si="22"/>
        <v>12</v>
      </c>
      <c r="AB480">
        <f t="shared" si="23"/>
        <v>128</v>
      </c>
    </row>
    <row r="481" spans="25:28" x14ac:dyDescent="0.2">
      <c r="Y481">
        <v>4</v>
      </c>
      <c r="Z481">
        <v>3</v>
      </c>
      <c r="AA481">
        <f t="shared" si="22"/>
        <v>12</v>
      </c>
      <c r="AB481">
        <f t="shared" si="23"/>
        <v>128</v>
      </c>
    </row>
    <row r="482" spans="25:28" x14ac:dyDescent="0.2">
      <c r="Y482">
        <v>4</v>
      </c>
      <c r="Z482">
        <v>3</v>
      </c>
      <c r="AA482">
        <f t="shared" si="22"/>
        <v>12</v>
      </c>
      <c r="AB482">
        <f t="shared" si="23"/>
        <v>128</v>
      </c>
    </row>
    <row r="483" spans="25:28" x14ac:dyDescent="0.2">
      <c r="Y483">
        <v>4</v>
      </c>
      <c r="Z483">
        <v>3</v>
      </c>
      <c r="AA483">
        <f t="shared" si="22"/>
        <v>12</v>
      </c>
      <c r="AB483">
        <f t="shared" si="23"/>
        <v>128</v>
      </c>
    </row>
    <row r="484" spans="25:28" x14ac:dyDescent="0.2">
      <c r="Y484">
        <v>4</v>
      </c>
      <c r="Z484">
        <v>3</v>
      </c>
      <c r="AA484">
        <f t="shared" si="22"/>
        <v>12</v>
      </c>
      <c r="AB484">
        <f t="shared" si="23"/>
        <v>128</v>
      </c>
    </row>
    <row r="485" spans="25:28" x14ac:dyDescent="0.2">
      <c r="Y485">
        <v>4</v>
      </c>
      <c r="Z485">
        <v>3</v>
      </c>
      <c r="AA485">
        <f t="shared" si="22"/>
        <v>12</v>
      </c>
      <c r="AB485">
        <f t="shared" si="23"/>
        <v>128</v>
      </c>
    </row>
    <row r="486" spans="25:28" x14ac:dyDescent="0.2">
      <c r="Y486">
        <v>4</v>
      </c>
      <c r="Z486">
        <v>3</v>
      </c>
      <c r="AA486">
        <f t="shared" si="22"/>
        <v>12</v>
      </c>
      <c r="AB486">
        <f t="shared" si="23"/>
        <v>128</v>
      </c>
    </row>
    <row r="487" spans="25:28" x14ac:dyDescent="0.2">
      <c r="Y487">
        <v>4</v>
      </c>
      <c r="Z487">
        <v>3</v>
      </c>
      <c r="AA487">
        <f t="shared" si="22"/>
        <v>12</v>
      </c>
      <c r="AB487">
        <f t="shared" si="23"/>
        <v>128</v>
      </c>
    </row>
    <row r="488" spans="25:28" x14ac:dyDescent="0.2">
      <c r="Y488">
        <v>4</v>
      </c>
      <c r="Z488">
        <v>3</v>
      </c>
      <c r="AA488">
        <f t="shared" si="22"/>
        <v>12</v>
      </c>
      <c r="AB488">
        <f t="shared" si="23"/>
        <v>128</v>
      </c>
    </row>
    <row r="489" spans="25:28" x14ac:dyDescent="0.2">
      <c r="Y489">
        <v>4</v>
      </c>
      <c r="Z489">
        <v>3</v>
      </c>
      <c r="AA489">
        <f t="shared" si="22"/>
        <v>12</v>
      </c>
      <c r="AB489">
        <f t="shared" si="23"/>
        <v>128</v>
      </c>
    </row>
    <row r="490" spans="25:28" x14ac:dyDescent="0.2">
      <c r="Y490">
        <v>4</v>
      </c>
      <c r="Z490">
        <v>3</v>
      </c>
      <c r="AA490">
        <f t="shared" si="22"/>
        <v>12</v>
      </c>
      <c r="AB490">
        <f t="shared" si="23"/>
        <v>128</v>
      </c>
    </row>
    <row r="491" spans="25:28" x14ac:dyDescent="0.2">
      <c r="Y491">
        <v>4</v>
      </c>
      <c r="Z491">
        <v>3</v>
      </c>
      <c r="AA491">
        <f t="shared" si="22"/>
        <v>12</v>
      </c>
      <c r="AB491">
        <f t="shared" si="23"/>
        <v>128</v>
      </c>
    </row>
    <row r="492" spans="25:28" x14ac:dyDescent="0.2">
      <c r="Y492">
        <v>4</v>
      </c>
      <c r="Z492">
        <v>3</v>
      </c>
      <c r="AA492">
        <f t="shared" si="22"/>
        <v>12</v>
      </c>
      <c r="AB492">
        <f t="shared" si="23"/>
        <v>128</v>
      </c>
    </row>
    <row r="493" spans="25:28" x14ac:dyDescent="0.2">
      <c r="Y493">
        <v>4</v>
      </c>
      <c r="Z493">
        <v>3</v>
      </c>
      <c r="AA493">
        <f t="shared" si="22"/>
        <v>12</v>
      </c>
      <c r="AB493">
        <f t="shared" si="23"/>
        <v>128</v>
      </c>
    </row>
    <row r="494" spans="25:28" x14ac:dyDescent="0.2">
      <c r="Y494">
        <v>4</v>
      </c>
      <c r="Z494">
        <v>3</v>
      </c>
      <c r="AA494">
        <f t="shared" si="22"/>
        <v>12</v>
      </c>
      <c r="AB494">
        <f t="shared" si="23"/>
        <v>128</v>
      </c>
    </row>
    <row r="495" spans="25:28" x14ac:dyDescent="0.2">
      <c r="Y495">
        <v>4</v>
      </c>
      <c r="Z495">
        <v>3</v>
      </c>
      <c r="AA495">
        <f t="shared" si="22"/>
        <v>12</v>
      </c>
      <c r="AB495">
        <f t="shared" si="23"/>
        <v>128</v>
      </c>
    </row>
    <row r="496" spans="25:28" x14ac:dyDescent="0.2">
      <c r="Y496">
        <v>4</v>
      </c>
      <c r="Z496">
        <v>3</v>
      </c>
      <c r="AA496">
        <f t="shared" si="22"/>
        <v>12</v>
      </c>
      <c r="AB496">
        <f t="shared" si="23"/>
        <v>128</v>
      </c>
    </row>
    <row r="497" spans="25:28" x14ac:dyDescent="0.2">
      <c r="Y497">
        <v>4</v>
      </c>
      <c r="Z497">
        <v>3</v>
      </c>
      <c r="AA497">
        <f t="shared" si="22"/>
        <v>12</v>
      </c>
      <c r="AB497">
        <f t="shared" si="23"/>
        <v>128</v>
      </c>
    </row>
    <row r="498" spans="25:28" x14ac:dyDescent="0.2">
      <c r="Y498">
        <v>4</v>
      </c>
      <c r="Z498">
        <v>3</v>
      </c>
      <c r="AA498">
        <f t="shared" si="22"/>
        <v>12</v>
      </c>
      <c r="AB498">
        <f t="shared" si="23"/>
        <v>128</v>
      </c>
    </row>
    <row r="499" spans="25:28" x14ac:dyDescent="0.2">
      <c r="Y499">
        <v>4</v>
      </c>
      <c r="Z499">
        <v>3</v>
      </c>
      <c r="AA499">
        <f t="shared" si="22"/>
        <v>12</v>
      </c>
      <c r="AB499">
        <f t="shared" si="23"/>
        <v>128</v>
      </c>
    </row>
    <row r="500" spans="25:28" x14ac:dyDescent="0.2">
      <c r="Y500">
        <v>4</v>
      </c>
      <c r="Z500">
        <v>3</v>
      </c>
      <c r="AA500">
        <f t="shared" si="22"/>
        <v>12</v>
      </c>
      <c r="AB500">
        <f t="shared" si="23"/>
        <v>128</v>
      </c>
    </row>
    <row r="501" spans="25:28" x14ac:dyDescent="0.2">
      <c r="Y501">
        <v>5</v>
      </c>
      <c r="Z501">
        <v>3</v>
      </c>
      <c r="AA501">
        <f t="shared" si="22"/>
        <v>12</v>
      </c>
      <c r="AB501">
        <f t="shared" si="23"/>
        <v>128</v>
      </c>
    </row>
    <row r="502" spans="25:28" x14ac:dyDescent="0.2">
      <c r="Y502">
        <v>5</v>
      </c>
      <c r="Z502">
        <v>3</v>
      </c>
      <c r="AA502">
        <f t="shared" si="22"/>
        <v>12</v>
      </c>
      <c r="AB502">
        <f t="shared" si="23"/>
        <v>128</v>
      </c>
    </row>
    <row r="503" spans="25:28" x14ac:dyDescent="0.2">
      <c r="Y503">
        <v>5</v>
      </c>
      <c r="Z503">
        <v>3</v>
      </c>
      <c r="AA503">
        <f t="shared" si="22"/>
        <v>12</v>
      </c>
      <c r="AB503">
        <f t="shared" si="23"/>
        <v>128</v>
      </c>
    </row>
    <row r="504" spans="25:28" x14ac:dyDescent="0.2">
      <c r="Y504">
        <v>5</v>
      </c>
      <c r="Z504">
        <v>3</v>
      </c>
      <c r="AA504">
        <f t="shared" si="22"/>
        <v>12</v>
      </c>
      <c r="AB504">
        <f t="shared" si="23"/>
        <v>128</v>
      </c>
    </row>
    <row r="505" spans="25:28" x14ac:dyDescent="0.2">
      <c r="Y505">
        <v>5</v>
      </c>
      <c r="Z505">
        <v>3</v>
      </c>
      <c r="AA505">
        <f t="shared" si="22"/>
        <v>12</v>
      </c>
      <c r="AB505">
        <f t="shared" si="23"/>
        <v>128</v>
      </c>
    </row>
    <row r="506" spans="25:28" x14ac:dyDescent="0.2">
      <c r="Y506">
        <v>5</v>
      </c>
      <c r="Z506">
        <v>3</v>
      </c>
      <c r="AA506">
        <f t="shared" si="22"/>
        <v>12</v>
      </c>
      <c r="AB506">
        <f t="shared" si="23"/>
        <v>128</v>
      </c>
    </row>
    <row r="507" spans="25:28" x14ac:dyDescent="0.2">
      <c r="Y507">
        <v>5</v>
      </c>
      <c r="Z507">
        <v>3</v>
      </c>
      <c r="AA507">
        <f t="shared" si="22"/>
        <v>12</v>
      </c>
      <c r="AB507">
        <f t="shared" si="23"/>
        <v>128</v>
      </c>
    </row>
    <row r="508" spans="25:28" x14ac:dyDescent="0.2">
      <c r="Y508">
        <v>5</v>
      </c>
      <c r="Z508">
        <v>3</v>
      </c>
      <c r="AA508">
        <f t="shared" si="22"/>
        <v>12</v>
      </c>
      <c r="AB508">
        <f t="shared" si="23"/>
        <v>128</v>
      </c>
    </row>
    <row r="509" spans="25:28" x14ac:dyDescent="0.2">
      <c r="Y509">
        <v>5</v>
      </c>
      <c r="Z509">
        <v>3</v>
      </c>
      <c r="AA509">
        <f t="shared" si="22"/>
        <v>12</v>
      </c>
      <c r="AB509">
        <f t="shared" si="23"/>
        <v>128</v>
      </c>
    </row>
    <row r="510" spans="25:28" x14ac:dyDescent="0.2">
      <c r="Y510">
        <v>5</v>
      </c>
      <c r="Z510">
        <v>3</v>
      </c>
      <c r="AA510">
        <f t="shared" si="22"/>
        <v>12</v>
      </c>
      <c r="AB510">
        <f t="shared" si="23"/>
        <v>128</v>
      </c>
    </row>
    <row r="511" spans="25:28" x14ac:dyDescent="0.2">
      <c r="Y511">
        <v>5</v>
      </c>
      <c r="Z511">
        <v>3</v>
      </c>
      <c r="AA511">
        <f t="shared" si="22"/>
        <v>12</v>
      </c>
      <c r="AB511">
        <f t="shared" si="23"/>
        <v>128</v>
      </c>
    </row>
    <row r="512" spans="25:28" x14ac:dyDescent="0.2">
      <c r="Y512">
        <v>5</v>
      </c>
      <c r="Z512">
        <v>3</v>
      </c>
      <c r="AA512">
        <f t="shared" si="22"/>
        <v>12</v>
      </c>
      <c r="AB512">
        <f t="shared" si="23"/>
        <v>128</v>
      </c>
    </row>
    <row r="513" spans="25:28" x14ac:dyDescent="0.2">
      <c r="Y513">
        <v>5</v>
      </c>
      <c r="Z513">
        <v>3</v>
      </c>
      <c r="AA513">
        <f t="shared" si="22"/>
        <v>12</v>
      </c>
      <c r="AB513">
        <f t="shared" si="23"/>
        <v>128</v>
      </c>
    </row>
    <row r="514" spans="25:28" x14ac:dyDescent="0.2">
      <c r="Y514">
        <v>5</v>
      </c>
      <c r="Z514">
        <v>3</v>
      </c>
      <c r="AA514">
        <f t="shared" si="22"/>
        <v>12</v>
      </c>
      <c r="AB514">
        <f t="shared" si="23"/>
        <v>128</v>
      </c>
    </row>
    <row r="515" spans="25:28" x14ac:dyDescent="0.2">
      <c r="Y515">
        <v>5</v>
      </c>
      <c r="Z515">
        <v>3</v>
      </c>
      <c r="AA515">
        <f t="shared" si="22"/>
        <v>12</v>
      </c>
      <c r="AB515">
        <f t="shared" si="23"/>
        <v>128</v>
      </c>
    </row>
    <row r="516" spans="25:28" x14ac:dyDescent="0.2">
      <c r="Y516">
        <v>5</v>
      </c>
      <c r="Z516">
        <v>3</v>
      </c>
      <c r="AA516">
        <f t="shared" si="22"/>
        <v>12</v>
      </c>
      <c r="AB516">
        <f t="shared" si="23"/>
        <v>128</v>
      </c>
    </row>
    <row r="517" spans="25:28" x14ac:dyDescent="0.2">
      <c r="Y517">
        <v>5</v>
      </c>
      <c r="Z517">
        <v>3</v>
      </c>
      <c r="AA517">
        <f t="shared" si="22"/>
        <v>12</v>
      </c>
      <c r="AB517">
        <f t="shared" si="23"/>
        <v>128</v>
      </c>
    </row>
    <row r="518" spans="25:28" x14ac:dyDescent="0.2">
      <c r="Y518">
        <v>5</v>
      </c>
      <c r="Z518">
        <v>3</v>
      </c>
      <c r="AA518">
        <f t="shared" si="22"/>
        <v>12</v>
      </c>
      <c r="AB518">
        <f t="shared" si="23"/>
        <v>128</v>
      </c>
    </row>
    <row r="519" spans="25:28" x14ac:dyDescent="0.2">
      <c r="Y519">
        <v>5</v>
      </c>
      <c r="Z519">
        <v>3</v>
      </c>
      <c r="AA519">
        <f t="shared" ref="AA519:AA582" si="24">Z519+9</f>
        <v>12</v>
      </c>
      <c r="AB519">
        <f t="shared" ref="AB519:AB582" si="25">VLOOKUP(Y519,$D$5:$Q$22,AA519,FALSE)</f>
        <v>128</v>
      </c>
    </row>
    <row r="520" spans="25:28" x14ac:dyDescent="0.2">
      <c r="Y520">
        <v>5</v>
      </c>
      <c r="Z520">
        <v>3</v>
      </c>
      <c r="AA520">
        <f t="shared" si="24"/>
        <v>12</v>
      </c>
      <c r="AB520">
        <f t="shared" si="25"/>
        <v>128</v>
      </c>
    </row>
    <row r="521" spans="25:28" x14ac:dyDescent="0.2">
      <c r="Y521">
        <v>5</v>
      </c>
      <c r="Z521">
        <v>3</v>
      </c>
      <c r="AA521">
        <f t="shared" si="24"/>
        <v>12</v>
      </c>
      <c r="AB521">
        <f t="shared" si="25"/>
        <v>128</v>
      </c>
    </row>
    <row r="522" spans="25:28" x14ac:dyDescent="0.2">
      <c r="Y522">
        <v>5</v>
      </c>
      <c r="Z522">
        <v>3</v>
      </c>
      <c r="AA522">
        <f t="shared" si="24"/>
        <v>12</v>
      </c>
      <c r="AB522">
        <f t="shared" si="25"/>
        <v>128</v>
      </c>
    </row>
    <row r="523" spans="25:28" x14ac:dyDescent="0.2">
      <c r="Y523">
        <v>5</v>
      </c>
      <c r="Z523">
        <v>3</v>
      </c>
      <c r="AA523">
        <f t="shared" si="24"/>
        <v>12</v>
      </c>
      <c r="AB523">
        <f t="shared" si="25"/>
        <v>128</v>
      </c>
    </row>
    <row r="524" spans="25:28" x14ac:dyDescent="0.2">
      <c r="Y524">
        <v>5</v>
      </c>
      <c r="Z524">
        <v>3</v>
      </c>
      <c r="AA524">
        <f t="shared" si="24"/>
        <v>12</v>
      </c>
      <c r="AB524">
        <f t="shared" si="25"/>
        <v>128</v>
      </c>
    </row>
    <row r="525" spans="25:28" x14ac:dyDescent="0.2">
      <c r="Y525">
        <v>5</v>
      </c>
      <c r="Z525">
        <v>3</v>
      </c>
      <c r="AA525">
        <f t="shared" si="24"/>
        <v>12</v>
      </c>
      <c r="AB525">
        <f t="shared" si="25"/>
        <v>128</v>
      </c>
    </row>
    <row r="526" spans="25:28" x14ac:dyDescent="0.2">
      <c r="Y526">
        <v>6</v>
      </c>
      <c r="Z526">
        <v>3</v>
      </c>
      <c r="AA526">
        <f t="shared" si="24"/>
        <v>12</v>
      </c>
      <c r="AB526">
        <f t="shared" si="25"/>
        <v>128</v>
      </c>
    </row>
    <row r="527" spans="25:28" x14ac:dyDescent="0.2">
      <c r="Y527">
        <v>6</v>
      </c>
      <c r="Z527">
        <v>3</v>
      </c>
      <c r="AA527">
        <f t="shared" si="24"/>
        <v>12</v>
      </c>
      <c r="AB527">
        <f t="shared" si="25"/>
        <v>128</v>
      </c>
    </row>
    <row r="528" spans="25:28" x14ac:dyDescent="0.2">
      <c r="Y528">
        <v>6</v>
      </c>
      <c r="Z528">
        <v>3</v>
      </c>
      <c r="AA528">
        <f t="shared" si="24"/>
        <v>12</v>
      </c>
      <c r="AB528">
        <f t="shared" si="25"/>
        <v>128</v>
      </c>
    </row>
    <row r="529" spans="25:28" x14ac:dyDescent="0.2">
      <c r="Y529">
        <v>6</v>
      </c>
      <c r="Z529">
        <v>3</v>
      </c>
      <c r="AA529">
        <f t="shared" si="24"/>
        <v>12</v>
      </c>
      <c r="AB529">
        <f t="shared" si="25"/>
        <v>128</v>
      </c>
    </row>
    <row r="530" spans="25:28" x14ac:dyDescent="0.2">
      <c r="Y530">
        <v>6</v>
      </c>
      <c r="Z530">
        <v>3</v>
      </c>
      <c r="AA530">
        <f t="shared" si="24"/>
        <v>12</v>
      </c>
      <c r="AB530">
        <f t="shared" si="25"/>
        <v>128</v>
      </c>
    </row>
    <row r="531" spans="25:28" x14ac:dyDescent="0.2">
      <c r="Y531">
        <v>6</v>
      </c>
      <c r="Z531">
        <v>3</v>
      </c>
      <c r="AA531">
        <f t="shared" si="24"/>
        <v>12</v>
      </c>
      <c r="AB531">
        <f t="shared" si="25"/>
        <v>128</v>
      </c>
    </row>
    <row r="532" spans="25:28" x14ac:dyDescent="0.2">
      <c r="Y532">
        <v>6</v>
      </c>
      <c r="Z532">
        <v>3</v>
      </c>
      <c r="AA532">
        <f t="shared" si="24"/>
        <v>12</v>
      </c>
      <c r="AB532">
        <f t="shared" si="25"/>
        <v>128</v>
      </c>
    </row>
    <row r="533" spans="25:28" x14ac:dyDescent="0.2">
      <c r="Y533">
        <v>6</v>
      </c>
      <c r="Z533">
        <v>3</v>
      </c>
      <c r="AA533">
        <f t="shared" si="24"/>
        <v>12</v>
      </c>
      <c r="AB533">
        <f t="shared" si="25"/>
        <v>128</v>
      </c>
    </row>
    <row r="534" spans="25:28" x14ac:dyDescent="0.2">
      <c r="Y534">
        <v>6</v>
      </c>
      <c r="Z534">
        <v>3</v>
      </c>
      <c r="AA534">
        <f t="shared" si="24"/>
        <v>12</v>
      </c>
      <c r="AB534">
        <f t="shared" si="25"/>
        <v>128</v>
      </c>
    </row>
    <row r="535" spans="25:28" x14ac:dyDescent="0.2">
      <c r="Y535">
        <v>6</v>
      </c>
      <c r="Z535">
        <v>3</v>
      </c>
      <c r="AA535">
        <f t="shared" si="24"/>
        <v>12</v>
      </c>
      <c r="AB535">
        <f t="shared" si="25"/>
        <v>128</v>
      </c>
    </row>
    <row r="536" spans="25:28" x14ac:dyDescent="0.2">
      <c r="Y536">
        <v>6</v>
      </c>
      <c r="Z536">
        <v>3</v>
      </c>
      <c r="AA536">
        <f t="shared" si="24"/>
        <v>12</v>
      </c>
      <c r="AB536">
        <f t="shared" si="25"/>
        <v>128</v>
      </c>
    </row>
    <row r="537" spans="25:28" x14ac:dyDescent="0.2">
      <c r="Y537">
        <v>6</v>
      </c>
      <c r="Z537">
        <v>3</v>
      </c>
      <c r="AA537">
        <f t="shared" si="24"/>
        <v>12</v>
      </c>
      <c r="AB537">
        <f t="shared" si="25"/>
        <v>128</v>
      </c>
    </row>
    <row r="538" spans="25:28" x14ac:dyDescent="0.2">
      <c r="Y538">
        <v>6</v>
      </c>
      <c r="Z538">
        <v>3</v>
      </c>
      <c r="AA538">
        <f t="shared" si="24"/>
        <v>12</v>
      </c>
      <c r="AB538">
        <f t="shared" si="25"/>
        <v>128</v>
      </c>
    </row>
    <row r="539" spans="25:28" x14ac:dyDescent="0.2">
      <c r="Y539">
        <v>6</v>
      </c>
      <c r="Z539">
        <v>3</v>
      </c>
      <c r="AA539">
        <f t="shared" si="24"/>
        <v>12</v>
      </c>
      <c r="AB539">
        <f t="shared" si="25"/>
        <v>128</v>
      </c>
    </row>
    <row r="540" spans="25:28" x14ac:dyDescent="0.2">
      <c r="Y540">
        <v>6</v>
      </c>
      <c r="Z540">
        <v>3</v>
      </c>
      <c r="AA540">
        <f t="shared" si="24"/>
        <v>12</v>
      </c>
      <c r="AB540">
        <f t="shared" si="25"/>
        <v>128</v>
      </c>
    </row>
    <row r="541" spans="25:28" x14ac:dyDescent="0.2">
      <c r="Y541">
        <v>6</v>
      </c>
      <c r="Z541">
        <v>3</v>
      </c>
      <c r="AA541">
        <f t="shared" si="24"/>
        <v>12</v>
      </c>
      <c r="AB541">
        <f t="shared" si="25"/>
        <v>128</v>
      </c>
    </row>
    <row r="542" spans="25:28" x14ac:dyDescent="0.2">
      <c r="Y542">
        <v>6</v>
      </c>
      <c r="Z542">
        <v>3</v>
      </c>
      <c r="AA542">
        <f t="shared" si="24"/>
        <v>12</v>
      </c>
      <c r="AB542">
        <f t="shared" si="25"/>
        <v>128</v>
      </c>
    </row>
    <row r="543" spans="25:28" x14ac:dyDescent="0.2">
      <c r="Y543">
        <v>6</v>
      </c>
      <c r="Z543">
        <v>3</v>
      </c>
      <c r="AA543">
        <f t="shared" si="24"/>
        <v>12</v>
      </c>
      <c r="AB543">
        <f t="shared" si="25"/>
        <v>128</v>
      </c>
    </row>
    <row r="544" spans="25:28" x14ac:dyDescent="0.2">
      <c r="Y544">
        <v>6</v>
      </c>
      <c r="Z544">
        <v>3</v>
      </c>
      <c r="AA544">
        <f t="shared" si="24"/>
        <v>12</v>
      </c>
      <c r="AB544">
        <f t="shared" si="25"/>
        <v>128</v>
      </c>
    </row>
    <row r="545" spans="25:28" x14ac:dyDescent="0.2">
      <c r="Y545">
        <v>6</v>
      </c>
      <c r="Z545">
        <v>3</v>
      </c>
      <c r="AA545">
        <f t="shared" si="24"/>
        <v>12</v>
      </c>
      <c r="AB545">
        <f t="shared" si="25"/>
        <v>128</v>
      </c>
    </row>
    <row r="546" spans="25:28" x14ac:dyDescent="0.2">
      <c r="Y546">
        <v>6</v>
      </c>
      <c r="Z546">
        <v>3</v>
      </c>
      <c r="AA546">
        <f t="shared" si="24"/>
        <v>12</v>
      </c>
      <c r="AB546">
        <f t="shared" si="25"/>
        <v>128</v>
      </c>
    </row>
    <row r="547" spans="25:28" x14ac:dyDescent="0.2">
      <c r="Y547">
        <v>6</v>
      </c>
      <c r="Z547">
        <v>3</v>
      </c>
      <c r="AA547">
        <f t="shared" si="24"/>
        <v>12</v>
      </c>
      <c r="AB547">
        <f t="shared" si="25"/>
        <v>128</v>
      </c>
    </row>
    <row r="548" spans="25:28" x14ac:dyDescent="0.2">
      <c r="Y548">
        <v>6</v>
      </c>
      <c r="Z548">
        <v>3</v>
      </c>
      <c r="AA548">
        <f t="shared" si="24"/>
        <v>12</v>
      </c>
      <c r="AB548">
        <f t="shared" si="25"/>
        <v>128</v>
      </c>
    </row>
    <row r="549" spans="25:28" x14ac:dyDescent="0.2">
      <c r="Y549">
        <v>6</v>
      </c>
      <c r="Z549">
        <v>3</v>
      </c>
      <c r="AA549">
        <f t="shared" si="24"/>
        <v>12</v>
      </c>
      <c r="AB549">
        <f t="shared" si="25"/>
        <v>128</v>
      </c>
    </row>
    <row r="550" spans="25:28" x14ac:dyDescent="0.2">
      <c r="Y550">
        <v>6</v>
      </c>
      <c r="Z550">
        <v>3</v>
      </c>
      <c r="AA550">
        <f t="shared" si="24"/>
        <v>12</v>
      </c>
      <c r="AB550">
        <f t="shared" si="25"/>
        <v>128</v>
      </c>
    </row>
    <row r="551" spans="25:28" x14ac:dyDescent="0.2">
      <c r="Y551">
        <v>7</v>
      </c>
      <c r="Z551">
        <v>3</v>
      </c>
      <c r="AA551">
        <f t="shared" si="24"/>
        <v>12</v>
      </c>
      <c r="AB551">
        <f t="shared" si="25"/>
        <v>128</v>
      </c>
    </row>
    <row r="552" spans="25:28" x14ac:dyDescent="0.2">
      <c r="Y552">
        <v>7</v>
      </c>
      <c r="Z552">
        <v>3</v>
      </c>
      <c r="AA552">
        <f t="shared" si="24"/>
        <v>12</v>
      </c>
      <c r="AB552">
        <f t="shared" si="25"/>
        <v>128</v>
      </c>
    </row>
    <row r="553" spans="25:28" x14ac:dyDescent="0.2">
      <c r="Y553">
        <v>7</v>
      </c>
      <c r="Z553">
        <v>3</v>
      </c>
      <c r="AA553">
        <f t="shared" si="24"/>
        <v>12</v>
      </c>
      <c r="AB553">
        <f t="shared" si="25"/>
        <v>128</v>
      </c>
    </row>
    <row r="554" spans="25:28" x14ac:dyDescent="0.2">
      <c r="Y554">
        <v>7</v>
      </c>
      <c r="Z554">
        <v>3</v>
      </c>
      <c r="AA554">
        <f t="shared" si="24"/>
        <v>12</v>
      </c>
      <c r="AB554">
        <f t="shared" si="25"/>
        <v>128</v>
      </c>
    </row>
    <row r="555" spans="25:28" x14ac:dyDescent="0.2">
      <c r="Y555">
        <v>7</v>
      </c>
      <c r="Z555">
        <v>3</v>
      </c>
      <c r="AA555">
        <f t="shared" si="24"/>
        <v>12</v>
      </c>
      <c r="AB555">
        <f t="shared" si="25"/>
        <v>128</v>
      </c>
    </row>
    <row r="556" spans="25:28" x14ac:dyDescent="0.2">
      <c r="Y556">
        <v>7</v>
      </c>
      <c r="Z556">
        <v>3</v>
      </c>
      <c r="AA556">
        <f t="shared" si="24"/>
        <v>12</v>
      </c>
      <c r="AB556">
        <f t="shared" si="25"/>
        <v>128</v>
      </c>
    </row>
    <row r="557" spans="25:28" x14ac:dyDescent="0.2">
      <c r="Y557">
        <v>7</v>
      </c>
      <c r="Z557">
        <v>3</v>
      </c>
      <c r="AA557">
        <f t="shared" si="24"/>
        <v>12</v>
      </c>
      <c r="AB557">
        <f t="shared" si="25"/>
        <v>128</v>
      </c>
    </row>
    <row r="558" spans="25:28" x14ac:dyDescent="0.2">
      <c r="Y558">
        <v>7</v>
      </c>
      <c r="Z558">
        <v>3</v>
      </c>
      <c r="AA558">
        <f t="shared" si="24"/>
        <v>12</v>
      </c>
      <c r="AB558">
        <f t="shared" si="25"/>
        <v>128</v>
      </c>
    </row>
    <row r="559" spans="25:28" x14ac:dyDescent="0.2">
      <c r="Y559">
        <v>7</v>
      </c>
      <c r="Z559">
        <v>3</v>
      </c>
      <c r="AA559">
        <f t="shared" si="24"/>
        <v>12</v>
      </c>
      <c r="AB559">
        <f t="shared" si="25"/>
        <v>128</v>
      </c>
    </row>
    <row r="560" spans="25:28" x14ac:dyDescent="0.2">
      <c r="Y560">
        <v>7</v>
      </c>
      <c r="Z560">
        <v>3</v>
      </c>
      <c r="AA560">
        <f t="shared" si="24"/>
        <v>12</v>
      </c>
      <c r="AB560">
        <f t="shared" si="25"/>
        <v>128</v>
      </c>
    </row>
    <row r="561" spans="25:28" x14ac:dyDescent="0.2">
      <c r="Y561">
        <v>7</v>
      </c>
      <c r="Z561">
        <v>3</v>
      </c>
      <c r="AA561">
        <f t="shared" si="24"/>
        <v>12</v>
      </c>
      <c r="AB561">
        <f t="shared" si="25"/>
        <v>128</v>
      </c>
    </row>
    <row r="562" spans="25:28" x14ac:dyDescent="0.2">
      <c r="Y562">
        <v>7</v>
      </c>
      <c r="Z562">
        <v>3</v>
      </c>
      <c r="AA562">
        <f t="shared" si="24"/>
        <v>12</v>
      </c>
      <c r="AB562">
        <f t="shared" si="25"/>
        <v>128</v>
      </c>
    </row>
    <row r="563" spans="25:28" x14ac:dyDescent="0.2">
      <c r="Y563">
        <v>7</v>
      </c>
      <c r="Z563">
        <v>3</v>
      </c>
      <c r="AA563">
        <f t="shared" si="24"/>
        <v>12</v>
      </c>
      <c r="AB563">
        <f t="shared" si="25"/>
        <v>128</v>
      </c>
    </row>
    <row r="564" spans="25:28" x14ac:dyDescent="0.2">
      <c r="Y564">
        <v>7</v>
      </c>
      <c r="Z564">
        <v>3</v>
      </c>
      <c r="AA564">
        <f t="shared" si="24"/>
        <v>12</v>
      </c>
      <c r="AB564">
        <f t="shared" si="25"/>
        <v>128</v>
      </c>
    </row>
    <row r="565" spans="25:28" x14ac:dyDescent="0.2">
      <c r="Y565">
        <v>7</v>
      </c>
      <c r="Z565">
        <v>3</v>
      </c>
      <c r="AA565">
        <f t="shared" si="24"/>
        <v>12</v>
      </c>
      <c r="AB565">
        <f t="shared" si="25"/>
        <v>128</v>
      </c>
    </row>
    <row r="566" spans="25:28" x14ac:dyDescent="0.2">
      <c r="Y566">
        <v>7</v>
      </c>
      <c r="Z566">
        <v>3</v>
      </c>
      <c r="AA566">
        <f t="shared" si="24"/>
        <v>12</v>
      </c>
      <c r="AB566">
        <f t="shared" si="25"/>
        <v>128</v>
      </c>
    </row>
    <row r="567" spans="25:28" x14ac:dyDescent="0.2">
      <c r="Y567">
        <v>7</v>
      </c>
      <c r="Z567">
        <v>3</v>
      </c>
      <c r="AA567">
        <f t="shared" si="24"/>
        <v>12</v>
      </c>
      <c r="AB567">
        <f t="shared" si="25"/>
        <v>128</v>
      </c>
    </row>
    <row r="568" spans="25:28" x14ac:dyDescent="0.2">
      <c r="Y568">
        <v>7</v>
      </c>
      <c r="Z568">
        <v>3</v>
      </c>
      <c r="AA568">
        <f t="shared" si="24"/>
        <v>12</v>
      </c>
      <c r="AB568">
        <f t="shared" si="25"/>
        <v>128</v>
      </c>
    </row>
    <row r="569" spans="25:28" x14ac:dyDescent="0.2">
      <c r="Y569">
        <v>7</v>
      </c>
      <c r="Z569">
        <v>3</v>
      </c>
      <c r="AA569">
        <f t="shared" si="24"/>
        <v>12</v>
      </c>
      <c r="AB569">
        <f t="shared" si="25"/>
        <v>128</v>
      </c>
    </row>
    <row r="570" spans="25:28" x14ac:dyDescent="0.2">
      <c r="Y570">
        <v>7</v>
      </c>
      <c r="Z570">
        <v>3</v>
      </c>
      <c r="AA570">
        <f t="shared" si="24"/>
        <v>12</v>
      </c>
      <c r="AB570">
        <f t="shared" si="25"/>
        <v>128</v>
      </c>
    </row>
    <row r="571" spans="25:28" x14ac:dyDescent="0.2">
      <c r="Y571">
        <v>7</v>
      </c>
      <c r="Z571">
        <v>3</v>
      </c>
      <c r="AA571">
        <f t="shared" si="24"/>
        <v>12</v>
      </c>
      <c r="AB571">
        <f t="shared" si="25"/>
        <v>128</v>
      </c>
    </row>
    <row r="572" spans="25:28" x14ac:dyDescent="0.2">
      <c r="Y572">
        <v>7</v>
      </c>
      <c r="Z572">
        <v>3</v>
      </c>
      <c r="AA572">
        <f t="shared" si="24"/>
        <v>12</v>
      </c>
      <c r="AB572">
        <f t="shared" si="25"/>
        <v>128</v>
      </c>
    </row>
    <row r="573" spans="25:28" x14ac:dyDescent="0.2">
      <c r="Y573">
        <v>7</v>
      </c>
      <c r="Z573">
        <v>3</v>
      </c>
      <c r="AA573">
        <f t="shared" si="24"/>
        <v>12</v>
      </c>
      <c r="AB573">
        <f t="shared" si="25"/>
        <v>128</v>
      </c>
    </row>
    <row r="574" spans="25:28" x14ac:dyDescent="0.2">
      <c r="Y574">
        <v>7</v>
      </c>
      <c r="Z574">
        <v>3</v>
      </c>
      <c r="AA574">
        <f t="shared" si="24"/>
        <v>12</v>
      </c>
      <c r="AB574">
        <f t="shared" si="25"/>
        <v>128</v>
      </c>
    </row>
    <row r="575" spans="25:28" x14ac:dyDescent="0.2">
      <c r="Y575">
        <v>7</v>
      </c>
      <c r="Z575">
        <v>3</v>
      </c>
      <c r="AA575">
        <f t="shared" si="24"/>
        <v>12</v>
      </c>
      <c r="AB575">
        <f t="shared" si="25"/>
        <v>128</v>
      </c>
    </row>
    <row r="576" spans="25:28" x14ac:dyDescent="0.2">
      <c r="Y576">
        <v>8</v>
      </c>
      <c r="Z576">
        <v>3</v>
      </c>
      <c r="AA576">
        <f t="shared" si="24"/>
        <v>12</v>
      </c>
      <c r="AB576">
        <f t="shared" si="25"/>
        <v>128</v>
      </c>
    </row>
    <row r="577" spans="25:28" x14ac:dyDescent="0.2">
      <c r="Y577">
        <v>8</v>
      </c>
      <c r="Z577">
        <v>3</v>
      </c>
      <c r="AA577">
        <f t="shared" si="24"/>
        <v>12</v>
      </c>
      <c r="AB577">
        <f t="shared" si="25"/>
        <v>128</v>
      </c>
    </row>
    <row r="578" spans="25:28" x14ac:dyDescent="0.2">
      <c r="Y578">
        <v>8</v>
      </c>
      <c r="Z578">
        <v>3</v>
      </c>
      <c r="AA578">
        <f t="shared" si="24"/>
        <v>12</v>
      </c>
      <c r="AB578">
        <f t="shared" si="25"/>
        <v>128</v>
      </c>
    </row>
    <row r="579" spans="25:28" x14ac:dyDescent="0.2">
      <c r="Y579">
        <v>8</v>
      </c>
      <c r="Z579">
        <v>3</v>
      </c>
      <c r="AA579">
        <f t="shared" si="24"/>
        <v>12</v>
      </c>
      <c r="AB579">
        <f t="shared" si="25"/>
        <v>128</v>
      </c>
    </row>
    <row r="580" spans="25:28" x14ac:dyDescent="0.2">
      <c r="Y580">
        <v>8</v>
      </c>
      <c r="Z580">
        <v>3</v>
      </c>
      <c r="AA580">
        <f t="shared" si="24"/>
        <v>12</v>
      </c>
      <c r="AB580">
        <f t="shared" si="25"/>
        <v>128</v>
      </c>
    </row>
    <row r="581" spans="25:28" x14ac:dyDescent="0.2">
      <c r="Y581">
        <v>8</v>
      </c>
      <c r="Z581">
        <v>3</v>
      </c>
      <c r="AA581">
        <f t="shared" si="24"/>
        <v>12</v>
      </c>
      <c r="AB581">
        <f t="shared" si="25"/>
        <v>128</v>
      </c>
    </row>
    <row r="582" spans="25:28" x14ac:dyDescent="0.2">
      <c r="Y582">
        <v>8</v>
      </c>
      <c r="Z582">
        <v>3</v>
      </c>
      <c r="AA582">
        <f t="shared" si="24"/>
        <v>12</v>
      </c>
      <c r="AB582">
        <f t="shared" si="25"/>
        <v>128</v>
      </c>
    </row>
    <row r="583" spans="25:28" x14ac:dyDescent="0.2">
      <c r="Y583">
        <v>8</v>
      </c>
      <c r="Z583">
        <v>3</v>
      </c>
      <c r="AA583">
        <f t="shared" ref="AA583:AA646" si="26">Z583+9</f>
        <v>12</v>
      </c>
      <c r="AB583">
        <f t="shared" ref="AB583:AB646" si="27">VLOOKUP(Y583,$D$5:$Q$22,AA583,FALSE)</f>
        <v>128</v>
      </c>
    </row>
    <row r="584" spans="25:28" x14ac:dyDescent="0.2">
      <c r="Y584">
        <v>8</v>
      </c>
      <c r="Z584">
        <v>3</v>
      </c>
      <c r="AA584">
        <f t="shared" si="26"/>
        <v>12</v>
      </c>
      <c r="AB584">
        <f t="shared" si="27"/>
        <v>128</v>
      </c>
    </row>
    <row r="585" spans="25:28" x14ac:dyDescent="0.2">
      <c r="Y585">
        <v>8</v>
      </c>
      <c r="Z585">
        <v>3</v>
      </c>
      <c r="AA585">
        <f t="shared" si="26"/>
        <v>12</v>
      </c>
      <c r="AB585">
        <f t="shared" si="27"/>
        <v>128</v>
      </c>
    </row>
    <row r="586" spans="25:28" x14ac:dyDescent="0.2">
      <c r="Y586">
        <v>8</v>
      </c>
      <c r="Z586">
        <v>3</v>
      </c>
      <c r="AA586">
        <f t="shared" si="26"/>
        <v>12</v>
      </c>
      <c r="AB586">
        <f t="shared" si="27"/>
        <v>128</v>
      </c>
    </row>
    <row r="587" spans="25:28" x14ac:dyDescent="0.2">
      <c r="Y587">
        <v>8</v>
      </c>
      <c r="Z587">
        <v>3</v>
      </c>
      <c r="AA587">
        <f t="shared" si="26"/>
        <v>12</v>
      </c>
      <c r="AB587">
        <f t="shared" si="27"/>
        <v>128</v>
      </c>
    </row>
    <row r="588" spans="25:28" x14ac:dyDescent="0.2">
      <c r="Y588">
        <v>8</v>
      </c>
      <c r="Z588">
        <v>3</v>
      </c>
      <c r="AA588">
        <f t="shared" si="26"/>
        <v>12</v>
      </c>
      <c r="AB588">
        <f t="shared" si="27"/>
        <v>128</v>
      </c>
    </row>
    <row r="589" spans="25:28" x14ac:dyDescent="0.2">
      <c r="Y589">
        <v>8</v>
      </c>
      <c r="Z589">
        <v>3</v>
      </c>
      <c r="AA589">
        <f t="shared" si="26"/>
        <v>12</v>
      </c>
      <c r="AB589">
        <f t="shared" si="27"/>
        <v>128</v>
      </c>
    </row>
    <row r="590" spans="25:28" x14ac:dyDescent="0.2">
      <c r="Y590">
        <v>8</v>
      </c>
      <c r="Z590">
        <v>3</v>
      </c>
      <c r="AA590">
        <f t="shared" si="26"/>
        <v>12</v>
      </c>
      <c r="AB590">
        <f t="shared" si="27"/>
        <v>128</v>
      </c>
    </row>
    <row r="591" spans="25:28" x14ac:dyDescent="0.2">
      <c r="Y591">
        <v>8</v>
      </c>
      <c r="Z591">
        <v>3</v>
      </c>
      <c r="AA591">
        <f t="shared" si="26"/>
        <v>12</v>
      </c>
      <c r="AB591">
        <f t="shared" si="27"/>
        <v>128</v>
      </c>
    </row>
    <row r="592" spans="25:28" x14ac:dyDescent="0.2">
      <c r="Y592">
        <v>8</v>
      </c>
      <c r="Z592">
        <v>3</v>
      </c>
      <c r="AA592">
        <f t="shared" si="26"/>
        <v>12</v>
      </c>
      <c r="AB592">
        <f t="shared" si="27"/>
        <v>128</v>
      </c>
    </row>
    <row r="593" spans="25:28" x14ac:dyDescent="0.2">
      <c r="Y593">
        <v>8</v>
      </c>
      <c r="Z593">
        <v>3</v>
      </c>
      <c r="AA593">
        <f t="shared" si="26"/>
        <v>12</v>
      </c>
      <c r="AB593">
        <f t="shared" si="27"/>
        <v>128</v>
      </c>
    </row>
    <row r="594" spans="25:28" x14ac:dyDescent="0.2">
      <c r="Y594">
        <v>8</v>
      </c>
      <c r="Z594">
        <v>3</v>
      </c>
      <c r="AA594">
        <f t="shared" si="26"/>
        <v>12</v>
      </c>
      <c r="AB594">
        <f t="shared" si="27"/>
        <v>128</v>
      </c>
    </row>
    <row r="595" spans="25:28" x14ac:dyDescent="0.2">
      <c r="Y595">
        <v>8</v>
      </c>
      <c r="Z595">
        <v>3</v>
      </c>
      <c r="AA595">
        <f t="shared" si="26"/>
        <v>12</v>
      </c>
      <c r="AB595">
        <f t="shared" si="27"/>
        <v>128</v>
      </c>
    </row>
    <row r="596" spans="25:28" x14ac:dyDescent="0.2">
      <c r="Y596">
        <v>8</v>
      </c>
      <c r="Z596">
        <v>3</v>
      </c>
      <c r="AA596">
        <f t="shared" si="26"/>
        <v>12</v>
      </c>
      <c r="AB596">
        <f t="shared" si="27"/>
        <v>128</v>
      </c>
    </row>
    <row r="597" spans="25:28" x14ac:dyDescent="0.2">
      <c r="Y597">
        <v>8</v>
      </c>
      <c r="Z597">
        <v>3</v>
      </c>
      <c r="AA597">
        <f t="shared" si="26"/>
        <v>12</v>
      </c>
      <c r="AB597">
        <f t="shared" si="27"/>
        <v>128</v>
      </c>
    </row>
    <row r="598" spans="25:28" x14ac:dyDescent="0.2">
      <c r="Y598">
        <v>8</v>
      </c>
      <c r="Z598">
        <v>3</v>
      </c>
      <c r="AA598">
        <f t="shared" si="26"/>
        <v>12</v>
      </c>
      <c r="AB598">
        <f t="shared" si="27"/>
        <v>128</v>
      </c>
    </row>
    <row r="599" spans="25:28" x14ac:dyDescent="0.2">
      <c r="Y599">
        <v>8</v>
      </c>
      <c r="Z599">
        <v>3</v>
      </c>
      <c r="AA599">
        <f t="shared" si="26"/>
        <v>12</v>
      </c>
      <c r="AB599">
        <f t="shared" si="27"/>
        <v>128</v>
      </c>
    </row>
    <row r="600" spans="25:28" x14ac:dyDescent="0.2">
      <c r="Y600">
        <v>8</v>
      </c>
      <c r="Z600">
        <v>3</v>
      </c>
      <c r="AA600">
        <f t="shared" si="26"/>
        <v>12</v>
      </c>
      <c r="AB600">
        <f t="shared" si="27"/>
        <v>128</v>
      </c>
    </row>
    <row r="601" spans="25:28" x14ac:dyDescent="0.2">
      <c r="Y601">
        <v>9</v>
      </c>
      <c r="Z601">
        <v>3</v>
      </c>
      <c r="AA601">
        <f t="shared" si="26"/>
        <v>12</v>
      </c>
      <c r="AB601">
        <f t="shared" si="27"/>
        <v>128</v>
      </c>
    </row>
    <row r="602" spans="25:28" x14ac:dyDescent="0.2">
      <c r="Y602">
        <v>9</v>
      </c>
      <c r="Z602">
        <v>3</v>
      </c>
      <c r="AA602">
        <f t="shared" si="26"/>
        <v>12</v>
      </c>
      <c r="AB602">
        <f t="shared" si="27"/>
        <v>128</v>
      </c>
    </row>
    <row r="603" spans="25:28" x14ac:dyDescent="0.2">
      <c r="Y603">
        <v>9</v>
      </c>
      <c r="Z603">
        <v>3</v>
      </c>
      <c r="AA603">
        <f t="shared" si="26"/>
        <v>12</v>
      </c>
      <c r="AB603">
        <f t="shared" si="27"/>
        <v>128</v>
      </c>
    </row>
    <row r="604" spans="25:28" x14ac:dyDescent="0.2">
      <c r="Y604">
        <v>9</v>
      </c>
      <c r="Z604">
        <v>3</v>
      </c>
      <c r="AA604">
        <f t="shared" si="26"/>
        <v>12</v>
      </c>
      <c r="AB604">
        <f t="shared" si="27"/>
        <v>128</v>
      </c>
    </row>
    <row r="605" spans="25:28" x14ac:dyDescent="0.2">
      <c r="Y605">
        <v>9</v>
      </c>
      <c r="Z605">
        <v>3</v>
      </c>
      <c r="AA605">
        <f t="shared" si="26"/>
        <v>12</v>
      </c>
      <c r="AB605">
        <f t="shared" si="27"/>
        <v>128</v>
      </c>
    </row>
    <row r="606" spans="25:28" x14ac:dyDescent="0.2">
      <c r="Y606">
        <v>9</v>
      </c>
      <c r="Z606">
        <v>3</v>
      </c>
      <c r="AA606">
        <f t="shared" si="26"/>
        <v>12</v>
      </c>
      <c r="AB606">
        <f t="shared" si="27"/>
        <v>128</v>
      </c>
    </row>
    <row r="607" spans="25:28" x14ac:dyDescent="0.2">
      <c r="Y607">
        <v>9</v>
      </c>
      <c r="Z607">
        <v>3</v>
      </c>
      <c r="AA607">
        <f t="shared" si="26"/>
        <v>12</v>
      </c>
      <c r="AB607">
        <f t="shared" si="27"/>
        <v>128</v>
      </c>
    </row>
    <row r="608" spans="25:28" x14ac:dyDescent="0.2">
      <c r="Y608">
        <v>9</v>
      </c>
      <c r="Z608">
        <v>3</v>
      </c>
      <c r="AA608">
        <f t="shared" si="26"/>
        <v>12</v>
      </c>
      <c r="AB608">
        <f t="shared" si="27"/>
        <v>128</v>
      </c>
    </row>
    <row r="609" spans="25:28" x14ac:dyDescent="0.2">
      <c r="Y609">
        <v>9</v>
      </c>
      <c r="Z609">
        <v>3</v>
      </c>
      <c r="AA609">
        <f t="shared" si="26"/>
        <v>12</v>
      </c>
      <c r="AB609">
        <f t="shared" si="27"/>
        <v>128</v>
      </c>
    </row>
    <row r="610" spans="25:28" x14ac:dyDescent="0.2">
      <c r="Y610">
        <v>9</v>
      </c>
      <c r="Z610">
        <v>3</v>
      </c>
      <c r="AA610">
        <f t="shared" si="26"/>
        <v>12</v>
      </c>
      <c r="AB610">
        <f t="shared" si="27"/>
        <v>128</v>
      </c>
    </row>
    <row r="611" spans="25:28" x14ac:dyDescent="0.2">
      <c r="Y611">
        <v>9</v>
      </c>
      <c r="Z611">
        <v>3</v>
      </c>
      <c r="AA611">
        <f t="shared" si="26"/>
        <v>12</v>
      </c>
      <c r="AB611">
        <f t="shared" si="27"/>
        <v>128</v>
      </c>
    </row>
    <row r="612" spans="25:28" x14ac:dyDescent="0.2">
      <c r="Y612">
        <v>9</v>
      </c>
      <c r="Z612">
        <v>3</v>
      </c>
      <c r="AA612">
        <f t="shared" si="26"/>
        <v>12</v>
      </c>
      <c r="AB612">
        <f t="shared" si="27"/>
        <v>128</v>
      </c>
    </row>
    <row r="613" spans="25:28" x14ac:dyDescent="0.2">
      <c r="Y613">
        <v>9</v>
      </c>
      <c r="Z613">
        <v>3</v>
      </c>
      <c r="AA613">
        <f t="shared" si="26"/>
        <v>12</v>
      </c>
      <c r="AB613">
        <f t="shared" si="27"/>
        <v>128</v>
      </c>
    </row>
    <row r="614" spans="25:28" x14ac:dyDescent="0.2">
      <c r="Y614">
        <v>9</v>
      </c>
      <c r="Z614">
        <v>3</v>
      </c>
      <c r="AA614">
        <f t="shared" si="26"/>
        <v>12</v>
      </c>
      <c r="AB614">
        <f t="shared" si="27"/>
        <v>128</v>
      </c>
    </row>
    <row r="615" spans="25:28" x14ac:dyDescent="0.2">
      <c r="Y615">
        <v>9</v>
      </c>
      <c r="Z615">
        <v>3</v>
      </c>
      <c r="AA615">
        <f t="shared" si="26"/>
        <v>12</v>
      </c>
      <c r="AB615">
        <f t="shared" si="27"/>
        <v>128</v>
      </c>
    </row>
    <row r="616" spans="25:28" x14ac:dyDescent="0.2">
      <c r="Y616">
        <v>9</v>
      </c>
      <c r="Z616">
        <v>3</v>
      </c>
      <c r="AA616">
        <f t="shared" si="26"/>
        <v>12</v>
      </c>
      <c r="AB616">
        <f t="shared" si="27"/>
        <v>128</v>
      </c>
    </row>
    <row r="617" spans="25:28" x14ac:dyDescent="0.2">
      <c r="Y617">
        <v>9</v>
      </c>
      <c r="Z617">
        <v>3</v>
      </c>
      <c r="AA617">
        <f t="shared" si="26"/>
        <v>12</v>
      </c>
      <c r="AB617">
        <f t="shared" si="27"/>
        <v>128</v>
      </c>
    </row>
    <row r="618" spans="25:28" x14ac:dyDescent="0.2">
      <c r="Y618">
        <v>9</v>
      </c>
      <c r="Z618">
        <v>3</v>
      </c>
      <c r="AA618">
        <f t="shared" si="26"/>
        <v>12</v>
      </c>
      <c r="AB618">
        <f t="shared" si="27"/>
        <v>128</v>
      </c>
    </row>
    <row r="619" spans="25:28" x14ac:dyDescent="0.2">
      <c r="Y619">
        <v>9</v>
      </c>
      <c r="Z619">
        <v>3</v>
      </c>
      <c r="AA619">
        <f t="shared" si="26"/>
        <v>12</v>
      </c>
      <c r="AB619">
        <f t="shared" si="27"/>
        <v>128</v>
      </c>
    </row>
    <row r="620" spans="25:28" x14ac:dyDescent="0.2">
      <c r="Y620">
        <v>9</v>
      </c>
      <c r="Z620">
        <v>3</v>
      </c>
      <c r="AA620">
        <f t="shared" si="26"/>
        <v>12</v>
      </c>
      <c r="AB620">
        <f t="shared" si="27"/>
        <v>128</v>
      </c>
    </row>
    <row r="621" spans="25:28" x14ac:dyDescent="0.2">
      <c r="Y621">
        <v>9</v>
      </c>
      <c r="Z621">
        <v>3</v>
      </c>
      <c r="AA621">
        <f t="shared" si="26"/>
        <v>12</v>
      </c>
      <c r="AB621">
        <f t="shared" si="27"/>
        <v>128</v>
      </c>
    </row>
    <row r="622" spans="25:28" x14ac:dyDescent="0.2">
      <c r="Y622">
        <v>9</v>
      </c>
      <c r="Z622">
        <v>3</v>
      </c>
      <c r="AA622">
        <f t="shared" si="26"/>
        <v>12</v>
      </c>
      <c r="AB622">
        <f t="shared" si="27"/>
        <v>128</v>
      </c>
    </row>
    <row r="623" spans="25:28" x14ac:dyDescent="0.2">
      <c r="Y623">
        <v>9</v>
      </c>
      <c r="Z623">
        <v>3</v>
      </c>
      <c r="AA623">
        <f t="shared" si="26"/>
        <v>12</v>
      </c>
      <c r="AB623">
        <f t="shared" si="27"/>
        <v>128</v>
      </c>
    </row>
    <row r="624" spans="25:28" x14ac:dyDescent="0.2">
      <c r="Y624">
        <v>9</v>
      </c>
      <c r="Z624">
        <v>3</v>
      </c>
      <c r="AA624">
        <f t="shared" si="26"/>
        <v>12</v>
      </c>
      <c r="AB624">
        <f t="shared" si="27"/>
        <v>128</v>
      </c>
    </row>
    <row r="625" spans="25:28" x14ac:dyDescent="0.2">
      <c r="Y625">
        <v>9</v>
      </c>
      <c r="Z625">
        <v>3</v>
      </c>
      <c r="AA625">
        <f t="shared" si="26"/>
        <v>12</v>
      </c>
      <c r="AB625">
        <f t="shared" si="27"/>
        <v>128</v>
      </c>
    </row>
    <row r="626" spans="25:28" x14ac:dyDescent="0.2">
      <c r="Y626">
        <v>10</v>
      </c>
      <c r="Z626">
        <v>3</v>
      </c>
      <c r="AA626">
        <f t="shared" si="26"/>
        <v>12</v>
      </c>
      <c r="AB626">
        <f t="shared" si="27"/>
        <v>128</v>
      </c>
    </row>
    <row r="627" spans="25:28" x14ac:dyDescent="0.2">
      <c r="Y627">
        <v>10</v>
      </c>
      <c r="Z627">
        <v>3</v>
      </c>
      <c r="AA627">
        <f t="shared" si="26"/>
        <v>12</v>
      </c>
      <c r="AB627">
        <f t="shared" si="27"/>
        <v>128</v>
      </c>
    </row>
    <row r="628" spans="25:28" x14ac:dyDescent="0.2">
      <c r="Y628">
        <v>10</v>
      </c>
      <c r="Z628">
        <v>3</v>
      </c>
      <c r="AA628">
        <f t="shared" si="26"/>
        <v>12</v>
      </c>
      <c r="AB628">
        <f t="shared" si="27"/>
        <v>128</v>
      </c>
    </row>
    <row r="629" spans="25:28" x14ac:dyDescent="0.2">
      <c r="Y629">
        <v>10</v>
      </c>
      <c r="Z629">
        <v>3</v>
      </c>
      <c r="AA629">
        <f t="shared" si="26"/>
        <v>12</v>
      </c>
      <c r="AB629">
        <f t="shared" si="27"/>
        <v>128</v>
      </c>
    </row>
    <row r="630" spans="25:28" x14ac:dyDescent="0.2">
      <c r="Y630">
        <v>10</v>
      </c>
      <c r="Z630">
        <v>3</v>
      </c>
      <c r="AA630">
        <f t="shared" si="26"/>
        <v>12</v>
      </c>
      <c r="AB630">
        <f t="shared" si="27"/>
        <v>128</v>
      </c>
    </row>
    <row r="631" spans="25:28" x14ac:dyDescent="0.2">
      <c r="Y631">
        <v>10</v>
      </c>
      <c r="Z631">
        <v>3</v>
      </c>
      <c r="AA631">
        <f t="shared" si="26"/>
        <v>12</v>
      </c>
      <c r="AB631">
        <f t="shared" si="27"/>
        <v>128</v>
      </c>
    </row>
    <row r="632" spans="25:28" x14ac:dyDescent="0.2">
      <c r="Y632">
        <v>10</v>
      </c>
      <c r="Z632">
        <v>3</v>
      </c>
      <c r="AA632">
        <f t="shared" si="26"/>
        <v>12</v>
      </c>
      <c r="AB632">
        <f t="shared" si="27"/>
        <v>128</v>
      </c>
    </row>
    <row r="633" spans="25:28" x14ac:dyDescent="0.2">
      <c r="Y633">
        <v>10</v>
      </c>
      <c r="Z633">
        <v>3</v>
      </c>
      <c r="AA633">
        <f t="shared" si="26"/>
        <v>12</v>
      </c>
      <c r="AB633">
        <f t="shared" si="27"/>
        <v>128</v>
      </c>
    </row>
    <row r="634" spans="25:28" x14ac:dyDescent="0.2">
      <c r="Y634">
        <v>10</v>
      </c>
      <c r="Z634">
        <v>3</v>
      </c>
      <c r="AA634">
        <f t="shared" si="26"/>
        <v>12</v>
      </c>
      <c r="AB634">
        <f t="shared" si="27"/>
        <v>128</v>
      </c>
    </row>
    <row r="635" spans="25:28" x14ac:dyDescent="0.2">
      <c r="Y635">
        <v>10</v>
      </c>
      <c r="Z635">
        <v>3</v>
      </c>
      <c r="AA635">
        <f t="shared" si="26"/>
        <v>12</v>
      </c>
      <c r="AB635">
        <f t="shared" si="27"/>
        <v>128</v>
      </c>
    </row>
    <row r="636" spans="25:28" x14ac:dyDescent="0.2">
      <c r="Y636">
        <v>10</v>
      </c>
      <c r="Z636">
        <v>3</v>
      </c>
      <c r="AA636">
        <f t="shared" si="26"/>
        <v>12</v>
      </c>
      <c r="AB636">
        <f t="shared" si="27"/>
        <v>128</v>
      </c>
    </row>
    <row r="637" spans="25:28" x14ac:dyDescent="0.2">
      <c r="Y637">
        <v>10</v>
      </c>
      <c r="Z637">
        <v>3</v>
      </c>
      <c r="AA637">
        <f t="shared" si="26"/>
        <v>12</v>
      </c>
      <c r="AB637">
        <f t="shared" si="27"/>
        <v>128</v>
      </c>
    </row>
    <row r="638" spans="25:28" x14ac:dyDescent="0.2">
      <c r="Y638">
        <v>10</v>
      </c>
      <c r="Z638">
        <v>3</v>
      </c>
      <c r="AA638">
        <f t="shared" si="26"/>
        <v>12</v>
      </c>
      <c r="AB638">
        <f t="shared" si="27"/>
        <v>128</v>
      </c>
    </row>
    <row r="639" spans="25:28" x14ac:dyDescent="0.2">
      <c r="Y639">
        <v>10</v>
      </c>
      <c r="Z639">
        <v>3</v>
      </c>
      <c r="AA639">
        <f t="shared" si="26"/>
        <v>12</v>
      </c>
      <c r="AB639">
        <f t="shared" si="27"/>
        <v>128</v>
      </c>
    </row>
    <row r="640" spans="25:28" x14ac:dyDescent="0.2">
      <c r="Y640">
        <v>10</v>
      </c>
      <c r="Z640">
        <v>3</v>
      </c>
      <c r="AA640">
        <f t="shared" si="26"/>
        <v>12</v>
      </c>
      <c r="AB640">
        <f t="shared" si="27"/>
        <v>128</v>
      </c>
    </row>
    <row r="641" spans="25:28" x14ac:dyDescent="0.2">
      <c r="Y641">
        <v>10</v>
      </c>
      <c r="Z641">
        <v>3</v>
      </c>
      <c r="AA641">
        <f t="shared" si="26"/>
        <v>12</v>
      </c>
      <c r="AB641">
        <f t="shared" si="27"/>
        <v>128</v>
      </c>
    </row>
    <row r="642" spans="25:28" x14ac:dyDescent="0.2">
      <c r="Y642">
        <v>10</v>
      </c>
      <c r="Z642">
        <v>3</v>
      </c>
      <c r="AA642">
        <f t="shared" si="26"/>
        <v>12</v>
      </c>
      <c r="AB642">
        <f t="shared" si="27"/>
        <v>128</v>
      </c>
    </row>
    <row r="643" spans="25:28" x14ac:dyDescent="0.2">
      <c r="Y643">
        <v>10</v>
      </c>
      <c r="Z643">
        <v>3</v>
      </c>
      <c r="AA643">
        <f t="shared" si="26"/>
        <v>12</v>
      </c>
      <c r="AB643">
        <f t="shared" si="27"/>
        <v>128</v>
      </c>
    </row>
    <row r="644" spans="25:28" x14ac:dyDescent="0.2">
      <c r="Y644">
        <v>10</v>
      </c>
      <c r="Z644">
        <v>3</v>
      </c>
      <c r="AA644">
        <f t="shared" si="26"/>
        <v>12</v>
      </c>
      <c r="AB644">
        <f t="shared" si="27"/>
        <v>128</v>
      </c>
    </row>
    <row r="645" spans="25:28" x14ac:dyDescent="0.2">
      <c r="Y645">
        <v>10</v>
      </c>
      <c r="Z645">
        <v>3</v>
      </c>
      <c r="AA645">
        <f t="shared" si="26"/>
        <v>12</v>
      </c>
      <c r="AB645">
        <f t="shared" si="27"/>
        <v>128</v>
      </c>
    </row>
    <row r="646" spans="25:28" x14ac:dyDescent="0.2">
      <c r="Y646">
        <v>10</v>
      </c>
      <c r="Z646">
        <v>3</v>
      </c>
      <c r="AA646">
        <f t="shared" si="26"/>
        <v>12</v>
      </c>
      <c r="AB646">
        <f t="shared" si="27"/>
        <v>128</v>
      </c>
    </row>
    <row r="647" spans="25:28" x14ac:dyDescent="0.2">
      <c r="Y647">
        <v>10</v>
      </c>
      <c r="Z647">
        <v>3</v>
      </c>
      <c r="AA647">
        <f t="shared" ref="AA647:AA710" si="28">Z647+9</f>
        <v>12</v>
      </c>
      <c r="AB647">
        <f t="shared" ref="AB647:AB710" si="29">VLOOKUP(Y647,$D$5:$Q$22,AA647,FALSE)</f>
        <v>128</v>
      </c>
    </row>
    <row r="648" spans="25:28" x14ac:dyDescent="0.2">
      <c r="Y648">
        <v>10</v>
      </c>
      <c r="Z648">
        <v>3</v>
      </c>
      <c r="AA648">
        <f t="shared" si="28"/>
        <v>12</v>
      </c>
      <c r="AB648">
        <f t="shared" si="29"/>
        <v>128</v>
      </c>
    </row>
    <row r="649" spans="25:28" x14ac:dyDescent="0.2">
      <c r="Y649">
        <v>10</v>
      </c>
      <c r="Z649">
        <v>3</v>
      </c>
      <c r="AA649">
        <f t="shared" si="28"/>
        <v>12</v>
      </c>
      <c r="AB649">
        <f t="shared" si="29"/>
        <v>128</v>
      </c>
    </row>
    <row r="650" spans="25:28" x14ac:dyDescent="0.2">
      <c r="Y650">
        <v>10</v>
      </c>
      <c r="Z650">
        <v>3</v>
      </c>
      <c r="AA650">
        <f t="shared" si="28"/>
        <v>12</v>
      </c>
      <c r="AB650">
        <f t="shared" si="29"/>
        <v>128</v>
      </c>
    </row>
    <row r="651" spans="25:28" x14ac:dyDescent="0.2">
      <c r="Y651">
        <v>11</v>
      </c>
      <c r="Z651">
        <v>3</v>
      </c>
      <c r="AA651">
        <f t="shared" si="28"/>
        <v>12</v>
      </c>
      <c r="AB651">
        <f t="shared" si="29"/>
        <v>128</v>
      </c>
    </row>
    <row r="652" spans="25:28" x14ac:dyDescent="0.2">
      <c r="Y652">
        <v>11</v>
      </c>
      <c r="Z652">
        <v>3</v>
      </c>
      <c r="AA652">
        <f t="shared" si="28"/>
        <v>12</v>
      </c>
      <c r="AB652">
        <f t="shared" si="29"/>
        <v>128</v>
      </c>
    </row>
    <row r="653" spans="25:28" x14ac:dyDescent="0.2">
      <c r="Y653">
        <v>11</v>
      </c>
      <c r="Z653">
        <v>3</v>
      </c>
      <c r="AA653">
        <f t="shared" si="28"/>
        <v>12</v>
      </c>
      <c r="AB653">
        <f t="shared" si="29"/>
        <v>128</v>
      </c>
    </row>
    <row r="654" spans="25:28" x14ac:dyDescent="0.2">
      <c r="Y654">
        <v>11</v>
      </c>
      <c r="Z654">
        <v>3</v>
      </c>
      <c r="AA654">
        <f t="shared" si="28"/>
        <v>12</v>
      </c>
      <c r="AB654">
        <f t="shared" si="29"/>
        <v>128</v>
      </c>
    </row>
    <row r="655" spans="25:28" x14ac:dyDescent="0.2">
      <c r="Y655">
        <v>11</v>
      </c>
      <c r="Z655">
        <v>3</v>
      </c>
      <c r="AA655">
        <f t="shared" si="28"/>
        <v>12</v>
      </c>
      <c r="AB655">
        <f t="shared" si="29"/>
        <v>128</v>
      </c>
    </row>
    <row r="656" spans="25:28" x14ac:dyDescent="0.2">
      <c r="Y656">
        <v>11</v>
      </c>
      <c r="Z656">
        <v>3</v>
      </c>
      <c r="AA656">
        <f t="shared" si="28"/>
        <v>12</v>
      </c>
      <c r="AB656">
        <f t="shared" si="29"/>
        <v>128</v>
      </c>
    </row>
    <row r="657" spans="25:28" x14ac:dyDescent="0.2">
      <c r="Y657">
        <v>11</v>
      </c>
      <c r="Z657">
        <v>3</v>
      </c>
      <c r="AA657">
        <f t="shared" si="28"/>
        <v>12</v>
      </c>
      <c r="AB657">
        <f t="shared" si="29"/>
        <v>128</v>
      </c>
    </row>
    <row r="658" spans="25:28" x14ac:dyDescent="0.2">
      <c r="Y658">
        <v>11</v>
      </c>
      <c r="Z658">
        <v>3</v>
      </c>
      <c r="AA658">
        <f t="shared" si="28"/>
        <v>12</v>
      </c>
      <c r="AB658">
        <f t="shared" si="29"/>
        <v>128</v>
      </c>
    </row>
    <row r="659" spans="25:28" x14ac:dyDescent="0.2">
      <c r="Y659">
        <v>11</v>
      </c>
      <c r="Z659">
        <v>3</v>
      </c>
      <c r="AA659">
        <f t="shared" si="28"/>
        <v>12</v>
      </c>
      <c r="AB659">
        <f t="shared" si="29"/>
        <v>128</v>
      </c>
    </row>
    <row r="660" spans="25:28" x14ac:dyDescent="0.2">
      <c r="Y660">
        <v>11</v>
      </c>
      <c r="Z660">
        <v>3</v>
      </c>
      <c r="AA660">
        <f t="shared" si="28"/>
        <v>12</v>
      </c>
      <c r="AB660">
        <f t="shared" si="29"/>
        <v>128</v>
      </c>
    </row>
    <row r="661" spans="25:28" x14ac:dyDescent="0.2">
      <c r="Y661">
        <v>11</v>
      </c>
      <c r="Z661">
        <v>3</v>
      </c>
      <c r="AA661">
        <f t="shared" si="28"/>
        <v>12</v>
      </c>
      <c r="AB661">
        <f t="shared" si="29"/>
        <v>128</v>
      </c>
    </row>
    <row r="662" spans="25:28" x14ac:dyDescent="0.2">
      <c r="Y662">
        <v>11</v>
      </c>
      <c r="Z662">
        <v>3</v>
      </c>
      <c r="AA662">
        <f t="shared" si="28"/>
        <v>12</v>
      </c>
      <c r="AB662">
        <f t="shared" si="29"/>
        <v>128</v>
      </c>
    </row>
    <row r="663" spans="25:28" x14ac:dyDescent="0.2">
      <c r="Y663">
        <v>11</v>
      </c>
      <c r="Z663">
        <v>3</v>
      </c>
      <c r="AA663">
        <f t="shared" si="28"/>
        <v>12</v>
      </c>
      <c r="AB663">
        <f t="shared" si="29"/>
        <v>128</v>
      </c>
    </row>
    <row r="664" spans="25:28" x14ac:dyDescent="0.2">
      <c r="Y664">
        <v>11</v>
      </c>
      <c r="Z664">
        <v>3</v>
      </c>
      <c r="AA664">
        <f t="shared" si="28"/>
        <v>12</v>
      </c>
      <c r="AB664">
        <f t="shared" si="29"/>
        <v>128</v>
      </c>
    </row>
    <row r="665" spans="25:28" x14ac:dyDescent="0.2">
      <c r="Y665">
        <v>21</v>
      </c>
      <c r="Z665">
        <v>3</v>
      </c>
      <c r="AA665">
        <f t="shared" si="28"/>
        <v>12</v>
      </c>
      <c r="AB665">
        <f t="shared" si="29"/>
        <v>512</v>
      </c>
    </row>
    <row r="666" spans="25:28" x14ac:dyDescent="0.2">
      <c r="Y666">
        <v>21</v>
      </c>
      <c r="Z666">
        <v>3</v>
      </c>
      <c r="AA666">
        <f t="shared" si="28"/>
        <v>12</v>
      </c>
      <c r="AB666">
        <f t="shared" si="29"/>
        <v>512</v>
      </c>
    </row>
    <row r="667" spans="25:28" x14ac:dyDescent="0.2">
      <c r="Y667">
        <v>21</v>
      </c>
      <c r="Z667">
        <v>3</v>
      </c>
      <c r="AA667">
        <f t="shared" si="28"/>
        <v>12</v>
      </c>
      <c r="AB667">
        <f t="shared" si="29"/>
        <v>512</v>
      </c>
    </row>
    <row r="668" spans="25:28" x14ac:dyDescent="0.2">
      <c r="Y668">
        <v>21</v>
      </c>
      <c r="Z668">
        <v>3</v>
      </c>
      <c r="AA668">
        <f t="shared" si="28"/>
        <v>12</v>
      </c>
      <c r="AB668">
        <f t="shared" si="29"/>
        <v>512</v>
      </c>
    </row>
    <row r="669" spans="25:28" x14ac:dyDescent="0.2">
      <c r="Y669">
        <v>21</v>
      </c>
      <c r="Z669">
        <v>3</v>
      </c>
      <c r="AA669">
        <f t="shared" si="28"/>
        <v>12</v>
      </c>
      <c r="AB669">
        <f t="shared" si="29"/>
        <v>512</v>
      </c>
    </row>
    <row r="670" spans="25:28" x14ac:dyDescent="0.2">
      <c r="Y670">
        <v>21</v>
      </c>
      <c r="Z670">
        <v>3</v>
      </c>
      <c r="AA670">
        <f t="shared" si="28"/>
        <v>12</v>
      </c>
      <c r="AB670">
        <f t="shared" si="29"/>
        <v>512</v>
      </c>
    </row>
    <row r="671" spans="25:28" x14ac:dyDescent="0.2">
      <c r="Y671">
        <v>21</v>
      </c>
      <c r="Z671">
        <v>3</v>
      </c>
      <c r="AA671">
        <f t="shared" si="28"/>
        <v>12</v>
      </c>
      <c r="AB671">
        <f t="shared" si="29"/>
        <v>512</v>
      </c>
    </row>
    <row r="672" spans="25:28" x14ac:dyDescent="0.2">
      <c r="Y672">
        <v>21</v>
      </c>
      <c r="Z672">
        <v>3</v>
      </c>
      <c r="AA672">
        <f t="shared" si="28"/>
        <v>12</v>
      </c>
      <c r="AB672">
        <f t="shared" si="29"/>
        <v>512</v>
      </c>
    </row>
    <row r="673" spans="25:28" x14ac:dyDescent="0.2">
      <c r="Y673">
        <v>21</v>
      </c>
      <c r="Z673">
        <v>3</v>
      </c>
      <c r="AA673">
        <f t="shared" si="28"/>
        <v>12</v>
      </c>
      <c r="AB673">
        <f t="shared" si="29"/>
        <v>512</v>
      </c>
    </row>
    <row r="674" spans="25:28" x14ac:dyDescent="0.2">
      <c r="Y674">
        <v>21</v>
      </c>
      <c r="Z674">
        <v>3</v>
      </c>
      <c r="AA674">
        <f t="shared" si="28"/>
        <v>12</v>
      </c>
      <c r="AB674">
        <f t="shared" si="29"/>
        <v>512</v>
      </c>
    </row>
    <row r="675" spans="25:28" x14ac:dyDescent="0.2">
      <c r="Y675">
        <v>21</v>
      </c>
      <c r="Z675">
        <v>3</v>
      </c>
      <c r="AA675">
        <f t="shared" si="28"/>
        <v>12</v>
      </c>
      <c r="AB675">
        <f t="shared" si="29"/>
        <v>512</v>
      </c>
    </row>
    <row r="676" spans="25:28" x14ac:dyDescent="0.2">
      <c r="Y676">
        <v>21</v>
      </c>
      <c r="Z676">
        <v>3</v>
      </c>
      <c r="AA676">
        <f t="shared" si="28"/>
        <v>12</v>
      </c>
      <c r="AB676">
        <f t="shared" si="29"/>
        <v>512</v>
      </c>
    </row>
    <row r="677" spans="25:28" x14ac:dyDescent="0.2">
      <c r="Y677">
        <v>21</v>
      </c>
      <c r="Z677">
        <v>3</v>
      </c>
      <c r="AA677">
        <f t="shared" si="28"/>
        <v>12</v>
      </c>
      <c r="AB677">
        <f t="shared" si="29"/>
        <v>512</v>
      </c>
    </row>
    <row r="678" spans="25:28" x14ac:dyDescent="0.2">
      <c r="Y678">
        <v>21</v>
      </c>
      <c r="Z678">
        <v>3</v>
      </c>
      <c r="AA678">
        <f t="shared" si="28"/>
        <v>12</v>
      </c>
      <c r="AB678">
        <f t="shared" si="29"/>
        <v>512</v>
      </c>
    </row>
    <row r="679" spans="25:28" x14ac:dyDescent="0.2">
      <c r="Y679">
        <v>21</v>
      </c>
      <c r="Z679">
        <v>3</v>
      </c>
      <c r="AA679">
        <f t="shared" si="28"/>
        <v>12</v>
      </c>
      <c r="AB679">
        <f t="shared" si="29"/>
        <v>512</v>
      </c>
    </row>
    <row r="680" spans="25:28" x14ac:dyDescent="0.2">
      <c r="Y680">
        <v>21</v>
      </c>
      <c r="Z680">
        <v>3</v>
      </c>
      <c r="AA680">
        <f t="shared" si="28"/>
        <v>12</v>
      </c>
      <c r="AB680">
        <f t="shared" si="29"/>
        <v>512</v>
      </c>
    </row>
    <row r="681" spans="25:28" x14ac:dyDescent="0.2">
      <c r="Y681">
        <v>21</v>
      </c>
      <c r="Z681">
        <v>3</v>
      </c>
      <c r="AA681">
        <f t="shared" si="28"/>
        <v>12</v>
      </c>
      <c r="AB681">
        <f t="shared" si="29"/>
        <v>512</v>
      </c>
    </row>
    <row r="682" spans="25:28" x14ac:dyDescent="0.2">
      <c r="Y682">
        <v>21</v>
      </c>
      <c r="Z682">
        <v>3</v>
      </c>
      <c r="AA682">
        <f t="shared" si="28"/>
        <v>12</v>
      </c>
      <c r="AB682">
        <f t="shared" si="29"/>
        <v>512</v>
      </c>
    </row>
    <row r="683" spans="25:28" x14ac:dyDescent="0.2">
      <c r="Y683">
        <v>21</v>
      </c>
      <c r="Z683">
        <v>3</v>
      </c>
      <c r="AA683">
        <f t="shared" si="28"/>
        <v>12</v>
      </c>
      <c r="AB683">
        <f t="shared" si="29"/>
        <v>512</v>
      </c>
    </row>
    <row r="684" spans="25:28" x14ac:dyDescent="0.2">
      <c r="Y684">
        <v>21</v>
      </c>
      <c r="Z684">
        <v>3</v>
      </c>
      <c r="AA684">
        <f t="shared" si="28"/>
        <v>12</v>
      </c>
      <c r="AB684">
        <f t="shared" si="29"/>
        <v>512</v>
      </c>
    </row>
    <row r="685" spans="25:28" x14ac:dyDescent="0.2">
      <c r="Y685">
        <v>21</v>
      </c>
      <c r="Z685">
        <v>3</v>
      </c>
      <c r="AA685">
        <f t="shared" si="28"/>
        <v>12</v>
      </c>
      <c r="AB685">
        <f t="shared" si="29"/>
        <v>512</v>
      </c>
    </row>
    <row r="686" spans="25:28" x14ac:dyDescent="0.2">
      <c r="Y686">
        <v>21</v>
      </c>
      <c r="Z686">
        <v>3</v>
      </c>
      <c r="AA686">
        <f t="shared" si="28"/>
        <v>12</v>
      </c>
      <c r="AB686">
        <f t="shared" si="29"/>
        <v>512</v>
      </c>
    </row>
    <row r="687" spans="25:28" x14ac:dyDescent="0.2">
      <c r="Y687">
        <v>21</v>
      </c>
      <c r="Z687">
        <v>3</v>
      </c>
      <c r="AA687">
        <f t="shared" si="28"/>
        <v>12</v>
      </c>
      <c r="AB687">
        <f t="shared" si="29"/>
        <v>512</v>
      </c>
    </row>
    <row r="688" spans="25:28" x14ac:dyDescent="0.2">
      <c r="Y688">
        <v>21</v>
      </c>
      <c r="Z688">
        <v>3</v>
      </c>
      <c r="AA688">
        <f t="shared" si="28"/>
        <v>12</v>
      </c>
      <c r="AB688">
        <f t="shared" si="29"/>
        <v>512</v>
      </c>
    </row>
    <row r="689" spans="25:28" x14ac:dyDescent="0.2">
      <c r="Y689">
        <v>21</v>
      </c>
      <c r="Z689">
        <v>3</v>
      </c>
      <c r="AA689">
        <f t="shared" si="28"/>
        <v>12</v>
      </c>
      <c r="AB689">
        <f t="shared" si="29"/>
        <v>512</v>
      </c>
    </row>
    <row r="690" spans="25:28" x14ac:dyDescent="0.2">
      <c r="Y690">
        <v>22</v>
      </c>
      <c r="Z690">
        <v>3</v>
      </c>
      <c r="AA690">
        <f t="shared" si="28"/>
        <v>12</v>
      </c>
      <c r="AB690">
        <f t="shared" si="29"/>
        <v>512</v>
      </c>
    </row>
    <row r="691" spans="25:28" x14ac:dyDescent="0.2">
      <c r="Y691">
        <v>22</v>
      </c>
      <c r="Z691">
        <v>3</v>
      </c>
      <c r="AA691">
        <f t="shared" si="28"/>
        <v>12</v>
      </c>
      <c r="AB691">
        <f t="shared" si="29"/>
        <v>512</v>
      </c>
    </row>
    <row r="692" spans="25:28" x14ac:dyDescent="0.2">
      <c r="Y692">
        <v>22</v>
      </c>
      <c r="Z692">
        <v>3</v>
      </c>
      <c r="AA692">
        <f t="shared" si="28"/>
        <v>12</v>
      </c>
      <c r="AB692">
        <f t="shared" si="29"/>
        <v>512</v>
      </c>
    </row>
    <row r="693" spans="25:28" x14ac:dyDescent="0.2">
      <c r="Y693">
        <v>22</v>
      </c>
      <c r="Z693">
        <v>3</v>
      </c>
      <c r="AA693">
        <f t="shared" si="28"/>
        <v>12</v>
      </c>
      <c r="AB693">
        <f t="shared" si="29"/>
        <v>512</v>
      </c>
    </row>
    <row r="694" spans="25:28" x14ac:dyDescent="0.2">
      <c r="Y694">
        <v>22</v>
      </c>
      <c r="Z694">
        <v>3</v>
      </c>
      <c r="AA694">
        <f t="shared" si="28"/>
        <v>12</v>
      </c>
      <c r="AB694">
        <f t="shared" si="29"/>
        <v>512</v>
      </c>
    </row>
    <row r="695" spans="25:28" x14ac:dyDescent="0.2">
      <c r="Y695">
        <v>22</v>
      </c>
      <c r="Z695">
        <v>3</v>
      </c>
      <c r="AA695">
        <f t="shared" si="28"/>
        <v>12</v>
      </c>
      <c r="AB695">
        <f t="shared" si="29"/>
        <v>512</v>
      </c>
    </row>
    <row r="696" spans="25:28" x14ac:dyDescent="0.2">
      <c r="Y696">
        <v>22</v>
      </c>
      <c r="Z696">
        <v>3</v>
      </c>
      <c r="AA696">
        <f t="shared" si="28"/>
        <v>12</v>
      </c>
      <c r="AB696">
        <f t="shared" si="29"/>
        <v>512</v>
      </c>
    </row>
    <row r="697" spans="25:28" x14ac:dyDescent="0.2">
      <c r="Y697">
        <v>22</v>
      </c>
      <c r="Z697">
        <v>3</v>
      </c>
      <c r="AA697">
        <f t="shared" si="28"/>
        <v>12</v>
      </c>
      <c r="AB697">
        <f t="shared" si="29"/>
        <v>512</v>
      </c>
    </row>
    <row r="698" spans="25:28" x14ac:dyDescent="0.2">
      <c r="Y698">
        <v>22</v>
      </c>
      <c r="Z698">
        <v>3</v>
      </c>
      <c r="AA698">
        <f t="shared" si="28"/>
        <v>12</v>
      </c>
      <c r="AB698">
        <f t="shared" si="29"/>
        <v>512</v>
      </c>
    </row>
    <row r="699" spans="25:28" x14ac:dyDescent="0.2">
      <c r="Y699">
        <v>22</v>
      </c>
      <c r="Z699">
        <v>3</v>
      </c>
      <c r="AA699">
        <f t="shared" si="28"/>
        <v>12</v>
      </c>
      <c r="AB699">
        <f t="shared" si="29"/>
        <v>512</v>
      </c>
    </row>
    <row r="700" spans="25:28" x14ac:dyDescent="0.2">
      <c r="Y700">
        <v>22</v>
      </c>
      <c r="Z700">
        <v>3</v>
      </c>
      <c r="AA700">
        <f t="shared" si="28"/>
        <v>12</v>
      </c>
      <c r="AB700">
        <f t="shared" si="29"/>
        <v>512</v>
      </c>
    </row>
    <row r="701" spans="25:28" x14ac:dyDescent="0.2">
      <c r="Y701">
        <v>22</v>
      </c>
      <c r="Z701">
        <v>3</v>
      </c>
      <c r="AA701">
        <f t="shared" si="28"/>
        <v>12</v>
      </c>
      <c r="AB701">
        <f t="shared" si="29"/>
        <v>512</v>
      </c>
    </row>
    <row r="702" spans="25:28" x14ac:dyDescent="0.2">
      <c r="Y702">
        <v>22</v>
      </c>
      <c r="Z702">
        <v>3</v>
      </c>
      <c r="AA702">
        <f t="shared" si="28"/>
        <v>12</v>
      </c>
      <c r="AB702">
        <f t="shared" si="29"/>
        <v>512</v>
      </c>
    </row>
    <row r="703" spans="25:28" x14ac:dyDescent="0.2">
      <c r="Y703">
        <v>22</v>
      </c>
      <c r="Z703">
        <v>3</v>
      </c>
      <c r="AA703">
        <f t="shared" si="28"/>
        <v>12</v>
      </c>
      <c r="AB703">
        <f t="shared" si="29"/>
        <v>512</v>
      </c>
    </row>
    <row r="704" spans="25:28" x14ac:dyDescent="0.2">
      <c r="Y704">
        <v>22</v>
      </c>
      <c r="Z704">
        <v>3</v>
      </c>
      <c r="AA704">
        <f t="shared" si="28"/>
        <v>12</v>
      </c>
      <c r="AB704">
        <f t="shared" si="29"/>
        <v>512</v>
      </c>
    </row>
    <row r="705" spans="25:28" x14ac:dyDescent="0.2">
      <c r="Y705">
        <v>22</v>
      </c>
      <c r="Z705">
        <v>3</v>
      </c>
      <c r="AA705">
        <f t="shared" si="28"/>
        <v>12</v>
      </c>
      <c r="AB705">
        <f t="shared" si="29"/>
        <v>512</v>
      </c>
    </row>
    <row r="706" spans="25:28" x14ac:dyDescent="0.2">
      <c r="Y706">
        <v>22</v>
      </c>
      <c r="Z706">
        <v>3</v>
      </c>
      <c r="AA706">
        <f t="shared" si="28"/>
        <v>12</v>
      </c>
      <c r="AB706">
        <f t="shared" si="29"/>
        <v>512</v>
      </c>
    </row>
    <row r="707" spans="25:28" x14ac:dyDescent="0.2">
      <c r="Y707">
        <v>22</v>
      </c>
      <c r="Z707">
        <v>3</v>
      </c>
      <c r="AA707">
        <f t="shared" si="28"/>
        <v>12</v>
      </c>
      <c r="AB707">
        <f t="shared" si="29"/>
        <v>512</v>
      </c>
    </row>
    <row r="708" spans="25:28" x14ac:dyDescent="0.2">
      <c r="Y708">
        <v>22</v>
      </c>
      <c r="Z708">
        <v>3</v>
      </c>
      <c r="AA708">
        <f t="shared" si="28"/>
        <v>12</v>
      </c>
      <c r="AB708">
        <f t="shared" si="29"/>
        <v>512</v>
      </c>
    </row>
    <row r="709" spans="25:28" x14ac:dyDescent="0.2">
      <c r="Y709">
        <v>22</v>
      </c>
      <c r="Z709">
        <v>3</v>
      </c>
      <c r="AA709">
        <f t="shared" si="28"/>
        <v>12</v>
      </c>
      <c r="AB709">
        <f t="shared" si="29"/>
        <v>512</v>
      </c>
    </row>
    <row r="710" spans="25:28" x14ac:dyDescent="0.2">
      <c r="Y710">
        <v>22</v>
      </c>
      <c r="Z710">
        <v>3</v>
      </c>
      <c r="AA710">
        <f t="shared" si="28"/>
        <v>12</v>
      </c>
      <c r="AB710">
        <f t="shared" si="29"/>
        <v>512</v>
      </c>
    </row>
    <row r="711" spans="25:28" x14ac:dyDescent="0.2">
      <c r="Y711">
        <v>22</v>
      </c>
      <c r="Z711">
        <v>3</v>
      </c>
      <c r="AA711">
        <f t="shared" ref="AA711:AA774" si="30">Z711+9</f>
        <v>12</v>
      </c>
      <c r="AB711">
        <f t="shared" ref="AB711:AB774" si="31">VLOOKUP(Y711,$D$5:$Q$22,AA711,FALSE)</f>
        <v>512</v>
      </c>
    </row>
    <row r="712" spans="25:28" x14ac:dyDescent="0.2">
      <c r="Y712">
        <v>22</v>
      </c>
      <c r="Z712">
        <v>3</v>
      </c>
      <c r="AA712">
        <f t="shared" si="30"/>
        <v>12</v>
      </c>
      <c r="AB712">
        <f t="shared" si="31"/>
        <v>512</v>
      </c>
    </row>
    <row r="713" spans="25:28" x14ac:dyDescent="0.2">
      <c r="Y713">
        <v>22</v>
      </c>
      <c r="Z713">
        <v>3</v>
      </c>
      <c r="AA713">
        <f t="shared" si="30"/>
        <v>12</v>
      </c>
      <c r="AB713">
        <f t="shared" si="31"/>
        <v>512</v>
      </c>
    </row>
    <row r="714" spans="25:28" x14ac:dyDescent="0.2">
      <c r="Y714">
        <v>22</v>
      </c>
      <c r="Z714">
        <v>3</v>
      </c>
      <c r="AA714">
        <f t="shared" si="30"/>
        <v>12</v>
      </c>
      <c r="AB714">
        <f t="shared" si="31"/>
        <v>512</v>
      </c>
    </row>
    <row r="715" spans="25:28" x14ac:dyDescent="0.2">
      <c r="Y715">
        <v>23</v>
      </c>
      <c r="Z715">
        <v>3</v>
      </c>
      <c r="AA715">
        <f t="shared" si="30"/>
        <v>12</v>
      </c>
      <c r="AB715">
        <f t="shared" si="31"/>
        <v>512</v>
      </c>
    </row>
    <row r="716" spans="25:28" x14ac:dyDescent="0.2">
      <c r="Y716">
        <v>23</v>
      </c>
      <c r="Z716">
        <v>3</v>
      </c>
      <c r="AA716">
        <f t="shared" si="30"/>
        <v>12</v>
      </c>
      <c r="AB716">
        <f t="shared" si="31"/>
        <v>512</v>
      </c>
    </row>
    <row r="717" spans="25:28" x14ac:dyDescent="0.2">
      <c r="Y717">
        <v>23</v>
      </c>
      <c r="Z717">
        <v>3</v>
      </c>
      <c r="AA717">
        <f t="shared" si="30"/>
        <v>12</v>
      </c>
      <c r="AB717">
        <f t="shared" si="31"/>
        <v>512</v>
      </c>
    </row>
    <row r="718" spans="25:28" x14ac:dyDescent="0.2">
      <c r="Y718">
        <v>23</v>
      </c>
      <c r="Z718">
        <v>3</v>
      </c>
      <c r="AA718">
        <f t="shared" si="30"/>
        <v>12</v>
      </c>
      <c r="AB718">
        <f t="shared" si="31"/>
        <v>512</v>
      </c>
    </row>
    <row r="719" spans="25:28" x14ac:dyDescent="0.2">
      <c r="Y719">
        <v>23</v>
      </c>
      <c r="Z719">
        <v>3</v>
      </c>
      <c r="AA719">
        <f t="shared" si="30"/>
        <v>12</v>
      </c>
      <c r="AB719">
        <f t="shared" si="31"/>
        <v>512</v>
      </c>
    </row>
    <row r="720" spans="25:28" x14ac:dyDescent="0.2">
      <c r="Y720">
        <v>23</v>
      </c>
      <c r="Z720">
        <v>3</v>
      </c>
      <c r="AA720">
        <f t="shared" si="30"/>
        <v>12</v>
      </c>
      <c r="AB720">
        <f t="shared" si="31"/>
        <v>512</v>
      </c>
    </row>
    <row r="721" spans="25:28" x14ac:dyDescent="0.2">
      <c r="Y721">
        <v>23</v>
      </c>
      <c r="Z721">
        <v>3</v>
      </c>
      <c r="AA721">
        <f t="shared" si="30"/>
        <v>12</v>
      </c>
      <c r="AB721">
        <f t="shared" si="31"/>
        <v>512</v>
      </c>
    </row>
    <row r="722" spans="25:28" x14ac:dyDescent="0.2">
      <c r="Y722">
        <v>23</v>
      </c>
      <c r="Z722">
        <v>3</v>
      </c>
      <c r="AA722">
        <f t="shared" si="30"/>
        <v>12</v>
      </c>
      <c r="AB722">
        <f t="shared" si="31"/>
        <v>512</v>
      </c>
    </row>
    <row r="723" spans="25:28" x14ac:dyDescent="0.2">
      <c r="Y723">
        <v>23</v>
      </c>
      <c r="Z723">
        <v>3</v>
      </c>
      <c r="AA723">
        <f t="shared" si="30"/>
        <v>12</v>
      </c>
      <c r="AB723">
        <f t="shared" si="31"/>
        <v>512</v>
      </c>
    </row>
    <row r="724" spans="25:28" x14ac:dyDescent="0.2">
      <c r="Y724">
        <v>23</v>
      </c>
      <c r="Z724">
        <v>3</v>
      </c>
      <c r="AA724">
        <f t="shared" si="30"/>
        <v>12</v>
      </c>
      <c r="AB724">
        <f t="shared" si="31"/>
        <v>512</v>
      </c>
    </row>
    <row r="725" spans="25:28" x14ac:dyDescent="0.2">
      <c r="Y725">
        <v>23</v>
      </c>
      <c r="Z725">
        <v>3</v>
      </c>
      <c r="AA725">
        <f t="shared" si="30"/>
        <v>12</v>
      </c>
      <c r="AB725">
        <f t="shared" si="31"/>
        <v>512</v>
      </c>
    </row>
    <row r="726" spans="25:28" x14ac:dyDescent="0.2">
      <c r="Y726">
        <v>23</v>
      </c>
      <c r="Z726">
        <v>3</v>
      </c>
      <c r="AA726">
        <f t="shared" si="30"/>
        <v>12</v>
      </c>
      <c r="AB726">
        <f t="shared" si="31"/>
        <v>512</v>
      </c>
    </row>
    <row r="727" spans="25:28" x14ac:dyDescent="0.2">
      <c r="Y727">
        <v>23</v>
      </c>
      <c r="Z727">
        <v>3</v>
      </c>
      <c r="AA727">
        <f t="shared" si="30"/>
        <v>12</v>
      </c>
      <c r="AB727">
        <f t="shared" si="31"/>
        <v>512</v>
      </c>
    </row>
    <row r="728" spans="25:28" x14ac:dyDescent="0.2">
      <c r="Y728">
        <v>23</v>
      </c>
      <c r="Z728">
        <v>3</v>
      </c>
      <c r="AA728">
        <f t="shared" si="30"/>
        <v>12</v>
      </c>
      <c r="AB728">
        <f t="shared" si="31"/>
        <v>512</v>
      </c>
    </row>
    <row r="729" spans="25:28" x14ac:dyDescent="0.2">
      <c r="Y729">
        <v>23</v>
      </c>
      <c r="Z729">
        <v>3</v>
      </c>
      <c r="AA729">
        <f t="shared" si="30"/>
        <v>12</v>
      </c>
      <c r="AB729">
        <f t="shared" si="31"/>
        <v>512</v>
      </c>
    </row>
    <row r="730" spans="25:28" x14ac:dyDescent="0.2">
      <c r="Y730">
        <v>23</v>
      </c>
      <c r="Z730">
        <v>3</v>
      </c>
      <c r="AA730">
        <f t="shared" si="30"/>
        <v>12</v>
      </c>
      <c r="AB730">
        <f t="shared" si="31"/>
        <v>512</v>
      </c>
    </row>
    <row r="731" spans="25:28" x14ac:dyDescent="0.2">
      <c r="Y731">
        <v>23</v>
      </c>
      <c r="Z731">
        <v>3</v>
      </c>
      <c r="AA731">
        <f t="shared" si="30"/>
        <v>12</v>
      </c>
      <c r="AB731">
        <f t="shared" si="31"/>
        <v>512</v>
      </c>
    </row>
    <row r="732" spans="25:28" x14ac:dyDescent="0.2">
      <c r="Y732">
        <v>23</v>
      </c>
      <c r="Z732">
        <v>3</v>
      </c>
      <c r="AA732">
        <f t="shared" si="30"/>
        <v>12</v>
      </c>
      <c r="AB732">
        <f t="shared" si="31"/>
        <v>512</v>
      </c>
    </row>
    <row r="733" spans="25:28" x14ac:dyDescent="0.2">
      <c r="Y733">
        <v>23</v>
      </c>
      <c r="Z733">
        <v>3</v>
      </c>
      <c r="AA733">
        <f t="shared" si="30"/>
        <v>12</v>
      </c>
      <c r="AB733">
        <f t="shared" si="31"/>
        <v>512</v>
      </c>
    </row>
    <row r="734" spans="25:28" x14ac:dyDescent="0.2">
      <c r="Y734">
        <v>23</v>
      </c>
      <c r="Z734">
        <v>3</v>
      </c>
      <c r="AA734">
        <f t="shared" si="30"/>
        <v>12</v>
      </c>
      <c r="AB734">
        <f t="shared" si="31"/>
        <v>512</v>
      </c>
    </row>
    <row r="735" spans="25:28" x14ac:dyDescent="0.2">
      <c r="Y735">
        <v>23</v>
      </c>
      <c r="Z735">
        <v>3</v>
      </c>
      <c r="AA735">
        <f t="shared" si="30"/>
        <v>12</v>
      </c>
      <c r="AB735">
        <f t="shared" si="31"/>
        <v>512</v>
      </c>
    </row>
    <row r="736" spans="25:28" x14ac:dyDescent="0.2">
      <c r="Y736">
        <v>23</v>
      </c>
      <c r="Z736">
        <v>3</v>
      </c>
      <c r="AA736">
        <f t="shared" si="30"/>
        <v>12</v>
      </c>
      <c r="AB736">
        <f t="shared" si="31"/>
        <v>512</v>
      </c>
    </row>
    <row r="737" spans="25:28" x14ac:dyDescent="0.2">
      <c r="Y737">
        <v>23</v>
      </c>
      <c r="Z737">
        <v>3</v>
      </c>
      <c r="AA737">
        <f t="shared" si="30"/>
        <v>12</v>
      </c>
      <c r="AB737">
        <f t="shared" si="31"/>
        <v>512</v>
      </c>
    </row>
    <row r="738" spans="25:28" x14ac:dyDescent="0.2">
      <c r="Y738">
        <v>23</v>
      </c>
      <c r="Z738">
        <v>3</v>
      </c>
      <c r="AA738">
        <f t="shared" si="30"/>
        <v>12</v>
      </c>
      <c r="AB738">
        <f t="shared" si="31"/>
        <v>512</v>
      </c>
    </row>
    <row r="739" spans="25:28" x14ac:dyDescent="0.2">
      <c r="Y739">
        <v>23</v>
      </c>
      <c r="Z739">
        <v>3</v>
      </c>
      <c r="AA739">
        <f t="shared" si="30"/>
        <v>12</v>
      </c>
      <c r="AB739">
        <f t="shared" si="31"/>
        <v>512</v>
      </c>
    </row>
    <row r="740" spans="25:28" x14ac:dyDescent="0.2">
      <c r="Y740">
        <v>24</v>
      </c>
      <c r="Z740">
        <v>3</v>
      </c>
      <c r="AA740">
        <f t="shared" si="30"/>
        <v>12</v>
      </c>
      <c r="AB740">
        <f t="shared" si="31"/>
        <v>512</v>
      </c>
    </row>
    <row r="741" spans="25:28" x14ac:dyDescent="0.2">
      <c r="Y741">
        <v>24</v>
      </c>
      <c r="Z741">
        <v>3</v>
      </c>
      <c r="AA741">
        <f t="shared" si="30"/>
        <v>12</v>
      </c>
      <c r="AB741">
        <f t="shared" si="31"/>
        <v>512</v>
      </c>
    </row>
    <row r="742" spans="25:28" x14ac:dyDescent="0.2">
      <c r="Y742">
        <v>24</v>
      </c>
      <c r="Z742">
        <v>3</v>
      </c>
      <c r="AA742">
        <f t="shared" si="30"/>
        <v>12</v>
      </c>
      <c r="AB742">
        <f t="shared" si="31"/>
        <v>512</v>
      </c>
    </row>
    <row r="743" spans="25:28" x14ac:dyDescent="0.2">
      <c r="Y743">
        <v>24</v>
      </c>
      <c r="Z743">
        <v>3</v>
      </c>
      <c r="AA743">
        <f t="shared" si="30"/>
        <v>12</v>
      </c>
      <c r="AB743">
        <f t="shared" si="31"/>
        <v>512</v>
      </c>
    </row>
    <row r="744" spans="25:28" x14ac:dyDescent="0.2">
      <c r="Y744">
        <v>25</v>
      </c>
      <c r="Z744">
        <v>3</v>
      </c>
      <c r="AA744">
        <f t="shared" si="30"/>
        <v>12</v>
      </c>
      <c r="AB744">
        <f t="shared" si="31"/>
        <v>512</v>
      </c>
    </row>
    <row r="745" spans="25:28" x14ac:dyDescent="0.2">
      <c r="Y745">
        <v>25</v>
      </c>
      <c r="Z745">
        <v>3</v>
      </c>
      <c r="AA745">
        <f t="shared" si="30"/>
        <v>12</v>
      </c>
      <c r="AB745">
        <f t="shared" si="31"/>
        <v>512</v>
      </c>
    </row>
    <row r="746" spans="25:28" x14ac:dyDescent="0.2">
      <c r="Y746">
        <v>25</v>
      </c>
      <c r="Z746">
        <v>3</v>
      </c>
      <c r="AA746">
        <f t="shared" si="30"/>
        <v>12</v>
      </c>
      <c r="AB746">
        <f t="shared" si="31"/>
        <v>512</v>
      </c>
    </row>
    <row r="747" spans="25:28" x14ac:dyDescent="0.2">
      <c r="Y747">
        <v>25</v>
      </c>
      <c r="Z747">
        <v>3</v>
      </c>
      <c r="AA747">
        <f t="shared" si="30"/>
        <v>12</v>
      </c>
      <c r="AB747">
        <f t="shared" si="31"/>
        <v>512</v>
      </c>
    </row>
    <row r="748" spans="25:28" x14ac:dyDescent="0.2">
      <c r="Y748">
        <v>25</v>
      </c>
      <c r="Z748">
        <v>3</v>
      </c>
      <c r="AA748">
        <f t="shared" si="30"/>
        <v>12</v>
      </c>
      <c r="AB748">
        <f t="shared" si="31"/>
        <v>512</v>
      </c>
    </row>
    <row r="749" spans="25:28" x14ac:dyDescent="0.2">
      <c r="Y749">
        <v>25</v>
      </c>
      <c r="Z749">
        <v>3</v>
      </c>
      <c r="AA749">
        <f t="shared" si="30"/>
        <v>12</v>
      </c>
      <c r="AB749">
        <f t="shared" si="31"/>
        <v>512</v>
      </c>
    </row>
    <row r="750" spans="25:28" x14ac:dyDescent="0.2">
      <c r="Y750">
        <v>25</v>
      </c>
      <c r="Z750">
        <v>3</v>
      </c>
      <c r="AA750">
        <f t="shared" si="30"/>
        <v>12</v>
      </c>
      <c r="AB750">
        <f t="shared" si="31"/>
        <v>512</v>
      </c>
    </row>
    <row r="751" spans="25:28" x14ac:dyDescent="0.2">
      <c r="Y751">
        <v>25</v>
      </c>
      <c r="Z751">
        <v>3</v>
      </c>
      <c r="AA751">
        <f t="shared" si="30"/>
        <v>12</v>
      </c>
      <c r="AB751">
        <f t="shared" si="31"/>
        <v>512</v>
      </c>
    </row>
    <row r="752" spans="25:28" x14ac:dyDescent="0.2">
      <c r="Y752">
        <v>25</v>
      </c>
      <c r="Z752">
        <v>3</v>
      </c>
      <c r="AA752">
        <f t="shared" si="30"/>
        <v>12</v>
      </c>
      <c r="AB752">
        <f t="shared" si="31"/>
        <v>512</v>
      </c>
    </row>
    <row r="753" spans="25:28" x14ac:dyDescent="0.2">
      <c r="Y753">
        <v>25</v>
      </c>
      <c r="Z753">
        <v>3</v>
      </c>
      <c r="AA753">
        <f t="shared" si="30"/>
        <v>12</v>
      </c>
      <c r="AB753">
        <f t="shared" si="31"/>
        <v>512</v>
      </c>
    </row>
    <row r="754" spans="25:28" x14ac:dyDescent="0.2">
      <c r="Y754">
        <v>25</v>
      </c>
      <c r="Z754">
        <v>3</v>
      </c>
      <c r="AA754">
        <f t="shared" si="30"/>
        <v>12</v>
      </c>
      <c r="AB754">
        <f t="shared" si="31"/>
        <v>512</v>
      </c>
    </row>
    <row r="755" spans="25:28" x14ac:dyDescent="0.2">
      <c r="Y755">
        <v>25</v>
      </c>
      <c r="Z755">
        <v>3</v>
      </c>
      <c r="AA755">
        <f t="shared" si="30"/>
        <v>12</v>
      </c>
      <c r="AB755">
        <f t="shared" si="31"/>
        <v>512</v>
      </c>
    </row>
    <row r="756" spans="25:28" x14ac:dyDescent="0.2">
      <c r="Y756">
        <v>25</v>
      </c>
      <c r="Z756">
        <v>3</v>
      </c>
      <c r="AA756">
        <f t="shared" si="30"/>
        <v>12</v>
      </c>
      <c r="AB756">
        <f t="shared" si="31"/>
        <v>512</v>
      </c>
    </row>
    <row r="757" spans="25:28" x14ac:dyDescent="0.2">
      <c r="Y757">
        <v>25</v>
      </c>
      <c r="Z757">
        <v>3</v>
      </c>
      <c r="AA757">
        <f t="shared" si="30"/>
        <v>12</v>
      </c>
      <c r="AB757">
        <f t="shared" si="31"/>
        <v>512</v>
      </c>
    </row>
    <row r="758" spans="25:28" x14ac:dyDescent="0.2">
      <c r="Y758">
        <v>25</v>
      </c>
      <c r="Z758">
        <v>3</v>
      </c>
      <c r="AA758">
        <f t="shared" si="30"/>
        <v>12</v>
      </c>
      <c r="AB758">
        <f t="shared" si="31"/>
        <v>512</v>
      </c>
    </row>
    <row r="759" spans="25:28" x14ac:dyDescent="0.2">
      <c r="Y759">
        <v>25</v>
      </c>
      <c r="Z759">
        <v>3</v>
      </c>
      <c r="AA759">
        <f t="shared" si="30"/>
        <v>12</v>
      </c>
      <c r="AB759">
        <f t="shared" si="31"/>
        <v>512</v>
      </c>
    </row>
    <row r="760" spans="25:28" x14ac:dyDescent="0.2">
      <c r="Y760">
        <v>25</v>
      </c>
      <c r="Z760">
        <v>3</v>
      </c>
      <c r="AA760">
        <f t="shared" si="30"/>
        <v>12</v>
      </c>
      <c r="AB760">
        <f t="shared" si="31"/>
        <v>512</v>
      </c>
    </row>
    <row r="761" spans="25:28" x14ac:dyDescent="0.2">
      <c r="Y761">
        <v>25</v>
      </c>
      <c r="Z761">
        <v>3</v>
      </c>
      <c r="AA761">
        <f t="shared" si="30"/>
        <v>12</v>
      </c>
      <c r="AB761">
        <f t="shared" si="31"/>
        <v>512</v>
      </c>
    </row>
    <row r="762" spans="25:28" x14ac:dyDescent="0.2">
      <c r="Y762">
        <v>31</v>
      </c>
      <c r="Z762">
        <v>3</v>
      </c>
      <c r="AA762">
        <f t="shared" si="30"/>
        <v>12</v>
      </c>
      <c r="AB762">
        <f t="shared" si="31"/>
        <v>256</v>
      </c>
    </row>
    <row r="763" spans="25:28" x14ac:dyDescent="0.2">
      <c r="Y763">
        <v>31</v>
      </c>
      <c r="Z763">
        <v>3</v>
      </c>
      <c r="AA763">
        <f t="shared" si="30"/>
        <v>12</v>
      </c>
      <c r="AB763">
        <f t="shared" si="31"/>
        <v>256</v>
      </c>
    </row>
    <row r="764" spans="25:28" x14ac:dyDescent="0.2">
      <c r="Y764">
        <v>31</v>
      </c>
      <c r="Z764">
        <v>3</v>
      </c>
      <c r="AA764">
        <f t="shared" si="30"/>
        <v>12</v>
      </c>
      <c r="AB764">
        <f t="shared" si="31"/>
        <v>256</v>
      </c>
    </row>
    <row r="765" spans="25:28" x14ac:dyDescent="0.2">
      <c r="Y765">
        <v>31</v>
      </c>
      <c r="Z765">
        <v>3</v>
      </c>
      <c r="AA765">
        <f t="shared" si="30"/>
        <v>12</v>
      </c>
      <c r="AB765">
        <f t="shared" si="31"/>
        <v>256</v>
      </c>
    </row>
    <row r="766" spans="25:28" x14ac:dyDescent="0.2">
      <c r="Y766">
        <v>31</v>
      </c>
      <c r="Z766">
        <v>3</v>
      </c>
      <c r="AA766">
        <f t="shared" si="30"/>
        <v>12</v>
      </c>
      <c r="AB766">
        <f t="shared" si="31"/>
        <v>256</v>
      </c>
    </row>
    <row r="767" spans="25:28" x14ac:dyDescent="0.2">
      <c r="Y767">
        <v>31</v>
      </c>
      <c r="Z767">
        <v>3</v>
      </c>
      <c r="AA767">
        <f t="shared" si="30"/>
        <v>12</v>
      </c>
      <c r="AB767">
        <f t="shared" si="31"/>
        <v>256</v>
      </c>
    </row>
    <row r="768" spans="25:28" x14ac:dyDescent="0.2">
      <c r="Y768">
        <v>31</v>
      </c>
      <c r="Z768">
        <v>3</v>
      </c>
      <c r="AA768">
        <f t="shared" si="30"/>
        <v>12</v>
      </c>
      <c r="AB768">
        <f t="shared" si="31"/>
        <v>256</v>
      </c>
    </row>
    <row r="769" spans="25:28" x14ac:dyDescent="0.2">
      <c r="Y769">
        <v>31</v>
      </c>
      <c r="Z769">
        <v>3</v>
      </c>
      <c r="AA769">
        <f t="shared" si="30"/>
        <v>12</v>
      </c>
      <c r="AB769">
        <f t="shared" si="31"/>
        <v>256</v>
      </c>
    </row>
    <row r="770" spans="25:28" x14ac:dyDescent="0.2">
      <c r="Y770">
        <v>31</v>
      </c>
      <c r="Z770">
        <v>3</v>
      </c>
      <c r="AA770">
        <f t="shared" si="30"/>
        <v>12</v>
      </c>
      <c r="AB770">
        <f t="shared" si="31"/>
        <v>256</v>
      </c>
    </row>
    <row r="771" spans="25:28" x14ac:dyDescent="0.2">
      <c r="Y771">
        <v>31</v>
      </c>
      <c r="Z771">
        <v>3</v>
      </c>
      <c r="AA771">
        <f t="shared" si="30"/>
        <v>12</v>
      </c>
      <c r="AB771">
        <f t="shared" si="31"/>
        <v>256</v>
      </c>
    </row>
    <row r="772" spans="25:28" x14ac:dyDescent="0.2">
      <c r="Y772">
        <v>31</v>
      </c>
      <c r="Z772">
        <v>3</v>
      </c>
      <c r="AA772">
        <f t="shared" si="30"/>
        <v>12</v>
      </c>
      <c r="AB772">
        <f t="shared" si="31"/>
        <v>256</v>
      </c>
    </row>
    <row r="773" spans="25:28" x14ac:dyDescent="0.2">
      <c r="Y773">
        <v>31</v>
      </c>
      <c r="Z773">
        <v>3</v>
      </c>
      <c r="AA773">
        <f t="shared" si="30"/>
        <v>12</v>
      </c>
      <c r="AB773">
        <f t="shared" si="31"/>
        <v>256</v>
      </c>
    </row>
    <row r="774" spans="25:28" x14ac:dyDescent="0.2">
      <c r="Y774">
        <v>31</v>
      </c>
      <c r="Z774">
        <v>3</v>
      </c>
      <c r="AA774">
        <f t="shared" si="30"/>
        <v>12</v>
      </c>
      <c r="AB774">
        <f t="shared" si="31"/>
        <v>256</v>
      </c>
    </row>
    <row r="775" spans="25:28" x14ac:dyDescent="0.2">
      <c r="Y775">
        <v>31</v>
      </c>
      <c r="Z775">
        <v>3</v>
      </c>
      <c r="AA775">
        <f t="shared" ref="AA775:AA838" si="32">Z775+9</f>
        <v>12</v>
      </c>
      <c r="AB775">
        <f t="shared" ref="AB775:AB838" si="33">VLOOKUP(Y775,$D$5:$Q$22,AA775,FALSE)</f>
        <v>256</v>
      </c>
    </row>
    <row r="776" spans="25:28" x14ac:dyDescent="0.2">
      <c r="Y776">
        <v>31</v>
      </c>
      <c r="Z776">
        <v>3</v>
      </c>
      <c r="AA776">
        <f t="shared" si="32"/>
        <v>12</v>
      </c>
      <c r="AB776">
        <f t="shared" si="33"/>
        <v>256</v>
      </c>
    </row>
    <row r="777" spans="25:28" x14ac:dyDescent="0.2">
      <c r="Y777">
        <v>31</v>
      </c>
      <c r="Z777">
        <v>3</v>
      </c>
      <c r="AA777">
        <f t="shared" si="32"/>
        <v>12</v>
      </c>
      <c r="AB777">
        <f t="shared" si="33"/>
        <v>256</v>
      </c>
    </row>
    <row r="778" spans="25:28" x14ac:dyDescent="0.2">
      <c r="Y778">
        <v>31</v>
      </c>
      <c r="Z778">
        <v>3</v>
      </c>
      <c r="AA778">
        <f t="shared" si="32"/>
        <v>12</v>
      </c>
      <c r="AB778">
        <f t="shared" si="33"/>
        <v>256</v>
      </c>
    </row>
    <row r="779" spans="25:28" x14ac:dyDescent="0.2">
      <c r="Y779">
        <v>31</v>
      </c>
      <c r="Z779">
        <v>3</v>
      </c>
      <c r="AA779">
        <f t="shared" si="32"/>
        <v>12</v>
      </c>
      <c r="AB779">
        <f t="shared" si="33"/>
        <v>256</v>
      </c>
    </row>
    <row r="780" spans="25:28" x14ac:dyDescent="0.2">
      <c r="Y780">
        <v>31</v>
      </c>
      <c r="Z780">
        <v>3</v>
      </c>
      <c r="AA780">
        <f t="shared" si="32"/>
        <v>12</v>
      </c>
      <c r="AB780">
        <f t="shared" si="33"/>
        <v>256</v>
      </c>
    </row>
    <row r="781" spans="25:28" x14ac:dyDescent="0.2">
      <c r="Y781">
        <v>31</v>
      </c>
      <c r="Z781">
        <v>3</v>
      </c>
      <c r="AA781">
        <f t="shared" si="32"/>
        <v>12</v>
      </c>
      <c r="AB781">
        <f t="shared" si="33"/>
        <v>256</v>
      </c>
    </row>
    <row r="782" spans="25:28" x14ac:dyDescent="0.2">
      <c r="Y782">
        <v>31</v>
      </c>
      <c r="Z782">
        <v>3</v>
      </c>
      <c r="AA782">
        <f t="shared" si="32"/>
        <v>12</v>
      </c>
      <c r="AB782">
        <f t="shared" si="33"/>
        <v>256</v>
      </c>
    </row>
    <row r="783" spans="25:28" x14ac:dyDescent="0.2">
      <c r="Y783">
        <v>31</v>
      </c>
      <c r="Z783">
        <v>3</v>
      </c>
      <c r="AA783">
        <f t="shared" si="32"/>
        <v>12</v>
      </c>
      <c r="AB783">
        <f t="shared" si="33"/>
        <v>256</v>
      </c>
    </row>
    <row r="784" spans="25:28" x14ac:dyDescent="0.2">
      <c r="Y784">
        <v>31</v>
      </c>
      <c r="Z784">
        <v>3</v>
      </c>
      <c r="AA784">
        <f t="shared" si="32"/>
        <v>12</v>
      </c>
      <c r="AB784">
        <f t="shared" si="33"/>
        <v>256</v>
      </c>
    </row>
    <row r="785" spans="25:28" x14ac:dyDescent="0.2">
      <c r="Y785">
        <v>31</v>
      </c>
      <c r="Z785">
        <v>3</v>
      </c>
      <c r="AA785">
        <f t="shared" si="32"/>
        <v>12</v>
      </c>
      <c r="AB785">
        <f t="shared" si="33"/>
        <v>256</v>
      </c>
    </row>
    <row r="786" spans="25:28" x14ac:dyDescent="0.2">
      <c r="Y786">
        <v>31</v>
      </c>
      <c r="Z786">
        <v>3</v>
      </c>
      <c r="AA786">
        <f t="shared" si="32"/>
        <v>12</v>
      </c>
      <c r="AB786">
        <f t="shared" si="33"/>
        <v>256</v>
      </c>
    </row>
    <row r="787" spans="25:28" x14ac:dyDescent="0.2">
      <c r="Y787">
        <v>32</v>
      </c>
      <c r="Z787">
        <v>3</v>
      </c>
      <c r="AA787">
        <f t="shared" si="32"/>
        <v>12</v>
      </c>
      <c r="AB787">
        <f t="shared" si="33"/>
        <v>512</v>
      </c>
    </row>
    <row r="788" spans="25:28" x14ac:dyDescent="0.2">
      <c r="Y788">
        <v>32</v>
      </c>
      <c r="Z788">
        <v>3</v>
      </c>
      <c r="AA788">
        <f t="shared" si="32"/>
        <v>12</v>
      </c>
      <c r="AB788">
        <f t="shared" si="33"/>
        <v>512</v>
      </c>
    </row>
    <row r="789" spans="25:28" x14ac:dyDescent="0.2">
      <c r="Y789">
        <v>32</v>
      </c>
      <c r="Z789">
        <v>3</v>
      </c>
      <c r="AA789">
        <f t="shared" si="32"/>
        <v>12</v>
      </c>
      <c r="AB789">
        <f t="shared" si="33"/>
        <v>512</v>
      </c>
    </row>
    <row r="790" spans="25:28" x14ac:dyDescent="0.2">
      <c r="Y790">
        <v>32</v>
      </c>
      <c r="Z790">
        <v>3</v>
      </c>
      <c r="AA790">
        <f t="shared" si="32"/>
        <v>12</v>
      </c>
      <c r="AB790">
        <f t="shared" si="33"/>
        <v>512</v>
      </c>
    </row>
    <row r="791" spans="25:28" x14ac:dyDescent="0.2">
      <c r="Y791">
        <v>32</v>
      </c>
      <c r="Z791">
        <v>3</v>
      </c>
      <c r="AA791">
        <f t="shared" si="32"/>
        <v>12</v>
      </c>
      <c r="AB791">
        <f t="shared" si="33"/>
        <v>512</v>
      </c>
    </row>
    <row r="792" spans="25:28" x14ac:dyDescent="0.2">
      <c r="Y792">
        <v>32</v>
      </c>
      <c r="Z792">
        <v>3</v>
      </c>
      <c r="AA792">
        <f t="shared" si="32"/>
        <v>12</v>
      </c>
      <c r="AB792">
        <f t="shared" si="33"/>
        <v>512</v>
      </c>
    </row>
    <row r="793" spans="25:28" x14ac:dyDescent="0.2">
      <c r="Y793">
        <v>32</v>
      </c>
      <c r="Z793">
        <v>3</v>
      </c>
      <c r="AA793">
        <f t="shared" si="32"/>
        <v>12</v>
      </c>
      <c r="AB793">
        <f t="shared" si="33"/>
        <v>512</v>
      </c>
    </row>
    <row r="794" spans="25:28" x14ac:dyDescent="0.2">
      <c r="Y794">
        <v>32</v>
      </c>
      <c r="Z794">
        <v>3</v>
      </c>
      <c r="AA794">
        <f t="shared" si="32"/>
        <v>12</v>
      </c>
      <c r="AB794">
        <f t="shared" si="33"/>
        <v>512</v>
      </c>
    </row>
    <row r="795" spans="25:28" x14ac:dyDescent="0.2">
      <c r="Y795">
        <v>32</v>
      </c>
      <c r="Z795">
        <v>3</v>
      </c>
      <c r="AA795">
        <f t="shared" si="32"/>
        <v>12</v>
      </c>
      <c r="AB795">
        <f t="shared" si="33"/>
        <v>512</v>
      </c>
    </row>
    <row r="796" spans="25:28" x14ac:dyDescent="0.2">
      <c r="Y796">
        <v>32</v>
      </c>
      <c r="Z796">
        <v>3</v>
      </c>
      <c r="AA796">
        <f t="shared" si="32"/>
        <v>12</v>
      </c>
      <c r="AB796">
        <f t="shared" si="33"/>
        <v>512</v>
      </c>
    </row>
    <row r="797" spans="25:28" x14ac:dyDescent="0.2">
      <c r="Y797">
        <v>32</v>
      </c>
      <c r="Z797">
        <v>3</v>
      </c>
      <c r="AA797">
        <f t="shared" si="32"/>
        <v>12</v>
      </c>
      <c r="AB797">
        <f t="shared" si="33"/>
        <v>512</v>
      </c>
    </row>
    <row r="798" spans="25:28" x14ac:dyDescent="0.2">
      <c r="Y798">
        <v>32</v>
      </c>
      <c r="Z798">
        <v>3</v>
      </c>
      <c r="AA798">
        <f t="shared" si="32"/>
        <v>12</v>
      </c>
      <c r="AB798">
        <f t="shared" si="33"/>
        <v>512</v>
      </c>
    </row>
    <row r="799" spans="25:28" x14ac:dyDescent="0.2">
      <c r="Y799">
        <v>32</v>
      </c>
      <c r="Z799">
        <v>3</v>
      </c>
      <c r="AA799">
        <f t="shared" si="32"/>
        <v>12</v>
      </c>
      <c r="AB799">
        <f t="shared" si="33"/>
        <v>512</v>
      </c>
    </row>
    <row r="800" spans="25:28" x14ac:dyDescent="0.2">
      <c r="Y800">
        <v>32</v>
      </c>
      <c r="Z800">
        <v>3</v>
      </c>
      <c r="AA800">
        <f t="shared" si="32"/>
        <v>12</v>
      </c>
      <c r="AB800">
        <f t="shared" si="33"/>
        <v>512</v>
      </c>
    </row>
    <row r="801" spans="25:28" x14ac:dyDescent="0.2">
      <c r="Y801">
        <v>32</v>
      </c>
      <c r="Z801">
        <v>3</v>
      </c>
      <c r="AA801">
        <f t="shared" si="32"/>
        <v>12</v>
      </c>
      <c r="AB801">
        <f t="shared" si="33"/>
        <v>512</v>
      </c>
    </row>
    <row r="802" spans="25:28" x14ac:dyDescent="0.2">
      <c r="Y802">
        <v>1</v>
      </c>
      <c r="Z802">
        <v>4</v>
      </c>
      <c r="AA802">
        <f t="shared" si="32"/>
        <v>13</v>
      </c>
      <c r="AB802">
        <f t="shared" si="33"/>
        <v>41</v>
      </c>
    </row>
    <row r="803" spans="25:28" x14ac:dyDescent="0.2">
      <c r="Y803">
        <v>1</v>
      </c>
      <c r="Z803">
        <v>4</v>
      </c>
      <c r="AA803">
        <f t="shared" si="32"/>
        <v>13</v>
      </c>
      <c r="AB803">
        <f t="shared" si="33"/>
        <v>41</v>
      </c>
    </row>
    <row r="804" spans="25:28" x14ac:dyDescent="0.2">
      <c r="Y804">
        <v>1</v>
      </c>
      <c r="Z804">
        <v>4</v>
      </c>
      <c r="AA804">
        <f t="shared" si="32"/>
        <v>13</v>
      </c>
      <c r="AB804">
        <f t="shared" si="33"/>
        <v>41</v>
      </c>
    </row>
    <row r="805" spans="25:28" x14ac:dyDescent="0.2">
      <c r="Y805">
        <v>1</v>
      </c>
      <c r="Z805">
        <v>4</v>
      </c>
      <c r="AA805">
        <f t="shared" si="32"/>
        <v>13</v>
      </c>
      <c r="AB805">
        <f t="shared" si="33"/>
        <v>41</v>
      </c>
    </row>
    <row r="806" spans="25:28" x14ac:dyDescent="0.2">
      <c r="Y806">
        <v>1</v>
      </c>
      <c r="Z806">
        <v>4</v>
      </c>
      <c r="AA806">
        <f t="shared" si="32"/>
        <v>13</v>
      </c>
      <c r="AB806">
        <f t="shared" si="33"/>
        <v>41</v>
      </c>
    </row>
    <row r="807" spans="25:28" x14ac:dyDescent="0.2">
      <c r="Y807">
        <v>1</v>
      </c>
      <c r="Z807">
        <v>4</v>
      </c>
      <c r="AA807">
        <f t="shared" si="32"/>
        <v>13</v>
      </c>
      <c r="AB807">
        <f t="shared" si="33"/>
        <v>41</v>
      </c>
    </row>
    <row r="808" spans="25:28" x14ac:dyDescent="0.2">
      <c r="Y808">
        <v>1</v>
      </c>
      <c r="Z808">
        <v>4</v>
      </c>
      <c r="AA808">
        <f t="shared" si="32"/>
        <v>13</v>
      </c>
      <c r="AB808">
        <f t="shared" si="33"/>
        <v>41</v>
      </c>
    </row>
    <row r="809" spans="25:28" x14ac:dyDescent="0.2">
      <c r="Y809">
        <v>1</v>
      </c>
      <c r="Z809">
        <v>4</v>
      </c>
      <c r="AA809">
        <f t="shared" si="32"/>
        <v>13</v>
      </c>
      <c r="AB809">
        <f t="shared" si="33"/>
        <v>41</v>
      </c>
    </row>
    <row r="810" spans="25:28" x14ac:dyDescent="0.2">
      <c r="Y810">
        <v>1</v>
      </c>
      <c r="Z810">
        <v>4</v>
      </c>
      <c r="AA810">
        <f t="shared" si="32"/>
        <v>13</v>
      </c>
      <c r="AB810">
        <f t="shared" si="33"/>
        <v>41</v>
      </c>
    </row>
    <row r="811" spans="25:28" x14ac:dyDescent="0.2">
      <c r="Y811">
        <v>1</v>
      </c>
      <c r="Z811">
        <v>4</v>
      </c>
      <c r="AA811">
        <f t="shared" si="32"/>
        <v>13</v>
      </c>
      <c r="AB811">
        <f t="shared" si="33"/>
        <v>41</v>
      </c>
    </row>
    <row r="812" spans="25:28" x14ac:dyDescent="0.2">
      <c r="Y812">
        <v>1</v>
      </c>
      <c r="Z812">
        <v>4</v>
      </c>
      <c r="AA812">
        <f t="shared" si="32"/>
        <v>13</v>
      </c>
      <c r="AB812">
        <f t="shared" si="33"/>
        <v>41</v>
      </c>
    </row>
    <row r="813" spans="25:28" x14ac:dyDescent="0.2">
      <c r="Y813">
        <v>1</v>
      </c>
      <c r="Z813">
        <v>4</v>
      </c>
      <c r="AA813">
        <f t="shared" si="32"/>
        <v>13</v>
      </c>
      <c r="AB813">
        <f t="shared" si="33"/>
        <v>41</v>
      </c>
    </row>
    <row r="814" spans="25:28" x14ac:dyDescent="0.2">
      <c r="Y814">
        <v>1</v>
      </c>
      <c r="Z814">
        <v>4</v>
      </c>
      <c r="AA814">
        <f t="shared" si="32"/>
        <v>13</v>
      </c>
      <c r="AB814">
        <f t="shared" si="33"/>
        <v>41</v>
      </c>
    </row>
    <row r="815" spans="25:28" x14ac:dyDescent="0.2">
      <c r="Y815">
        <v>1</v>
      </c>
      <c r="Z815">
        <v>4</v>
      </c>
      <c r="AA815">
        <f t="shared" si="32"/>
        <v>13</v>
      </c>
      <c r="AB815">
        <f t="shared" si="33"/>
        <v>41</v>
      </c>
    </row>
    <row r="816" spans="25:28" x14ac:dyDescent="0.2">
      <c r="Y816">
        <v>1</v>
      </c>
      <c r="Z816">
        <v>4</v>
      </c>
      <c r="AA816">
        <f t="shared" si="32"/>
        <v>13</v>
      </c>
      <c r="AB816">
        <f t="shared" si="33"/>
        <v>41</v>
      </c>
    </row>
    <row r="817" spans="25:28" x14ac:dyDescent="0.2">
      <c r="Y817">
        <v>1</v>
      </c>
      <c r="Z817">
        <v>4</v>
      </c>
      <c r="AA817">
        <f t="shared" si="32"/>
        <v>13</v>
      </c>
      <c r="AB817">
        <f t="shared" si="33"/>
        <v>41</v>
      </c>
    </row>
    <row r="818" spans="25:28" x14ac:dyDescent="0.2">
      <c r="Y818">
        <v>1</v>
      </c>
      <c r="Z818">
        <v>4</v>
      </c>
      <c r="AA818">
        <f t="shared" si="32"/>
        <v>13</v>
      </c>
      <c r="AB818">
        <f t="shared" si="33"/>
        <v>41</v>
      </c>
    </row>
    <row r="819" spans="25:28" x14ac:dyDescent="0.2">
      <c r="Y819">
        <v>1</v>
      </c>
      <c r="Z819">
        <v>4</v>
      </c>
      <c r="AA819">
        <f t="shared" si="32"/>
        <v>13</v>
      </c>
      <c r="AB819">
        <f t="shared" si="33"/>
        <v>41</v>
      </c>
    </row>
    <row r="820" spans="25:28" x14ac:dyDescent="0.2">
      <c r="Y820">
        <v>1</v>
      </c>
      <c r="Z820">
        <v>4</v>
      </c>
      <c r="AA820">
        <f t="shared" si="32"/>
        <v>13</v>
      </c>
      <c r="AB820">
        <f t="shared" si="33"/>
        <v>41</v>
      </c>
    </row>
    <row r="821" spans="25:28" x14ac:dyDescent="0.2">
      <c r="Y821">
        <v>1</v>
      </c>
      <c r="Z821">
        <v>4</v>
      </c>
      <c r="AA821">
        <f t="shared" si="32"/>
        <v>13</v>
      </c>
      <c r="AB821">
        <f t="shared" si="33"/>
        <v>41</v>
      </c>
    </row>
    <row r="822" spans="25:28" x14ac:dyDescent="0.2">
      <c r="Y822">
        <v>1</v>
      </c>
      <c r="Z822">
        <v>4</v>
      </c>
      <c r="AA822">
        <f t="shared" si="32"/>
        <v>13</v>
      </c>
      <c r="AB822">
        <f t="shared" si="33"/>
        <v>41</v>
      </c>
    </row>
    <row r="823" spans="25:28" x14ac:dyDescent="0.2">
      <c r="Y823">
        <v>1</v>
      </c>
      <c r="Z823">
        <v>4</v>
      </c>
      <c r="AA823">
        <f t="shared" si="32"/>
        <v>13</v>
      </c>
      <c r="AB823">
        <f t="shared" si="33"/>
        <v>41</v>
      </c>
    </row>
    <row r="824" spans="25:28" x14ac:dyDescent="0.2">
      <c r="Y824">
        <v>1</v>
      </c>
      <c r="Z824">
        <v>4</v>
      </c>
      <c r="AA824">
        <f t="shared" si="32"/>
        <v>13</v>
      </c>
      <c r="AB824">
        <f t="shared" si="33"/>
        <v>41</v>
      </c>
    </row>
    <row r="825" spans="25:28" x14ac:dyDescent="0.2">
      <c r="Y825">
        <v>1</v>
      </c>
      <c r="Z825">
        <v>4</v>
      </c>
      <c r="AA825">
        <f t="shared" si="32"/>
        <v>13</v>
      </c>
      <c r="AB825">
        <f t="shared" si="33"/>
        <v>41</v>
      </c>
    </row>
    <row r="826" spans="25:28" x14ac:dyDescent="0.2">
      <c r="Y826">
        <v>1</v>
      </c>
      <c r="Z826">
        <v>4</v>
      </c>
      <c r="AA826">
        <f t="shared" si="32"/>
        <v>13</v>
      </c>
      <c r="AB826">
        <f t="shared" si="33"/>
        <v>41</v>
      </c>
    </row>
    <row r="827" spans="25:28" x14ac:dyDescent="0.2">
      <c r="Y827">
        <v>2</v>
      </c>
      <c r="Z827">
        <v>4</v>
      </c>
      <c r="AA827">
        <f t="shared" si="32"/>
        <v>13</v>
      </c>
      <c r="AB827">
        <f t="shared" si="33"/>
        <v>41</v>
      </c>
    </row>
    <row r="828" spans="25:28" x14ac:dyDescent="0.2">
      <c r="Y828">
        <v>2</v>
      </c>
      <c r="Z828">
        <v>4</v>
      </c>
      <c r="AA828">
        <f t="shared" si="32"/>
        <v>13</v>
      </c>
      <c r="AB828">
        <f t="shared" si="33"/>
        <v>41</v>
      </c>
    </row>
    <row r="829" spans="25:28" x14ac:dyDescent="0.2">
      <c r="Y829">
        <v>2</v>
      </c>
      <c r="Z829">
        <v>4</v>
      </c>
      <c r="AA829">
        <f t="shared" si="32"/>
        <v>13</v>
      </c>
      <c r="AB829">
        <f t="shared" si="33"/>
        <v>41</v>
      </c>
    </row>
    <row r="830" spans="25:28" x14ac:dyDescent="0.2">
      <c r="Y830">
        <v>2</v>
      </c>
      <c r="Z830">
        <v>4</v>
      </c>
      <c r="AA830">
        <f t="shared" si="32"/>
        <v>13</v>
      </c>
      <c r="AB830">
        <f t="shared" si="33"/>
        <v>41</v>
      </c>
    </row>
    <row r="831" spans="25:28" x14ac:dyDescent="0.2">
      <c r="Y831">
        <v>2</v>
      </c>
      <c r="Z831">
        <v>4</v>
      </c>
      <c r="AA831">
        <f t="shared" si="32"/>
        <v>13</v>
      </c>
      <c r="AB831">
        <f t="shared" si="33"/>
        <v>41</v>
      </c>
    </row>
    <row r="832" spans="25:28" x14ac:dyDescent="0.2">
      <c r="Y832">
        <v>2</v>
      </c>
      <c r="Z832">
        <v>4</v>
      </c>
      <c r="AA832">
        <f t="shared" si="32"/>
        <v>13</v>
      </c>
      <c r="AB832">
        <f t="shared" si="33"/>
        <v>41</v>
      </c>
    </row>
    <row r="833" spans="25:28" x14ac:dyDescent="0.2">
      <c r="Y833">
        <v>2</v>
      </c>
      <c r="Z833">
        <v>4</v>
      </c>
      <c r="AA833">
        <f t="shared" si="32"/>
        <v>13</v>
      </c>
      <c r="AB833">
        <f t="shared" si="33"/>
        <v>41</v>
      </c>
    </row>
    <row r="834" spans="25:28" x14ac:dyDescent="0.2">
      <c r="Y834">
        <v>2</v>
      </c>
      <c r="Z834">
        <v>4</v>
      </c>
      <c r="AA834">
        <f t="shared" si="32"/>
        <v>13</v>
      </c>
      <c r="AB834">
        <f t="shared" si="33"/>
        <v>41</v>
      </c>
    </row>
    <row r="835" spans="25:28" x14ac:dyDescent="0.2">
      <c r="Y835">
        <v>2</v>
      </c>
      <c r="Z835">
        <v>4</v>
      </c>
      <c r="AA835">
        <f t="shared" si="32"/>
        <v>13</v>
      </c>
      <c r="AB835">
        <f t="shared" si="33"/>
        <v>41</v>
      </c>
    </row>
    <row r="836" spans="25:28" x14ac:dyDescent="0.2">
      <c r="Y836">
        <v>2</v>
      </c>
      <c r="Z836">
        <v>4</v>
      </c>
      <c r="AA836">
        <f t="shared" si="32"/>
        <v>13</v>
      </c>
      <c r="AB836">
        <f t="shared" si="33"/>
        <v>41</v>
      </c>
    </row>
    <row r="837" spans="25:28" x14ac:dyDescent="0.2">
      <c r="Y837">
        <v>2</v>
      </c>
      <c r="Z837">
        <v>4</v>
      </c>
      <c r="AA837">
        <f t="shared" si="32"/>
        <v>13</v>
      </c>
      <c r="AB837">
        <f t="shared" si="33"/>
        <v>41</v>
      </c>
    </row>
    <row r="838" spans="25:28" x14ac:dyDescent="0.2">
      <c r="Y838">
        <v>2</v>
      </c>
      <c r="Z838">
        <v>4</v>
      </c>
      <c r="AA838">
        <f t="shared" si="32"/>
        <v>13</v>
      </c>
      <c r="AB838">
        <f t="shared" si="33"/>
        <v>41</v>
      </c>
    </row>
    <row r="839" spans="25:28" x14ac:dyDescent="0.2">
      <c r="Y839">
        <v>2</v>
      </c>
      <c r="Z839">
        <v>4</v>
      </c>
      <c r="AA839">
        <f t="shared" ref="AA839:AA902" si="34">Z839+9</f>
        <v>13</v>
      </c>
      <c r="AB839">
        <f t="shared" ref="AB839:AB902" si="35">VLOOKUP(Y839,$D$5:$Q$22,AA839,FALSE)</f>
        <v>41</v>
      </c>
    </row>
    <row r="840" spans="25:28" x14ac:dyDescent="0.2">
      <c r="Y840">
        <v>2</v>
      </c>
      <c r="Z840">
        <v>4</v>
      </c>
      <c r="AA840">
        <f t="shared" si="34"/>
        <v>13</v>
      </c>
      <c r="AB840">
        <f t="shared" si="35"/>
        <v>41</v>
      </c>
    </row>
    <row r="841" spans="25:28" x14ac:dyDescent="0.2">
      <c r="Y841">
        <v>2</v>
      </c>
      <c r="Z841">
        <v>4</v>
      </c>
      <c r="AA841">
        <f t="shared" si="34"/>
        <v>13</v>
      </c>
      <c r="AB841">
        <f t="shared" si="35"/>
        <v>41</v>
      </c>
    </row>
    <row r="842" spans="25:28" x14ac:dyDescent="0.2">
      <c r="Y842">
        <v>2</v>
      </c>
      <c r="Z842">
        <v>4</v>
      </c>
      <c r="AA842">
        <f t="shared" si="34"/>
        <v>13</v>
      </c>
      <c r="AB842">
        <f t="shared" si="35"/>
        <v>41</v>
      </c>
    </row>
    <row r="843" spans="25:28" x14ac:dyDescent="0.2">
      <c r="Y843">
        <v>2</v>
      </c>
      <c r="Z843">
        <v>4</v>
      </c>
      <c r="AA843">
        <f t="shared" si="34"/>
        <v>13</v>
      </c>
      <c r="AB843">
        <f t="shared" si="35"/>
        <v>41</v>
      </c>
    </row>
    <row r="844" spans="25:28" x14ac:dyDescent="0.2">
      <c r="Y844">
        <v>2</v>
      </c>
      <c r="Z844">
        <v>4</v>
      </c>
      <c r="AA844">
        <f t="shared" si="34"/>
        <v>13</v>
      </c>
      <c r="AB844">
        <f t="shared" si="35"/>
        <v>41</v>
      </c>
    </row>
    <row r="845" spans="25:28" x14ac:dyDescent="0.2">
      <c r="Y845">
        <v>2</v>
      </c>
      <c r="Z845">
        <v>4</v>
      </c>
      <c r="AA845">
        <f t="shared" si="34"/>
        <v>13</v>
      </c>
      <c r="AB845">
        <f t="shared" si="35"/>
        <v>41</v>
      </c>
    </row>
    <row r="846" spans="25:28" x14ac:dyDescent="0.2">
      <c r="Y846">
        <v>2</v>
      </c>
      <c r="Z846">
        <v>4</v>
      </c>
      <c r="AA846">
        <f t="shared" si="34"/>
        <v>13</v>
      </c>
      <c r="AB846">
        <f t="shared" si="35"/>
        <v>41</v>
      </c>
    </row>
    <row r="847" spans="25:28" x14ac:dyDescent="0.2">
      <c r="Y847">
        <v>2</v>
      </c>
      <c r="Z847">
        <v>4</v>
      </c>
      <c r="AA847">
        <f t="shared" si="34"/>
        <v>13</v>
      </c>
      <c r="AB847">
        <f t="shared" si="35"/>
        <v>41</v>
      </c>
    </row>
    <row r="848" spans="25:28" x14ac:dyDescent="0.2">
      <c r="Y848">
        <v>2</v>
      </c>
      <c r="Z848">
        <v>4</v>
      </c>
      <c r="AA848">
        <f t="shared" si="34"/>
        <v>13</v>
      </c>
      <c r="AB848">
        <f t="shared" si="35"/>
        <v>41</v>
      </c>
    </row>
    <row r="849" spans="25:28" x14ac:dyDescent="0.2">
      <c r="Y849">
        <v>2</v>
      </c>
      <c r="Z849">
        <v>4</v>
      </c>
      <c r="AA849">
        <f t="shared" si="34"/>
        <v>13</v>
      </c>
      <c r="AB849">
        <f t="shared" si="35"/>
        <v>41</v>
      </c>
    </row>
    <row r="850" spans="25:28" x14ac:dyDescent="0.2">
      <c r="Y850">
        <v>2</v>
      </c>
      <c r="Z850">
        <v>4</v>
      </c>
      <c r="AA850">
        <f t="shared" si="34"/>
        <v>13</v>
      </c>
      <c r="AB850">
        <f t="shared" si="35"/>
        <v>41</v>
      </c>
    </row>
    <row r="851" spans="25:28" x14ac:dyDescent="0.2">
      <c r="Y851">
        <v>2</v>
      </c>
      <c r="Z851">
        <v>4</v>
      </c>
      <c r="AA851">
        <f t="shared" si="34"/>
        <v>13</v>
      </c>
      <c r="AB851">
        <f t="shared" si="35"/>
        <v>41</v>
      </c>
    </row>
    <row r="852" spans="25:28" x14ac:dyDescent="0.2">
      <c r="Y852">
        <v>3</v>
      </c>
      <c r="Z852">
        <v>4</v>
      </c>
      <c r="AA852">
        <f t="shared" si="34"/>
        <v>13</v>
      </c>
      <c r="AB852">
        <f t="shared" si="35"/>
        <v>41</v>
      </c>
    </row>
    <row r="853" spans="25:28" x14ac:dyDescent="0.2">
      <c r="Y853">
        <v>3</v>
      </c>
      <c r="Z853">
        <v>4</v>
      </c>
      <c r="AA853">
        <f t="shared" si="34"/>
        <v>13</v>
      </c>
      <c r="AB853">
        <f t="shared" si="35"/>
        <v>41</v>
      </c>
    </row>
    <row r="854" spans="25:28" x14ac:dyDescent="0.2">
      <c r="Y854">
        <v>3</v>
      </c>
      <c r="Z854">
        <v>4</v>
      </c>
      <c r="AA854">
        <f t="shared" si="34"/>
        <v>13</v>
      </c>
      <c r="AB854">
        <f t="shared" si="35"/>
        <v>41</v>
      </c>
    </row>
    <row r="855" spans="25:28" x14ac:dyDescent="0.2">
      <c r="Y855">
        <v>3</v>
      </c>
      <c r="Z855">
        <v>4</v>
      </c>
      <c r="AA855">
        <f t="shared" si="34"/>
        <v>13</v>
      </c>
      <c r="AB855">
        <f t="shared" si="35"/>
        <v>41</v>
      </c>
    </row>
    <row r="856" spans="25:28" x14ac:dyDescent="0.2">
      <c r="Y856">
        <v>3</v>
      </c>
      <c r="Z856">
        <v>4</v>
      </c>
      <c r="AA856">
        <f t="shared" si="34"/>
        <v>13</v>
      </c>
      <c r="AB856">
        <f t="shared" si="35"/>
        <v>41</v>
      </c>
    </row>
    <row r="857" spans="25:28" x14ac:dyDescent="0.2">
      <c r="Y857">
        <v>3</v>
      </c>
      <c r="Z857">
        <v>4</v>
      </c>
      <c r="AA857">
        <f t="shared" si="34"/>
        <v>13</v>
      </c>
      <c r="AB857">
        <f t="shared" si="35"/>
        <v>41</v>
      </c>
    </row>
    <row r="858" spans="25:28" x14ac:dyDescent="0.2">
      <c r="Y858">
        <v>3</v>
      </c>
      <c r="Z858">
        <v>4</v>
      </c>
      <c r="AA858">
        <f t="shared" si="34"/>
        <v>13</v>
      </c>
      <c r="AB858">
        <f t="shared" si="35"/>
        <v>41</v>
      </c>
    </row>
    <row r="859" spans="25:28" x14ac:dyDescent="0.2">
      <c r="Y859">
        <v>3</v>
      </c>
      <c r="Z859">
        <v>4</v>
      </c>
      <c r="AA859">
        <f t="shared" si="34"/>
        <v>13</v>
      </c>
      <c r="AB859">
        <f t="shared" si="35"/>
        <v>41</v>
      </c>
    </row>
    <row r="860" spans="25:28" x14ac:dyDescent="0.2">
      <c r="Y860">
        <v>3</v>
      </c>
      <c r="Z860">
        <v>4</v>
      </c>
      <c r="AA860">
        <f t="shared" si="34"/>
        <v>13</v>
      </c>
      <c r="AB860">
        <f t="shared" si="35"/>
        <v>41</v>
      </c>
    </row>
    <row r="861" spans="25:28" x14ac:dyDescent="0.2">
      <c r="Y861">
        <v>3</v>
      </c>
      <c r="Z861">
        <v>4</v>
      </c>
      <c r="AA861">
        <f t="shared" si="34"/>
        <v>13</v>
      </c>
      <c r="AB861">
        <f t="shared" si="35"/>
        <v>41</v>
      </c>
    </row>
    <row r="862" spans="25:28" x14ac:dyDescent="0.2">
      <c r="Y862">
        <v>3</v>
      </c>
      <c r="Z862">
        <v>4</v>
      </c>
      <c r="AA862">
        <f t="shared" si="34"/>
        <v>13</v>
      </c>
      <c r="AB862">
        <f t="shared" si="35"/>
        <v>41</v>
      </c>
    </row>
    <row r="863" spans="25:28" x14ac:dyDescent="0.2">
      <c r="Y863">
        <v>3</v>
      </c>
      <c r="Z863">
        <v>4</v>
      </c>
      <c r="AA863">
        <f t="shared" si="34"/>
        <v>13</v>
      </c>
      <c r="AB863">
        <f t="shared" si="35"/>
        <v>41</v>
      </c>
    </row>
    <row r="864" spans="25:28" x14ac:dyDescent="0.2">
      <c r="Y864">
        <v>3</v>
      </c>
      <c r="Z864">
        <v>4</v>
      </c>
      <c r="AA864">
        <f t="shared" si="34"/>
        <v>13</v>
      </c>
      <c r="AB864">
        <f t="shared" si="35"/>
        <v>41</v>
      </c>
    </row>
    <row r="865" spans="25:28" x14ac:dyDescent="0.2">
      <c r="Y865">
        <v>3</v>
      </c>
      <c r="Z865">
        <v>4</v>
      </c>
      <c r="AA865">
        <f t="shared" si="34"/>
        <v>13</v>
      </c>
      <c r="AB865">
        <f t="shared" si="35"/>
        <v>41</v>
      </c>
    </row>
    <row r="866" spans="25:28" x14ac:dyDescent="0.2">
      <c r="Y866">
        <v>3</v>
      </c>
      <c r="Z866">
        <v>4</v>
      </c>
      <c r="AA866">
        <f t="shared" si="34"/>
        <v>13</v>
      </c>
      <c r="AB866">
        <f t="shared" si="35"/>
        <v>41</v>
      </c>
    </row>
    <row r="867" spans="25:28" x14ac:dyDescent="0.2">
      <c r="Y867">
        <v>3</v>
      </c>
      <c r="Z867">
        <v>4</v>
      </c>
      <c r="AA867">
        <f t="shared" si="34"/>
        <v>13</v>
      </c>
      <c r="AB867">
        <f t="shared" si="35"/>
        <v>41</v>
      </c>
    </row>
    <row r="868" spans="25:28" x14ac:dyDescent="0.2">
      <c r="Y868">
        <v>3</v>
      </c>
      <c r="Z868">
        <v>4</v>
      </c>
      <c r="AA868">
        <f t="shared" si="34"/>
        <v>13</v>
      </c>
      <c r="AB868">
        <f t="shared" si="35"/>
        <v>41</v>
      </c>
    </row>
    <row r="869" spans="25:28" x14ac:dyDescent="0.2">
      <c r="Y869">
        <v>3</v>
      </c>
      <c r="Z869">
        <v>4</v>
      </c>
      <c r="AA869">
        <f t="shared" si="34"/>
        <v>13</v>
      </c>
      <c r="AB869">
        <f t="shared" si="35"/>
        <v>41</v>
      </c>
    </row>
    <row r="870" spans="25:28" x14ac:dyDescent="0.2">
      <c r="Y870">
        <v>3</v>
      </c>
      <c r="Z870">
        <v>4</v>
      </c>
      <c r="AA870">
        <f t="shared" si="34"/>
        <v>13</v>
      </c>
      <c r="AB870">
        <f t="shared" si="35"/>
        <v>41</v>
      </c>
    </row>
    <row r="871" spans="25:28" x14ac:dyDescent="0.2">
      <c r="Y871">
        <v>3</v>
      </c>
      <c r="Z871">
        <v>4</v>
      </c>
      <c r="AA871">
        <f t="shared" si="34"/>
        <v>13</v>
      </c>
      <c r="AB871">
        <f t="shared" si="35"/>
        <v>41</v>
      </c>
    </row>
    <row r="872" spans="25:28" x14ac:dyDescent="0.2">
      <c r="Y872">
        <v>3</v>
      </c>
      <c r="Z872">
        <v>4</v>
      </c>
      <c r="AA872">
        <f t="shared" si="34"/>
        <v>13</v>
      </c>
      <c r="AB872">
        <f t="shared" si="35"/>
        <v>41</v>
      </c>
    </row>
    <row r="873" spans="25:28" x14ac:dyDescent="0.2">
      <c r="Y873">
        <v>3</v>
      </c>
      <c r="Z873">
        <v>4</v>
      </c>
      <c r="AA873">
        <f t="shared" si="34"/>
        <v>13</v>
      </c>
      <c r="AB873">
        <f t="shared" si="35"/>
        <v>41</v>
      </c>
    </row>
    <row r="874" spans="25:28" x14ac:dyDescent="0.2">
      <c r="Y874">
        <v>3</v>
      </c>
      <c r="Z874">
        <v>4</v>
      </c>
      <c r="AA874">
        <f t="shared" si="34"/>
        <v>13</v>
      </c>
      <c r="AB874">
        <f t="shared" si="35"/>
        <v>41</v>
      </c>
    </row>
    <row r="875" spans="25:28" x14ac:dyDescent="0.2">
      <c r="Y875">
        <v>3</v>
      </c>
      <c r="Z875">
        <v>4</v>
      </c>
      <c r="AA875">
        <f t="shared" si="34"/>
        <v>13</v>
      </c>
      <c r="AB875">
        <f t="shared" si="35"/>
        <v>41</v>
      </c>
    </row>
    <row r="876" spans="25:28" x14ac:dyDescent="0.2">
      <c r="Y876">
        <v>3</v>
      </c>
      <c r="Z876">
        <v>4</v>
      </c>
      <c r="AA876">
        <f t="shared" si="34"/>
        <v>13</v>
      </c>
      <c r="AB876">
        <f t="shared" si="35"/>
        <v>41</v>
      </c>
    </row>
    <row r="877" spans="25:28" x14ac:dyDescent="0.2">
      <c r="Y877">
        <v>4</v>
      </c>
      <c r="Z877">
        <v>4</v>
      </c>
      <c r="AA877">
        <f t="shared" si="34"/>
        <v>13</v>
      </c>
      <c r="AB877">
        <f t="shared" si="35"/>
        <v>41</v>
      </c>
    </row>
    <row r="878" spans="25:28" x14ac:dyDescent="0.2">
      <c r="Y878">
        <v>4</v>
      </c>
      <c r="Z878">
        <v>4</v>
      </c>
      <c r="AA878">
        <f t="shared" si="34"/>
        <v>13</v>
      </c>
      <c r="AB878">
        <f t="shared" si="35"/>
        <v>41</v>
      </c>
    </row>
    <row r="879" spans="25:28" x14ac:dyDescent="0.2">
      <c r="Y879">
        <v>4</v>
      </c>
      <c r="Z879">
        <v>4</v>
      </c>
      <c r="AA879">
        <f t="shared" si="34"/>
        <v>13</v>
      </c>
      <c r="AB879">
        <f t="shared" si="35"/>
        <v>41</v>
      </c>
    </row>
    <row r="880" spans="25:28" x14ac:dyDescent="0.2">
      <c r="Y880">
        <v>4</v>
      </c>
      <c r="Z880">
        <v>4</v>
      </c>
      <c r="AA880">
        <f t="shared" si="34"/>
        <v>13</v>
      </c>
      <c r="AB880">
        <f t="shared" si="35"/>
        <v>41</v>
      </c>
    </row>
    <row r="881" spans="25:28" x14ac:dyDescent="0.2">
      <c r="Y881">
        <v>4</v>
      </c>
      <c r="Z881">
        <v>4</v>
      </c>
      <c r="AA881">
        <f t="shared" si="34"/>
        <v>13</v>
      </c>
      <c r="AB881">
        <f t="shared" si="35"/>
        <v>41</v>
      </c>
    </row>
    <row r="882" spans="25:28" x14ac:dyDescent="0.2">
      <c r="Y882">
        <v>4</v>
      </c>
      <c r="Z882">
        <v>4</v>
      </c>
      <c r="AA882">
        <f t="shared" si="34"/>
        <v>13</v>
      </c>
      <c r="AB882">
        <f t="shared" si="35"/>
        <v>41</v>
      </c>
    </row>
    <row r="883" spans="25:28" x14ac:dyDescent="0.2">
      <c r="Y883">
        <v>4</v>
      </c>
      <c r="Z883">
        <v>4</v>
      </c>
      <c r="AA883">
        <f t="shared" si="34"/>
        <v>13</v>
      </c>
      <c r="AB883">
        <f t="shared" si="35"/>
        <v>41</v>
      </c>
    </row>
    <row r="884" spans="25:28" x14ac:dyDescent="0.2">
      <c r="Y884">
        <v>4</v>
      </c>
      <c r="Z884">
        <v>4</v>
      </c>
      <c r="AA884">
        <f t="shared" si="34"/>
        <v>13</v>
      </c>
      <c r="AB884">
        <f t="shared" si="35"/>
        <v>41</v>
      </c>
    </row>
    <row r="885" spans="25:28" x14ac:dyDescent="0.2">
      <c r="Y885">
        <v>4</v>
      </c>
      <c r="Z885">
        <v>4</v>
      </c>
      <c r="AA885">
        <f t="shared" si="34"/>
        <v>13</v>
      </c>
      <c r="AB885">
        <f t="shared" si="35"/>
        <v>41</v>
      </c>
    </row>
    <row r="886" spans="25:28" x14ac:dyDescent="0.2">
      <c r="Y886">
        <v>4</v>
      </c>
      <c r="Z886">
        <v>4</v>
      </c>
      <c r="AA886">
        <f t="shared" si="34"/>
        <v>13</v>
      </c>
      <c r="AB886">
        <f t="shared" si="35"/>
        <v>41</v>
      </c>
    </row>
    <row r="887" spans="25:28" x14ac:dyDescent="0.2">
      <c r="Y887">
        <v>4</v>
      </c>
      <c r="Z887">
        <v>4</v>
      </c>
      <c r="AA887">
        <f t="shared" si="34"/>
        <v>13</v>
      </c>
      <c r="AB887">
        <f t="shared" si="35"/>
        <v>41</v>
      </c>
    </row>
    <row r="888" spans="25:28" x14ac:dyDescent="0.2">
      <c r="Y888">
        <v>4</v>
      </c>
      <c r="Z888">
        <v>4</v>
      </c>
      <c r="AA888">
        <f t="shared" si="34"/>
        <v>13</v>
      </c>
      <c r="AB888">
        <f t="shared" si="35"/>
        <v>41</v>
      </c>
    </row>
    <row r="889" spans="25:28" x14ac:dyDescent="0.2">
      <c r="Y889">
        <v>4</v>
      </c>
      <c r="Z889">
        <v>4</v>
      </c>
      <c r="AA889">
        <f t="shared" si="34"/>
        <v>13</v>
      </c>
      <c r="AB889">
        <f t="shared" si="35"/>
        <v>41</v>
      </c>
    </row>
    <row r="890" spans="25:28" x14ac:dyDescent="0.2">
      <c r="Y890">
        <v>4</v>
      </c>
      <c r="Z890">
        <v>4</v>
      </c>
      <c r="AA890">
        <f t="shared" si="34"/>
        <v>13</v>
      </c>
      <c r="AB890">
        <f t="shared" si="35"/>
        <v>41</v>
      </c>
    </row>
    <row r="891" spans="25:28" x14ac:dyDescent="0.2">
      <c r="Y891">
        <v>4</v>
      </c>
      <c r="Z891">
        <v>4</v>
      </c>
      <c r="AA891">
        <f t="shared" si="34"/>
        <v>13</v>
      </c>
      <c r="AB891">
        <f t="shared" si="35"/>
        <v>41</v>
      </c>
    </row>
    <row r="892" spans="25:28" x14ac:dyDescent="0.2">
      <c r="Y892">
        <v>4</v>
      </c>
      <c r="Z892">
        <v>4</v>
      </c>
      <c r="AA892">
        <f t="shared" si="34"/>
        <v>13</v>
      </c>
      <c r="AB892">
        <f t="shared" si="35"/>
        <v>41</v>
      </c>
    </row>
    <row r="893" spans="25:28" x14ac:dyDescent="0.2">
      <c r="Y893">
        <v>4</v>
      </c>
      <c r="Z893">
        <v>4</v>
      </c>
      <c r="AA893">
        <f t="shared" si="34"/>
        <v>13</v>
      </c>
      <c r="AB893">
        <f t="shared" si="35"/>
        <v>41</v>
      </c>
    </row>
    <row r="894" spans="25:28" x14ac:dyDescent="0.2">
      <c r="Y894">
        <v>4</v>
      </c>
      <c r="Z894">
        <v>4</v>
      </c>
      <c r="AA894">
        <f t="shared" si="34"/>
        <v>13</v>
      </c>
      <c r="AB894">
        <f t="shared" si="35"/>
        <v>41</v>
      </c>
    </row>
    <row r="895" spans="25:28" x14ac:dyDescent="0.2">
      <c r="Y895">
        <v>4</v>
      </c>
      <c r="Z895">
        <v>4</v>
      </c>
      <c r="AA895">
        <f t="shared" si="34"/>
        <v>13</v>
      </c>
      <c r="AB895">
        <f t="shared" si="35"/>
        <v>41</v>
      </c>
    </row>
    <row r="896" spans="25:28" x14ac:dyDescent="0.2">
      <c r="Y896">
        <v>4</v>
      </c>
      <c r="Z896">
        <v>4</v>
      </c>
      <c r="AA896">
        <f t="shared" si="34"/>
        <v>13</v>
      </c>
      <c r="AB896">
        <f t="shared" si="35"/>
        <v>41</v>
      </c>
    </row>
    <row r="897" spans="25:28" x14ac:dyDescent="0.2">
      <c r="Y897">
        <v>4</v>
      </c>
      <c r="Z897">
        <v>4</v>
      </c>
      <c r="AA897">
        <f t="shared" si="34"/>
        <v>13</v>
      </c>
      <c r="AB897">
        <f t="shared" si="35"/>
        <v>41</v>
      </c>
    </row>
    <row r="898" spans="25:28" x14ac:dyDescent="0.2">
      <c r="Y898">
        <v>4</v>
      </c>
      <c r="Z898">
        <v>4</v>
      </c>
      <c r="AA898">
        <f t="shared" si="34"/>
        <v>13</v>
      </c>
      <c r="AB898">
        <f t="shared" si="35"/>
        <v>41</v>
      </c>
    </row>
    <row r="899" spans="25:28" x14ac:dyDescent="0.2">
      <c r="Y899">
        <v>4</v>
      </c>
      <c r="Z899">
        <v>4</v>
      </c>
      <c r="AA899">
        <f t="shared" si="34"/>
        <v>13</v>
      </c>
      <c r="AB899">
        <f t="shared" si="35"/>
        <v>41</v>
      </c>
    </row>
    <row r="900" spans="25:28" x14ac:dyDescent="0.2">
      <c r="Y900">
        <v>4</v>
      </c>
      <c r="Z900">
        <v>4</v>
      </c>
      <c r="AA900">
        <f t="shared" si="34"/>
        <v>13</v>
      </c>
      <c r="AB900">
        <f t="shared" si="35"/>
        <v>41</v>
      </c>
    </row>
    <row r="901" spans="25:28" x14ac:dyDescent="0.2">
      <c r="Y901">
        <v>4</v>
      </c>
      <c r="Z901">
        <v>4</v>
      </c>
      <c r="AA901">
        <f t="shared" si="34"/>
        <v>13</v>
      </c>
      <c r="AB901">
        <f t="shared" si="35"/>
        <v>41</v>
      </c>
    </row>
    <row r="902" spans="25:28" x14ac:dyDescent="0.2">
      <c r="Y902">
        <v>5</v>
      </c>
      <c r="Z902">
        <v>4</v>
      </c>
      <c r="AA902">
        <f t="shared" si="34"/>
        <v>13</v>
      </c>
      <c r="AB902">
        <f t="shared" si="35"/>
        <v>41</v>
      </c>
    </row>
    <row r="903" spans="25:28" x14ac:dyDescent="0.2">
      <c r="Y903">
        <v>5</v>
      </c>
      <c r="Z903">
        <v>4</v>
      </c>
      <c r="AA903">
        <f t="shared" ref="AA903:AA966" si="36">Z903+9</f>
        <v>13</v>
      </c>
      <c r="AB903">
        <f t="shared" ref="AB903:AB966" si="37">VLOOKUP(Y903,$D$5:$Q$22,AA903,FALSE)</f>
        <v>41</v>
      </c>
    </row>
    <row r="904" spans="25:28" x14ac:dyDescent="0.2">
      <c r="Y904">
        <v>5</v>
      </c>
      <c r="Z904">
        <v>4</v>
      </c>
      <c r="AA904">
        <f t="shared" si="36"/>
        <v>13</v>
      </c>
      <c r="AB904">
        <f t="shared" si="37"/>
        <v>41</v>
      </c>
    </row>
    <row r="905" spans="25:28" x14ac:dyDescent="0.2">
      <c r="Y905">
        <v>5</v>
      </c>
      <c r="Z905">
        <v>4</v>
      </c>
      <c r="AA905">
        <f t="shared" si="36"/>
        <v>13</v>
      </c>
      <c r="AB905">
        <f t="shared" si="37"/>
        <v>41</v>
      </c>
    </row>
    <row r="906" spans="25:28" x14ac:dyDescent="0.2">
      <c r="Y906">
        <v>5</v>
      </c>
      <c r="Z906">
        <v>4</v>
      </c>
      <c r="AA906">
        <f t="shared" si="36"/>
        <v>13</v>
      </c>
      <c r="AB906">
        <f t="shared" si="37"/>
        <v>41</v>
      </c>
    </row>
    <row r="907" spans="25:28" x14ac:dyDescent="0.2">
      <c r="Y907">
        <v>5</v>
      </c>
      <c r="Z907">
        <v>4</v>
      </c>
      <c r="AA907">
        <f t="shared" si="36"/>
        <v>13</v>
      </c>
      <c r="AB907">
        <f t="shared" si="37"/>
        <v>41</v>
      </c>
    </row>
    <row r="908" spans="25:28" x14ac:dyDescent="0.2">
      <c r="Y908">
        <v>5</v>
      </c>
      <c r="Z908">
        <v>4</v>
      </c>
      <c r="AA908">
        <f t="shared" si="36"/>
        <v>13</v>
      </c>
      <c r="AB908">
        <f t="shared" si="37"/>
        <v>41</v>
      </c>
    </row>
    <row r="909" spans="25:28" x14ac:dyDescent="0.2">
      <c r="Y909">
        <v>5</v>
      </c>
      <c r="Z909">
        <v>4</v>
      </c>
      <c r="AA909">
        <f t="shared" si="36"/>
        <v>13</v>
      </c>
      <c r="AB909">
        <f t="shared" si="37"/>
        <v>41</v>
      </c>
    </row>
    <row r="910" spans="25:28" x14ac:dyDescent="0.2">
      <c r="Y910">
        <v>5</v>
      </c>
      <c r="Z910">
        <v>4</v>
      </c>
      <c r="AA910">
        <f t="shared" si="36"/>
        <v>13</v>
      </c>
      <c r="AB910">
        <f t="shared" si="37"/>
        <v>41</v>
      </c>
    </row>
    <row r="911" spans="25:28" x14ac:dyDescent="0.2">
      <c r="Y911">
        <v>5</v>
      </c>
      <c r="Z911">
        <v>4</v>
      </c>
      <c r="AA911">
        <f t="shared" si="36"/>
        <v>13</v>
      </c>
      <c r="AB911">
        <f t="shared" si="37"/>
        <v>41</v>
      </c>
    </row>
    <row r="912" spans="25:28" x14ac:dyDescent="0.2">
      <c r="Y912">
        <v>5</v>
      </c>
      <c r="Z912">
        <v>4</v>
      </c>
      <c r="AA912">
        <f t="shared" si="36"/>
        <v>13</v>
      </c>
      <c r="AB912">
        <f t="shared" si="37"/>
        <v>41</v>
      </c>
    </row>
    <row r="913" spans="25:28" x14ac:dyDescent="0.2">
      <c r="Y913">
        <v>5</v>
      </c>
      <c r="Z913">
        <v>4</v>
      </c>
      <c r="AA913">
        <f t="shared" si="36"/>
        <v>13</v>
      </c>
      <c r="AB913">
        <f t="shared" si="37"/>
        <v>41</v>
      </c>
    </row>
    <row r="914" spans="25:28" x14ac:dyDescent="0.2">
      <c r="Y914">
        <v>5</v>
      </c>
      <c r="Z914">
        <v>4</v>
      </c>
      <c r="AA914">
        <f t="shared" si="36"/>
        <v>13</v>
      </c>
      <c r="AB914">
        <f t="shared" si="37"/>
        <v>41</v>
      </c>
    </row>
    <row r="915" spans="25:28" x14ac:dyDescent="0.2">
      <c r="Y915">
        <v>5</v>
      </c>
      <c r="Z915">
        <v>4</v>
      </c>
      <c r="AA915">
        <f t="shared" si="36"/>
        <v>13</v>
      </c>
      <c r="AB915">
        <f t="shared" si="37"/>
        <v>41</v>
      </c>
    </row>
    <row r="916" spans="25:28" x14ac:dyDescent="0.2">
      <c r="Y916">
        <v>5</v>
      </c>
      <c r="Z916">
        <v>4</v>
      </c>
      <c r="AA916">
        <f t="shared" si="36"/>
        <v>13</v>
      </c>
      <c r="AB916">
        <f t="shared" si="37"/>
        <v>41</v>
      </c>
    </row>
    <row r="917" spans="25:28" x14ac:dyDescent="0.2">
      <c r="Y917">
        <v>5</v>
      </c>
      <c r="Z917">
        <v>4</v>
      </c>
      <c r="AA917">
        <f t="shared" si="36"/>
        <v>13</v>
      </c>
      <c r="AB917">
        <f t="shared" si="37"/>
        <v>41</v>
      </c>
    </row>
    <row r="918" spans="25:28" x14ac:dyDescent="0.2">
      <c r="Y918">
        <v>5</v>
      </c>
      <c r="Z918">
        <v>4</v>
      </c>
      <c r="AA918">
        <f t="shared" si="36"/>
        <v>13</v>
      </c>
      <c r="AB918">
        <f t="shared" si="37"/>
        <v>41</v>
      </c>
    </row>
    <row r="919" spans="25:28" x14ac:dyDescent="0.2">
      <c r="Y919">
        <v>5</v>
      </c>
      <c r="Z919">
        <v>4</v>
      </c>
      <c r="AA919">
        <f t="shared" si="36"/>
        <v>13</v>
      </c>
      <c r="AB919">
        <f t="shared" si="37"/>
        <v>41</v>
      </c>
    </row>
    <row r="920" spans="25:28" x14ac:dyDescent="0.2">
      <c r="Y920">
        <v>5</v>
      </c>
      <c r="Z920">
        <v>4</v>
      </c>
      <c r="AA920">
        <f t="shared" si="36"/>
        <v>13</v>
      </c>
      <c r="AB920">
        <f t="shared" si="37"/>
        <v>41</v>
      </c>
    </row>
    <row r="921" spans="25:28" x14ac:dyDescent="0.2">
      <c r="Y921">
        <v>5</v>
      </c>
      <c r="Z921">
        <v>4</v>
      </c>
      <c r="AA921">
        <f t="shared" si="36"/>
        <v>13</v>
      </c>
      <c r="AB921">
        <f t="shared" si="37"/>
        <v>41</v>
      </c>
    </row>
    <row r="922" spans="25:28" x14ac:dyDescent="0.2">
      <c r="Y922">
        <v>5</v>
      </c>
      <c r="Z922">
        <v>4</v>
      </c>
      <c r="AA922">
        <f t="shared" si="36"/>
        <v>13</v>
      </c>
      <c r="AB922">
        <f t="shared" si="37"/>
        <v>41</v>
      </c>
    </row>
    <row r="923" spans="25:28" x14ac:dyDescent="0.2">
      <c r="Y923">
        <v>5</v>
      </c>
      <c r="Z923">
        <v>4</v>
      </c>
      <c r="AA923">
        <f t="shared" si="36"/>
        <v>13</v>
      </c>
      <c r="AB923">
        <f t="shared" si="37"/>
        <v>41</v>
      </c>
    </row>
    <row r="924" spans="25:28" x14ac:dyDescent="0.2">
      <c r="Y924">
        <v>5</v>
      </c>
      <c r="Z924">
        <v>4</v>
      </c>
      <c r="AA924">
        <f t="shared" si="36"/>
        <v>13</v>
      </c>
      <c r="AB924">
        <f t="shared" si="37"/>
        <v>41</v>
      </c>
    </row>
    <row r="925" spans="25:28" x14ac:dyDescent="0.2">
      <c r="Y925">
        <v>5</v>
      </c>
      <c r="Z925">
        <v>4</v>
      </c>
      <c r="AA925">
        <f t="shared" si="36"/>
        <v>13</v>
      </c>
      <c r="AB925">
        <f t="shared" si="37"/>
        <v>41</v>
      </c>
    </row>
    <row r="926" spans="25:28" x14ac:dyDescent="0.2">
      <c r="Y926">
        <v>5</v>
      </c>
      <c r="Z926">
        <v>4</v>
      </c>
      <c r="AA926">
        <f t="shared" si="36"/>
        <v>13</v>
      </c>
      <c r="AB926">
        <f t="shared" si="37"/>
        <v>41</v>
      </c>
    </row>
    <row r="927" spans="25:28" x14ac:dyDescent="0.2">
      <c r="Y927">
        <v>6</v>
      </c>
      <c r="Z927">
        <v>4</v>
      </c>
      <c r="AA927">
        <f t="shared" si="36"/>
        <v>13</v>
      </c>
      <c r="AB927">
        <f t="shared" si="37"/>
        <v>41</v>
      </c>
    </row>
    <row r="928" spans="25:28" x14ac:dyDescent="0.2">
      <c r="Y928">
        <v>6</v>
      </c>
      <c r="Z928">
        <v>4</v>
      </c>
      <c r="AA928">
        <f t="shared" si="36"/>
        <v>13</v>
      </c>
      <c r="AB928">
        <f t="shared" si="37"/>
        <v>41</v>
      </c>
    </row>
    <row r="929" spans="25:28" x14ac:dyDescent="0.2">
      <c r="Y929">
        <v>6</v>
      </c>
      <c r="Z929">
        <v>4</v>
      </c>
      <c r="AA929">
        <f t="shared" si="36"/>
        <v>13</v>
      </c>
      <c r="AB929">
        <f t="shared" si="37"/>
        <v>41</v>
      </c>
    </row>
    <row r="930" spans="25:28" x14ac:dyDescent="0.2">
      <c r="Y930">
        <v>6</v>
      </c>
      <c r="Z930">
        <v>4</v>
      </c>
      <c r="AA930">
        <f t="shared" si="36"/>
        <v>13</v>
      </c>
      <c r="AB930">
        <f t="shared" si="37"/>
        <v>41</v>
      </c>
    </row>
    <row r="931" spans="25:28" x14ac:dyDescent="0.2">
      <c r="Y931">
        <v>6</v>
      </c>
      <c r="Z931">
        <v>4</v>
      </c>
      <c r="AA931">
        <f t="shared" si="36"/>
        <v>13</v>
      </c>
      <c r="AB931">
        <f t="shared" si="37"/>
        <v>41</v>
      </c>
    </row>
    <row r="932" spans="25:28" x14ac:dyDescent="0.2">
      <c r="Y932">
        <v>6</v>
      </c>
      <c r="Z932">
        <v>4</v>
      </c>
      <c r="AA932">
        <f t="shared" si="36"/>
        <v>13</v>
      </c>
      <c r="AB932">
        <f t="shared" si="37"/>
        <v>41</v>
      </c>
    </row>
    <row r="933" spans="25:28" x14ac:dyDescent="0.2">
      <c r="Y933">
        <v>6</v>
      </c>
      <c r="Z933">
        <v>4</v>
      </c>
      <c r="AA933">
        <f t="shared" si="36"/>
        <v>13</v>
      </c>
      <c r="AB933">
        <f t="shared" si="37"/>
        <v>41</v>
      </c>
    </row>
    <row r="934" spans="25:28" x14ac:dyDescent="0.2">
      <c r="Y934">
        <v>6</v>
      </c>
      <c r="Z934">
        <v>4</v>
      </c>
      <c r="AA934">
        <f t="shared" si="36"/>
        <v>13</v>
      </c>
      <c r="AB934">
        <f t="shared" si="37"/>
        <v>41</v>
      </c>
    </row>
    <row r="935" spans="25:28" x14ac:dyDescent="0.2">
      <c r="Y935">
        <v>6</v>
      </c>
      <c r="Z935">
        <v>4</v>
      </c>
      <c r="AA935">
        <f t="shared" si="36"/>
        <v>13</v>
      </c>
      <c r="AB935">
        <f t="shared" si="37"/>
        <v>41</v>
      </c>
    </row>
    <row r="936" spans="25:28" x14ac:dyDescent="0.2">
      <c r="Y936">
        <v>6</v>
      </c>
      <c r="Z936">
        <v>4</v>
      </c>
      <c r="AA936">
        <f t="shared" si="36"/>
        <v>13</v>
      </c>
      <c r="AB936">
        <f t="shared" si="37"/>
        <v>41</v>
      </c>
    </row>
    <row r="937" spans="25:28" x14ac:dyDescent="0.2">
      <c r="Y937">
        <v>6</v>
      </c>
      <c r="Z937">
        <v>4</v>
      </c>
      <c r="AA937">
        <f t="shared" si="36"/>
        <v>13</v>
      </c>
      <c r="AB937">
        <f t="shared" si="37"/>
        <v>41</v>
      </c>
    </row>
    <row r="938" spans="25:28" x14ac:dyDescent="0.2">
      <c r="Y938">
        <v>6</v>
      </c>
      <c r="Z938">
        <v>4</v>
      </c>
      <c r="AA938">
        <f t="shared" si="36"/>
        <v>13</v>
      </c>
      <c r="AB938">
        <f t="shared" si="37"/>
        <v>41</v>
      </c>
    </row>
    <row r="939" spans="25:28" x14ac:dyDescent="0.2">
      <c r="Y939">
        <v>6</v>
      </c>
      <c r="Z939">
        <v>4</v>
      </c>
      <c r="AA939">
        <f t="shared" si="36"/>
        <v>13</v>
      </c>
      <c r="AB939">
        <f t="shared" si="37"/>
        <v>41</v>
      </c>
    </row>
    <row r="940" spans="25:28" x14ac:dyDescent="0.2">
      <c r="Y940">
        <v>6</v>
      </c>
      <c r="Z940">
        <v>4</v>
      </c>
      <c r="AA940">
        <f t="shared" si="36"/>
        <v>13</v>
      </c>
      <c r="AB940">
        <f t="shared" si="37"/>
        <v>41</v>
      </c>
    </row>
    <row r="941" spans="25:28" x14ac:dyDescent="0.2">
      <c r="Y941">
        <v>6</v>
      </c>
      <c r="Z941">
        <v>4</v>
      </c>
      <c r="AA941">
        <f t="shared" si="36"/>
        <v>13</v>
      </c>
      <c r="AB941">
        <f t="shared" si="37"/>
        <v>41</v>
      </c>
    </row>
    <row r="942" spans="25:28" x14ac:dyDescent="0.2">
      <c r="Y942">
        <v>6</v>
      </c>
      <c r="Z942">
        <v>4</v>
      </c>
      <c r="AA942">
        <f t="shared" si="36"/>
        <v>13</v>
      </c>
      <c r="AB942">
        <f t="shared" si="37"/>
        <v>41</v>
      </c>
    </row>
    <row r="943" spans="25:28" x14ac:dyDescent="0.2">
      <c r="Y943">
        <v>6</v>
      </c>
      <c r="Z943">
        <v>4</v>
      </c>
      <c r="AA943">
        <f t="shared" si="36"/>
        <v>13</v>
      </c>
      <c r="AB943">
        <f t="shared" si="37"/>
        <v>41</v>
      </c>
    </row>
    <row r="944" spans="25:28" x14ac:dyDescent="0.2">
      <c r="Y944">
        <v>6</v>
      </c>
      <c r="Z944">
        <v>4</v>
      </c>
      <c r="AA944">
        <f t="shared" si="36"/>
        <v>13</v>
      </c>
      <c r="AB944">
        <f t="shared" si="37"/>
        <v>41</v>
      </c>
    </row>
    <row r="945" spans="25:28" x14ac:dyDescent="0.2">
      <c r="Y945">
        <v>6</v>
      </c>
      <c r="Z945">
        <v>4</v>
      </c>
      <c r="AA945">
        <f t="shared" si="36"/>
        <v>13</v>
      </c>
      <c r="AB945">
        <f t="shared" si="37"/>
        <v>41</v>
      </c>
    </row>
    <row r="946" spans="25:28" x14ac:dyDescent="0.2">
      <c r="Y946">
        <v>6</v>
      </c>
      <c r="Z946">
        <v>4</v>
      </c>
      <c r="AA946">
        <f t="shared" si="36"/>
        <v>13</v>
      </c>
      <c r="AB946">
        <f t="shared" si="37"/>
        <v>41</v>
      </c>
    </row>
    <row r="947" spans="25:28" x14ac:dyDescent="0.2">
      <c r="Y947">
        <v>6</v>
      </c>
      <c r="Z947">
        <v>4</v>
      </c>
      <c r="AA947">
        <f t="shared" si="36"/>
        <v>13</v>
      </c>
      <c r="AB947">
        <f t="shared" si="37"/>
        <v>41</v>
      </c>
    </row>
    <row r="948" spans="25:28" x14ac:dyDescent="0.2">
      <c r="Y948">
        <v>6</v>
      </c>
      <c r="Z948">
        <v>4</v>
      </c>
      <c r="AA948">
        <f t="shared" si="36"/>
        <v>13</v>
      </c>
      <c r="AB948">
        <f t="shared" si="37"/>
        <v>41</v>
      </c>
    </row>
    <row r="949" spans="25:28" x14ac:dyDescent="0.2">
      <c r="Y949">
        <v>6</v>
      </c>
      <c r="Z949">
        <v>4</v>
      </c>
      <c r="AA949">
        <f t="shared" si="36"/>
        <v>13</v>
      </c>
      <c r="AB949">
        <f t="shared" si="37"/>
        <v>41</v>
      </c>
    </row>
    <row r="950" spans="25:28" x14ac:dyDescent="0.2">
      <c r="Y950">
        <v>6</v>
      </c>
      <c r="Z950">
        <v>4</v>
      </c>
      <c r="AA950">
        <f t="shared" si="36"/>
        <v>13</v>
      </c>
      <c r="AB950">
        <f t="shared" si="37"/>
        <v>41</v>
      </c>
    </row>
    <row r="951" spans="25:28" x14ac:dyDescent="0.2">
      <c r="Y951">
        <v>6</v>
      </c>
      <c r="Z951">
        <v>4</v>
      </c>
      <c r="AA951">
        <f t="shared" si="36"/>
        <v>13</v>
      </c>
      <c r="AB951">
        <f t="shared" si="37"/>
        <v>41</v>
      </c>
    </row>
    <row r="952" spans="25:28" x14ac:dyDescent="0.2">
      <c r="Y952">
        <v>7</v>
      </c>
      <c r="Z952">
        <v>4</v>
      </c>
      <c r="AA952">
        <f t="shared" si="36"/>
        <v>13</v>
      </c>
      <c r="AB952">
        <f t="shared" si="37"/>
        <v>41</v>
      </c>
    </row>
    <row r="953" spans="25:28" x14ac:dyDescent="0.2">
      <c r="Y953">
        <v>7</v>
      </c>
      <c r="Z953">
        <v>4</v>
      </c>
      <c r="AA953">
        <f t="shared" si="36"/>
        <v>13</v>
      </c>
      <c r="AB953">
        <f t="shared" si="37"/>
        <v>41</v>
      </c>
    </row>
    <row r="954" spans="25:28" x14ac:dyDescent="0.2">
      <c r="Y954">
        <v>7</v>
      </c>
      <c r="Z954">
        <v>4</v>
      </c>
      <c r="AA954">
        <f t="shared" si="36"/>
        <v>13</v>
      </c>
      <c r="AB954">
        <f t="shared" si="37"/>
        <v>41</v>
      </c>
    </row>
    <row r="955" spans="25:28" x14ac:dyDescent="0.2">
      <c r="Y955">
        <v>7</v>
      </c>
      <c r="Z955">
        <v>4</v>
      </c>
      <c r="AA955">
        <f t="shared" si="36"/>
        <v>13</v>
      </c>
      <c r="AB955">
        <f t="shared" si="37"/>
        <v>41</v>
      </c>
    </row>
    <row r="956" spans="25:28" x14ac:dyDescent="0.2">
      <c r="Y956">
        <v>7</v>
      </c>
      <c r="Z956">
        <v>4</v>
      </c>
      <c r="AA956">
        <f t="shared" si="36"/>
        <v>13</v>
      </c>
      <c r="AB956">
        <f t="shared" si="37"/>
        <v>41</v>
      </c>
    </row>
    <row r="957" spans="25:28" x14ac:dyDescent="0.2">
      <c r="Y957">
        <v>7</v>
      </c>
      <c r="Z957">
        <v>4</v>
      </c>
      <c r="AA957">
        <f t="shared" si="36"/>
        <v>13</v>
      </c>
      <c r="AB957">
        <f t="shared" si="37"/>
        <v>41</v>
      </c>
    </row>
    <row r="958" spans="25:28" x14ac:dyDescent="0.2">
      <c r="Y958">
        <v>7</v>
      </c>
      <c r="Z958">
        <v>4</v>
      </c>
      <c r="AA958">
        <f t="shared" si="36"/>
        <v>13</v>
      </c>
      <c r="AB958">
        <f t="shared" si="37"/>
        <v>41</v>
      </c>
    </row>
    <row r="959" spans="25:28" x14ac:dyDescent="0.2">
      <c r="Y959">
        <v>7</v>
      </c>
      <c r="Z959">
        <v>4</v>
      </c>
      <c r="AA959">
        <f t="shared" si="36"/>
        <v>13</v>
      </c>
      <c r="AB959">
        <f t="shared" si="37"/>
        <v>41</v>
      </c>
    </row>
    <row r="960" spans="25:28" x14ac:dyDescent="0.2">
      <c r="Y960">
        <v>7</v>
      </c>
      <c r="Z960">
        <v>4</v>
      </c>
      <c r="AA960">
        <f t="shared" si="36"/>
        <v>13</v>
      </c>
      <c r="AB960">
        <f t="shared" si="37"/>
        <v>41</v>
      </c>
    </row>
    <row r="961" spans="25:28" x14ac:dyDescent="0.2">
      <c r="Y961">
        <v>7</v>
      </c>
      <c r="Z961">
        <v>4</v>
      </c>
      <c r="AA961">
        <f t="shared" si="36"/>
        <v>13</v>
      </c>
      <c r="AB961">
        <f t="shared" si="37"/>
        <v>41</v>
      </c>
    </row>
    <row r="962" spans="25:28" x14ac:dyDescent="0.2">
      <c r="Y962">
        <v>7</v>
      </c>
      <c r="Z962">
        <v>4</v>
      </c>
      <c r="AA962">
        <f t="shared" si="36"/>
        <v>13</v>
      </c>
      <c r="AB962">
        <f t="shared" si="37"/>
        <v>41</v>
      </c>
    </row>
    <row r="963" spans="25:28" x14ac:dyDescent="0.2">
      <c r="Y963">
        <v>7</v>
      </c>
      <c r="Z963">
        <v>4</v>
      </c>
      <c r="AA963">
        <f t="shared" si="36"/>
        <v>13</v>
      </c>
      <c r="AB963">
        <f t="shared" si="37"/>
        <v>41</v>
      </c>
    </row>
    <row r="964" spans="25:28" x14ac:dyDescent="0.2">
      <c r="Y964">
        <v>7</v>
      </c>
      <c r="Z964">
        <v>4</v>
      </c>
      <c r="AA964">
        <f t="shared" si="36"/>
        <v>13</v>
      </c>
      <c r="AB964">
        <f t="shared" si="37"/>
        <v>41</v>
      </c>
    </row>
    <row r="965" spans="25:28" x14ac:dyDescent="0.2">
      <c r="Y965">
        <v>7</v>
      </c>
      <c r="Z965">
        <v>4</v>
      </c>
      <c r="AA965">
        <f t="shared" si="36"/>
        <v>13</v>
      </c>
      <c r="AB965">
        <f t="shared" si="37"/>
        <v>41</v>
      </c>
    </row>
    <row r="966" spans="25:28" x14ac:dyDescent="0.2">
      <c r="Y966">
        <v>7</v>
      </c>
      <c r="Z966">
        <v>4</v>
      </c>
      <c r="AA966">
        <f t="shared" si="36"/>
        <v>13</v>
      </c>
      <c r="AB966">
        <f t="shared" si="37"/>
        <v>41</v>
      </c>
    </row>
    <row r="967" spans="25:28" x14ac:dyDescent="0.2">
      <c r="Y967">
        <v>7</v>
      </c>
      <c r="Z967">
        <v>4</v>
      </c>
      <c r="AA967">
        <f t="shared" ref="AA967:AA1030" si="38">Z967+9</f>
        <v>13</v>
      </c>
      <c r="AB967">
        <f t="shared" ref="AB967:AB1030" si="39">VLOOKUP(Y967,$D$5:$Q$22,AA967,FALSE)</f>
        <v>41</v>
      </c>
    </row>
    <row r="968" spans="25:28" x14ac:dyDescent="0.2">
      <c r="Y968">
        <v>7</v>
      </c>
      <c r="Z968">
        <v>4</v>
      </c>
      <c r="AA968">
        <f t="shared" si="38"/>
        <v>13</v>
      </c>
      <c r="AB968">
        <f t="shared" si="39"/>
        <v>41</v>
      </c>
    </row>
    <row r="969" spans="25:28" x14ac:dyDescent="0.2">
      <c r="Y969">
        <v>7</v>
      </c>
      <c r="Z969">
        <v>4</v>
      </c>
      <c r="AA969">
        <f t="shared" si="38"/>
        <v>13</v>
      </c>
      <c r="AB969">
        <f t="shared" si="39"/>
        <v>41</v>
      </c>
    </row>
    <row r="970" spans="25:28" x14ac:dyDescent="0.2">
      <c r="Y970">
        <v>7</v>
      </c>
      <c r="Z970">
        <v>4</v>
      </c>
      <c r="AA970">
        <f t="shared" si="38"/>
        <v>13</v>
      </c>
      <c r="AB970">
        <f t="shared" si="39"/>
        <v>41</v>
      </c>
    </row>
    <row r="971" spans="25:28" x14ac:dyDescent="0.2">
      <c r="Y971">
        <v>7</v>
      </c>
      <c r="Z971">
        <v>4</v>
      </c>
      <c r="AA971">
        <f t="shared" si="38"/>
        <v>13</v>
      </c>
      <c r="AB971">
        <f t="shared" si="39"/>
        <v>41</v>
      </c>
    </row>
    <row r="972" spans="25:28" x14ac:dyDescent="0.2">
      <c r="Y972">
        <v>7</v>
      </c>
      <c r="Z972">
        <v>4</v>
      </c>
      <c r="AA972">
        <f t="shared" si="38"/>
        <v>13</v>
      </c>
      <c r="AB972">
        <f t="shared" si="39"/>
        <v>41</v>
      </c>
    </row>
    <row r="973" spans="25:28" x14ac:dyDescent="0.2">
      <c r="Y973">
        <v>7</v>
      </c>
      <c r="Z973">
        <v>4</v>
      </c>
      <c r="AA973">
        <f t="shared" si="38"/>
        <v>13</v>
      </c>
      <c r="AB973">
        <f t="shared" si="39"/>
        <v>41</v>
      </c>
    </row>
    <row r="974" spans="25:28" x14ac:dyDescent="0.2">
      <c r="Y974">
        <v>7</v>
      </c>
      <c r="Z974">
        <v>4</v>
      </c>
      <c r="AA974">
        <f t="shared" si="38"/>
        <v>13</v>
      </c>
      <c r="AB974">
        <f t="shared" si="39"/>
        <v>41</v>
      </c>
    </row>
    <row r="975" spans="25:28" x14ac:dyDescent="0.2">
      <c r="Y975">
        <v>7</v>
      </c>
      <c r="Z975">
        <v>4</v>
      </c>
      <c r="AA975">
        <f t="shared" si="38"/>
        <v>13</v>
      </c>
      <c r="AB975">
        <f t="shared" si="39"/>
        <v>41</v>
      </c>
    </row>
    <row r="976" spans="25:28" x14ac:dyDescent="0.2">
      <c r="Y976">
        <v>7</v>
      </c>
      <c r="Z976">
        <v>4</v>
      </c>
      <c r="AA976">
        <f t="shared" si="38"/>
        <v>13</v>
      </c>
      <c r="AB976">
        <f t="shared" si="39"/>
        <v>41</v>
      </c>
    </row>
    <row r="977" spans="25:28" x14ac:dyDescent="0.2">
      <c r="Y977">
        <v>8</v>
      </c>
      <c r="Z977">
        <v>4</v>
      </c>
      <c r="AA977">
        <f t="shared" si="38"/>
        <v>13</v>
      </c>
      <c r="AB977">
        <f t="shared" si="39"/>
        <v>41</v>
      </c>
    </row>
    <row r="978" spans="25:28" x14ac:dyDescent="0.2">
      <c r="Y978">
        <v>8</v>
      </c>
      <c r="Z978">
        <v>4</v>
      </c>
      <c r="AA978">
        <f t="shared" si="38"/>
        <v>13</v>
      </c>
      <c r="AB978">
        <f t="shared" si="39"/>
        <v>41</v>
      </c>
    </row>
    <row r="979" spans="25:28" x14ac:dyDescent="0.2">
      <c r="Y979">
        <v>8</v>
      </c>
      <c r="Z979">
        <v>4</v>
      </c>
      <c r="AA979">
        <f t="shared" si="38"/>
        <v>13</v>
      </c>
      <c r="AB979">
        <f t="shared" si="39"/>
        <v>41</v>
      </c>
    </row>
    <row r="980" spans="25:28" x14ac:dyDescent="0.2">
      <c r="Y980">
        <v>8</v>
      </c>
      <c r="Z980">
        <v>4</v>
      </c>
      <c r="AA980">
        <f t="shared" si="38"/>
        <v>13</v>
      </c>
      <c r="AB980">
        <f t="shared" si="39"/>
        <v>41</v>
      </c>
    </row>
    <row r="981" spans="25:28" x14ac:dyDescent="0.2">
      <c r="Y981">
        <v>8</v>
      </c>
      <c r="Z981">
        <v>4</v>
      </c>
      <c r="AA981">
        <f t="shared" si="38"/>
        <v>13</v>
      </c>
      <c r="AB981">
        <f t="shared" si="39"/>
        <v>41</v>
      </c>
    </row>
    <row r="982" spans="25:28" x14ac:dyDescent="0.2">
      <c r="Y982">
        <v>8</v>
      </c>
      <c r="Z982">
        <v>4</v>
      </c>
      <c r="AA982">
        <f t="shared" si="38"/>
        <v>13</v>
      </c>
      <c r="AB982">
        <f t="shared" si="39"/>
        <v>41</v>
      </c>
    </row>
    <row r="983" spans="25:28" x14ac:dyDescent="0.2">
      <c r="Y983">
        <v>8</v>
      </c>
      <c r="Z983">
        <v>4</v>
      </c>
      <c r="AA983">
        <f t="shared" si="38"/>
        <v>13</v>
      </c>
      <c r="AB983">
        <f t="shared" si="39"/>
        <v>41</v>
      </c>
    </row>
    <row r="984" spans="25:28" x14ac:dyDescent="0.2">
      <c r="Y984">
        <v>8</v>
      </c>
      <c r="Z984">
        <v>4</v>
      </c>
      <c r="AA984">
        <f t="shared" si="38"/>
        <v>13</v>
      </c>
      <c r="AB984">
        <f t="shared" si="39"/>
        <v>41</v>
      </c>
    </row>
    <row r="985" spans="25:28" x14ac:dyDescent="0.2">
      <c r="Y985">
        <v>8</v>
      </c>
      <c r="Z985">
        <v>4</v>
      </c>
      <c r="AA985">
        <f t="shared" si="38"/>
        <v>13</v>
      </c>
      <c r="AB985">
        <f t="shared" si="39"/>
        <v>41</v>
      </c>
    </row>
    <row r="986" spans="25:28" x14ac:dyDescent="0.2">
      <c r="Y986">
        <v>8</v>
      </c>
      <c r="Z986">
        <v>4</v>
      </c>
      <c r="AA986">
        <f t="shared" si="38"/>
        <v>13</v>
      </c>
      <c r="AB986">
        <f t="shared" si="39"/>
        <v>41</v>
      </c>
    </row>
    <row r="987" spans="25:28" x14ac:dyDescent="0.2">
      <c r="Y987">
        <v>8</v>
      </c>
      <c r="Z987">
        <v>4</v>
      </c>
      <c r="AA987">
        <f t="shared" si="38"/>
        <v>13</v>
      </c>
      <c r="AB987">
        <f t="shared" si="39"/>
        <v>41</v>
      </c>
    </row>
    <row r="988" spans="25:28" x14ac:dyDescent="0.2">
      <c r="Y988">
        <v>8</v>
      </c>
      <c r="Z988">
        <v>4</v>
      </c>
      <c r="AA988">
        <f t="shared" si="38"/>
        <v>13</v>
      </c>
      <c r="AB988">
        <f t="shared" si="39"/>
        <v>41</v>
      </c>
    </row>
    <row r="989" spans="25:28" x14ac:dyDescent="0.2">
      <c r="Y989">
        <v>8</v>
      </c>
      <c r="Z989">
        <v>4</v>
      </c>
      <c r="AA989">
        <f t="shared" si="38"/>
        <v>13</v>
      </c>
      <c r="AB989">
        <f t="shared" si="39"/>
        <v>41</v>
      </c>
    </row>
    <row r="990" spans="25:28" x14ac:dyDescent="0.2">
      <c r="Y990">
        <v>8</v>
      </c>
      <c r="Z990">
        <v>4</v>
      </c>
      <c r="AA990">
        <f t="shared" si="38"/>
        <v>13</v>
      </c>
      <c r="AB990">
        <f t="shared" si="39"/>
        <v>41</v>
      </c>
    </row>
    <row r="991" spans="25:28" x14ac:dyDescent="0.2">
      <c r="Y991">
        <v>8</v>
      </c>
      <c r="Z991">
        <v>4</v>
      </c>
      <c r="AA991">
        <f t="shared" si="38"/>
        <v>13</v>
      </c>
      <c r="AB991">
        <f t="shared" si="39"/>
        <v>41</v>
      </c>
    </row>
    <row r="992" spans="25:28" x14ac:dyDescent="0.2">
      <c r="Y992">
        <v>8</v>
      </c>
      <c r="Z992">
        <v>4</v>
      </c>
      <c r="AA992">
        <f t="shared" si="38"/>
        <v>13</v>
      </c>
      <c r="AB992">
        <f t="shared" si="39"/>
        <v>41</v>
      </c>
    </row>
    <row r="993" spans="25:28" x14ac:dyDescent="0.2">
      <c r="Y993">
        <v>8</v>
      </c>
      <c r="Z993">
        <v>4</v>
      </c>
      <c r="AA993">
        <f t="shared" si="38"/>
        <v>13</v>
      </c>
      <c r="AB993">
        <f t="shared" si="39"/>
        <v>41</v>
      </c>
    </row>
    <row r="994" spans="25:28" x14ac:dyDescent="0.2">
      <c r="Y994">
        <v>8</v>
      </c>
      <c r="Z994">
        <v>4</v>
      </c>
      <c r="AA994">
        <f t="shared" si="38"/>
        <v>13</v>
      </c>
      <c r="AB994">
        <f t="shared" si="39"/>
        <v>41</v>
      </c>
    </row>
    <row r="995" spans="25:28" x14ac:dyDescent="0.2">
      <c r="Y995">
        <v>8</v>
      </c>
      <c r="Z995">
        <v>4</v>
      </c>
      <c r="AA995">
        <f t="shared" si="38"/>
        <v>13</v>
      </c>
      <c r="AB995">
        <f t="shared" si="39"/>
        <v>41</v>
      </c>
    </row>
    <row r="996" spans="25:28" x14ac:dyDescent="0.2">
      <c r="Y996">
        <v>8</v>
      </c>
      <c r="Z996">
        <v>4</v>
      </c>
      <c r="AA996">
        <f t="shared" si="38"/>
        <v>13</v>
      </c>
      <c r="AB996">
        <f t="shared" si="39"/>
        <v>41</v>
      </c>
    </row>
    <row r="997" spans="25:28" x14ac:dyDescent="0.2">
      <c r="Y997">
        <v>8</v>
      </c>
      <c r="Z997">
        <v>4</v>
      </c>
      <c r="AA997">
        <f t="shared" si="38"/>
        <v>13</v>
      </c>
      <c r="AB997">
        <f t="shared" si="39"/>
        <v>41</v>
      </c>
    </row>
    <row r="998" spans="25:28" x14ac:dyDescent="0.2">
      <c r="Y998">
        <v>8</v>
      </c>
      <c r="Z998">
        <v>4</v>
      </c>
      <c r="AA998">
        <f t="shared" si="38"/>
        <v>13</v>
      </c>
      <c r="AB998">
        <f t="shared" si="39"/>
        <v>41</v>
      </c>
    </row>
    <row r="999" spans="25:28" x14ac:dyDescent="0.2">
      <c r="Y999">
        <v>8</v>
      </c>
      <c r="Z999">
        <v>4</v>
      </c>
      <c r="AA999">
        <f t="shared" si="38"/>
        <v>13</v>
      </c>
      <c r="AB999">
        <f t="shared" si="39"/>
        <v>41</v>
      </c>
    </row>
    <row r="1000" spans="25:28" x14ac:dyDescent="0.2">
      <c r="Y1000">
        <v>8</v>
      </c>
      <c r="Z1000">
        <v>4</v>
      </c>
      <c r="AA1000">
        <f t="shared" si="38"/>
        <v>13</v>
      </c>
      <c r="AB1000">
        <f t="shared" si="39"/>
        <v>41</v>
      </c>
    </row>
    <row r="1001" spans="25:28" x14ac:dyDescent="0.2">
      <c r="Y1001">
        <v>8</v>
      </c>
      <c r="Z1001">
        <v>4</v>
      </c>
      <c r="AA1001">
        <f t="shared" si="38"/>
        <v>13</v>
      </c>
      <c r="AB1001">
        <f t="shared" si="39"/>
        <v>41</v>
      </c>
    </row>
    <row r="1002" spans="25:28" x14ac:dyDescent="0.2">
      <c r="Y1002">
        <v>9</v>
      </c>
      <c r="Z1002">
        <v>4</v>
      </c>
      <c r="AA1002">
        <f t="shared" si="38"/>
        <v>13</v>
      </c>
      <c r="AB1002">
        <f t="shared" si="39"/>
        <v>41</v>
      </c>
    </row>
    <row r="1003" spans="25:28" x14ac:dyDescent="0.2">
      <c r="Y1003">
        <v>9</v>
      </c>
      <c r="Z1003">
        <v>4</v>
      </c>
      <c r="AA1003">
        <f t="shared" si="38"/>
        <v>13</v>
      </c>
      <c r="AB1003">
        <f t="shared" si="39"/>
        <v>41</v>
      </c>
    </row>
    <row r="1004" spans="25:28" x14ac:dyDescent="0.2">
      <c r="Y1004">
        <v>9</v>
      </c>
      <c r="Z1004">
        <v>4</v>
      </c>
      <c r="AA1004">
        <f t="shared" si="38"/>
        <v>13</v>
      </c>
      <c r="AB1004">
        <f t="shared" si="39"/>
        <v>41</v>
      </c>
    </row>
    <row r="1005" spans="25:28" x14ac:dyDescent="0.2">
      <c r="Y1005">
        <v>9</v>
      </c>
      <c r="Z1005">
        <v>4</v>
      </c>
      <c r="AA1005">
        <f t="shared" si="38"/>
        <v>13</v>
      </c>
      <c r="AB1005">
        <f t="shared" si="39"/>
        <v>41</v>
      </c>
    </row>
    <row r="1006" spans="25:28" x14ac:dyDescent="0.2">
      <c r="Y1006">
        <v>9</v>
      </c>
      <c r="Z1006">
        <v>4</v>
      </c>
      <c r="AA1006">
        <f t="shared" si="38"/>
        <v>13</v>
      </c>
      <c r="AB1006">
        <f t="shared" si="39"/>
        <v>41</v>
      </c>
    </row>
    <row r="1007" spans="25:28" x14ac:dyDescent="0.2">
      <c r="Y1007">
        <v>9</v>
      </c>
      <c r="Z1007">
        <v>4</v>
      </c>
      <c r="AA1007">
        <f t="shared" si="38"/>
        <v>13</v>
      </c>
      <c r="AB1007">
        <f t="shared" si="39"/>
        <v>41</v>
      </c>
    </row>
    <row r="1008" spans="25:28" x14ac:dyDescent="0.2">
      <c r="Y1008">
        <v>9</v>
      </c>
      <c r="Z1008">
        <v>4</v>
      </c>
      <c r="AA1008">
        <f t="shared" si="38"/>
        <v>13</v>
      </c>
      <c r="AB1008">
        <f t="shared" si="39"/>
        <v>41</v>
      </c>
    </row>
    <row r="1009" spans="25:28" x14ac:dyDescent="0.2">
      <c r="Y1009">
        <v>9</v>
      </c>
      <c r="Z1009">
        <v>4</v>
      </c>
      <c r="AA1009">
        <f t="shared" si="38"/>
        <v>13</v>
      </c>
      <c r="AB1009">
        <f t="shared" si="39"/>
        <v>41</v>
      </c>
    </row>
    <row r="1010" spans="25:28" x14ac:dyDescent="0.2">
      <c r="Y1010">
        <v>9</v>
      </c>
      <c r="Z1010">
        <v>4</v>
      </c>
      <c r="AA1010">
        <f t="shared" si="38"/>
        <v>13</v>
      </c>
      <c r="AB1010">
        <f t="shared" si="39"/>
        <v>41</v>
      </c>
    </row>
    <row r="1011" spans="25:28" x14ac:dyDescent="0.2">
      <c r="Y1011">
        <v>9</v>
      </c>
      <c r="Z1011">
        <v>4</v>
      </c>
      <c r="AA1011">
        <f t="shared" si="38"/>
        <v>13</v>
      </c>
      <c r="AB1011">
        <f t="shared" si="39"/>
        <v>41</v>
      </c>
    </row>
    <row r="1012" spans="25:28" x14ac:dyDescent="0.2">
      <c r="Y1012">
        <v>9</v>
      </c>
      <c r="Z1012">
        <v>4</v>
      </c>
      <c r="AA1012">
        <f t="shared" si="38"/>
        <v>13</v>
      </c>
      <c r="AB1012">
        <f t="shared" si="39"/>
        <v>41</v>
      </c>
    </row>
    <row r="1013" spans="25:28" x14ac:dyDescent="0.2">
      <c r="Y1013">
        <v>9</v>
      </c>
      <c r="Z1013">
        <v>4</v>
      </c>
      <c r="AA1013">
        <f t="shared" si="38"/>
        <v>13</v>
      </c>
      <c r="AB1013">
        <f t="shared" si="39"/>
        <v>41</v>
      </c>
    </row>
    <row r="1014" spans="25:28" x14ac:dyDescent="0.2">
      <c r="Y1014">
        <v>9</v>
      </c>
      <c r="Z1014">
        <v>4</v>
      </c>
      <c r="AA1014">
        <f t="shared" si="38"/>
        <v>13</v>
      </c>
      <c r="AB1014">
        <f t="shared" si="39"/>
        <v>41</v>
      </c>
    </row>
    <row r="1015" spans="25:28" x14ac:dyDescent="0.2">
      <c r="Y1015">
        <v>9</v>
      </c>
      <c r="Z1015">
        <v>4</v>
      </c>
      <c r="AA1015">
        <f t="shared" si="38"/>
        <v>13</v>
      </c>
      <c r="AB1015">
        <f t="shared" si="39"/>
        <v>41</v>
      </c>
    </row>
    <row r="1016" spans="25:28" x14ac:dyDescent="0.2">
      <c r="Y1016">
        <v>9</v>
      </c>
      <c r="Z1016">
        <v>4</v>
      </c>
      <c r="AA1016">
        <f t="shared" si="38"/>
        <v>13</v>
      </c>
      <c r="AB1016">
        <f t="shared" si="39"/>
        <v>41</v>
      </c>
    </row>
    <row r="1017" spans="25:28" x14ac:dyDescent="0.2">
      <c r="Y1017">
        <v>9</v>
      </c>
      <c r="Z1017">
        <v>4</v>
      </c>
      <c r="AA1017">
        <f t="shared" si="38"/>
        <v>13</v>
      </c>
      <c r="AB1017">
        <f t="shared" si="39"/>
        <v>41</v>
      </c>
    </row>
    <row r="1018" spans="25:28" x14ac:dyDescent="0.2">
      <c r="Y1018">
        <v>9</v>
      </c>
      <c r="Z1018">
        <v>4</v>
      </c>
      <c r="AA1018">
        <f t="shared" si="38"/>
        <v>13</v>
      </c>
      <c r="AB1018">
        <f t="shared" si="39"/>
        <v>41</v>
      </c>
    </row>
    <row r="1019" spans="25:28" x14ac:dyDescent="0.2">
      <c r="Y1019">
        <v>9</v>
      </c>
      <c r="Z1019">
        <v>4</v>
      </c>
      <c r="AA1019">
        <f t="shared" si="38"/>
        <v>13</v>
      </c>
      <c r="AB1019">
        <f t="shared" si="39"/>
        <v>41</v>
      </c>
    </row>
    <row r="1020" spans="25:28" x14ac:dyDescent="0.2">
      <c r="Y1020">
        <v>9</v>
      </c>
      <c r="Z1020">
        <v>4</v>
      </c>
      <c r="AA1020">
        <f t="shared" si="38"/>
        <v>13</v>
      </c>
      <c r="AB1020">
        <f t="shared" si="39"/>
        <v>41</v>
      </c>
    </row>
    <row r="1021" spans="25:28" x14ac:dyDescent="0.2">
      <c r="Y1021">
        <v>9</v>
      </c>
      <c r="Z1021">
        <v>4</v>
      </c>
      <c r="AA1021">
        <f t="shared" si="38"/>
        <v>13</v>
      </c>
      <c r="AB1021">
        <f t="shared" si="39"/>
        <v>41</v>
      </c>
    </row>
    <row r="1022" spans="25:28" x14ac:dyDescent="0.2">
      <c r="Y1022">
        <v>9</v>
      </c>
      <c r="Z1022">
        <v>4</v>
      </c>
      <c r="AA1022">
        <f t="shared" si="38"/>
        <v>13</v>
      </c>
      <c r="AB1022">
        <f t="shared" si="39"/>
        <v>41</v>
      </c>
    </row>
    <row r="1023" spans="25:28" x14ac:dyDescent="0.2">
      <c r="Y1023">
        <v>9</v>
      </c>
      <c r="Z1023">
        <v>4</v>
      </c>
      <c r="AA1023">
        <f t="shared" si="38"/>
        <v>13</v>
      </c>
      <c r="AB1023">
        <f t="shared" si="39"/>
        <v>41</v>
      </c>
    </row>
    <row r="1024" spans="25:28" x14ac:dyDescent="0.2">
      <c r="Y1024">
        <v>9</v>
      </c>
      <c r="Z1024">
        <v>4</v>
      </c>
      <c r="AA1024">
        <f t="shared" si="38"/>
        <v>13</v>
      </c>
      <c r="AB1024">
        <f t="shared" si="39"/>
        <v>41</v>
      </c>
    </row>
    <row r="1025" spans="25:28" x14ac:dyDescent="0.2">
      <c r="Y1025">
        <v>9</v>
      </c>
      <c r="Z1025">
        <v>4</v>
      </c>
      <c r="AA1025">
        <f t="shared" si="38"/>
        <v>13</v>
      </c>
      <c r="AB1025">
        <f t="shared" si="39"/>
        <v>41</v>
      </c>
    </row>
    <row r="1026" spans="25:28" x14ac:dyDescent="0.2">
      <c r="Y1026">
        <v>9</v>
      </c>
      <c r="Z1026">
        <v>4</v>
      </c>
      <c r="AA1026">
        <f t="shared" si="38"/>
        <v>13</v>
      </c>
      <c r="AB1026">
        <f t="shared" si="39"/>
        <v>41</v>
      </c>
    </row>
    <row r="1027" spans="25:28" x14ac:dyDescent="0.2">
      <c r="Y1027">
        <v>10</v>
      </c>
      <c r="Z1027">
        <v>4</v>
      </c>
      <c r="AA1027">
        <f t="shared" si="38"/>
        <v>13</v>
      </c>
      <c r="AB1027">
        <f t="shared" si="39"/>
        <v>41</v>
      </c>
    </row>
    <row r="1028" spans="25:28" x14ac:dyDescent="0.2">
      <c r="Y1028">
        <v>10</v>
      </c>
      <c r="Z1028">
        <v>4</v>
      </c>
      <c r="AA1028">
        <f t="shared" si="38"/>
        <v>13</v>
      </c>
      <c r="AB1028">
        <f t="shared" si="39"/>
        <v>41</v>
      </c>
    </row>
    <row r="1029" spans="25:28" x14ac:dyDescent="0.2">
      <c r="Y1029">
        <v>10</v>
      </c>
      <c r="Z1029">
        <v>4</v>
      </c>
      <c r="AA1029">
        <f t="shared" si="38"/>
        <v>13</v>
      </c>
      <c r="AB1029">
        <f t="shared" si="39"/>
        <v>41</v>
      </c>
    </row>
    <row r="1030" spans="25:28" x14ac:dyDescent="0.2">
      <c r="Y1030">
        <v>10</v>
      </c>
      <c r="Z1030">
        <v>4</v>
      </c>
      <c r="AA1030">
        <f t="shared" si="38"/>
        <v>13</v>
      </c>
      <c r="AB1030">
        <f t="shared" si="39"/>
        <v>41</v>
      </c>
    </row>
    <row r="1031" spans="25:28" x14ac:dyDescent="0.2">
      <c r="Y1031">
        <v>10</v>
      </c>
      <c r="Z1031">
        <v>4</v>
      </c>
      <c r="AA1031">
        <f t="shared" ref="AA1031:AA1094" si="40">Z1031+9</f>
        <v>13</v>
      </c>
      <c r="AB1031">
        <f t="shared" ref="AB1031:AB1094" si="41">VLOOKUP(Y1031,$D$5:$Q$22,AA1031,FALSE)</f>
        <v>41</v>
      </c>
    </row>
    <row r="1032" spans="25:28" x14ac:dyDescent="0.2">
      <c r="Y1032">
        <v>10</v>
      </c>
      <c r="Z1032">
        <v>4</v>
      </c>
      <c r="AA1032">
        <f t="shared" si="40"/>
        <v>13</v>
      </c>
      <c r="AB1032">
        <f t="shared" si="41"/>
        <v>41</v>
      </c>
    </row>
    <row r="1033" spans="25:28" x14ac:dyDescent="0.2">
      <c r="Y1033">
        <v>10</v>
      </c>
      <c r="Z1033">
        <v>4</v>
      </c>
      <c r="AA1033">
        <f t="shared" si="40"/>
        <v>13</v>
      </c>
      <c r="AB1033">
        <f t="shared" si="41"/>
        <v>41</v>
      </c>
    </row>
    <row r="1034" spans="25:28" x14ac:dyDescent="0.2">
      <c r="Y1034">
        <v>10</v>
      </c>
      <c r="Z1034">
        <v>4</v>
      </c>
      <c r="AA1034">
        <f t="shared" si="40"/>
        <v>13</v>
      </c>
      <c r="AB1034">
        <f t="shared" si="41"/>
        <v>41</v>
      </c>
    </row>
    <row r="1035" spans="25:28" x14ac:dyDescent="0.2">
      <c r="Y1035">
        <v>10</v>
      </c>
      <c r="Z1035">
        <v>4</v>
      </c>
      <c r="AA1035">
        <f t="shared" si="40"/>
        <v>13</v>
      </c>
      <c r="AB1035">
        <f t="shared" si="41"/>
        <v>41</v>
      </c>
    </row>
    <row r="1036" spans="25:28" x14ac:dyDescent="0.2">
      <c r="Y1036">
        <v>10</v>
      </c>
      <c r="Z1036">
        <v>4</v>
      </c>
      <c r="AA1036">
        <f t="shared" si="40"/>
        <v>13</v>
      </c>
      <c r="AB1036">
        <f t="shared" si="41"/>
        <v>41</v>
      </c>
    </row>
    <row r="1037" spans="25:28" x14ac:dyDescent="0.2">
      <c r="Y1037">
        <v>10</v>
      </c>
      <c r="Z1037">
        <v>4</v>
      </c>
      <c r="AA1037">
        <f t="shared" si="40"/>
        <v>13</v>
      </c>
      <c r="AB1037">
        <f t="shared" si="41"/>
        <v>41</v>
      </c>
    </row>
    <row r="1038" spans="25:28" x14ac:dyDescent="0.2">
      <c r="Y1038">
        <v>10</v>
      </c>
      <c r="Z1038">
        <v>4</v>
      </c>
      <c r="AA1038">
        <f t="shared" si="40"/>
        <v>13</v>
      </c>
      <c r="AB1038">
        <f t="shared" si="41"/>
        <v>41</v>
      </c>
    </row>
    <row r="1039" spans="25:28" x14ac:dyDescent="0.2">
      <c r="Y1039">
        <v>10</v>
      </c>
      <c r="Z1039">
        <v>4</v>
      </c>
      <c r="AA1039">
        <f t="shared" si="40"/>
        <v>13</v>
      </c>
      <c r="AB1039">
        <f t="shared" si="41"/>
        <v>41</v>
      </c>
    </row>
    <row r="1040" spans="25:28" x14ac:dyDescent="0.2">
      <c r="Y1040">
        <v>10</v>
      </c>
      <c r="Z1040">
        <v>4</v>
      </c>
      <c r="AA1040">
        <f t="shared" si="40"/>
        <v>13</v>
      </c>
      <c r="AB1040">
        <f t="shared" si="41"/>
        <v>41</v>
      </c>
    </row>
    <row r="1041" spans="25:28" x14ac:dyDescent="0.2">
      <c r="Y1041">
        <v>10</v>
      </c>
      <c r="Z1041">
        <v>4</v>
      </c>
      <c r="AA1041">
        <f t="shared" si="40"/>
        <v>13</v>
      </c>
      <c r="AB1041">
        <f t="shared" si="41"/>
        <v>41</v>
      </c>
    </row>
    <row r="1042" spans="25:28" x14ac:dyDescent="0.2">
      <c r="Y1042">
        <v>10</v>
      </c>
      <c r="Z1042">
        <v>4</v>
      </c>
      <c r="AA1042">
        <f t="shared" si="40"/>
        <v>13</v>
      </c>
      <c r="AB1042">
        <f t="shared" si="41"/>
        <v>41</v>
      </c>
    </row>
    <row r="1043" spans="25:28" x14ac:dyDescent="0.2">
      <c r="Y1043">
        <v>10</v>
      </c>
      <c r="Z1043">
        <v>4</v>
      </c>
      <c r="AA1043">
        <f t="shared" si="40"/>
        <v>13</v>
      </c>
      <c r="AB1043">
        <f t="shared" si="41"/>
        <v>41</v>
      </c>
    </row>
    <row r="1044" spans="25:28" x14ac:dyDescent="0.2">
      <c r="Y1044">
        <v>10</v>
      </c>
      <c r="Z1044">
        <v>4</v>
      </c>
      <c r="AA1044">
        <f t="shared" si="40"/>
        <v>13</v>
      </c>
      <c r="AB1044">
        <f t="shared" si="41"/>
        <v>41</v>
      </c>
    </row>
    <row r="1045" spans="25:28" x14ac:dyDescent="0.2">
      <c r="Y1045">
        <v>10</v>
      </c>
      <c r="Z1045">
        <v>4</v>
      </c>
      <c r="AA1045">
        <f t="shared" si="40"/>
        <v>13</v>
      </c>
      <c r="AB1045">
        <f t="shared" si="41"/>
        <v>41</v>
      </c>
    </row>
    <row r="1046" spans="25:28" x14ac:dyDescent="0.2">
      <c r="Y1046">
        <v>10</v>
      </c>
      <c r="Z1046">
        <v>4</v>
      </c>
      <c r="AA1046">
        <f t="shared" si="40"/>
        <v>13</v>
      </c>
      <c r="AB1046">
        <f t="shared" si="41"/>
        <v>41</v>
      </c>
    </row>
    <row r="1047" spans="25:28" x14ac:dyDescent="0.2">
      <c r="Y1047">
        <v>10</v>
      </c>
      <c r="Z1047">
        <v>4</v>
      </c>
      <c r="AA1047">
        <f t="shared" si="40"/>
        <v>13</v>
      </c>
      <c r="AB1047">
        <f t="shared" si="41"/>
        <v>41</v>
      </c>
    </row>
    <row r="1048" spans="25:28" x14ac:dyDescent="0.2">
      <c r="Y1048">
        <v>10</v>
      </c>
      <c r="Z1048">
        <v>4</v>
      </c>
      <c r="AA1048">
        <f t="shared" si="40"/>
        <v>13</v>
      </c>
      <c r="AB1048">
        <f t="shared" si="41"/>
        <v>41</v>
      </c>
    </row>
    <row r="1049" spans="25:28" x14ac:dyDescent="0.2">
      <c r="Y1049">
        <v>10</v>
      </c>
      <c r="Z1049">
        <v>4</v>
      </c>
      <c r="AA1049">
        <f t="shared" si="40"/>
        <v>13</v>
      </c>
      <c r="AB1049">
        <f t="shared" si="41"/>
        <v>41</v>
      </c>
    </row>
    <row r="1050" spans="25:28" x14ac:dyDescent="0.2">
      <c r="Y1050">
        <v>10</v>
      </c>
      <c r="Z1050">
        <v>4</v>
      </c>
      <c r="AA1050">
        <f t="shared" si="40"/>
        <v>13</v>
      </c>
      <c r="AB1050">
        <f t="shared" si="41"/>
        <v>41</v>
      </c>
    </row>
    <row r="1051" spans="25:28" x14ac:dyDescent="0.2">
      <c r="Y1051">
        <v>10</v>
      </c>
      <c r="Z1051">
        <v>4</v>
      </c>
      <c r="AA1051">
        <f t="shared" si="40"/>
        <v>13</v>
      </c>
      <c r="AB1051">
        <f t="shared" si="41"/>
        <v>41</v>
      </c>
    </row>
    <row r="1052" spans="25:28" x14ac:dyDescent="0.2">
      <c r="Y1052">
        <v>11</v>
      </c>
      <c r="Z1052">
        <v>4</v>
      </c>
      <c r="AA1052">
        <f t="shared" si="40"/>
        <v>13</v>
      </c>
      <c r="AB1052">
        <f t="shared" si="41"/>
        <v>41</v>
      </c>
    </row>
    <row r="1053" spans="25:28" x14ac:dyDescent="0.2">
      <c r="Y1053">
        <v>11</v>
      </c>
      <c r="Z1053">
        <v>4</v>
      </c>
      <c r="AA1053">
        <f t="shared" si="40"/>
        <v>13</v>
      </c>
      <c r="AB1053">
        <f t="shared" si="41"/>
        <v>41</v>
      </c>
    </row>
    <row r="1054" spans="25:28" x14ac:dyDescent="0.2">
      <c r="Y1054">
        <v>11</v>
      </c>
      <c r="Z1054">
        <v>4</v>
      </c>
      <c r="AA1054">
        <f t="shared" si="40"/>
        <v>13</v>
      </c>
      <c r="AB1054">
        <f t="shared" si="41"/>
        <v>41</v>
      </c>
    </row>
    <row r="1055" spans="25:28" x14ac:dyDescent="0.2">
      <c r="Y1055">
        <v>11</v>
      </c>
      <c r="Z1055">
        <v>4</v>
      </c>
      <c r="AA1055">
        <f t="shared" si="40"/>
        <v>13</v>
      </c>
      <c r="AB1055">
        <f t="shared" si="41"/>
        <v>41</v>
      </c>
    </row>
    <row r="1056" spans="25:28" x14ac:dyDescent="0.2">
      <c r="Y1056">
        <v>11</v>
      </c>
      <c r="Z1056">
        <v>4</v>
      </c>
      <c r="AA1056">
        <f t="shared" si="40"/>
        <v>13</v>
      </c>
      <c r="AB1056">
        <f t="shared" si="41"/>
        <v>41</v>
      </c>
    </row>
    <row r="1057" spans="25:28" x14ac:dyDescent="0.2">
      <c r="Y1057">
        <v>11</v>
      </c>
      <c r="Z1057">
        <v>4</v>
      </c>
      <c r="AA1057">
        <f t="shared" si="40"/>
        <v>13</v>
      </c>
      <c r="AB1057">
        <f t="shared" si="41"/>
        <v>41</v>
      </c>
    </row>
    <row r="1058" spans="25:28" x14ac:dyDescent="0.2">
      <c r="Y1058">
        <v>11</v>
      </c>
      <c r="Z1058">
        <v>4</v>
      </c>
      <c r="AA1058">
        <f t="shared" si="40"/>
        <v>13</v>
      </c>
      <c r="AB1058">
        <f t="shared" si="41"/>
        <v>41</v>
      </c>
    </row>
    <row r="1059" spans="25:28" x14ac:dyDescent="0.2">
      <c r="Y1059">
        <v>11</v>
      </c>
      <c r="Z1059">
        <v>4</v>
      </c>
      <c r="AA1059">
        <f t="shared" si="40"/>
        <v>13</v>
      </c>
      <c r="AB1059">
        <f t="shared" si="41"/>
        <v>41</v>
      </c>
    </row>
    <row r="1060" spans="25:28" x14ac:dyDescent="0.2">
      <c r="Y1060">
        <v>11</v>
      </c>
      <c r="Z1060">
        <v>4</v>
      </c>
      <c r="AA1060">
        <f t="shared" si="40"/>
        <v>13</v>
      </c>
      <c r="AB1060">
        <f t="shared" si="41"/>
        <v>41</v>
      </c>
    </row>
    <row r="1061" spans="25:28" x14ac:dyDescent="0.2">
      <c r="Y1061">
        <v>11</v>
      </c>
      <c r="Z1061">
        <v>4</v>
      </c>
      <c r="AA1061">
        <f t="shared" si="40"/>
        <v>13</v>
      </c>
      <c r="AB1061">
        <f t="shared" si="41"/>
        <v>41</v>
      </c>
    </row>
    <row r="1062" spans="25:28" x14ac:dyDescent="0.2">
      <c r="Y1062">
        <v>21</v>
      </c>
      <c r="Z1062">
        <v>4</v>
      </c>
      <c r="AA1062">
        <f t="shared" si="40"/>
        <v>13</v>
      </c>
      <c r="AB1062">
        <f t="shared" si="41"/>
        <v>162</v>
      </c>
    </row>
    <row r="1063" spans="25:28" x14ac:dyDescent="0.2">
      <c r="Y1063">
        <v>21</v>
      </c>
      <c r="Z1063">
        <v>4</v>
      </c>
      <c r="AA1063">
        <f t="shared" si="40"/>
        <v>13</v>
      </c>
      <c r="AB1063">
        <f t="shared" si="41"/>
        <v>162</v>
      </c>
    </row>
    <row r="1064" spans="25:28" x14ac:dyDescent="0.2">
      <c r="Y1064">
        <v>21</v>
      </c>
      <c r="Z1064">
        <v>4</v>
      </c>
      <c r="AA1064">
        <f t="shared" si="40"/>
        <v>13</v>
      </c>
      <c r="AB1064">
        <f t="shared" si="41"/>
        <v>162</v>
      </c>
    </row>
    <row r="1065" spans="25:28" x14ac:dyDescent="0.2">
      <c r="Y1065">
        <v>21</v>
      </c>
      <c r="Z1065">
        <v>4</v>
      </c>
      <c r="AA1065">
        <f t="shared" si="40"/>
        <v>13</v>
      </c>
      <c r="AB1065">
        <f t="shared" si="41"/>
        <v>162</v>
      </c>
    </row>
    <row r="1066" spans="25:28" x14ac:dyDescent="0.2">
      <c r="Y1066">
        <v>21</v>
      </c>
      <c r="Z1066">
        <v>4</v>
      </c>
      <c r="AA1066">
        <f t="shared" si="40"/>
        <v>13</v>
      </c>
      <c r="AB1066">
        <f t="shared" si="41"/>
        <v>162</v>
      </c>
    </row>
    <row r="1067" spans="25:28" x14ac:dyDescent="0.2">
      <c r="Y1067">
        <v>21</v>
      </c>
      <c r="Z1067">
        <v>4</v>
      </c>
      <c r="AA1067">
        <f t="shared" si="40"/>
        <v>13</v>
      </c>
      <c r="AB1067">
        <f t="shared" si="41"/>
        <v>162</v>
      </c>
    </row>
    <row r="1068" spans="25:28" x14ac:dyDescent="0.2">
      <c r="Y1068">
        <v>21</v>
      </c>
      <c r="Z1068">
        <v>4</v>
      </c>
      <c r="AA1068">
        <f t="shared" si="40"/>
        <v>13</v>
      </c>
      <c r="AB1068">
        <f t="shared" si="41"/>
        <v>162</v>
      </c>
    </row>
    <row r="1069" spans="25:28" x14ac:dyDescent="0.2">
      <c r="Y1069">
        <v>21</v>
      </c>
      <c r="Z1069">
        <v>4</v>
      </c>
      <c r="AA1069">
        <f t="shared" si="40"/>
        <v>13</v>
      </c>
      <c r="AB1069">
        <f t="shared" si="41"/>
        <v>162</v>
      </c>
    </row>
    <row r="1070" spans="25:28" x14ac:dyDescent="0.2">
      <c r="Y1070">
        <v>21</v>
      </c>
      <c r="Z1070">
        <v>4</v>
      </c>
      <c r="AA1070">
        <f t="shared" si="40"/>
        <v>13</v>
      </c>
      <c r="AB1070">
        <f t="shared" si="41"/>
        <v>162</v>
      </c>
    </row>
    <row r="1071" spans="25:28" x14ac:dyDescent="0.2">
      <c r="Y1071">
        <v>21</v>
      </c>
      <c r="Z1071">
        <v>4</v>
      </c>
      <c r="AA1071">
        <f t="shared" si="40"/>
        <v>13</v>
      </c>
      <c r="AB1071">
        <f t="shared" si="41"/>
        <v>162</v>
      </c>
    </row>
    <row r="1072" spans="25:28" x14ac:dyDescent="0.2">
      <c r="Y1072">
        <v>21</v>
      </c>
      <c r="Z1072">
        <v>4</v>
      </c>
      <c r="AA1072">
        <f t="shared" si="40"/>
        <v>13</v>
      </c>
      <c r="AB1072">
        <f t="shared" si="41"/>
        <v>162</v>
      </c>
    </row>
    <row r="1073" spans="25:28" x14ac:dyDescent="0.2">
      <c r="Y1073">
        <v>21</v>
      </c>
      <c r="Z1073">
        <v>4</v>
      </c>
      <c r="AA1073">
        <f t="shared" si="40"/>
        <v>13</v>
      </c>
      <c r="AB1073">
        <f t="shared" si="41"/>
        <v>162</v>
      </c>
    </row>
    <row r="1074" spans="25:28" x14ac:dyDescent="0.2">
      <c r="Y1074">
        <v>21</v>
      </c>
      <c r="Z1074">
        <v>4</v>
      </c>
      <c r="AA1074">
        <f t="shared" si="40"/>
        <v>13</v>
      </c>
      <c r="AB1074">
        <f t="shared" si="41"/>
        <v>162</v>
      </c>
    </row>
    <row r="1075" spans="25:28" x14ac:dyDescent="0.2">
      <c r="Y1075">
        <v>21</v>
      </c>
      <c r="Z1075">
        <v>4</v>
      </c>
      <c r="AA1075">
        <f t="shared" si="40"/>
        <v>13</v>
      </c>
      <c r="AB1075">
        <f t="shared" si="41"/>
        <v>162</v>
      </c>
    </row>
    <row r="1076" spans="25:28" x14ac:dyDescent="0.2">
      <c r="Y1076">
        <v>21</v>
      </c>
      <c r="Z1076">
        <v>4</v>
      </c>
      <c r="AA1076">
        <f t="shared" si="40"/>
        <v>13</v>
      </c>
      <c r="AB1076">
        <f t="shared" si="41"/>
        <v>162</v>
      </c>
    </row>
    <row r="1077" spans="25:28" x14ac:dyDescent="0.2">
      <c r="Y1077">
        <v>21</v>
      </c>
      <c r="Z1077">
        <v>4</v>
      </c>
      <c r="AA1077">
        <f t="shared" si="40"/>
        <v>13</v>
      </c>
      <c r="AB1077">
        <f t="shared" si="41"/>
        <v>162</v>
      </c>
    </row>
    <row r="1078" spans="25:28" x14ac:dyDescent="0.2">
      <c r="Y1078">
        <v>21</v>
      </c>
      <c r="Z1078">
        <v>4</v>
      </c>
      <c r="AA1078">
        <f t="shared" si="40"/>
        <v>13</v>
      </c>
      <c r="AB1078">
        <f t="shared" si="41"/>
        <v>162</v>
      </c>
    </row>
    <row r="1079" spans="25:28" x14ac:dyDescent="0.2">
      <c r="Y1079">
        <v>21</v>
      </c>
      <c r="Z1079">
        <v>4</v>
      </c>
      <c r="AA1079">
        <f t="shared" si="40"/>
        <v>13</v>
      </c>
      <c r="AB1079">
        <f t="shared" si="41"/>
        <v>162</v>
      </c>
    </row>
    <row r="1080" spans="25:28" x14ac:dyDescent="0.2">
      <c r="Y1080">
        <v>21</v>
      </c>
      <c r="Z1080">
        <v>4</v>
      </c>
      <c r="AA1080">
        <f t="shared" si="40"/>
        <v>13</v>
      </c>
      <c r="AB1080">
        <f t="shared" si="41"/>
        <v>162</v>
      </c>
    </row>
    <row r="1081" spans="25:28" x14ac:dyDescent="0.2">
      <c r="Y1081">
        <v>21</v>
      </c>
      <c r="Z1081">
        <v>4</v>
      </c>
      <c r="AA1081">
        <f t="shared" si="40"/>
        <v>13</v>
      </c>
      <c r="AB1081">
        <f t="shared" si="41"/>
        <v>162</v>
      </c>
    </row>
    <row r="1082" spans="25:28" x14ac:dyDescent="0.2">
      <c r="Y1082">
        <v>21</v>
      </c>
      <c r="Z1082">
        <v>4</v>
      </c>
      <c r="AA1082">
        <f t="shared" si="40"/>
        <v>13</v>
      </c>
      <c r="AB1082">
        <f t="shared" si="41"/>
        <v>162</v>
      </c>
    </row>
    <row r="1083" spans="25:28" x14ac:dyDescent="0.2">
      <c r="Y1083">
        <v>21</v>
      </c>
      <c r="Z1083">
        <v>4</v>
      </c>
      <c r="AA1083">
        <f t="shared" si="40"/>
        <v>13</v>
      </c>
      <c r="AB1083">
        <f t="shared" si="41"/>
        <v>162</v>
      </c>
    </row>
    <row r="1084" spans="25:28" x14ac:dyDescent="0.2">
      <c r="Y1084">
        <v>21</v>
      </c>
      <c r="Z1084">
        <v>4</v>
      </c>
      <c r="AA1084">
        <f t="shared" si="40"/>
        <v>13</v>
      </c>
      <c r="AB1084">
        <f t="shared" si="41"/>
        <v>162</v>
      </c>
    </row>
    <row r="1085" spans="25:28" x14ac:dyDescent="0.2">
      <c r="Y1085">
        <v>21</v>
      </c>
      <c r="Z1085">
        <v>4</v>
      </c>
      <c r="AA1085">
        <f t="shared" si="40"/>
        <v>13</v>
      </c>
      <c r="AB1085">
        <f t="shared" si="41"/>
        <v>162</v>
      </c>
    </row>
    <row r="1086" spans="25:28" x14ac:dyDescent="0.2">
      <c r="Y1086">
        <v>21</v>
      </c>
      <c r="Z1086">
        <v>4</v>
      </c>
      <c r="AA1086">
        <f t="shared" si="40"/>
        <v>13</v>
      </c>
      <c r="AB1086">
        <f t="shared" si="41"/>
        <v>162</v>
      </c>
    </row>
    <row r="1087" spans="25:28" x14ac:dyDescent="0.2">
      <c r="Y1087">
        <v>22</v>
      </c>
      <c r="Z1087">
        <v>4</v>
      </c>
      <c r="AA1087">
        <f t="shared" si="40"/>
        <v>13</v>
      </c>
      <c r="AB1087">
        <f t="shared" si="41"/>
        <v>162</v>
      </c>
    </row>
    <row r="1088" spans="25:28" x14ac:dyDescent="0.2">
      <c r="Y1088">
        <v>22</v>
      </c>
      <c r="Z1088">
        <v>4</v>
      </c>
      <c r="AA1088">
        <f t="shared" si="40"/>
        <v>13</v>
      </c>
      <c r="AB1088">
        <f t="shared" si="41"/>
        <v>162</v>
      </c>
    </row>
    <row r="1089" spans="25:28" x14ac:dyDescent="0.2">
      <c r="Y1089">
        <v>22</v>
      </c>
      <c r="Z1089">
        <v>4</v>
      </c>
      <c r="AA1089">
        <f t="shared" si="40"/>
        <v>13</v>
      </c>
      <c r="AB1089">
        <f t="shared" si="41"/>
        <v>162</v>
      </c>
    </row>
    <row r="1090" spans="25:28" x14ac:dyDescent="0.2">
      <c r="Y1090">
        <v>22</v>
      </c>
      <c r="Z1090">
        <v>4</v>
      </c>
      <c r="AA1090">
        <f t="shared" si="40"/>
        <v>13</v>
      </c>
      <c r="AB1090">
        <f t="shared" si="41"/>
        <v>162</v>
      </c>
    </row>
    <row r="1091" spans="25:28" x14ac:dyDescent="0.2">
      <c r="Y1091">
        <v>22</v>
      </c>
      <c r="Z1091">
        <v>4</v>
      </c>
      <c r="AA1091">
        <f t="shared" si="40"/>
        <v>13</v>
      </c>
      <c r="AB1091">
        <f t="shared" si="41"/>
        <v>162</v>
      </c>
    </row>
    <row r="1092" spans="25:28" x14ac:dyDescent="0.2">
      <c r="Y1092">
        <v>22</v>
      </c>
      <c r="Z1092">
        <v>4</v>
      </c>
      <c r="AA1092">
        <f t="shared" si="40"/>
        <v>13</v>
      </c>
      <c r="AB1092">
        <f t="shared" si="41"/>
        <v>162</v>
      </c>
    </row>
    <row r="1093" spans="25:28" x14ac:dyDescent="0.2">
      <c r="Y1093">
        <v>22</v>
      </c>
      <c r="Z1093">
        <v>4</v>
      </c>
      <c r="AA1093">
        <f t="shared" si="40"/>
        <v>13</v>
      </c>
      <c r="AB1093">
        <f t="shared" si="41"/>
        <v>162</v>
      </c>
    </row>
    <row r="1094" spans="25:28" x14ac:dyDescent="0.2">
      <c r="Y1094">
        <v>22</v>
      </c>
      <c r="Z1094">
        <v>4</v>
      </c>
      <c r="AA1094">
        <f t="shared" si="40"/>
        <v>13</v>
      </c>
      <c r="AB1094">
        <f t="shared" si="41"/>
        <v>162</v>
      </c>
    </row>
    <row r="1095" spans="25:28" x14ac:dyDescent="0.2">
      <c r="Y1095">
        <v>22</v>
      </c>
      <c r="Z1095">
        <v>4</v>
      </c>
      <c r="AA1095">
        <f t="shared" ref="AA1095:AA1158" si="42">Z1095+9</f>
        <v>13</v>
      </c>
      <c r="AB1095">
        <f t="shared" ref="AB1095:AB1158" si="43">VLOOKUP(Y1095,$D$5:$Q$22,AA1095,FALSE)</f>
        <v>162</v>
      </c>
    </row>
    <row r="1096" spans="25:28" x14ac:dyDescent="0.2">
      <c r="Y1096">
        <v>22</v>
      </c>
      <c r="Z1096">
        <v>4</v>
      </c>
      <c r="AA1096">
        <f t="shared" si="42"/>
        <v>13</v>
      </c>
      <c r="AB1096">
        <f t="shared" si="43"/>
        <v>162</v>
      </c>
    </row>
    <row r="1097" spans="25:28" x14ac:dyDescent="0.2">
      <c r="Y1097">
        <v>22</v>
      </c>
      <c r="Z1097">
        <v>4</v>
      </c>
      <c r="AA1097">
        <f t="shared" si="42"/>
        <v>13</v>
      </c>
      <c r="AB1097">
        <f t="shared" si="43"/>
        <v>162</v>
      </c>
    </row>
    <row r="1098" spans="25:28" x14ac:dyDescent="0.2">
      <c r="Y1098">
        <v>22</v>
      </c>
      <c r="Z1098">
        <v>4</v>
      </c>
      <c r="AA1098">
        <f t="shared" si="42"/>
        <v>13</v>
      </c>
      <c r="AB1098">
        <f t="shared" si="43"/>
        <v>162</v>
      </c>
    </row>
    <row r="1099" spans="25:28" x14ac:dyDescent="0.2">
      <c r="Y1099">
        <v>22</v>
      </c>
      <c r="Z1099">
        <v>4</v>
      </c>
      <c r="AA1099">
        <f t="shared" si="42"/>
        <v>13</v>
      </c>
      <c r="AB1099">
        <f t="shared" si="43"/>
        <v>162</v>
      </c>
    </row>
    <row r="1100" spans="25:28" x14ac:dyDescent="0.2">
      <c r="Y1100">
        <v>22</v>
      </c>
      <c r="Z1100">
        <v>4</v>
      </c>
      <c r="AA1100">
        <f t="shared" si="42"/>
        <v>13</v>
      </c>
      <c r="AB1100">
        <f t="shared" si="43"/>
        <v>162</v>
      </c>
    </row>
    <row r="1101" spans="25:28" x14ac:dyDescent="0.2">
      <c r="Y1101">
        <v>22</v>
      </c>
      <c r="Z1101">
        <v>4</v>
      </c>
      <c r="AA1101">
        <f t="shared" si="42"/>
        <v>13</v>
      </c>
      <c r="AB1101">
        <f t="shared" si="43"/>
        <v>162</v>
      </c>
    </row>
    <row r="1102" spans="25:28" x14ac:dyDescent="0.2">
      <c r="Y1102">
        <v>22</v>
      </c>
      <c r="Z1102">
        <v>4</v>
      </c>
      <c r="AA1102">
        <f t="shared" si="42"/>
        <v>13</v>
      </c>
      <c r="AB1102">
        <f t="shared" si="43"/>
        <v>162</v>
      </c>
    </row>
    <row r="1103" spans="25:28" x14ac:dyDescent="0.2">
      <c r="Y1103">
        <v>22</v>
      </c>
      <c r="Z1103">
        <v>4</v>
      </c>
      <c r="AA1103">
        <f t="shared" si="42"/>
        <v>13</v>
      </c>
      <c r="AB1103">
        <f t="shared" si="43"/>
        <v>162</v>
      </c>
    </row>
    <row r="1104" spans="25:28" x14ac:dyDescent="0.2">
      <c r="Y1104">
        <v>22</v>
      </c>
      <c r="Z1104">
        <v>4</v>
      </c>
      <c r="AA1104">
        <f t="shared" si="42"/>
        <v>13</v>
      </c>
      <c r="AB1104">
        <f t="shared" si="43"/>
        <v>162</v>
      </c>
    </row>
    <row r="1105" spans="25:28" x14ac:dyDescent="0.2">
      <c r="Y1105">
        <v>23</v>
      </c>
      <c r="Z1105">
        <v>4</v>
      </c>
      <c r="AA1105">
        <f t="shared" si="42"/>
        <v>13</v>
      </c>
      <c r="AB1105">
        <f t="shared" si="43"/>
        <v>162</v>
      </c>
    </row>
    <row r="1106" spans="25:28" x14ac:dyDescent="0.2">
      <c r="Y1106">
        <v>23</v>
      </c>
      <c r="Z1106">
        <v>4</v>
      </c>
      <c r="AA1106">
        <f t="shared" si="42"/>
        <v>13</v>
      </c>
      <c r="AB1106">
        <f t="shared" si="43"/>
        <v>162</v>
      </c>
    </row>
    <row r="1107" spans="25:28" x14ac:dyDescent="0.2">
      <c r="Y1107">
        <v>23</v>
      </c>
      <c r="Z1107">
        <v>4</v>
      </c>
      <c r="AA1107">
        <f t="shared" si="42"/>
        <v>13</v>
      </c>
      <c r="AB1107">
        <f t="shared" si="43"/>
        <v>162</v>
      </c>
    </row>
    <row r="1108" spans="25:28" x14ac:dyDescent="0.2">
      <c r="Y1108">
        <v>23</v>
      </c>
      <c r="Z1108">
        <v>4</v>
      </c>
      <c r="AA1108">
        <f t="shared" si="42"/>
        <v>13</v>
      </c>
      <c r="AB1108">
        <f t="shared" si="43"/>
        <v>162</v>
      </c>
    </row>
    <row r="1109" spans="25:28" x14ac:dyDescent="0.2">
      <c r="Y1109">
        <v>23</v>
      </c>
      <c r="Z1109">
        <v>4</v>
      </c>
      <c r="AA1109">
        <f t="shared" si="42"/>
        <v>13</v>
      </c>
      <c r="AB1109">
        <f t="shared" si="43"/>
        <v>162</v>
      </c>
    </row>
    <row r="1110" spans="25:28" x14ac:dyDescent="0.2">
      <c r="Y1110">
        <v>23</v>
      </c>
      <c r="Z1110">
        <v>4</v>
      </c>
      <c r="AA1110">
        <f t="shared" si="42"/>
        <v>13</v>
      </c>
      <c r="AB1110">
        <f t="shared" si="43"/>
        <v>162</v>
      </c>
    </row>
    <row r="1111" spans="25:28" x14ac:dyDescent="0.2">
      <c r="Y1111">
        <v>23</v>
      </c>
      <c r="Z1111">
        <v>4</v>
      </c>
      <c r="AA1111">
        <f t="shared" si="42"/>
        <v>13</v>
      </c>
      <c r="AB1111">
        <f t="shared" si="43"/>
        <v>162</v>
      </c>
    </row>
    <row r="1112" spans="25:28" x14ac:dyDescent="0.2">
      <c r="Y1112">
        <v>23</v>
      </c>
      <c r="Z1112">
        <v>4</v>
      </c>
      <c r="AA1112">
        <f t="shared" si="42"/>
        <v>13</v>
      </c>
      <c r="AB1112">
        <f t="shared" si="43"/>
        <v>162</v>
      </c>
    </row>
    <row r="1113" spans="25:28" x14ac:dyDescent="0.2">
      <c r="Y1113">
        <v>23</v>
      </c>
      <c r="Z1113">
        <v>4</v>
      </c>
      <c r="AA1113">
        <f t="shared" si="42"/>
        <v>13</v>
      </c>
      <c r="AB1113">
        <f t="shared" si="43"/>
        <v>162</v>
      </c>
    </row>
    <row r="1114" spans="25:28" x14ac:dyDescent="0.2">
      <c r="Y1114">
        <v>23</v>
      </c>
      <c r="Z1114">
        <v>4</v>
      </c>
      <c r="AA1114">
        <f t="shared" si="42"/>
        <v>13</v>
      </c>
      <c r="AB1114">
        <f t="shared" si="43"/>
        <v>162</v>
      </c>
    </row>
    <row r="1115" spans="25:28" x14ac:dyDescent="0.2">
      <c r="Y1115">
        <v>23</v>
      </c>
      <c r="Z1115">
        <v>4</v>
      </c>
      <c r="AA1115">
        <f t="shared" si="42"/>
        <v>13</v>
      </c>
      <c r="AB1115">
        <f t="shared" si="43"/>
        <v>162</v>
      </c>
    </row>
    <row r="1116" spans="25:28" x14ac:dyDescent="0.2">
      <c r="Y1116">
        <v>23</v>
      </c>
      <c r="Z1116">
        <v>4</v>
      </c>
      <c r="AA1116">
        <f t="shared" si="42"/>
        <v>13</v>
      </c>
      <c r="AB1116">
        <f t="shared" si="43"/>
        <v>162</v>
      </c>
    </row>
    <row r="1117" spans="25:28" x14ac:dyDescent="0.2">
      <c r="Y1117">
        <v>23</v>
      </c>
      <c r="Z1117">
        <v>4</v>
      </c>
      <c r="AA1117">
        <f t="shared" si="42"/>
        <v>13</v>
      </c>
      <c r="AB1117">
        <f t="shared" si="43"/>
        <v>162</v>
      </c>
    </row>
    <row r="1118" spans="25:28" x14ac:dyDescent="0.2">
      <c r="Y1118">
        <v>23</v>
      </c>
      <c r="Z1118">
        <v>4</v>
      </c>
      <c r="AA1118">
        <f t="shared" si="42"/>
        <v>13</v>
      </c>
      <c r="AB1118">
        <f t="shared" si="43"/>
        <v>162</v>
      </c>
    </row>
    <row r="1119" spans="25:28" x14ac:dyDescent="0.2">
      <c r="Y1119">
        <v>23</v>
      </c>
      <c r="Z1119">
        <v>4</v>
      </c>
      <c r="AA1119">
        <f t="shared" si="42"/>
        <v>13</v>
      </c>
      <c r="AB1119">
        <f t="shared" si="43"/>
        <v>162</v>
      </c>
    </row>
    <row r="1120" spans="25:28" x14ac:dyDescent="0.2">
      <c r="Y1120">
        <v>23</v>
      </c>
      <c r="Z1120">
        <v>4</v>
      </c>
      <c r="AA1120">
        <f t="shared" si="42"/>
        <v>13</v>
      </c>
      <c r="AB1120">
        <f t="shared" si="43"/>
        <v>162</v>
      </c>
    </row>
    <row r="1121" spans="25:28" x14ac:dyDescent="0.2">
      <c r="Y1121">
        <v>23</v>
      </c>
      <c r="Z1121">
        <v>4</v>
      </c>
      <c r="AA1121">
        <f t="shared" si="42"/>
        <v>13</v>
      </c>
      <c r="AB1121">
        <f t="shared" si="43"/>
        <v>162</v>
      </c>
    </row>
    <row r="1122" spans="25:28" x14ac:dyDescent="0.2">
      <c r="Y1122">
        <v>23</v>
      </c>
      <c r="Z1122">
        <v>4</v>
      </c>
      <c r="AA1122">
        <f t="shared" si="42"/>
        <v>13</v>
      </c>
      <c r="AB1122">
        <f t="shared" si="43"/>
        <v>162</v>
      </c>
    </row>
    <row r="1123" spans="25:28" x14ac:dyDescent="0.2">
      <c r="Y1123">
        <v>23</v>
      </c>
      <c r="Z1123">
        <v>4</v>
      </c>
      <c r="AA1123">
        <f t="shared" si="42"/>
        <v>13</v>
      </c>
      <c r="AB1123">
        <f t="shared" si="43"/>
        <v>162</v>
      </c>
    </row>
    <row r="1124" spans="25:28" x14ac:dyDescent="0.2">
      <c r="Y1124">
        <v>23</v>
      </c>
      <c r="Z1124">
        <v>4</v>
      </c>
      <c r="AA1124">
        <f t="shared" si="42"/>
        <v>13</v>
      </c>
      <c r="AB1124">
        <f t="shared" si="43"/>
        <v>162</v>
      </c>
    </row>
    <row r="1125" spans="25:28" x14ac:dyDescent="0.2">
      <c r="Y1125">
        <v>23</v>
      </c>
      <c r="Z1125">
        <v>4</v>
      </c>
      <c r="AA1125">
        <f t="shared" si="42"/>
        <v>13</v>
      </c>
      <c r="AB1125">
        <f t="shared" si="43"/>
        <v>162</v>
      </c>
    </row>
    <row r="1126" spans="25:28" x14ac:dyDescent="0.2">
      <c r="Y1126">
        <v>23</v>
      </c>
      <c r="Z1126">
        <v>4</v>
      </c>
      <c r="AA1126">
        <f t="shared" si="42"/>
        <v>13</v>
      </c>
      <c r="AB1126">
        <f t="shared" si="43"/>
        <v>162</v>
      </c>
    </row>
    <row r="1127" spans="25:28" x14ac:dyDescent="0.2">
      <c r="Y1127">
        <v>23</v>
      </c>
      <c r="Z1127">
        <v>4</v>
      </c>
      <c r="AA1127">
        <f t="shared" si="42"/>
        <v>13</v>
      </c>
      <c r="AB1127">
        <f t="shared" si="43"/>
        <v>162</v>
      </c>
    </row>
    <row r="1128" spans="25:28" x14ac:dyDescent="0.2">
      <c r="Y1128">
        <v>23</v>
      </c>
      <c r="Z1128">
        <v>4</v>
      </c>
      <c r="AA1128">
        <f t="shared" si="42"/>
        <v>13</v>
      </c>
      <c r="AB1128">
        <f t="shared" si="43"/>
        <v>162</v>
      </c>
    </row>
    <row r="1129" spans="25:28" x14ac:dyDescent="0.2">
      <c r="Y1129">
        <v>23</v>
      </c>
      <c r="Z1129">
        <v>4</v>
      </c>
      <c r="AA1129">
        <f t="shared" si="42"/>
        <v>13</v>
      </c>
      <c r="AB1129">
        <f t="shared" si="43"/>
        <v>162</v>
      </c>
    </row>
    <row r="1130" spans="25:28" x14ac:dyDescent="0.2">
      <c r="Y1130">
        <v>24</v>
      </c>
      <c r="Z1130">
        <v>4</v>
      </c>
      <c r="AA1130">
        <f t="shared" si="42"/>
        <v>13</v>
      </c>
      <c r="AB1130">
        <f t="shared" si="43"/>
        <v>162</v>
      </c>
    </row>
    <row r="1131" spans="25:28" x14ac:dyDescent="0.2">
      <c r="Y1131">
        <v>24</v>
      </c>
      <c r="Z1131">
        <v>4</v>
      </c>
      <c r="AA1131">
        <f t="shared" si="42"/>
        <v>13</v>
      </c>
      <c r="AB1131">
        <f t="shared" si="43"/>
        <v>162</v>
      </c>
    </row>
    <row r="1132" spans="25:28" x14ac:dyDescent="0.2">
      <c r="Y1132">
        <v>24</v>
      </c>
      <c r="Z1132">
        <v>4</v>
      </c>
      <c r="AA1132">
        <f t="shared" si="42"/>
        <v>13</v>
      </c>
      <c r="AB1132">
        <f t="shared" si="43"/>
        <v>162</v>
      </c>
    </row>
    <row r="1133" spans="25:28" x14ac:dyDescent="0.2">
      <c r="Y1133">
        <v>24</v>
      </c>
      <c r="Z1133">
        <v>4</v>
      </c>
      <c r="AA1133">
        <f t="shared" si="42"/>
        <v>13</v>
      </c>
      <c r="AB1133">
        <f t="shared" si="43"/>
        <v>162</v>
      </c>
    </row>
    <row r="1134" spans="25:28" x14ac:dyDescent="0.2">
      <c r="Y1134">
        <v>25</v>
      </c>
      <c r="Z1134">
        <v>4</v>
      </c>
      <c r="AA1134">
        <f t="shared" si="42"/>
        <v>13</v>
      </c>
      <c r="AB1134">
        <f t="shared" si="43"/>
        <v>162</v>
      </c>
    </row>
    <row r="1135" spans="25:28" x14ac:dyDescent="0.2">
      <c r="Y1135">
        <v>25</v>
      </c>
      <c r="Z1135">
        <v>4</v>
      </c>
      <c r="AA1135">
        <f t="shared" si="42"/>
        <v>13</v>
      </c>
      <c r="AB1135">
        <f t="shared" si="43"/>
        <v>162</v>
      </c>
    </row>
    <row r="1136" spans="25:28" x14ac:dyDescent="0.2">
      <c r="Y1136">
        <v>25</v>
      </c>
      <c r="Z1136">
        <v>4</v>
      </c>
      <c r="AA1136">
        <f t="shared" si="42"/>
        <v>13</v>
      </c>
      <c r="AB1136">
        <f t="shared" si="43"/>
        <v>162</v>
      </c>
    </row>
    <row r="1137" spans="25:28" x14ac:dyDescent="0.2">
      <c r="Y1137">
        <v>25</v>
      </c>
      <c r="Z1137">
        <v>4</v>
      </c>
      <c r="AA1137">
        <f t="shared" si="42"/>
        <v>13</v>
      </c>
      <c r="AB1137">
        <f t="shared" si="43"/>
        <v>162</v>
      </c>
    </row>
    <row r="1138" spans="25:28" x14ac:dyDescent="0.2">
      <c r="Y1138">
        <v>25</v>
      </c>
      <c r="Z1138">
        <v>4</v>
      </c>
      <c r="AA1138">
        <f t="shared" si="42"/>
        <v>13</v>
      </c>
      <c r="AB1138">
        <f t="shared" si="43"/>
        <v>162</v>
      </c>
    </row>
    <row r="1139" spans="25:28" x14ac:dyDescent="0.2">
      <c r="Y1139">
        <v>25</v>
      </c>
      <c r="Z1139">
        <v>4</v>
      </c>
      <c r="AA1139">
        <f t="shared" si="42"/>
        <v>13</v>
      </c>
      <c r="AB1139">
        <f t="shared" si="43"/>
        <v>162</v>
      </c>
    </row>
    <row r="1140" spans="25:28" x14ac:dyDescent="0.2">
      <c r="Y1140">
        <v>25</v>
      </c>
      <c r="Z1140">
        <v>4</v>
      </c>
      <c r="AA1140">
        <f t="shared" si="42"/>
        <v>13</v>
      </c>
      <c r="AB1140">
        <f t="shared" si="43"/>
        <v>162</v>
      </c>
    </row>
    <row r="1141" spans="25:28" x14ac:dyDescent="0.2">
      <c r="Y1141">
        <v>25</v>
      </c>
      <c r="Z1141">
        <v>4</v>
      </c>
      <c r="AA1141">
        <f t="shared" si="42"/>
        <v>13</v>
      </c>
      <c r="AB1141">
        <f t="shared" si="43"/>
        <v>162</v>
      </c>
    </row>
    <row r="1142" spans="25:28" x14ac:dyDescent="0.2">
      <c r="Y1142">
        <v>25</v>
      </c>
      <c r="Z1142">
        <v>4</v>
      </c>
      <c r="AA1142">
        <f t="shared" si="42"/>
        <v>13</v>
      </c>
      <c r="AB1142">
        <f t="shared" si="43"/>
        <v>162</v>
      </c>
    </row>
    <row r="1143" spans="25:28" x14ac:dyDescent="0.2">
      <c r="Y1143">
        <v>25</v>
      </c>
      <c r="Z1143">
        <v>4</v>
      </c>
      <c r="AA1143">
        <f t="shared" si="42"/>
        <v>13</v>
      </c>
      <c r="AB1143">
        <f t="shared" si="43"/>
        <v>162</v>
      </c>
    </row>
    <row r="1144" spans="25:28" x14ac:dyDescent="0.2">
      <c r="Y1144">
        <v>25</v>
      </c>
      <c r="Z1144">
        <v>4</v>
      </c>
      <c r="AA1144">
        <f t="shared" si="42"/>
        <v>13</v>
      </c>
      <c r="AB1144">
        <f t="shared" si="43"/>
        <v>162</v>
      </c>
    </row>
    <row r="1145" spans="25:28" x14ac:dyDescent="0.2">
      <c r="Y1145">
        <v>25</v>
      </c>
      <c r="Z1145">
        <v>4</v>
      </c>
      <c r="AA1145">
        <f t="shared" si="42"/>
        <v>13</v>
      </c>
      <c r="AB1145">
        <f t="shared" si="43"/>
        <v>162</v>
      </c>
    </row>
    <row r="1146" spans="25:28" x14ac:dyDescent="0.2">
      <c r="Y1146">
        <v>25</v>
      </c>
      <c r="Z1146">
        <v>4</v>
      </c>
      <c r="AA1146">
        <f t="shared" si="42"/>
        <v>13</v>
      </c>
      <c r="AB1146">
        <f t="shared" si="43"/>
        <v>162</v>
      </c>
    </row>
    <row r="1147" spans="25:28" x14ac:dyDescent="0.2">
      <c r="Y1147">
        <v>25</v>
      </c>
      <c r="Z1147">
        <v>4</v>
      </c>
      <c r="AA1147">
        <f t="shared" si="42"/>
        <v>13</v>
      </c>
      <c r="AB1147">
        <f t="shared" si="43"/>
        <v>162</v>
      </c>
    </row>
    <row r="1148" spans="25:28" x14ac:dyDescent="0.2">
      <c r="Y1148">
        <v>25</v>
      </c>
      <c r="Z1148">
        <v>4</v>
      </c>
      <c r="AA1148">
        <f t="shared" si="42"/>
        <v>13</v>
      </c>
      <c r="AB1148">
        <f t="shared" si="43"/>
        <v>162</v>
      </c>
    </row>
    <row r="1149" spans="25:28" x14ac:dyDescent="0.2">
      <c r="Y1149">
        <v>31</v>
      </c>
      <c r="Z1149">
        <v>4</v>
      </c>
      <c r="AA1149">
        <f t="shared" si="42"/>
        <v>13</v>
      </c>
      <c r="AB1149">
        <f t="shared" si="43"/>
        <v>81</v>
      </c>
    </row>
    <row r="1150" spans="25:28" x14ac:dyDescent="0.2">
      <c r="Y1150">
        <v>31</v>
      </c>
      <c r="Z1150">
        <v>4</v>
      </c>
      <c r="AA1150">
        <f t="shared" si="42"/>
        <v>13</v>
      </c>
      <c r="AB1150">
        <f t="shared" si="43"/>
        <v>81</v>
      </c>
    </row>
    <row r="1151" spans="25:28" x14ac:dyDescent="0.2">
      <c r="Y1151">
        <v>31</v>
      </c>
      <c r="Z1151">
        <v>4</v>
      </c>
      <c r="AA1151">
        <f t="shared" si="42"/>
        <v>13</v>
      </c>
      <c r="AB1151">
        <f t="shared" si="43"/>
        <v>81</v>
      </c>
    </row>
    <row r="1152" spans="25:28" x14ac:dyDescent="0.2">
      <c r="Y1152">
        <v>31</v>
      </c>
      <c r="Z1152">
        <v>4</v>
      </c>
      <c r="AA1152">
        <f t="shared" si="42"/>
        <v>13</v>
      </c>
      <c r="AB1152">
        <f t="shared" si="43"/>
        <v>81</v>
      </c>
    </row>
    <row r="1153" spans="25:28" x14ac:dyDescent="0.2">
      <c r="Y1153">
        <v>31</v>
      </c>
      <c r="Z1153">
        <v>4</v>
      </c>
      <c r="AA1153">
        <f t="shared" si="42"/>
        <v>13</v>
      </c>
      <c r="AB1153">
        <f t="shared" si="43"/>
        <v>81</v>
      </c>
    </row>
    <row r="1154" spans="25:28" x14ac:dyDescent="0.2">
      <c r="Y1154">
        <v>31</v>
      </c>
      <c r="Z1154">
        <v>4</v>
      </c>
      <c r="AA1154">
        <f t="shared" si="42"/>
        <v>13</v>
      </c>
      <c r="AB1154">
        <f t="shared" si="43"/>
        <v>81</v>
      </c>
    </row>
    <row r="1155" spans="25:28" x14ac:dyDescent="0.2">
      <c r="Y1155">
        <v>31</v>
      </c>
      <c r="Z1155">
        <v>4</v>
      </c>
      <c r="AA1155">
        <f t="shared" si="42"/>
        <v>13</v>
      </c>
      <c r="AB1155">
        <f t="shared" si="43"/>
        <v>81</v>
      </c>
    </row>
    <row r="1156" spans="25:28" x14ac:dyDescent="0.2">
      <c r="Y1156">
        <v>31</v>
      </c>
      <c r="Z1156">
        <v>4</v>
      </c>
      <c r="AA1156">
        <f t="shared" si="42"/>
        <v>13</v>
      </c>
      <c r="AB1156">
        <f t="shared" si="43"/>
        <v>81</v>
      </c>
    </row>
    <row r="1157" spans="25:28" x14ac:dyDescent="0.2">
      <c r="Y1157">
        <v>31</v>
      </c>
      <c r="Z1157">
        <v>4</v>
      </c>
      <c r="AA1157">
        <f t="shared" si="42"/>
        <v>13</v>
      </c>
      <c r="AB1157">
        <f t="shared" si="43"/>
        <v>81</v>
      </c>
    </row>
    <row r="1158" spans="25:28" x14ac:dyDescent="0.2">
      <c r="Y1158">
        <v>31</v>
      </c>
      <c r="Z1158">
        <v>4</v>
      </c>
      <c r="AA1158">
        <f t="shared" si="42"/>
        <v>13</v>
      </c>
      <c r="AB1158">
        <f t="shared" si="43"/>
        <v>81</v>
      </c>
    </row>
    <row r="1159" spans="25:28" x14ac:dyDescent="0.2">
      <c r="Y1159">
        <v>31</v>
      </c>
      <c r="Z1159">
        <v>4</v>
      </c>
      <c r="AA1159">
        <f t="shared" ref="AA1159:AA1222" si="44">Z1159+9</f>
        <v>13</v>
      </c>
      <c r="AB1159">
        <f t="shared" ref="AB1159:AB1222" si="45">VLOOKUP(Y1159,$D$5:$Q$22,AA1159,FALSE)</f>
        <v>81</v>
      </c>
    </row>
    <row r="1160" spans="25:28" x14ac:dyDescent="0.2">
      <c r="Y1160">
        <v>31</v>
      </c>
      <c r="Z1160">
        <v>4</v>
      </c>
      <c r="AA1160">
        <f t="shared" si="44"/>
        <v>13</v>
      </c>
      <c r="AB1160">
        <f t="shared" si="45"/>
        <v>81</v>
      </c>
    </row>
    <row r="1161" spans="25:28" x14ac:dyDescent="0.2">
      <c r="Y1161">
        <v>31</v>
      </c>
      <c r="Z1161">
        <v>4</v>
      </c>
      <c r="AA1161">
        <f t="shared" si="44"/>
        <v>13</v>
      </c>
      <c r="AB1161">
        <f t="shared" si="45"/>
        <v>81</v>
      </c>
    </row>
    <row r="1162" spans="25:28" x14ac:dyDescent="0.2">
      <c r="Y1162">
        <v>31</v>
      </c>
      <c r="Z1162">
        <v>4</v>
      </c>
      <c r="AA1162">
        <f t="shared" si="44"/>
        <v>13</v>
      </c>
      <c r="AB1162">
        <f t="shared" si="45"/>
        <v>81</v>
      </c>
    </row>
    <row r="1163" spans="25:28" x14ac:dyDescent="0.2">
      <c r="Y1163">
        <v>31</v>
      </c>
      <c r="Z1163">
        <v>4</v>
      </c>
      <c r="AA1163">
        <f t="shared" si="44"/>
        <v>13</v>
      </c>
      <c r="AB1163">
        <f t="shared" si="45"/>
        <v>81</v>
      </c>
    </row>
    <row r="1164" spans="25:28" x14ac:dyDescent="0.2">
      <c r="Y1164">
        <v>31</v>
      </c>
      <c r="Z1164">
        <v>4</v>
      </c>
      <c r="AA1164">
        <f t="shared" si="44"/>
        <v>13</v>
      </c>
      <c r="AB1164">
        <f t="shared" si="45"/>
        <v>81</v>
      </c>
    </row>
    <row r="1165" spans="25:28" x14ac:dyDescent="0.2">
      <c r="Y1165">
        <v>31</v>
      </c>
      <c r="Z1165">
        <v>4</v>
      </c>
      <c r="AA1165">
        <f t="shared" si="44"/>
        <v>13</v>
      </c>
      <c r="AB1165">
        <f t="shared" si="45"/>
        <v>81</v>
      </c>
    </row>
    <row r="1166" spans="25:28" x14ac:dyDescent="0.2">
      <c r="Y1166">
        <v>31</v>
      </c>
      <c r="Z1166">
        <v>4</v>
      </c>
      <c r="AA1166">
        <f t="shared" si="44"/>
        <v>13</v>
      </c>
      <c r="AB1166">
        <f t="shared" si="45"/>
        <v>81</v>
      </c>
    </row>
    <row r="1167" spans="25:28" x14ac:dyDescent="0.2">
      <c r="Y1167">
        <v>31</v>
      </c>
      <c r="Z1167">
        <v>4</v>
      </c>
      <c r="AA1167">
        <f t="shared" si="44"/>
        <v>13</v>
      </c>
      <c r="AB1167">
        <f t="shared" si="45"/>
        <v>81</v>
      </c>
    </row>
    <row r="1168" spans="25:28" x14ac:dyDescent="0.2">
      <c r="Y1168">
        <v>31</v>
      </c>
      <c r="Z1168">
        <v>4</v>
      </c>
      <c r="AA1168">
        <f t="shared" si="44"/>
        <v>13</v>
      </c>
      <c r="AB1168">
        <f t="shared" si="45"/>
        <v>81</v>
      </c>
    </row>
    <row r="1169" spans="25:28" x14ac:dyDescent="0.2">
      <c r="Y1169">
        <v>31</v>
      </c>
      <c r="Z1169">
        <v>4</v>
      </c>
      <c r="AA1169">
        <f t="shared" si="44"/>
        <v>13</v>
      </c>
      <c r="AB1169">
        <f t="shared" si="45"/>
        <v>81</v>
      </c>
    </row>
    <row r="1170" spans="25:28" x14ac:dyDescent="0.2">
      <c r="Y1170">
        <v>31</v>
      </c>
      <c r="Z1170">
        <v>4</v>
      </c>
      <c r="AA1170">
        <f t="shared" si="44"/>
        <v>13</v>
      </c>
      <c r="AB1170">
        <f t="shared" si="45"/>
        <v>81</v>
      </c>
    </row>
    <row r="1171" spans="25:28" x14ac:dyDescent="0.2">
      <c r="Y1171">
        <v>31</v>
      </c>
      <c r="Z1171">
        <v>4</v>
      </c>
      <c r="AA1171">
        <f t="shared" si="44"/>
        <v>13</v>
      </c>
      <c r="AB1171">
        <f t="shared" si="45"/>
        <v>81</v>
      </c>
    </row>
    <row r="1172" spans="25:28" x14ac:dyDescent="0.2">
      <c r="Y1172">
        <v>31</v>
      </c>
      <c r="Z1172">
        <v>4</v>
      </c>
      <c r="AA1172">
        <f t="shared" si="44"/>
        <v>13</v>
      </c>
      <c r="AB1172">
        <f t="shared" si="45"/>
        <v>81</v>
      </c>
    </row>
    <row r="1173" spans="25:28" x14ac:dyDescent="0.2">
      <c r="Y1173">
        <v>31</v>
      </c>
      <c r="Z1173">
        <v>4</v>
      </c>
      <c r="AA1173">
        <f t="shared" si="44"/>
        <v>13</v>
      </c>
      <c r="AB1173">
        <f t="shared" si="45"/>
        <v>81</v>
      </c>
    </row>
    <row r="1174" spans="25:28" x14ac:dyDescent="0.2">
      <c r="Y1174">
        <v>32</v>
      </c>
      <c r="Z1174">
        <v>4</v>
      </c>
      <c r="AA1174">
        <f t="shared" si="44"/>
        <v>13</v>
      </c>
      <c r="AB1174">
        <f t="shared" si="45"/>
        <v>162</v>
      </c>
    </row>
    <row r="1175" spans="25:28" x14ac:dyDescent="0.2">
      <c r="Y1175">
        <v>32</v>
      </c>
      <c r="Z1175">
        <v>4</v>
      </c>
      <c r="AA1175">
        <f t="shared" si="44"/>
        <v>13</v>
      </c>
      <c r="AB1175">
        <f t="shared" si="45"/>
        <v>162</v>
      </c>
    </row>
    <row r="1176" spans="25:28" x14ac:dyDescent="0.2">
      <c r="Y1176">
        <v>32</v>
      </c>
      <c r="Z1176">
        <v>4</v>
      </c>
      <c r="AA1176">
        <f t="shared" si="44"/>
        <v>13</v>
      </c>
      <c r="AB1176">
        <f t="shared" si="45"/>
        <v>162</v>
      </c>
    </row>
    <row r="1177" spans="25:28" x14ac:dyDescent="0.2">
      <c r="Y1177">
        <v>32</v>
      </c>
      <c r="Z1177">
        <v>4</v>
      </c>
      <c r="AA1177">
        <f t="shared" si="44"/>
        <v>13</v>
      </c>
      <c r="AB1177">
        <f t="shared" si="45"/>
        <v>162</v>
      </c>
    </row>
    <row r="1178" spans="25:28" x14ac:dyDescent="0.2">
      <c r="Y1178">
        <v>32</v>
      </c>
      <c r="Z1178">
        <v>4</v>
      </c>
      <c r="AA1178">
        <f t="shared" si="44"/>
        <v>13</v>
      </c>
      <c r="AB1178">
        <f t="shared" si="45"/>
        <v>162</v>
      </c>
    </row>
    <row r="1179" spans="25:28" x14ac:dyDescent="0.2">
      <c r="Y1179">
        <v>32</v>
      </c>
      <c r="Z1179">
        <v>4</v>
      </c>
      <c r="AA1179">
        <f t="shared" si="44"/>
        <v>13</v>
      </c>
      <c r="AB1179">
        <f t="shared" si="45"/>
        <v>162</v>
      </c>
    </row>
    <row r="1180" spans="25:28" x14ac:dyDescent="0.2">
      <c r="Y1180">
        <v>32</v>
      </c>
      <c r="Z1180">
        <v>4</v>
      </c>
      <c r="AA1180">
        <f t="shared" si="44"/>
        <v>13</v>
      </c>
      <c r="AB1180">
        <f t="shared" si="45"/>
        <v>162</v>
      </c>
    </row>
    <row r="1181" spans="25:28" x14ac:dyDescent="0.2">
      <c r="Y1181">
        <v>32</v>
      </c>
      <c r="Z1181">
        <v>4</v>
      </c>
      <c r="AA1181">
        <f t="shared" si="44"/>
        <v>13</v>
      </c>
      <c r="AB1181">
        <f t="shared" si="45"/>
        <v>162</v>
      </c>
    </row>
    <row r="1182" spans="25:28" x14ac:dyDescent="0.2">
      <c r="Y1182">
        <v>32</v>
      </c>
      <c r="Z1182">
        <v>4</v>
      </c>
      <c r="AA1182">
        <f t="shared" si="44"/>
        <v>13</v>
      </c>
      <c r="AB1182">
        <f t="shared" si="45"/>
        <v>162</v>
      </c>
    </row>
    <row r="1183" spans="25:28" x14ac:dyDescent="0.2">
      <c r="Y1183">
        <v>32</v>
      </c>
      <c r="Z1183">
        <v>4</v>
      </c>
      <c r="AA1183">
        <f t="shared" si="44"/>
        <v>13</v>
      </c>
      <c r="AB1183">
        <f t="shared" si="45"/>
        <v>162</v>
      </c>
    </row>
    <row r="1184" spans="25:28" x14ac:dyDescent="0.2">
      <c r="Y1184">
        <v>32</v>
      </c>
      <c r="Z1184">
        <v>4</v>
      </c>
      <c r="AA1184">
        <f t="shared" si="44"/>
        <v>13</v>
      </c>
      <c r="AB1184">
        <f t="shared" si="45"/>
        <v>162</v>
      </c>
    </row>
    <row r="1185" spans="25:28" x14ac:dyDescent="0.2">
      <c r="Y1185">
        <v>32</v>
      </c>
      <c r="Z1185">
        <v>4</v>
      </c>
      <c r="AA1185">
        <f t="shared" si="44"/>
        <v>13</v>
      </c>
      <c r="AB1185">
        <f t="shared" si="45"/>
        <v>162</v>
      </c>
    </row>
    <row r="1186" spans="25:28" x14ac:dyDescent="0.2">
      <c r="Y1186">
        <v>32</v>
      </c>
      <c r="Z1186">
        <v>4</v>
      </c>
      <c r="AA1186">
        <f t="shared" si="44"/>
        <v>13</v>
      </c>
      <c r="AB1186">
        <f t="shared" si="45"/>
        <v>162</v>
      </c>
    </row>
    <row r="1187" spans="25:28" x14ac:dyDescent="0.2">
      <c r="Y1187">
        <v>32</v>
      </c>
      <c r="Z1187">
        <v>4</v>
      </c>
      <c r="AA1187">
        <f t="shared" si="44"/>
        <v>13</v>
      </c>
      <c r="AB1187">
        <f t="shared" si="45"/>
        <v>162</v>
      </c>
    </row>
    <row r="1188" spans="25:28" x14ac:dyDescent="0.2">
      <c r="Y1188">
        <v>32</v>
      </c>
      <c r="Z1188">
        <v>4</v>
      </c>
      <c r="AA1188">
        <f t="shared" si="44"/>
        <v>13</v>
      </c>
      <c r="AB1188">
        <f t="shared" si="45"/>
        <v>162</v>
      </c>
    </row>
    <row r="1189" spans="25:28" x14ac:dyDescent="0.2">
      <c r="Y1189">
        <v>32</v>
      </c>
      <c r="Z1189">
        <v>4</v>
      </c>
      <c r="AA1189">
        <f t="shared" si="44"/>
        <v>13</v>
      </c>
      <c r="AB1189">
        <f t="shared" si="45"/>
        <v>162</v>
      </c>
    </row>
    <row r="1190" spans="25:28" x14ac:dyDescent="0.2">
      <c r="Y1190">
        <v>32</v>
      </c>
      <c r="Z1190">
        <v>4</v>
      </c>
      <c r="AA1190">
        <f t="shared" si="44"/>
        <v>13</v>
      </c>
      <c r="AB1190">
        <f t="shared" si="45"/>
        <v>162</v>
      </c>
    </row>
    <row r="1191" spans="25:28" x14ac:dyDescent="0.2">
      <c r="Y1191">
        <v>32</v>
      </c>
      <c r="Z1191">
        <v>4</v>
      </c>
      <c r="AA1191">
        <f t="shared" si="44"/>
        <v>13</v>
      </c>
      <c r="AB1191">
        <f t="shared" si="45"/>
        <v>162</v>
      </c>
    </row>
    <row r="1192" spans="25:28" x14ac:dyDescent="0.2">
      <c r="Y1192">
        <v>32</v>
      </c>
      <c r="Z1192">
        <v>4</v>
      </c>
      <c r="AA1192">
        <f t="shared" si="44"/>
        <v>13</v>
      </c>
      <c r="AB1192">
        <f t="shared" si="45"/>
        <v>162</v>
      </c>
    </row>
    <row r="1193" spans="25:28" x14ac:dyDescent="0.2">
      <c r="Y1193">
        <v>32</v>
      </c>
      <c r="Z1193">
        <v>4</v>
      </c>
      <c r="AA1193">
        <f t="shared" si="44"/>
        <v>13</v>
      </c>
      <c r="AB1193">
        <f t="shared" si="45"/>
        <v>162</v>
      </c>
    </row>
    <row r="1194" spans="25:28" x14ac:dyDescent="0.2">
      <c r="Y1194">
        <v>32</v>
      </c>
      <c r="Z1194">
        <v>4</v>
      </c>
      <c r="AA1194">
        <f t="shared" si="44"/>
        <v>13</v>
      </c>
      <c r="AB1194">
        <f t="shared" si="45"/>
        <v>162</v>
      </c>
    </row>
    <row r="1195" spans="25:28" x14ac:dyDescent="0.2">
      <c r="Y1195">
        <v>32</v>
      </c>
      <c r="Z1195">
        <v>4</v>
      </c>
      <c r="AA1195">
        <f t="shared" si="44"/>
        <v>13</v>
      </c>
      <c r="AB1195">
        <f t="shared" si="45"/>
        <v>162</v>
      </c>
    </row>
    <row r="1196" spans="25:28" x14ac:dyDescent="0.2">
      <c r="Y1196">
        <v>32</v>
      </c>
      <c r="Z1196">
        <v>4</v>
      </c>
      <c r="AA1196">
        <f t="shared" si="44"/>
        <v>13</v>
      </c>
      <c r="AB1196">
        <f t="shared" si="45"/>
        <v>162</v>
      </c>
    </row>
    <row r="1197" spans="25:28" x14ac:dyDescent="0.2">
      <c r="Y1197">
        <v>32</v>
      </c>
      <c r="Z1197">
        <v>4</v>
      </c>
      <c r="AA1197">
        <f t="shared" si="44"/>
        <v>13</v>
      </c>
      <c r="AB1197">
        <f t="shared" si="45"/>
        <v>162</v>
      </c>
    </row>
    <row r="1198" spans="25:28" x14ac:dyDescent="0.2">
      <c r="Y1198">
        <v>32</v>
      </c>
      <c r="Z1198">
        <v>4</v>
      </c>
      <c r="AA1198">
        <f t="shared" si="44"/>
        <v>13</v>
      </c>
      <c r="AB1198">
        <f t="shared" si="45"/>
        <v>162</v>
      </c>
    </row>
    <row r="1199" spans="25:28" x14ac:dyDescent="0.2">
      <c r="Y1199">
        <v>8</v>
      </c>
      <c r="Z1199">
        <v>5</v>
      </c>
      <c r="AA1199">
        <f t="shared" si="44"/>
        <v>14</v>
      </c>
      <c r="AB1199">
        <f t="shared" si="45"/>
        <v>3</v>
      </c>
    </row>
    <row r="1200" spans="25:28" x14ac:dyDescent="0.2">
      <c r="Y1200">
        <v>8</v>
      </c>
      <c r="Z1200">
        <v>5</v>
      </c>
      <c r="AA1200">
        <f t="shared" si="44"/>
        <v>14</v>
      </c>
      <c r="AB1200">
        <f t="shared" si="45"/>
        <v>3</v>
      </c>
    </row>
    <row r="1201" spans="25:28" x14ac:dyDescent="0.2">
      <c r="Y1201">
        <v>8</v>
      </c>
      <c r="Z1201">
        <v>5</v>
      </c>
      <c r="AA1201">
        <f t="shared" si="44"/>
        <v>14</v>
      </c>
      <c r="AB1201">
        <f t="shared" si="45"/>
        <v>3</v>
      </c>
    </row>
    <row r="1202" spans="25:28" x14ac:dyDescent="0.2">
      <c r="Y1202">
        <v>8</v>
      </c>
      <c r="Z1202">
        <v>5</v>
      </c>
      <c r="AA1202">
        <f t="shared" si="44"/>
        <v>14</v>
      </c>
      <c r="AB1202">
        <f t="shared" si="45"/>
        <v>3</v>
      </c>
    </row>
    <row r="1203" spans="25:28" x14ac:dyDescent="0.2">
      <c r="Y1203">
        <v>8</v>
      </c>
      <c r="Z1203">
        <v>5</v>
      </c>
      <c r="AA1203">
        <f t="shared" si="44"/>
        <v>14</v>
      </c>
      <c r="AB1203">
        <f t="shared" si="45"/>
        <v>3</v>
      </c>
    </row>
    <row r="1204" spans="25:28" x14ac:dyDescent="0.2">
      <c r="Y1204">
        <v>8</v>
      </c>
      <c r="Z1204">
        <v>5</v>
      </c>
      <c r="AA1204">
        <f t="shared" si="44"/>
        <v>14</v>
      </c>
      <c r="AB1204">
        <f t="shared" si="45"/>
        <v>3</v>
      </c>
    </row>
    <row r="1205" spans="25:28" x14ac:dyDescent="0.2">
      <c r="Y1205">
        <v>8</v>
      </c>
      <c r="Z1205">
        <v>5</v>
      </c>
      <c r="AA1205">
        <f t="shared" si="44"/>
        <v>14</v>
      </c>
      <c r="AB1205">
        <f t="shared" si="45"/>
        <v>3</v>
      </c>
    </row>
    <row r="1206" spans="25:28" x14ac:dyDescent="0.2">
      <c r="Y1206">
        <v>1</v>
      </c>
      <c r="Z1206">
        <v>5</v>
      </c>
      <c r="AA1206">
        <f t="shared" si="44"/>
        <v>14</v>
      </c>
      <c r="AB1206">
        <f t="shared" si="45"/>
        <v>3</v>
      </c>
    </row>
    <row r="1207" spans="25:28" x14ac:dyDescent="0.2">
      <c r="Y1207">
        <v>1</v>
      </c>
      <c r="Z1207">
        <v>5</v>
      </c>
      <c r="AA1207">
        <f t="shared" si="44"/>
        <v>14</v>
      </c>
      <c r="AB1207">
        <f t="shared" si="45"/>
        <v>3</v>
      </c>
    </row>
    <row r="1208" spans="25:28" x14ac:dyDescent="0.2">
      <c r="Y1208">
        <v>1</v>
      </c>
      <c r="Z1208">
        <v>5</v>
      </c>
      <c r="AA1208">
        <f t="shared" si="44"/>
        <v>14</v>
      </c>
      <c r="AB1208">
        <f t="shared" si="45"/>
        <v>3</v>
      </c>
    </row>
    <row r="1209" spans="25:28" x14ac:dyDescent="0.2">
      <c r="Y1209">
        <v>1</v>
      </c>
      <c r="Z1209">
        <v>5</v>
      </c>
      <c r="AA1209">
        <f t="shared" si="44"/>
        <v>14</v>
      </c>
      <c r="AB1209">
        <f t="shared" si="45"/>
        <v>3</v>
      </c>
    </row>
    <row r="1210" spans="25:28" x14ac:dyDescent="0.2">
      <c r="Y1210">
        <v>1</v>
      </c>
      <c r="Z1210">
        <v>5</v>
      </c>
      <c r="AA1210">
        <f t="shared" si="44"/>
        <v>14</v>
      </c>
      <c r="AB1210">
        <f t="shared" si="45"/>
        <v>3</v>
      </c>
    </row>
    <row r="1211" spans="25:28" x14ac:dyDescent="0.2">
      <c r="Y1211">
        <v>4</v>
      </c>
      <c r="Z1211">
        <v>5</v>
      </c>
      <c r="AA1211">
        <f t="shared" si="44"/>
        <v>14</v>
      </c>
      <c r="AB1211">
        <f t="shared" si="45"/>
        <v>3</v>
      </c>
    </row>
    <row r="1212" spans="25:28" x14ac:dyDescent="0.2">
      <c r="Y1212">
        <v>4</v>
      </c>
      <c r="Z1212">
        <v>5</v>
      </c>
      <c r="AA1212">
        <f t="shared" si="44"/>
        <v>14</v>
      </c>
      <c r="AB1212">
        <f t="shared" si="45"/>
        <v>3</v>
      </c>
    </row>
    <row r="1213" spans="25:28" x14ac:dyDescent="0.2">
      <c r="Y1213">
        <v>4</v>
      </c>
      <c r="Z1213">
        <v>5</v>
      </c>
      <c r="AA1213">
        <f t="shared" si="44"/>
        <v>14</v>
      </c>
      <c r="AB1213">
        <f t="shared" si="45"/>
        <v>3</v>
      </c>
    </row>
    <row r="1214" spans="25:28" x14ac:dyDescent="0.2">
      <c r="Y1214">
        <v>4</v>
      </c>
      <c r="Z1214">
        <v>5</v>
      </c>
      <c r="AA1214">
        <f t="shared" si="44"/>
        <v>14</v>
      </c>
      <c r="AB1214">
        <f t="shared" si="45"/>
        <v>3</v>
      </c>
    </row>
    <row r="1215" spans="25:28" x14ac:dyDescent="0.2">
      <c r="Y1215">
        <v>4</v>
      </c>
      <c r="Z1215">
        <v>5</v>
      </c>
      <c r="AA1215">
        <f t="shared" si="44"/>
        <v>14</v>
      </c>
      <c r="AB1215">
        <f t="shared" si="45"/>
        <v>3</v>
      </c>
    </row>
    <row r="1216" spans="25:28" x14ac:dyDescent="0.2">
      <c r="Y1216">
        <v>4</v>
      </c>
      <c r="Z1216">
        <v>5</v>
      </c>
      <c r="AA1216">
        <f t="shared" si="44"/>
        <v>14</v>
      </c>
      <c r="AB1216">
        <f t="shared" si="45"/>
        <v>3</v>
      </c>
    </row>
    <row r="1217" spans="25:28" x14ac:dyDescent="0.2">
      <c r="Y1217">
        <v>2</v>
      </c>
      <c r="Z1217">
        <v>5</v>
      </c>
      <c r="AA1217">
        <f t="shared" si="44"/>
        <v>14</v>
      </c>
      <c r="AB1217">
        <f t="shared" si="45"/>
        <v>3</v>
      </c>
    </row>
    <row r="1218" spans="25:28" x14ac:dyDescent="0.2">
      <c r="Y1218">
        <v>2</v>
      </c>
      <c r="Z1218">
        <v>5</v>
      </c>
      <c r="AA1218">
        <f t="shared" si="44"/>
        <v>14</v>
      </c>
      <c r="AB1218">
        <f t="shared" si="45"/>
        <v>3</v>
      </c>
    </row>
    <row r="1219" spans="25:28" x14ac:dyDescent="0.2">
      <c r="Y1219">
        <v>2</v>
      </c>
      <c r="Z1219">
        <v>5</v>
      </c>
      <c r="AA1219">
        <f t="shared" si="44"/>
        <v>14</v>
      </c>
      <c r="AB1219">
        <f t="shared" si="45"/>
        <v>3</v>
      </c>
    </row>
    <row r="1220" spans="25:28" x14ac:dyDescent="0.2">
      <c r="Y1220">
        <v>6</v>
      </c>
      <c r="Z1220">
        <v>5</v>
      </c>
      <c r="AA1220">
        <f t="shared" si="44"/>
        <v>14</v>
      </c>
      <c r="AB1220">
        <f t="shared" si="45"/>
        <v>3</v>
      </c>
    </row>
    <row r="1221" spans="25:28" x14ac:dyDescent="0.2">
      <c r="Y1221">
        <v>6</v>
      </c>
      <c r="Z1221">
        <v>5</v>
      </c>
      <c r="AA1221">
        <f t="shared" si="44"/>
        <v>14</v>
      </c>
      <c r="AB1221">
        <f t="shared" si="45"/>
        <v>3</v>
      </c>
    </row>
    <row r="1222" spans="25:28" x14ac:dyDescent="0.2">
      <c r="Y1222">
        <v>6</v>
      </c>
      <c r="Z1222">
        <v>5</v>
      </c>
      <c r="AA1222">
        <f t="shared" si="44"/>
        <v>14</v>
      </c>
      <c r="AB1222">
        <f t="shared" si="45"/>
        <v>3</v>
      </c>
    </row>
    <row r="1223" spans="25:28" x14ac:dyDescent="0.2">
      <c r="Y1223">
        <v>7</v>
      </c>
      <c r="Z1223">
        <v>5</v>
      </c>
      <c r="AA1223">
        <f t="shared" ref="AA1223:AA1286" si="46">Z1223+9</f>
        <v>14</v>
      </c>
      <c r="AB1223">
        <f t="shared" ref="AB1223:AB1286" si="47">VLOOKUP(Y1223,$D$5:$Q$22,AA1223,FALSE)</f>
        <v>3</v>
      </c>
    </row>
    <row r="1224" spans="25:28" x14ac:dyDescent="0.2">
      <c r="Y1224">
        <v>5</v>
      </c>
      <c r="Z1224">
        <v>5</v>
      </c>
      <c r="AA1224">
        <f t="shared" si="46"/>
        <v>14</v>
      </c>
      <c r="AB1224">
        <f t="shared" si="47"/>
        <v>3</v>
      </c>
    </row>
    <row r="1225" spans="25:28" x14ac:dyDescent="0.2">
      <c r="Y1225">
        <v>5</v>
      </c>
      <c r="Z1225">
        <v>5</v>
      </c>
      <c r="AA1225">
        <f t="shared" si="46"/>
        <v>14</v>
      </c>
      <c r="AB1225">
        <f t="shared" si="47"/>
        <v>3</v>
      </c>
    </row>
    <row r="1226" spans="25:28" x14ac:dyDescent="0.2">
      <c r="Y1226">
        <v>5</v>
      </c>
      <c r="Z1226">
        <v>5</v>
      </c>
      <c r="AA1226">
        <f t="shared" si="46"/>
        <v>14</v>
      </c>
      <c r="AB1226">
        <f t="shared" si="47"/>
        <v>3</v>
      </c>
    </row>
    <row r="1227" spans="25:28" x14ac:dyDescent="0.2">
      <c r="Y1227">
        <v>5</v>
      </c>
      <c r="Z1227">
        <v>5</v>
      </c>
      <c r="AA1227">
        <f t="shared" si="46"/>
        <v>14</v>
      </c>
      <c r="AB1227">
        <f t="shared" si="47"/>
        <v>3</v>
      </c>
    </row>
    <row r="1228" spans="25:28" x14ac:dyDescent="0.2">
      <c r="Y1228">
        <v>5</v>
      </c>
      <c r="Z1228">
        <v>5</v>
      </c>
      <c r="AA1228">
        <f t="shared" si="46"/>
        <v>14</v>
      </c>
      <c r="AB1228">
        <f t="shared" si="47"/>
        <v>3</v>
      </c>
    </row>
    <row r="1229" spans="25:28" x14ac:dyDescent="0.2">
      <c r="Y1229">
        <v>10</v>
      </c>
      <c r="Z1229">
        <v>5</v>
      </c>
      <c r="AA1229">
        <f t="shared" si="46"/>
        <v>14</v>
      </c>
      <c r="AB1229">
        <f t="shared" si="47"/>
        <v>3</v>
      </c>
    </row>
    <row r="1230" spans="25:28" x14ac:dyDescent="0.2">
      <c r="Y1230">
        <v>10</v>
      </c>
      <c r="Z1230">
        <v>5</v>
      </c>
      <c r="AA1230">
        <f t="shared" si="46"/>
        <v>14</v>
      </c>
      <c r="AB1230">
        <f t="shared" si="47"/>
        <v>3</v>
      </c>
    </row>
    <row r="1231" spans="25:28" x14ac:dyDescent="0.2">
      <c r="Y1231">
        <v>9</v>
      </c>
      <c r="Z1231">
        <v>5</v>
      </c>
      <c r="AA1231">
        <f t="shared" si="46"/>
        <v>14</v>
      </c>
      <c r="AB1231">
        <f t="shared" si="47"/>
        <v>3</v>
      </c>
    </row>
    <row r="1232" spans="25:28" x14ac:dyDescent="0.2">
      <c r="Y1232">
        <v>9</v>
      </c>
      <c r="Z1232">
        <v>5</v>
      </c>
      <c r="AA1232">
        <f t="shared" si="46"/>
        <v>14</v>
      </c>
      <c r="AB1232">
        <f t="shared" si="47"/>
        <v>3</v>
      </c>
    </row>
    <row r="1233" spans="25:28" x14ac:dyDescent="0.2">
      <c r="Y1233">
        <v>9</v>
      </c>
      <c r="Z1233">
        <v>5</v>
      </c>
      <c r="AA1233">
        <f t="shared" si="46"/>
        <v>14</v>
      </c>
      <c r="AB1233">
        <f t="shared" si="47"/>
        <v>3</v>
      </c>
    </row>
    <row r="1234" spans="25:28" x14ac:dyDescent="0.2">
      <c r="Y1234">
        <v>9</v>
      </c>
      <c r="Z1234">
        <v>5</v>
      </c>
      <c r="AA1234">
        <f t="shared" si="46"/>
        <v>14</v>
      </c>
      <c r="AB1234">
        <f t="shared" si="47"/>
        <v>3</v>
      </c>
    </row>
    <row r="1235" spans="25:28" x14ac:dyDescent="0.2">
      <c r="Y1235">
        <v>9</v>
      </c>
      <c r="Z1235">
        <v>5</v>
      </c>
      <c r="AA1235">
        <f t="shared" si="46"/>
        <v>14</v>
      </c>
      <c r="AB1235">
        <f t="shared" si="47"/>
        <v>3</v>
      </c>
    </row>
    <row r="1236" spans="25:28" x14ac:dyDescent="0.2">
      <c r="Y1236">
        <v>9</v>
      </c>
      <c r="Z1236">
        <v>5</v>
      </c>
      <c r="AA1236">
        <f t="shared" si="46"/>
        <v>14</v>
      </c>
      <c r="AB1236">
        <f t="shared" si="47"/>
        <v>3</v>
      </c>
    </row>
    <row r="1237" spans="25:28" x14ac:dyDescent="0.2">
      <c r="Y1237">
        <v>9</v>
      </c>
      <c r="Z1237">
        <v>5</v>
      </c>
      <c r="AA1237">
        <f t="shared" si="46"/>
        <v>14</v>
      </c>
      <c r="AB1237">
        <f t="shared" si="47"/>
        <v>3</v>
      </c>
    </row>
    <row r="1238" spans="25:28" x14ac:dyDescent="0.2">
      <c r="Y1238">
        <v>9</v>
      </c>
      <c r="Z1238">
        <v>5</v>
      </c>
      <c r="AA1238">
        <f t="shared" si="46"/>
        <v>14</v>
      </c>
      <c r="AB1238">
        <f t="shared" si="47"/>
        <v>3</v>
      </c>
    </row>
    <row r="1239" spans="25:28" x14ac:dyDescent="0.2">
      <c r="Y1239">
        <v>9</v>
      </c>
      <c r="Z1239">
        <v>5</v>
      </c>
      <c r="AA1239">
        <f t="shared" si="46"/>
        <v>14</v>
      </c>
      <c r="AB1239">
        <f t="shared" si="47"/>
        <v>3</v>
      </c>
    </row>
    <row r="1240" spans="25:28" x14ac:dyDescent="0.2">
      <c r="Y1240">
        <v>9</v>
      </c>
      <c r="Z1240">
        <v>5</v>
      </c>
      <c r="AA1240">
        <f t="shared" si="46"/>
        <v>14</v>
      </c>
      <c r="AB1240">
        <f t="shared" si="47"/>
        <v>3</v>
      </c>
    </row>
    <row r="1241" spans="25:28" x14ac:dyDescent="0.2">
      <c r="Y1241">
        <v>11</v>
      </c>
      <c r="Z1241">
        <v>5</v>
      </c>
      <c r="AA1241">
        <f t="shared" si="46"/>
        <v>14</v>
      </c>
      <c r="AB1241">
        <f t="shared" si="47"/>
        <v>3</v>
      </c>
    </row>
    <row r="1242" spans="25:28" x14ac:dyDescent="0.2">
      <c r="Y1242">
        <v>11</v>
      </c>
      <c r="Z1242">
        <v>5</v>
      </c>
      <c r="AA1242">
        <f t="shared" si="46"/>
        <v>14</v>
      </c>
      <c r="AB1242">
        <f t="shared" si="47"/>
        <v>3</v>
      </c>
    </row>
    <row r="1243" spans="25:28" x14ac:dyDescent="0.2">
      <c r="Y1243">
        <v>11</v>
      </c>
      <c r="Z1243">
        <v>5</v>
      </c>
      <c r="AA1243">
        <f t="shared" si="46"/>
        <v>14</v>
      </c>
      <c r="AB1243">
        <f t="shared" si="47"/>
        <v>3</v>
      </c>
    </row>
    <row r="1244" spans="25:28" x14ac:dyDescent="0.2">
      <c r="Y1244">
        <v>11</v>
      </c>
      <c r="Z1244">
        <v>5</v>
      </c>
      <c r="AA1244">
        <f t="shared" si="46"/>
        <v>14</v>
      </c>
      <c r="AB1244">
        <f t="shared" si="47"/>
        <v>3</v>
      </c>
    </row>
    <row r="1245" spans="25:28" x14ac:dyDescent="0.2">
      <c r="Y1245">
        <v>11</v>
      </c>
      <c r="Z1245">
        <v>5</v>
      </c>
      <c r="AA1245">
        <f t="shared" si="46"/>
        <v>14</v>
      </c>
      <c r="AB1245">
        <f t="shared" si="47"/>
        <v>3</v>
      </c>
    </row>
    <row r="1246" spans="25:28" x14ac:dyDescent="0.2">
      <c r="Y1246">
        <v>11</v>
      </c>
      <c r="Z1246">
        <v>5</v>
      </c>
      <c r="AA1246">
        <f t="shared" si="46"/>
        <v>14</v>
      </c>
      <c r="AB1246">
        <f t="shared" si="47"/>
        <v>3</v>
      </c>
    </row>
    <row r="1247" spans="25:28" x14ac:dyDescent="0.2">
      <c r="Y1247">
        <v>11</v>
      </c>
      <c r="Z1247">
        <v>5</v>
      </c>
      <c r="AA1247">
        <f t="shared" si="46"/>
        <v>14</v>
      </c>
      <c r="AB1247">
        <f t="shared" si="47"/>
        <v>3</v>
      </c>
    </row>
    <row r="1248" spans="25:28" x14ac:dyDescent="0.2">
      <c r="Y1248">
        <v>11</v>
      </c>
      <c r="Z1248">
        <v>5</v>
      </c>
      <c r="AA1248">
        <f t="shared" si="46"/>
        <v>14</v>
      </c>
      <c r="AB1248">
        <f t="shared" si="47"/>
        <v>3</v>
      </c>
    </row>
    <row r="1249" spans="25:28" x14ac:dyDescent="0.2">
      <c r="Y1249">
        <v>11</v>
      </c>
      <c r="Z1249">
        <v>5</v>
      </c>
      <c r="AA1249">
        <f t="shared" si="46"/>
        <v>14</v>
      </c>
      <c r="AB1249">
        <f t="shared" si="47"/>
        <v>3</v>
      </c>
    </row>
    <row r="1250" spans="25:28" x14ac:dyDescent="0.2">
      <c r="Y1250">
        <v>11</v>
      </c>
      <c r="Z1250">
        <v>5</v>
      </c>
      <c r="AA1250">
        <f t="shared" si="46"/>
        <v>14</v>
      </c>
      <c r="AB1250">
        <f t="shared" si="47"/>
        <v>3</v>
      </c>
    </row>
    <row r="1251" spans="25:28" x14ac:dyDescent="0.2">
      <c r="Y1251">
        <v>21</v>
      </c>
      <c r="Z1251">
        <v>5</v>
      </c>
      <c r="AA1251">
        <f t="shared" si="46"/>
        <v>14</v>
      </c>
      <c r="AB1251">
        <f t="shared" si="47"/>
        <v>10</v>
      </c>
    </row>
    <row r="1252" spans="25:28" x14ac:dyDescent="0.2">
      <c r="Y1252">
        <v>21</v>
      </c>
      <c r="Z1252">
        <v>5</v>
      </c>
      <c r="AA1252">
        <f t="shared" si="46"/>
        <v>14</v>
      </c>
      <c r="AB1252">
        <f t="shared" si="47"/>
        <v>10</v>
      </c>
    </row>
    <row r="1253" spans="25:28" x14ac:dyDescent="0.2">
      <c r="Y1253">
        <v>21</v>
      </c>
      <c r="Z1253">
        <v>5</v>
      </c>
      <c r="AA1253">
        <f t="shared" si="46"/>
        <v>14</v>
      </c>
      <c r="AB1253">
        <f t="shared" si="47"/>
        <v>10</v>
      </c>
    </row>
    <row r="1254" spans="25:28" x14ac:dyDescent="0.2">
      <c r="Y1254">
        <v>21</v>
      </c>
      <c r="Z1254">
        <v>5</v>
      </c>
      <c r="AA1254">
        <f t="shared" si="46"/>
        <v>14</v>
      </c>
      <c r="AB1254">
        <f t="shared" si="47"/>
        <v>10</v>
      </c>
    </row>
    <row r="1255" spans="25:28" x14ac:dyDescent="0.2">
      <c r="Y1255">
        <v>21</v>
      </c>
      <c r="Z1255">
        <v>5</v>
      </c>
      <c r="AA1255">
        <f t="shared" si="46"/>
        <v>14</v>
      </c>
      <c r="AB1255">
        <f t="shared" si="47"/>
        <v>10</v>
      </c>
    </row>
    <row r="1256" spans="25:28" x14ac:dyDescent="0.2">
      <c r="Y1256">
        <v>21</v>
      </c>
      <c r="Z1256">
        <v>5</v>
      </c>
      <c r="AA1256">
        <f t="shared" si="46"/>
        <v>14</v>
      </c>
      <c r="AB1256">
        <f t="shared" si="47"/>
        <v>10</v>
      </c>
    </row>
    <row r="1257" spans="25:28" x14ac:dyDescent="0.2">
      <c r="Y1257">
        <v>21</v>
      </c>
      <c r="Z1257">
        <v>5</v>
      </c>
      <c r="AA1257">
        <f t="shared" si="46"/>
        <v>14</v>
      </c>
      <c r="AB1257">
        <f t="shared" si="47"/>
        <v>10</v>
      </c>
    </row>
    <row r="1258" spans="25:28" x14ac:dyDescent="0.2">
      <c r="Y1258">
        <v>21</v>
      </c>
      <c r="Z1258">
        <v>5</v>
      </c>
      <c r="AA1258">
        <f t="shared" si="46"/>
        <v>14</v>
      </c>
      <c r="AB1258">
        <f t="shared" si="47"/>
        <v>10</v>
      </c>
    </row>
    <row r="1259" spans="25:28" x14ac:dyDescent="0.2">
      <c r="Y1259">
        <v>21</v>
      </c>
      <c r="Z1259">
        <v>5</v>
      </c>
      <c r="AA1259">
        <f t="shared" si="46"/>
        <v>14</v>
      </c>
      <c r="AB1259">
        <f t="shared" si="47"/>
        <v>10</v>
      </c>
    </row>
    <row r="1260" spans="25:28" x14ac:dyDescent="0.2">
      <c r="Y1260">
        <v>21</v>
      </c>
      <c r="Z1260">
        <v>5</v>
      </c>
      <c r="AA1260">
        <f t="shared" si="46"/>
        <v>14</v>
      </c>
      <c r="AB1260">
        <f t="shared" si="47"/>
        <v>10</v>
      </c>
    </row>
    <row r="1261" spans="25:28" x14ac:dyDescent="0.2">
      <c r="Y1261">
        <v>21</v>
      </c>
      <c r="Z1261">
        <v>5</v>
      </c>
      <c r="AA1261">
        <f t="shared" si="46"/>
        <v>14</v>
      </c>
      <c r="AB1261">
        <f t="shared" si="47"/>
        <v>10</v>
      </c>
    </row>
    <row r="1262" spans="25:28" x14ac:dyDescent="0.2">
      <c r="Y1262">
        <v>21</v>
      </c>
      <c r="Z1262">
        <v>5</v>
      </c>
      <c r="AA1262">
        <f t="shared" si="46"/>
        <v>14</v>
      </c>
      <c r="AB1262">
        <f t="shared" si="47"/>
        <v>10</v>
      </c>
    </row>
    <row r="1263" spans="25:28" x14ac:dyDescent="0.2">
      <c r="Y1263">
        <v>21</v>
      </c>
      <c r="Z1263">
        <v>5</v>
      </c>
      <c r="AA1263">
        <f t="shared" si="46"/>
        <v>14</v>
      </c>
      <c r="AB1263">
        <f t="shared" si="47"/>
        <v>10</v>
      </c>
    </row>
    <row r="1264" spans="25:28" x14ac:dyDescent="0.2">
      <c r="Y1264">
        <v>21</v>
      </c>
      <c r="Z1264">
        <v>5</v>
      </c>
      <c r="AA1264">
        <f t="shared" si="46"/>
        <v>14</v>
      </c>
      <c r="AB1264">
        <f t="shared" si="47"/>
        <v>10</v>
      </c>
    </row>
    <row r="1265" spans="25:28" x14ac:dyDescent="0.2">
      <c r="Y1265">
        <v>21</v>
      </c>
      <c r="Z1265">
        <v>5</v>
      </c>
      <c r="AA1265">
        <f t="shared" si="46"/>
        <v>14</v>
      </c>
      <c r="AB1265">
        <f t="shared" si="47"/>
        <v>10</v>
      </c>
    </row>
    <row r="1266" spans="25:28" x14ac:dyDescent="0.2">
      <c r="Y1266">
        <v>21</v>
      </c>
      <c r="Z1266">
        <v>5</v>
      </c>
      <c r="AA1266">
        <f t="shared" si="46"/>
        <v>14</v>
      </c>
      <c r="AB1266">
        <f t="shared" si="47"/>
        <v>10</v>
      </c>
    </row>
    <row r="1267" spans="25:28" x14ac:dyDescent="0.2">
      <c r="Y1267">
        <v>21</v>
      </c>
      <c r="Z1267">
        <v>5</v>
      </c>
      <c r="AA1267">
        <f t="shared" si="46"/>
        <v>14</v>
      </c>
      <c r="AB1267">
        <f t="shared" si="47"/>
        <v>10</v>
      </c>
    </row>
    <row r="1268" spans="25:28" x14ac:dyDescent="0.2">
      <c r="Y1268">
        <v>21</v>
      </c>
      <c r="Z1268">
        <v>5</v>
      </c>
      <c r="AA1268">
        <f t="shared" si="46"/>
        <v>14</v>
      </c>
      <c r="AB1268">
        <f t="shared" si="47"/>
        <v>10</v>
      </c>
    </row>
    <row r="1269" spans="25:28" x14ac:dyDescent="0.2">
      <c r="Y1269">
        <v>21</v>
      </c>
      <c r="Z1269">
        <v>5</v>
      </c>
      <c r="AA1269">
        <f t="shared" si="46"/>
        <v>14</v>
      </c>
      <c r="AB1269">
        <f t="shared" si="47"/>
        <v>10</v>
      </c>
    </row>
    <row r="1270" spans="25:28" x14ac:dyDescent="0.2">
      <c r="Y1270">
        <v>22</v>
      </c>
      <c r="Z1270">
        <v>5</v>
      </c>
      <c r="AA1270">
        <f t="shared" si="46"/>
        <v>14</v>
      </c>
      <c r="AB1270">
        <f t="shared" si="47"/>
        <v>10</v>
      </c>
    </row>
    <row r="1271" spans="25:28" x14ac:dyDescent="0.2">
      <c r="Y1271">
        <v>22</v>
      </c>
      <c r="Z1271">
        <v>5</v>
      </c>
      <c r="AA1271">
        <f t="shared" si="46"/>
        <v>14</v>
      </c>
      <c r="AB1271">
        <f t="shared" si="47"/>
        <v>10</v>
      </c>
    </row>
    <row r="1272" spans="25:28" x14ac:dyDescent="0.2">
      <c r="Y1272">
        <v>22</v>
      </c>
      <c r="Z1272">
        <v>5</v>
      </c>
      <c r="AA1272">
        <f t="shared" si="46"/>
        <v>14</v>
      </c>
      <c r="AB1272">
        <f t="shared" si="47"/>
        <v>10</v>
      </c>
    </row>
    <row r="1273" spans="25:28" x14ac:dyDescent="0.2">
      <c r="Y1273">
        <v>22</v>
      </c>
      <c r="Z1273">
        <v>5</v>
      </c>
      <c r="AA1273">
        <f t="shared" si="46"/>
        <v>14</v>
      </c>
      <c r="AB1273">
        <f t="shared" si="47"/>
        <v>10</v>
      </c>
    </row>
    <row r="1274" spans="25:28" x14ac:dyDescent="0.2">
      <c r="Y1274">
        <v>22</v>
      </c>
      <c r="Z1274">
        <v>5</v>
      </c>
      <c r="AA1274">
        <f t="shared" si="46"/>
        <v>14</v>
      </c>
      <c r="AB1274">
        <f t="shared" si="47"/>
        <v>10</v>
      </c>
    </row>
    <row r="1275" spans="25:28" x14ac:dyDescent="0.2">
      <c r="Y1275">
        <v>22</v>
      </c>
      <c r="Z1275">
        <v>5</v>
      </c>
      <c r="AA1275">
        <f t="shared" si="46"/>
        <v>14</v>
      </c>
      <c r="AB1275">
        <f t="shared" si="47"/>
        <v>10</v>
      </c>
    </row>
    <row r="1276" spans="25:28" x14ac:dyDescent="0.2">
      <c r="Y1276">
        <v>22</v>
      </c>
      <c r="Z1276">
        <v>5</v>
      </c>
      <c r="AA1276">
        <f t="shared" si="46"/>
        <v>14</v>
      </c>
      <c r="AB1276">
        <f t="shared" si="47"/>
        <v>10</v>
      </c>
    </row>
    <row r="1277" spans="25:28" x14ac:dyDescent="0.2">
      <c r="Y1277">
        <v>22</v>
      </c>
      <c r="Z1277">
        <v>5</v>
      </c>
      <c r="AA1277">
        <f t="shared" si="46"/>
        <v>14</v>
      </c>
      <c r="AB1277">
        <f t="shared" si="47"/>
        <v>10</v>
      </c>
    </row>
    <row r="1278" spans="25:28" x14ac:dyDescent="0.2">
      <c r="Y1278">
        <v>22</v>
      </c>
      <c r="Z1278">
        <v>5</v>
      </c>
      <c r="AA1278">
        <f t="shared" si="46"/>
        <v>14</v>
      </c>
      <c r="AB1278">
        <f t="shared" si="47"/>
        <v>10</v>
      </c>
    </row>
    <row r="1279" spans="25:28" x14ac:dyDescent="0.2">
      <c r="Y1279">
        <v>22</v>
      </c>
      <c r="Z1279">
        <v>5</v>
      </c>
      <c r="AA1279">
        <f t="shared" si="46"/>
        <v>14</v>
      </c>
      <c r="AB1279">
        <f t="shared" si="47"/>
        <v>10</v>
      </c>
    </row>
    <row r="1280" spans="25:28" x14ac:dyDescent="0.2">
      <c r="Y1280">
        <v>22</v>
      </c>
      <c r="Z1280">
        <v>5</v>
      </c>
      <c r="AA1280">
        <f t="shared" si="46"/>
        <v>14</v>
      </c>
      <c r="AB1280">
        <f t="shared" si="47"/>
        <v>10</v>
      </c>
    </row>
    <row r="1281" spans="25:28" x14ac:dyDescent="0.2">
      <c r="Y1281">
        <v>22</v>
      </c>
      <c r="Z1281">
        <v>5</v>
      </c>
      <c r="AA1281">
        <f t="shared" si="46"/>
        <v>14</v>
      </c>
      <c r="AB1281">
        <f t="shared" si="47"/>
        <v>10</v>
      </c>
    </row>
    <row r="1282" spans="25:28" x14ac:dyDescent="0.2">
      <c r="Y1282">
        <v>22</v>
      </c>
      <c r="Z1282">
        <v>5</v>
      </c>
      <c r="AA1282">
        <f t="shared" si="46"/>
        <v>14</v>
      </c>
      <c r="AB1282">
        <f t="shared" si="47"/>
        <v>10</v>
      </c>
    </row>
    <row r="1283" spans="25:28" x14ac:dyDescent="0.2">
      <c r="Y1283">
        <v>22</v>
      </c>
      <c r="Z1283">
        <v>5</v>
      </c>
      <c r="AA1283">
        <f t="shared" si="46"/>
        <v>14</v>
      </c>
      <c r="AB1283">
        <f t="shared" si="47"/>
        <v>10</v>
      </c>
    </row>
    <row r="1284" spans="25:28" x14ac:dyDescent="0.2">
      <c r="Y1284">
        <v>22</v>
      </c>
      <c r="Z1284">
        <v>5</v>
      </c>
      <c r="AA1284">
        <f t="shared" si="46"/>
        <v>14</v>
      </c>
      <c r="AB1284">
        <f t="shared" si="47"/>
        <v>10</v>
      </c>
    </row>
    <row r="1285" spans="25:28" x14ac:dyDescent="0.2">
      <c r="Y1285">
        <v>22</v>
      </c>
      <c r="Z1285">
        <v>5</v>
      </c>
      <c r="AA1285">
        <f t="shared" si="46"/>
        <v>14</v>
      </c>
      <c r="AB1285">
        <f t="shared" si="47"/>
        <v>10</v>
      </c>
    </row>
    <row r="1286" spans="25:28" x14ac:dyDescent="0.2">
      <c r="Y1286">
        <v>22</v>
      </c>
      <c r="Z1286">
        <v>5</v>
      </c>
      <c r="AA1286">
        <f t="shared" si="46"/>
        <v>14</v>
      </c>
      <c r="AB1286">
        <f t="shared" si="47"/>
        <v>10</v>
      </c>
    </row>
    <row r="1287" spans="25:28" x14ac:dyDescent="0.2">
      <c r="Y1287">
        <v>22</v>
      </c>
      <c r="Z1287">
        <v>5</v>
      </c>
      <c r="AA1287">
        <f t="shared" ref="AA1287:AA1350" si="48">Z1287+9</f>
        <v>14</v>
      </c>
      <c r="AB1287">
        <f t="shared" ref="AB1287:AB1350" si="49">VLOOKUP(Y1287,$D$5:$Q$22,AA1287,FALSE)</f>
        <v>10</v>
      </c>
    </row>
    <row r="1288" spans="25:28" x14ac:dyDescent="0.2">
      <c r="Y1288">
        <v>22</v>
      </c>
      <c r="Z1288">
        <v>5</v>
      </c>
      <c r="AA1288">
        <f t="shared" si="48"/>
        <v>14</v>
      </c>
      <c r="AB1288">
        <f t="shared" si="49"/>
        <v>10</v>
      </c>
    </row>
    <row r="1289" spans="25:28" x14ac:dyDescent="0.2">
      <c r="Y1289">
        <v>22</v>
      </c>
      <c r="Z1289">
        <v>5</v>
      </c>
      <c r="AA1289">
        <f t="shared" si="48"/>
        <v>14</v>
      </c>
      <c r="AB1289">
        <f t="shared" si="49"/>
        <v>10</v>
      </c>
    </row>
    <row r="1290" spans="25:28" x14ac:dyDescent="0.2">
      <c r="Y1290">
        <v>24</v>
      </c>
      <c r="Z1290">
        <v>5</v>
      </c>
      <c r="AA1290">
        <f t="shared" si="48"/>
        <v>14</v>
      </c>
      <c r="AB1290">
        <f t="shared" si="49"/>
        <v>10</v>
      </c>
    </row>
    <row r="1291" spans="25:28" x14ac:dyDescent="0.2">
      <c r="Y1291">
        <v>24</v>
      </c>
      <c r="Z1291">
        <v>5</v>
      </c>
      <c r="AA1291">
        <f t="shared" si="48"/>
        <v>14</v>
      </c>
      <c r="AB1291">
        <f t="shared" si="49"/>
        <v>10</v>
      </c>
    </row>
    <row r="1292" spans="25:28" x14ac:dyDescent="0.2">
      <c r="Y1292">
        <v>24</v>
      </c>
      <c r="Z1292">
        <v>5</v>
      </c>
      <c r="AA1292">
        <f t="shared" si="48"/>
        <v>14</v>
      </c>
      <c r="AB1292">
        <f t="shared" si="49"/>
        <v>10</v>
      </c>
    </row>
    <row r="1293" spans="25:28" x14ac:dyDescent="0.2">
      <c r="Y1293">
        <v>24</v>
      </c>
      <c r="Z1293">
        <v>5</v>
      </c>
      <c r="AA1293">
        <f t="shared" si="48"/>
        <v>14</v>
      </c>
      <c r="AB1293">
        <f t="shared" si="49"/>
        <v>10</v>
      </c>
    </row>
    <row r="1294" spans="25:28" x14ac:dyDescent="0.2">
      <c r="Y1294">
        <v>24</v>
      </c>
      <c r="Z1294">
        <v>5</v>
      </c>
      <c r="AA1294">
        <f t="shared" si="48"/>
        <v>14</v>
      </c>
      <c r="AB1294">
        <f t="shared" si="49"/>
        <v>10</v>
      </c>
    </row>
    <row r="1295" spans="25:28" x14ac:dyDescent="0.2">
      <c r="Y1295">
        <v>24</v>
      </c>
      <c r="Z1295">
        <v>5</v>
      </c>
      <c r="AA1295">
        <f t="shared" si="48"/>
        <v>14</v>
      </c>
      <c r="AB1295">
        <f t="shared" si="49"/>
        <v>10</v>
      </c>
    </row>
    <row r="1296" spans="25:28" x14ac:dyDescent="0.2">
      <c r="Y1296">
        <v>24</v>
      </c>
      <c r="Z1296">
        <v>5</v>
      </c>
      <c r="AA1296">
        <f t="shared" si="48"/>
        <v>14</v>
      </c>
      <c r="AB1296">
        <f t="shared" si="49"/>
        <v>10</v>
      </c>
    </row>
    <row r="1297" spans="25:28" x14ac:dyDescent="0.2">
      <c r="Y1297">
        <v>24</v>
      </c>
      <c r="Z1297">
        <v>5</v>
      </c>
      <c r="AA1297">
        <f t="shared" si="48"/>
        <v>14</v>
      </c>
      <c r="AB1297">
        <f t="shared" si="49"/>
        <v>10</v>
      </c>
    </row>
    <row r="1298" spans="25:28" x14ac:dyDescent="0.2">
      <c r="Y1298">
        <v>24</v>
      </c>
      <c r="Z1298">
        <v>5</v>
      </c>
      <c r="AA1298">
        <f t="shared" si="48"/>
        <v>14</v>
      </c>
      <c r="AB1298">
        <f t="shared" si="49"/>
        <v>10</v>
      </c>
    </row>
    <row r="1299" spans="25:28" x14ac:dyDescent="0.2">
      <c r="Y1299">
        <v>24</v>
      </c>
      <c r="Z1299">
        <v>5</v>
      </c>
      <c r="AA1299">
        <f t="shared" si="48"/>
        <v>14</v>
      </c>
      <c r="AB1299">
        <f t="shared" si="49"/>
        <v>10</v>
      </c>
    </row>
    <row r="1300" spans="25:28" x14ac:dyDescent="0.2">
      <c r="Y1300">
        <v>24</v>
      </c>
      <c r="Z1300">
        <v>5</v>
      </c>
      <c r="AA1300">
        <f t="shared" si="48"/>
        <v>14</v>
      </c>
      <c r="AB1300">
        <f t="shared" si="49"/>
        <v>10</v>
      </c>
    </row>
    <row r="1301" spans="25:28" x14ac:dyDescent="0.2">
      <c r="Y1301">
        <v>24</v>
      </c>
      <c r="Z1301">
        <v>5</v>
      </c>
      <c r="AA1301">
        <f t="shared" si="48"/>
        <v>14</v>
      </c>
      <c r="AB1301">
        <f t="shared" si="49"/>
        <v>10</v>
      </c>
    </row>
    <row r="1302" spans="25:28" x14ac:dyDescent="0.2">
      <c r="Y1302">
        <v>24</v>
      </c>
      <c r="Z1302">
        <v>5</v>
      </c>
      <c r="AA1302">
        <f t="shared" si="48"/>
        <v>14</v>
      </c>
      <c r="AB1302">
        <f t="shared" si="49"/>
        <v>10</v>
      </c>
    </row>
    <row r="1303" spans="25:28" x14ac:dyDescent="0.2">
      <c r="Y1303">
        <v>24</v>
      </c>
      <c r="Z1303">
        <v>5</v>
      </c>
      <c r="AA1303">
        <f t="shared" si="48"/>
        <v>14</v>
      </c>
      <c r="AB1303">
        <f t="shared" si="49"/>
        <v>10</v>
      </c>
    </row>
    <row r="1304" spans="25:28" x14ac:dyDescent="0.2">
      <c r="Y1304">
        <v>24</v>
      </c>
      <c r="Z1304">
        <v>5</v>
      </c>
      <c r="AA1304">
        <f t="shared" si="48"/>
        <v>14</v>
      </c>
      <c r="AB1304">
        <f t="shared" si="49"/>
        <v>10</v>
      </c>
    </row>
    <row r="1305" spans="25:28" x14ac:dyDescent="0.2">
      <c r="Y1305">
        <v>24</v>
      </c>
      <c r="Z1305">
        <v>5</v>
      </c>
      <c r="AA1305">
        <f t="shared" si="48"/>
        <v>14</v>
      </c>
      <c r="AB1305">
        <f t="shared" si="49"/>
        <v>10</v>
      </c>
    </row>
    <row r="1306" spans="25:28" x14ac:dyDescent="0.2">
      <c r="Y1306">
        <v>24</v>
      </c>
      <c r="Z1306">
        <v>5</v>
      </c>
      <c r="AA1306">
        <f t="shared" si="48"/>
        <v>14</v>
      </c>
      <c r="AB1306">
        <f t="shared" si="49"/>
        <v>10</v>
      </c>
    </row>
    <row r="1307" spans="25:28" x14ac:dyDescent="0.2">
      <c r="Y1307">
        <v>24</v>
      </c>
      <c r="Z1307">
        <v>5</v>
      </c>
      <c r="AA1307">
        <f t="shared" si="48"/>
        <v>14</v>
      </c>
      <c r="AB1307">
        <f t="shared" si="49"/>
        <v>10</v>
      </c>
    </row>
    <row r="1308" spans="25:28" x14ac:dyDescent="0.2">
      <c r="Y1308">
        <v>23</v>
      </c>
      <c r="Z1308">
        <v>5</v>
      </c>
      <c r="AA1308">
        <f t="shared" si="48"/>
        <v>14</v>
      </c>
      <c r="AB1308">
        <f t="shared" si="49"/>
        <v>10</v>
      </c>
    </row>
    <row r="1309" spans="25:28" x14ac:dyDescent="0.2">
      <c r="Y1309">
        <v>23</v>
      </c>
      <c r="Z1309">
        <v>5</v>
      </c>
      <c r="AA1309">
        <f t="shared" si="48"/>
        <v>14</v>
      </c>
      <c r="AB1309">
        <f t="shared" si="49"/>
        <v>10</v>
      </c>
    </row>
    <row r="1310" spans="25:28" x14ac:dyDescent="0.2">
      <c r="Y1310">
        <v>23</v>
      </c>
      <c r="Z1310">
        <v>5</v>
      </c>
      <c r="AA1310">
        <f t="shared" si="48"/>
        <v>14</v>
      </c>
      <c r="AB1310">
        <f t="shared" si="49"/>
        <v>10</v>
      </c>
    </row>
    <row r="1311" spans="25:28" x14ac:dyDescent="0.2">
      <c r="Y1311">
        <v>23</v>
      </c>
      <c r="Z1311">
        <v>5</v>
      </c>
      <c r="AA1311">
        <f t="shared" si="48"/>
        <v>14</v>
      </c>
      <c r="AB1311">
        <f t="shared" si="49"/>
        <v>10</v>
      </c>
    </row>
    <row r="1312" spans="25:28" x14ac:dyDescent="0.2">
      <c r="Y1312">
        <v>23</v>
      </c>
      <c r="Z1312">
        <v>5</v>
      </c>
      <c r="AA1312">
        <f t="shared" si="48"/>
        <v>14</v>
      </c>
      <c r="AB1312">
        <f t="shared" si="49"/>
        <v>10</v>
      </c>
    </row>
    <row r="1313" spans="25:28" x14ac:dyDescent="0.2">
      <c r="Y1313">
        <v>23</v>
      </c>
      <c r="Z1313">
        <v>5</v>
      </c>
      <c r="AA1313">
        <f t="shared" si="48"/>
        <v>14</v>
      </c>
      <c r="AB1313">
        <f t="shared" si="49"/>
        <v>10</v>
      </c>
    </row>
    <row r="1314" spans="25:28" x14ac:dyDescent="0.2">
      <c r="Y1314">
        <v>23</v>
      </c>
      <c r="Z1314">
        <v>5</v>
      </c>
      <c r="AA1314">
        <f t="shared" si="48"/>
        <v>14</v>
      </c>
      <c r="AB1314">
        <f t="shared" si="49"/>
        <v>10</v>
      </c>
    </row>
    <row r="1315" spans="25:28" x14ac:dyDescent="0.2">
      <c r="Y1315">
        <v>23</v>
      </c>
      <c r="Z1315">
        <v>5</v>
      </c>
      <c r="AA1315">
        <f t="shared" si="48"/>
        <v>14</v>
      </c>
      <c r="AB1315">
        <f t="shared" si="49"/>
        <v>10</v>
      </c>
    </row>
    <row r="1316" spans="25:28" x14ac:dyDescent="0.2">
      <c r="Y1316">
        <v>23</v>
      </c>
      <c r="Z1316">
        <v>5</v>
      </c>
      <c r="AA1316">
        <f t="shared" si="48"/>
        <v>14</v>
      </c>
      <c r="AB1316">
        <f t="shared" si="49"/>
        <v>10</v>
      </c>
    </row>
    <row r="1317" spans="25:28" x14ac:dyDescent="0.2">
      <c r="Y1317">
        <v>23</v>
      </c>
      <c r="Z1317">
        <v>5</v>
      </c>
      <c r="AA1317">
        <f t="shared" si="48"/>
        <v>14</v>
      </c>
      <c r="AB1317">
        <f t="shared" si="49"/>
        <v>10</v>
      </c>
    </row>
    <row r="1318" spans="25:28" x14ac:dyDescent="0.2">
      <c r="Y1318">
        <v>23</v>
      </c>
      <c r="Z1318">
        <v>5</v>
      </c>
      <c r="AA1318">
        <f t="shared" si="48"/>
        <v>14</v>
      </c>
      <c r="AB1318">
        <f t="shared" si="49"/>
        <v>10</v>
      </c>
    </row>
    <row r="1319" spans="25:28" x14ac:dyDescent="0.2">
      <c r="Y1319">
        <v>23</v>
      </c>
      <c r="Z1319">
        <v>5</v>
      </c>
      <c r="AA1319">
        <f t="shared" si="48"/>
        <v>14</v>
      </c>
      <c r="AB1319">
        <f t="shared" si="49"/>
        <v>10</v>
      </c>
    </row>
    <row r="1320" spans="25:28" x14ac:dyDescent="0.2">
      <c r="Y1320">
        <v>23</v>
      </c>
      <c r="Z1320">
        <v>5</v>
      </c>
      <c r="AA1320">
        <f t="shared" si="48"/>
        <v>14</v>
      </c>
      <c r="AB1320">
        <f t="shared" si="49"/>
        <v>10</v>
      </c>
    </row>
    <row r="1321" spans="25:28" x14ac:dyDescent="0.2">
      <c r="Y1321">
        <v>23</v>
      </c>
      <c r="Z1321">
        <v>5</v>
      </c>
      <c r="AA1321">
        <f t="shared" si="48"/>
        <v>14</v>
      </c>
      <c r="AB1321">
        <f t="shared" si="49"/>
        <v>10</v>
      </c>
    </row>
    <row r="1322" spans="25:28" x14ac:dyDescent="0.2">
      <c r="Y1322">
        <v>25</v>
      </c>
      <c r="Z1322">
        <v>5</v>
      </c>
      <c r="AA1322">
        <f t="shared" si="48"/>
        <v>14</v>
      </c>
      <c r="AB1322">
        <f t="shared" si="49"/>
        <v>10</v>
      </c>
    </row>
    <row r="1323" spans="25:28" x14ac:dyDescent="0.2">
      <c r="Y1323">
        <v>25</v>
      </c>
      <c r="Z1323">
        <v>5</v>
      </c>
      <c r="AA1323">
        <f t="shared" si="48"/>
        <v>14</v>
      </c>
      <c r="AB1323">
        <f t="shared" si="49"/>
        <v>10</v>
      </c>
    </row>
    <row r="1324" spans="25:28" x14ac:dyDescent="0.2">
      <c r="Y1324">
        <v>25</v>
      </c>
      <c r="Z1324">
        <v>5</v>
      </c>
      <c r="AA1324">
        <f t="shared" si="48"/>
        <v>14</v>
      </c>
      <c r="AB1324">
        <f t="shared" si="49"/>
        <v>10</v>
      </c>
    </row>
    <row r="1325" spans="25:28" x14ac:dyDescent="0.2">
      <c r="Y1325">
        <v>25</v>
      </c>
      <c r="Z1325">
        <v>5</v>
      </c>
      <c r="AA1325">
        <f t="shared" si="48"/>
        <v>14</v>
      </c>
      <c r="AB1325">
        <f t="shared" si="49"/>
        <v>10</v>
      </c>
    </row>
    <row r="1326" spans="25:28" x14ac:dyDescent="0.2">
      <c r="Y1326">
        <v>25</v>
      </c>
      <c r="Z1326">
        <v>5</v>
      </c>
      <c r="AA1326">
        <f t="shared" si="48"/>
        <v>14</v>
      </c>
      <c r="AB1326">
        <f t="shared" si="49"/>
        <v>10</v>
      </c>
    </row>
    <row r="1327" spans="25:28" x14ac:dyDescent="0.2">
      <c r="Y1327">
        <v>32</v>
      </c>
      <c r="Z1327">
        <v>5</v>
      </c>
      <c r="AA1327">
        <f t="shared" si="48"/>
        <v>14</v>
      </c>
      <c r="AB1327">
        <f t="shared" si="49"/>
        <v>10</v>
      </c>
    </row>
    <row r="1328" spans="25:28" x14ac:dyDescent="0.2">
      <c r="Y1328">
        <v>32</v>
      </c>
      <c r="Z1328">
        <v>5</v>
      </c>
      <c r="AA1328">
        <f t="shared" si="48"/>
        <v>14</v>
      </c>
      <c r="AB1328">
        <f t="shared" si="49"/>
        <v>10</v>
      </c>
    </row>
    <row r="1329" spans="25:28" x14ac:dyDescent="0.2">
      <c r="Y1329">
        <v>32</v>
      </c>
      <c r="Z1329">
        <v>5</v>
      </c>
      <c r="AA1329">
        <f t="shared" si="48"/>
        <v>14</v>
      </c>
      <c r="AB1329">
        <f t="shared" si="49"/>
        <v>10</v>
      </c>
    </row>
    <row r="1330" spans="25:28" x14ac:dyDescent="0.2">
      <c r="Y1330">
        <v>32</v>
      </c>
      <c r="Z1330">
        <v>5</v>
      </c>
      <c r="AA1330">
        <f t="shared" si="48"/>
        <v>14</v>
      </c>
      <c r="AB1330">
        <f t="shared" si="49"/>
        <v>10</v>
      </c>
    </row>
    <row r="1331" spans="25:28" x14ac:dyDescent="0.2">
      <c r="Y1331">
        <v>32</v>
      </c>
      <c r="Z1331">
        <v>5</v>
      </c>
      <c r="AA1331">
        <f t="shared" si="48"/>
        <v>14</v>
      </c>
      <c r="AB1331">
        <f t="shared" si="49"/>
        <v>10</v>
      </c>
    </row>
    <row r="1332" spans="25:28" x14ac:dyDescent="0.2">
      <c r="Y1332">
        <v>32</v>
      </c>
      <c r="Z1332">
        <v>5</v>
      </c>
      <c r="AA1332">
        <f t="shared" si="48"/>
        <v>14</v>
      </c>
      <c r="AB1332">
        <f t="shared" si="49"/>
        <v>10</v>
      </c>
    </row>
    <row r="1333" spans="25:28" x14ac:dyDescent="0.2">
      <c r="Y1333">
        <v>32</v>
      </c>
      <c r="Z1333">
        <v>5</v>
      </c>
      <c r="AA1333">
        <f t="shared" si="48"/>
        <v>14</v>
      </c>
      <c r="AB1333">
        <f t="shared" si="49"/>
        <v>10</v>
      </c>
    </row>
    <row r="1334" spans="25:28" x14ac:dyDescent="0.2">
      <c r="Y1334">
        <v>32</v>
      </c>
      <c r="Z1334">
        <v>5</v>
      </c>
      <c r="AA1334">
        <f t="shared" si="48"/>
        <v>14</v>
      </c>
      <c r="AB1334">
        <f t="shared" si="49"/>
        <v>10</v>
      </c>
    </row>
    <row r="1335" spans="25:28" x14ac:dyDescent="0.2">
      <c r="Y1335">
        <v>32</v>
      </c>
      <c r="Z1335">
        <v>5</v>
      </c>
      <c r="AA1335">
        <f t="shared" si="48"/>
        <v>14</v>
      </c>
      <c r="AB1335">
        <f t="shared" si="49"/>
        <v>10</v>
      </c>
    </row>
    <row r="1336" spans="25:28" x14ac:dyDescent="0.2">
      <c r="Y1336">
        <v>32</v>
      </c>
      <c r="Z1336">
        <v>5</v>
      </c>
      <c r="AA1336">
        <f t="shared" si="48"/>
        <v>14</v>
      </c>
      <c r="AB1336">
        <f t="shared" si="49"/>
        <v>10</v>
      </c>
    </row>
    <row r="1337" spans="25:28" x14ac:dyDescent="0.2">
      <c r="Y1337">
        <v>32</v>
      </c>
      <c r="Z1337">
        <v>5</v>
      </c>
      <c r="AA1337">
        <f t="shared" si="48"/>
        <v>14</v>
      </c>
      <c r="AB1337">
        <f t="shared" si="49"/>
        <v>10</v>
      </c>
    </row>
    <row r="1338" spans="25:28" x14ac:dyDescent="0.2">
      <c r="Y1338">
        <v>32</v>
      </c>
      <c r="Z1338">
        <v>5</v>
      </c>
      <c r="AA1338">
        <f t="shared" si="48"/>
        <v>14</v>
      </c>
      <c r="AB1338">
        <f t="shared" si="49"/>
        <v>10</v>
      </c>
    </row>
    <row r="1339" spans="25:28" x14ac:dyDescent="0.2">
      <c r="Y1339">
        <v>32</v>
      </c>
      <c r="Z1339">
        <v>5</v>
      </c>
      <c r="AA1339">
        <f t="shared" si="48"/>
        <v>14</v>
      </c>
      <c r="AB1339">
        <f t="shared" si="49"/>
        <v>10</v>
      </c>
    </row>
    <row r="1340" spans="25:28" x14ac:dyDescent="0.2">
      <c r="Y1340">
        <v>32</v>
      </c>
      <c r="Z1340">
        <v>5</v>
      </c>
      <c r="AA1340">
        <f t="shared" si="48"/>
        <v>14</v>
      </c>
      <c r="AB1340">
        <f t="shared" si="49"/>
        <v>10</v>
      </c>
    </row>
    <row r="1341" spans="25:28" x14ac:dyDescent="0.2">
      <c r="Y1341">
        <v>32</v>
      </c>
      <c r="Z1341">
        <v>5</v>
      </c>
      <c r="AA1341">
        <f t="shared" si="48"/>
        <v>14</v>
      </c>
      <c r="AB1341">
        <f t="shared" si="49"/>
        <v>10</v>
      </c>
    </row>
    <row r="1342" spans="25:28" x14ac:dyDescent="0.2">
      <c r="Y1342">
        <v>32</v>
      </c>
      <c r="Z1342">
        <v>5</v>
      </c>
      <c r="AA1342">
        <f t="shared" si="48"/>
        <v>14</v>
      </c>
      <c r="AB1342">
        <f t="shared" si="49"/>
        <v>10</v>
      </c>
    </row>
    <row r="1343" spans="25:28" x14ac:dyDescent="0.2">
      <c r="Y1343">
        <v>32</v>
      </c>
      <c r="Z1343">
        <v>5</v>
      </c>
      <c r="AA1343">
        <f t="shared" si="48"/>
        <v>14</v>
      </c>
      <c r="AB1343">
        <f t="shared" si="49"/>
        <v>10</v>
      </c>
    </row>
    <row r="1344" spans="25:28" x14ac:dyDescent="0.2">
      <c r="Y1344">
        <v>32</v>
      </c>
      <c r="Z1344">
        <v>5</v>
      </c>
      <c r="AA1344">
        <f t="shared" si="48"/>
        <v>14</v>
      </c>
      <c r="AB1344">
        <f t="shared" si="49"/>
        <v>10</v>
      </c>
    </row>
    <row r="1345" spans="25:28" x14ac:dyDescent="0.2">
      <c r="Y1345">
        <v>32</v>
      </c>
      <c r="Z1345">
        <v>5</v>
      </c>
      <c r="AA1345">
        <f t="shared" si="48"/>
        <v>14</v>
      </c>
      <c r="AB1345">
        <f t="shared" si="49"/>
        <v>10</v>
      </c>
    </row>
    <row r="1346" spans="25:28" x14ac:dyDescent="0.2">
      <c r="Y1346">
        <v>32</v>
      </c>
      <c r="Z1346">
        <v>5</v>
      </c>
      <c r="AA1346">
        <f t="shared" si="48"/>
        <v>14</v>
      </c>
      <c r="AB1346">
        <f t="shared" si="49"/>
        <v>10</v>
      </c>
    </row>
    <row r="1347" spans="25:28" x14ac:dyDescent="0.2">
      <c r="Y1347">
        <v>32</v>
      </c>
      <c r="Z1347">
        <v>5</v>
      </c>
      <c r="AA1347">
        <f t="shared" si="48"/>
        <v>14</v>
      </c>
      <c r="AB1347">
        <f t="shared" si="49"/>
        <v>10</v>
      </c>
    </row>
    <row r="1348" spans="25:28" x14ac:dyDescent="0.2">
      <c r="Y1348">
        <v>32</v>
      </c>
      <c r="Z1348">
        <v>5</v>
      </c>
      <c r="AA1348">
        <f t="shared" si="48"/>
        <v>14</v>
      </c>
      <c r="AB1348">
        <f t="shared" si="49"/>
        <v>10</v>
      </c>
    </row>
    <row r="1349" spans="25:28" x14ac:dyDescent="0.2">
      <c r="Y1349">
        <v>32</v>
      </c>
      <c r="Z1349">
        <v>5</v>
      </c>
      <c r="AA1349">
        <f t="shared" si="48"/>
        <v>14</v>
      </c>
      <c r="AB1349">
        <f t="shared" si="49"/>
        <v>10</v>
      </c>
    </row>
    <row r="1350" spans="25:28" x14ac:dyDescent="0.2">
      <c r="Y1350">
        <v>32</v>
      </c>
      <c r="Z1350">
        <v>5</v>
      </c>
      <c r="AA1350">
        <f t="shared" si="48"/>
        <v>14</v>
      </c>
      <c r="AB1350">
        <f t="shared" si="49"/>
        <v>10</v>
      </c>
    </row>
    <row r="1351" spans="25:28" x14ac:dyDescent="0.2">
      <c r="Y1351">
        <v>32</v>
      </c>
      <c r="Z1351">
        <v>5</v>
      </c>
      <c r="AA1351">
        <f t="shared" ref="AA1351:AA1370" si="50">Z1351+9</f>
        <v>14</v>
      </c>
      <c r="AB1351">
        <f t="shared" ref="AB1351:AB1370" si="51">VLOOKUP(Y1351,$D$5:$Q$22,AA1351,FALSE)</f>
        <v>10</v>
      </c>
    </row>
    <row r="1352" spans="25:28" x14ac:dyDescent="0.2">
      <c r="Y1352">
        <v>32</v>
      </c>
      <c r="Z1352">
        <v>5</v>
      </c>
      <c r="AA1352">
        <f t="shared" si="50"/>
        <v>14</v>
      </c>
      <c r="AB1352">
        <f t="shared" si="51"/>
        <v>10</v>
      </c>
    </row>
    <row r="1353" spans="25:28" x14ac:dyDescent="0.2">
      <c r="Y1353">
        <v>32</v>
      </c>
      <c r="Z1353">
        <v>5</v>
      </c>
      <c r="AA1353">
        <f t="shared" si="50"/>
        <v>14</v>
      </c>
      <c r="AB1353">
        <f t="shared" si="51"/>
        <v>10</v>
      </c>
    </row>
    <row r="1354" spans="25:28" x14ac:dyDescent="0.2">
      <c r="Y1354">
        <v>32</v>
      </c>
      <c r="Z1354">
        <v>5</v>
      </c>
      <c r="AA1354">
        <f t="shared" si="50"/>
        <v>14</v>
      </c>
      <c r="AB1354">
        <f t="shared" si="51"/>
        <v>10</v>
      </c>
    </row>
    <row r="1355" spans="25:28" x14ac:dyDescent="0.2">
      <c r="Y1355">
        <v>31</v>
      </c>
      <c r="Z1355">
        <v>5</v>
      </c>
      <c r="AA1355">
        <f t="shared" si="50"/>
        <v>14</v>
      </c>
      <c r="AB1355">
        <f t="shared" si="51"/>
        <v>5</v>
      </c>
    </row>
    <row r="1356" spans="25:28" x14ac:dyDescent="0.2">
      <c r="Y1356">
        <v>31</v>
      </c>
      <c r="Z1356">
        <v>5</v>
      </c>
      <c r="AA1356">
        <f t="shared" si="50"/>
        <v>14</v>
      </c>
      <c r="AB1356">
        <f t="shared" si="51"/>
        <v>5</v>
      </c>
    </row>
    <row r="1357" spans="25:28" x14ac:dyDescent="0.2">
      <c r="Y1357">
        <v>32</v>
      </c>
      <c r="Z1357">
        <v>5</v>
      </c>
      <c r="AA1357">
        <f t="shared" si="50"/>
        <v>14</v>
      </c>
      <c r="AB1357">
        <f t="shared" si="51"/>
        <v>10</v>
      </c>
    </row>
    <row r="1358" spans="25:28" x14ac:dyDescent="0.2">
      <c r="Y1358">
        <v>31</v>
      </c>
      <c r="Z1358">
        <v>5</v>
      </c>
      <c r="AA1358">
        <f t="shared" si="50"/>
        <v>14</v>
      </c>
      <c r="AB1358">
        <f t="shared" si="51"/>
        <v>5</v>
      </c>
    </row>
    <row r="1359" spans="25:28" x14ac:dyDescent="0.2">
      <c r="Y1359">
        <v>31</v>
      </c>
      <c r="Z1359">
        <v>5</v>
      </c>
      <c r="AA1359">
        <f t="shared" si="50"/>
        <v>14</v>
      </c>
      <c r="AB1359">
        <f t="shared" si="51"/>
        <v>5</v>
      </c>
    </row>
    <row r="1360" spans="25:28" x14ac:dyDescent="0.2">
      <c r="Y1360">
        <v>31</v>
      </c>
      <c r="Z1360">
        <v>5</v>
      </c>
      <c r="AA1360">
        <f t="shared" si="50"/>
        <v>14</v>
      </c>
      <c r="AB1360">
        <f t="shared" si="51"/>
        <v>5</v>
      </c>
    </row>
    <row r="1361" spans="25:28" x14ac:dyDescent="0.2">
      <c r="Y1361">
        <v>31</v>
      </c>
      <c r="Z1361">
        <v>5</v>
      </c>
      <c r="AA1361">
        <f t="shared" si="50"/>
        <v>14</v>
      </c>
      <c r="AB1361">
        <f t="shared" si="51"/>
        <v>5</v>
      </c>
    </row>
    <row r="1362" spans="25:28" x14ac:dyDescent="0.2">
      <c r="Y1362">
        <v>31</v>
      </c>
      <c r="Z1362">
        <v>5</v>
      </c>
      <c r="AA1362">
        <f t="shared" si="50"/>
        <v>14</v>
      </c>
      <c r="AB1362">
        <f t="shared" si="51"/>
        <v>5</v>
      </c>
    </row>
    <row r="1363" spans="25:28" x14ac:dyDescent="0.2">
      <c r="Y1363">
        <v>31</v>
      </c>
      <c r="Z1363">
        <v>5</v>
      </c>
      <c r="AA1363">
        <f t="shared" si="50"/>
        <v>14</v>
      </c>
      <c r="AB1363">
        <f t="shared" si="51"/>
        <v>5</v>
      </c>
    </row>
    <row r="1364" spans="25:28" x14ac:dyDescent="0.2">
      <c r="Y1364">
        <v>31</v>
      </c>
      <c r="Z1364">
        <v>5</v>
      </c>
      <c r="AA1364">
        <f t="shared" si="50"/>
        <v>14</v>
      </c>
      <c r="AB1364">
        <f t="shared" si="51"/>
        <v>5</v>
      </c>
    </row>
    <row r="1365" spans="25:28" x14ac:dyDescent="0.2">
      <c r="Y1365">
        <v>31</v>
      </c>
      <c r="Z1365">
        <v>5</v>
      </c>
      <c r="AA1365">
        <f t="shared" si="50"/>
        <v>14</v>
      </c>
      <c r="AB1365">
        <f t="shared" si="51"/>
        <v>5</v>
      </c>
    </row>
    <row r="1366" spans="25:28" x14ac:dyDescent="0.2">
      <c r="Y1366">
        <v>31</v>
      </c>
      <c r="Z1366">
        <v>5</v>
      </c>
      <c r="AA1366">
        <f t="shared" si="50"/>
        <v>14</v>
      </c>
      <c r="AB1366">
        <f t="shared" si="51"/>
        <v>5</v>
      </c>
    </row>
    <row r="1367" spans="25:28" x14ac:dyDescent="0.2">
      <c r="Y1367">
        <v>31</v>
      </c>
      <c r="Z1367">
        <v>5</v>
      </c>
      <c r="AA1367">
        <f t="shared" si="50"/>
        <v>14</v>
      </c>
      <c r="AB1367">
        <f t="shared" si="51"/>
        <v>5</v>
      </c>
    </row>
    <row r="1368" spans="25:28" x14ac:dyDescent="0.2">
      <c r="Y1368">
        <v>31</v>
      </c>
      <c r="Z1368">
        <v>5</v>
      </c>
      <c r="AA1368">
        <f t="shared" si="50"/>
        <v>14</v>
      </c>
      <c r="AB1368">
        <f t="shared" si="51"/>
        <v>5</v>
      </c>
    </row>
    <row r="1369" spans="25:28" x14ac:dyDescent="0.2">
      <c r="Y1369">
        <v>31</v>
      </c>
      <c r="Z1369">
        <v>5</v>
      </c>
      <c r="AA1369">
        <f t="shared" si="50"/>
        <v>14</v>
      </c>
      <c r="AB1369">
        <f t="shared" si="51"/>
        <v>5</v>
      </c>
    </row>
    <row r="1370" spans="25:28" x14ac:dyDescent="0.2">
      <c r="Y1370">
        <v>31</v>
      </c>
      <c r="Z1370">
        <v>5</v>
      </c>
      <c r="AA1370">
        <f t="shared" si="50"/>
        <v>14</v>
      </c>
      <c r="AB1370">
        <f t="shared" si="51"/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0145-7131-4657-A386-67238EEB1D53}">
  <sheetPr codeName="Sheet11"/>
  <dimension ref="C1:V252"/>
  <sheetViews>
    <sheetView workbookViewId="0">
      <selection activeCell="K21" sqref="K21"/>
    </sheetView>
  </sheetViews>
  <sheetFormatPr defaultRowHeight="14.25" x14ac:dyDescent="0.2"/>
  <cols>
    <col min="6" max="6" width="16.875" customWidth="1"/>
    <col min="11" max="12" width="11" bestFit="1" customWidth="1"/>
    <col min="13" max="13" width="13" bestFit="1" customWidth="1"/>
    <col min="14" max="14" width="13" customWidth="1"/>
    <col min="15" max="15" width="13" bestFit="1" customWidth="1"/>
    <col min="16" max="16" width="13" customWidth="1"/>
    <col min="18" max="18" width="13" bestFit="1" customWidth="1"/>
    <col min="21" max="21" width="13" bestFit="1" customWidth="1"/>
  </cols>
  <sheetData>
    <row r="1" spans="3:21" x14ac:dyDescent="0.2">
      <c r="O1" s="18"/>
      <c r="P1" s="18"/>
    </row>
    <row r="2" spans="3:21" x14ac:dyDescent="0.2">
      <c r="C2" s="18" t="s">
        <v>2786</v>
      </c>
      <c r="D2" s="18" t="s">
        <v>2785</v>
      </c>
      <c r="E2" s="18" t="s">
        <v>2783</v>
      </c>
      <c r="F2" s="18" t="s">
        <v>2797</v>
      </c>
      <c r="I2" s="18" t="s">
        <v>2784</v>
      </c>
      <c r="J2" s="18" t="s">
        <v>2788</v>
      </c>
      <c r="K2" s="18" t="s">
        <v>2783</v>
      </c>
      <c r="L2" s="18" t="s">
        <v>2789</v>
      </c>
      <c r="M2" s="18" t="s">
        <v>2790</v>
      </c>
      <c r="N2" s="18" t="s">
        <v>2793</v>
      </c>
      <c r="O2" s="18" t="s">
        <v>2791</v>
      </c>
      <c r="P2" s="18" t="s">
        <v>2737</v>
      </c>
      <c r="Q2" s="18" t="s">
        <v>2794</v>
      </c>
      <c r="R2" s="18" t="s">
        <v>2795</v>
      </c>
      <c r="S2" s="18" t="s">
        <v>2796</v>
      </c>
      <c r="T2" s="18" t="s">
        <v>2792</v>
      </c>
      <c r="U2" s="18" t="s">
        <v>2791</v>
      </c>
    </row>
    <row r="3" spans="3:21" x14ac:dyDescent="0.2">
      <c r="C3" s="18">
        <v>1</v>
      </c>
      <c r="D3" s="18" t="s">
        <v>2744</v>
      </c>
      <c r="E3" s="18">
        <v>1200</v>
      </c>
      <c r="F3" s="18" t="str">
        <f>_xlfn.IFNA(_xlfn.IFNA("233:"&amp;ROUND(VLOOKUP(D3,$J$3:$M$12,3,FALSE)*(VLOOKUP(D3,$J$3:$O$12,6,FALSE)+1)^(C3-1),0)&amp;";"&amp;"234:"&amp;ROUND(VLOOKUP(D3,$J$3:$M$12,4,FALSE)*(VLOOKUP(D3,$J$3:$O$12,6,FALSE)+1)^(C3-1),0),"305:"&amp;ROUND(VLOOKUP(D3,$J$13:$U$18,11,FALSE)*(1+VLOOKUP(D3,$J$13:$U$18,12,FALSE))^(C3-1),0)),"0:0")</f>
        <v>233:4;234:8</v>
      </c>
      <c r="I3" s="18">
        <v>1</v>
      </c>
      <c r="J3" s="18" t="s">
        <v>2744</v>
      </c>
      <c r="K3" s="18">
        <v>1200</v>
      </c>
      <c r="L3" s="18">
        <v>4</v>
      </c>
      <c r="M3" s="18">
        <v>8</v>
      </c>
      <c r="N3" s="33">
        <f>(M3+L3)/2/(K3/1000)</f>
        <v>5</v>
      </c>
      <c r="O3" s="35">
        <v>0.3</v>
      </c>
      <c r="P3" s="36">
        <f>$N3*(1+$O3)</f>
        <v>6.5</v>
      </c>
      <c r="Q3" s="36">
        <f>P3*(1+$O3)</f>
        <v>8.4500000000000011</v>
      </c>
      <c r="R3" s="36">
        <f t="shared" ref="R3:S3" si="0">Q3*(1+$O3)</f>
        <v>10.985000000000001</v>
      </c>
      <c r="S3" s="36">
        <f t="shared" si="0"/>
        <v>14.280500000000002</v>
      </c>
    </row>
    <row r="4" spans="3:21" x14ac:dyDescent="0.2">
      <c r="C4" s="18">
        <v>1</v>
      </c>
      <c r="D4" s="18" t="s">
        <v>22</v>
      </c>
      <c r="E4" s="18">
        <v>1200</v>
      </c>
      <c r="F4" s="18" t="str">
        <f t="shared" ref="F4:F67" si="1">_xlfn.IFNA(_xlfn.IFNA("233:"&amp;ROUND(VLOOKUP(D4,$J$3:$M$12,3,FALSE)*(VLOOKUP(D4,$J$3:$O$12,6,FALSE)+1)^(C4-1),0)&amp;";"&amp;"234:"&amp;ROUND(VLOOKUP(D4,$J$3:$M$12,4,FALSE)*(VLOOKUP(D4,$J$3:$O$12,6,FALSE)+1)^(C4-1),0),"305:"&amp;ROUND(VLOOKUP(D4,$J$13:$U$18,11,FALSE)*(1+VLOOKUP(D4,$J$13:$U$18,12,FALSE))^(C4-1),0)),"0:0")</f>
        <v>233:3;234:9</v>
      </c>
      <c r="I4" s="18">
        <v>2</v>
      </c>
      <c r="J4" s="18" t="s">
        <v>22</v>
      </c>
      <c r="K4" s="18">
        <v>1200</v>
      </c>
      <c r="L4" s="18">
        <v>3</v>
      </c>
      <c r="M4" s="18">
        <v>9</v>
      </c>
      <c r="N4" s="33">
        <f t="shared" ref="N4:N12" si="2">(M4+L4)/2/(K4/1000)</f>
        <v>5</v>
      </c>
      <c r="O4" s="35">
        <v>0.3</v>
      </c>
      <c r="P4" s="36">
        <f>$N4*(1+$O4)</f>
        <v>6.5</v>
      </c>
      <c r="Q4" s="36">
        <f t="shared" ref="Q4:S4" si="3">P4*(1+$O4)</f>
        <v>8.4500000000000011</v>
      </c>
      <c r="R4" s="36">
        <f t="shared" si="3"/>
        <v>10.985000000000001</v>
      </c>
      <c r="S4" s="36">
        <f t="shared" si="3"/>
        <v>14.280500000000002</v>
      </c>
    </row>
    <row r="5" spans="3:21" x14ac:dyDescent="0.2">
      <c r="C5" s="18">
        <v>1</v>
      </c>
      <c r="D5" s="18" t="s">
        <v>23</v>
      </c>
      <c r="E5" s="18">
        <v>1200</v>
      </c>
      <c r="F5" s="18" t="str">
        <f t="shared" si="1"/>
        <v>233:3;234:10</v>
      </c>
      <c r="I5" s="18">
        <v>3</v>
      </c>
      <c r="J5" s="18" t="s">
        <v>23</v>
      </c>
      <c r="K5" s="18">
        <v>1200</v>
      </c>
      <c r="L5" s="18">
        <v>3</v>
      </c>
      <c r="M5" s="18">
        <v>10</v>
      </c>
      <c r="N5" s="33">
        <f t="shared" si="2"/>
        <v>5.416666666666667</v>
      </c>
      <c r="O5" s="35">
        <v>0.3</v>
      </c>
      <c r="P5" s="36">
        <f t="shared" ref="P5:P12" si="4">$N5*(1+$O5)</f>
        <v>7.041666666666667</v>
      </c>
      <c r="Q5" s="36">
        <f t="shared" ref="Q5:S5" si="5">P5*(1+$O5)</f>
        <v>9.1541666666666668</v>
      </c>
      <c r="R5" s="36">
        <f t="shared" si="5"/>
        <v>11.900416666666667</v>
      </c>
      <c r="S5" s="36">
        <f t="shared" si="5"/>
        <v>15.470541666666668</v>
      </c>
    </row>
    <row r="6" spans="3:21" x14ac:dyDescent="0.2">
      <c r="C6" s="18">
        <v>1</v>
      </c>
      <c r="D6" s="18" t="s">
        <v>24</v>
      </c>
      <c r="E6" s="18">
        <v>800</v>
      </c>
      <c r="F6" s="18" t="str">
        <f t="shared" si="1"/>
        <v>233:3;234:5</v>
      </c>
      <c r="I6" s="18">
        <v>4</v>
      </c>
      <c r="J6" s="18" t="s">
        <v>24</v>
      </c>
      <c r="K6" s="18">
        <v>800</v>
      </c>
      <c r="L6" s="18">
        <v>3</v>
      </c>
      <c r="M6" s="18">
        <v>5</v>
      </c>
      <c r="N6" s="33">
        <f t="shared" si="2"/>
        <v>5</v>
      </c>
      <c r="O6" s="35">
        <v>0.25</v>
      </c>
      <c r="P6" s="36">
        <f t="shared" si="4"/>
        <v>6.25</v>
      </c>
      <c r="Q6" s="36">
        <f t="shared" ref="Q6:S6" si="6">P6*(1+$O6)</f>
        <v>7.8125</v>
      </c>
      <c r="R6" s="36">
        <f t="shared" si="6"/>
        <v>9.765625</v>
      </c>
      <c r="S6" s="36">
        <f t="shared" si="6"/>
        <v>12.20703125</v>
      </c>
    </row>
    <row r="7" spans="3:21" x14ac:dyDescent="0.2">
      <c r="C7" s="18">
        <v>1</v>
      </c>
      <c r="D7" s="18" t="s">
        <v>25</v>
      </c>
      <c r="E7" s="18">
        <v>1500</v>
      </c>
      <c r="F7" s="18" t="str">
        <f t="shared" si="1"/>
        <v>233:6;234:13</v>
      </c>
      <c r="I7" s="18">
        <v>5</v>
      </c>
      <c r="J7" s="18" t="s">
        <v>25</v>
      </c>
      <c r="K7" s="18">
        <v>1500</v>
      </c>
      <c r="L7" s="18">
        <v>6</v>
      </c>
      <c r="M7" s="18">
        <v>13</v>
      </c>
      <c r="N7" s="33">
        <f t="shared" si="2"/>
        <v>6.333333333333333</v>
      </c>
      <c r="O7" s="35">
        <v>0.375</v>
      </c>
      <c r="P7" s="36">
        <f t="shared" si="4"/>
        <v>8.7083333333333321</v>
      </c>
      <c r="Q7" s="36">
        <f t="shared" ref="Q7:S7" si="7">P7*(1+$O7)</f>
        <v>11.973958333333332</v>
      </c>
      <c r="R7" s="36">
        <f t="shared" si="7"/>
        <v>16.464192708333332</v>
      </c>
      <c r="S7" s="36">
        <f t="shared" si="7"/>
        <v>22.638264973958332</v>
      </c>
    </row>
    <row r="8" spans="3:21" x14ac:dyDescent="0.2">
      <c r="C8" s="18">
        <v>1</v>
      </c>
      <c r="D8" s="18" t="s">
        <v>26</v>
      </c>
      <c r="E8" s="18">
        <v>1600</v>
      </c>
      <c r="F8" s="18" t="str">
        <f t="shared" si="1"/>
        <v>233:6;234:15</v>
      </c>
      <c r="I8" s="18">
        <v>6</v>
      </c>
      <c r="J8" s="18" t="s">
        <v>26</v>
      </c>
      <c r="K8" s="18">
        <v>1600</v>
      </c>
      <c r="L8" s="18">
        <v>6</v>
      </c>
      <c r="M8" s="18">
        <v>15</v>
      </c>
      <c r="N8" s="33">
        <f t="shared" si="2"/>
        <v>6.5625</v>
      </c>
      <c r="O8" s="35">
        <v>0.4</v>
      </c>
      <c r="P8" s="36">
        <f t="shared" si="4"/>
        <v>9.1875</v>
      </c>
      <c r="Q8" s="36">
        <f t="shared" ref="Q8:S8" si="8">P8*(1+$O8)</f>
        <v>12.862499999999999</v>
      </c>
      <c r="R8" s="36">
        <f t="shared" si="8"/>
        <v>18.007499999999997</v>
      </c>
      <c r="S8" s="36">
        <f t="shared" si="8"/>
        <v>25.210499999999993</v>
      </c>
    </row>
    <row r="9" spans="3:21" x14ac:dyDescent="0.2">
      <c r="C9" s="18">
        <v>1</v>
      </c>
      <c r="D9" s="18" t="s">
        <v>27</v>
      </c>
      <c r="E9" s="18">
        <v>1700</v>
      </c>
      <c r="F9" s="18" t="str">
        <f t="shared" si="1"/>
        <v>233:4;234:20</v>
      </c>
      <c r="I9" s="18">
        <v>7</v>
      </c>
      <c r="J9" s="18" t="s">
        <v>27</v>
      </c>
      <c r="K9" s="18">
        <v>1700</v>
      </c>
      <c r="L9" s="18">
        <v>4</v>
      </c>
      <c r="M9" s="18">
        <v>20</v>
      </c>
      <c r="N9" s="33">
        <f t="shared" si="2"/>
        <v>7.0588235294117645</v>
      </c>
      <c r="O9" s="35">
        <v>0.42499999999999999</v>
      </c>
      <c r="P9" s="36">
        <f t="shared" si="4"/>
        <v>10.058823529411764</v>
      </c>
      <c r="Q9" s="36">
        <f t="shared" ref="Q9:S9" si="9">P9*(1+$O9)</f>
        <v>14.333823529411765</v>
      </c>
      <c r="R9" s="36">
        <f t="shared" si="9"/>
        <v>20.425698529411765</v>
      </c>
      <c r="S9" s="36">
        <f t="shared" si="9"/>
        <v>29.106620404411764</v>
      </c>
    </row>
    <row r="10" spans="3:21" x14ac:dyDescent="0.2">
      <c r="C10" s="18">
        <v>1</v>
      </c>
      <c r="D10" s="18" t="s">
        <v>28</v>
      </c>
      <c r="E10" s="18">
        <v>1500</v>
      </c>
      <c r="F10" s="18" t="str">
        <f t="shared" si="1"/>
        <v>233:5;234:10</v>
      </c>
      <c r="I10" s="18">
        <v>8</v>
      </c>
      <c r="J10" s="18" t="s">
        <v>28</v>
      </c>
      <c r="K10" s="18">
        <v>1500</v>
      </c>
      <c r="L10" s="18">
        <v>5</v>
      </c>
      <c r="M10" s="18">
        <v>10</v>
      </c>
      <c r="N10" s="33">
        <f t="shared" si="2"/>
        <v>5</v>
      </c>
      <c r="O10" s="35">
        <v>0.375</v>
      </c>
      <c r="P10" s="36">
        <f t="shared" si="4"/>
        <v>6.875</v>
      </c>
      <c r="Q10" s="36">
        <f t="shared" ref="Q10:S10" si="10">P10*(1+$O10)</f>
        <v>9.453125</v>
      </c>
      <c r="R10" s="36">
        <f t="shared" si="10"/>
        <v>12.998046875</v>
      </c>
      <c r="S10" s="36">
        <f t="shared" si="10"/>
        <v>17.872314453125</v>
      </c>
    </row>
    <row r="11" spans="3:21" x14ac:dyDescent="0.2">
      <c r="C11" s="18">
        <v>1</v>
      </c>
      <c r="D11" s="18" t="s">
        <v>29</v>
      </c>
      <c r="E11" s="18">
        <v>1650</v>
      </c>
      <c r="F11" s="18" t="str">
        <f t="shared" si="1"/>
        <v>233:6;234:12</v>
      </c>
      <c r="I11" s="18">
        <v>9</v>
      </c>
      <c r="J11" s="18" t="s">
        <v>29</v>
      </c>
      <c r="K11" s="18">
        <v>1650</v>
      </c>
      <c r="L11" s="18">
        <v>6</v>
      </c>
      <c r="M11" s="18">
        <v>12</v>
      </c>
      <c r="N11" s="33">
        <f t="shared" si="2"/>
        <v>5.454545454545455</v>
      </c>
      <c r="O11" s="35">
        <v>0.41249999999999998</v>
      </c>
      <c r="P11" s="36">
        <f t="shared" si="4"/>
        <v>7.7045454545454559</v>
      </c>
      <c r="Q11" s="36">
        <f t="shared" ref="Q11:S11" si="11">P11*(1+$O11)</f>
        <v>10.882670454545456</v>
      </c>
      <c r="R11" s="36">
        <f t="shared" si="11"/>
        <v>15.371772017045458</v>
      </c>
      <c r="S11" s="36">
        <f t="shared" si="11"/>
        <v>21.71262797407671</v>
      </c>
    </row>
    <row r="12" spans="3:21" x14ac:dyDescent="0.2">
      <c r="C12" s="18">
        <v>1</v>
      </c>
      <c r="D12" s="18" t="s">
        <v>2745</v>
      </c>
      <c r="E12" s="18">
        <v>1650</v>
      </c>
      <c r="F12" s="18" t="str">
        <f t="shared" si="1"/>
        <v>233:8;234:15</v>
      </c>
      <c r="I12" s="18">
        <v>10</v>
      </c>
      <c r="J12" s="18" t="s">
        <v>2745</v>
      </c>
      <c r="K12" s="18">
        <v>1650</v>
      </c>
      <c r="L12" s="18">
        <v>8</v>
      </c>
      <c r="M12" s="18">
        <v>15</v>
      </c>
      <c r="N12" s="33">
        <f t="shared" si="2"/>
        <v>6.9696969696969697</v>
      </c>
      <c r="O12" s="35">
        <v>0.41249999999999998</v>
      </c>
      <c r="P12" s="36">
        <f t="shared" si="4"/>
        <v>9.8446969696969706</v>
      </c>
      <c r="Q12" s="36">
        <f t="shared" ref="Q12:S12" si="12">P12*(1+$O12)</f>
        <v>13.905634469696972</v>
      </c>
      <c r="R12" s="36">
        <f t="shared" si="12"/>
        <v>19.641708688446975</v>
      </c>
      <c r="S12" s="36">
        <f t="shared" si="12"/>
        <v>27.743913522431356</v>
      </c>
    </row>
    <row r="13" spans="3:21" x14ac:dyDescent="0.2">
      <c r="C13" s="18">
        <v>1</v>
      </c>
      <c r="D13" s="18" t="s">
        <v>2746</v>
      </c>
      <c r="E13" s="18">
        <v>0</v>
      </c>
      <c r="F13" s="18" t="str">
        <f t="shared" si="1"/>
        <v>305:40</v>
      </c>
      <c r="I13" s="18">
        <v>11</v>
      </c>
      <c r="J13" s="18" t="s">
        <v>2746</v>
      </c>
      <c r="T13" s="18">
        <v>40</v>
      </c>
      <c r="U13" s="35">
        <v>0.3</v>
      </c>
    </row>
    <row r="14" spans="3:21" x14ac:dyDescent="0.2">
      <c r="C14" s="18">
        <v>1</v>
      </c>
      <c r="D14" s="18" t="s">
        <v>2747</v>
      </c>
      <c r="E14" s="18">
        <v>0</v>
      </c>
      <c r="F14" s="18" t="str">
        <f t="shared" si="1"/>
        <v>305:30</v>
      </c>
      <c r="I14" s="18">
        <v>21</v>
      </c>
      <c r="J14" s="18" t="s">
        <v>2747</v>
      </c>
      <c r="T14" s="18">
        <v>30</v>
      </c>
      <c r="U14" s="35">
        <v>0.25</v>
      </c>
    </row>
    <row r="15" spans="3:21" x14ac:dyDescent="0.2">
      <c r="C15" s="18">
        <v>1</v>
      </c>
      <c r="D15" s="18" t="s">
        <v>2748</v>
      </c>
      <c r="E15" s="18">
        <v>0</v>
      </c>
      <c r="F15" s="18" t="str">
        <f t="shared" si="1"/>
        <v>305:60</v>
      </c>
      <c r="I15" s="18">
        <v>22</v>
      </c>
      <c r="J15" s="18" t="s">
        <v>2748</v>
      </c>
      <c r="T15" s="18">
        <v>60</v>
      </c>
      <c r="U15" s="35">
        <v>0.25</v>
      </c>
    </row>
    <row r="16" spans="3:21" x14ac:dyDescent="0.2">
      <c r="C16" s="18">
        <v>1</v>
      </c>
      <c r="D16" s="18" t="s">
        <v>2749</v>
      </c>
      <c r="E16" s="18">
        <v>0</v>
      </c>
      <c r="F16" s="18" t="str">
        <f t="shared" si="1"/>
        <v>305:30</v>
      </c>
      <c r="I16" s="18">
        <v>23</v>
      </c>
      <c r="J16" s="18" t="s">
        <v>2749</v>
      </c>
      <c r="O16" s="37"/>
      <c r="T16" s="18">
        <v>30</v>
      </c>
      <c r="U16" s="35">
        <v>0.25</v>
      </c>
    </row>
    <row r="17" spans="3:22" x14ac:dyDescent="0.2">
      <c r="C17" s="18">
        <v>1</v>
      </c>
      <c r="D17" s="18" t="s">
        <v>2750</v>
      </c>
      <c r="E17" s="18">
        <v>0</v>
      </c>
      <c r="F17" s="18" t="str">
        <f t="shared" si="1"/>
        <v>305:40</v>
      </c>
      <c r="I17" s="18">
        <v>24</v>
      </c>
      <c r="J17" s="18" t="s">
        <v>2750</v>
      </c>
      <c r="O17" s="37"/>
      <c r="T17" s="18">
        <v>40</v>
      </c>
      <c r="U17" s="35">
        <v>0.25</v>
      </c>
    </row>
    <row r="18" spans="3:22" x14ac:dyDescent="0.2">
      <c r="C18" s="18">
        <v>1</v>
      </c>
      <c r="D18" s="18" t="s">
        <v>2751</v>
      </c>
      <c r="E18" s="18">
        <v>0</v>
      </c>
      <c r="F18" s="18" t="str">
        <f t="shared" si="1"/>
        <v>305:30</v>
      </c>
      <c r="I18" s="18">
        <v>25</v>
      </c>
      <c r="J18" s="18" t="s">
        <v>2751</v>
      </c>
      <c r="O18" s="37"/>
      <c r="T18" s="18">
        <v>30</v>
      </c>
      <c r="U18" s="35">
        <v>0.25</v>
      </c>
    </row>
    <row r="19" spans="3:22" x14ac:dyDescent="0.2">
      <c r="C19" s="18">
        <v>1</v>
      </c>
      <c r="D19" s="18" t="s">
        <v>2752</v>
      </c>
      <c r="E19" s="18">
        <v>0</v>
      </c>
      <c r="F19" s="18" t="str">
        <f t="shared" si="1"/>
        <v>0:0</v>
      </c>
      <c r="I19" s="18">
        <v>31</v>
      </c>
      <c r="J19" s="18" t="s">
        <v>2752</v>
      </c>
      <c r="O19" s="37"/>
    </row>
    <row r="20" spans="3:22" x14ac:dyDescent="0.2">
      <c r="C20" s="18">
        <v>1</v>
      </c>
      <c r="D20" s="18" t="s">
        <v>2753</v>
      </c>
      <c r="E20" s="18">
        <v>0</v>
      </c>
      <c r="F20" s="18" t="str">
        <f t="shared" si="1"/>
        <v>0:0</v>
      </c>
      <c r="I20" s="18">
        <v>32</v>
      </c>
      <c r="J20" s="18" t="s">
        <v>2753</v>
      </c>
      <c r="O20" s="37"/>
    </row>
    <row r="21" spans="3:22" x14ac:dyDescent="0.2">
      <c r="C21" s="18">
        <v>2</v>
      </c>
      <c r="D21" s="18" t="s">
        <v>2744</v>
      </c>
      <c r="E21" s="18">
        <v>1200</v>
      </c>
      <c r="F21" s="18" t="str">
        <f t="shared" si="1"/>
        <v>233:5;234:10</v>
      </c>
      <c r="I21" s="18">
        <v>99</v>
      </c>
      <c r="J21" s="18" t="s">
        <v>2787</v>
      </c>
      <c r="O21" s="37"/>
    </row>
    <row r="22" spans="3:22" x14ac:dyDescent="0.2">
      <c r="C22" s="18">
        <v>2</v>
      </c>
      <c r="D22" s="18" t="s">
        <v>22</v>
      </c>
      <c r="E22" s="18">
        <v>1200</v>
      </c>
      <c r="F22" s="18" t="str">
        <f t="shared" si="1"/>
        <v>233:4;234:12</v>
      </c>
      <c r="O22" s="37"/>
      <c r="T22">
        <v>100</v>
      </c>
      <c r="U22" s="34">
        <v>0.1</v>
      </c>
      <c r="V22" s="34">
        <v>0.2</v>
      </c>
    </row>
    <row r="23" spans="3:22" x14ac:dyDescent="0.2">
      <c r="C23" s="18">
        <v>2</v>
      </c>
      <c r="D23" s="18" t="s">
        <v>23</v>
      </c>
      <c r="E23" s="18">
        <v>1200</v>
      </c>
      <c r="F23" s="18" t="str">
        <f t="shared" si="1"/>
        <v>233:4;234:13</v>
      </c>
      <c r="O23" s="37"/>
      <c r="U23" s="34">
        <v>0.25</v>
      </c>
      <c r="V23" s="34">
        <v>0.5</v>
      </c>
    </row>
    <row r="24" spans="3:22" x14ac:dyDescent="0.2">
      <c r="C24" s="18">
        <v>2</v>
      </c>
      <c r="D24" s="18" t="s">
        <v>24</v>
      </c>
      <c r="E24" s="18">
        <v>800</v>
      </c>
      <c r="F24" s="18" t="str">
        <f t="shared" si="1"/>
        <v>233:4;234:6</v>
      </c>
      <c r="O24" s="37"/>
    </row>
    <row r="25" spans="3:22" x14ac:dyDescent="0.2">
      <c r="C25" s="18">
        <v>2</v>
      </c>
      <c r="D25" s="18" t="s">
        <v>25</v>
      </c>
      <c r="E25" s="18">
        <v>1500</v>
      </c>
      <c r="F25" s="18" t="str">
        <f t="shared" si="1"/>
        <v>233:8;234:18</v>
      </c>
      <c r="O25" s="37"/>
    </row>
    <row r="26" spans="3:22" x14ac:dyDescent="0.2">
      <c r="C26" s="18">
        <v>2</v>
      </c>
      <c r="D26" s="18" t="s">
        <v>26</v>
      </c>
      <c r="E26" s="18">
        <v>1600</v>
      </c>
      <c r="F26" s="18" t="str">
        <f t="shared" si="1"/>
        <v>233:8;234:21</v>
      </c>
      <c r="O26" s="37"/>
    </row>
    <row r="27" spans="3:22" x14ac:dyDescent="0.2">
      <c r="C27" s="18">
        <v>2</v>
      </c>
      <c r="D27" s="18" t="s">
        <v>27</v>
      </c>
      <c r="E27" s="18">
        <v>1700</v>
      </c>
      <c r="F27" s="18" t="str">
        <f t="shared" si="1"/>
        <v>233:6;234:29</v>
      </c>
      <c r="O27" s="37"/>
    </row>
    <row r="28" spans="3:22" x14ac:dyDescent="0.2">
      <c r="C28" s="18">
        <v>2</v>
      </c>
      <c r="D28" s="18" t="s">
        <v>28</v>
      </c>
      <c r="E28" s="18">
        <v>1500</v>
      </c>
      <c r="F28" s="18" t="str">
        <f t="shared" si="1"/>
        <v>233:7;234:14</v>
      </c>
      <c r="O28" s="37"/>
    </row>
    <row r="29" spans="3:22" x14ac:dyDescent="0.2">
      <c r="C29" s="18">
        <v>2</v>
      </c>
      <c r="D29" s="18" t="s">
        <v>29</v>
      </c>
      <c r="E29" s="18">
        <v>1650</v>
      </c>
      <c r="F29" s="18" t="str">
        <f t="shared" si="1"/>
        <v>233:8;234:17</v>
      </c>
    </row>
    <row r="30" spans="3:22" x14ac:dyDescent="0.2">
      <c r="C30" s="18">
        <v>2</v>
      </c>
      <c r="D30" s="18" t="s">
        <v>2745</v>
      </c>
      <c r="E30" s="18">
        <v>1650</v>
      </c>
      <c r="F30" s="18" t="str">
        <f t="shared" si="1"/>
        <v>233:11;234:21</v>
      </c>
    </row>
    <row r="31" spans="3:22" x14ac:dyDescent="0.2">
      <c r="C31" s="18">
        <v>2</v>
      </c>
      <c r="D31" s="18" t="s">
        <v>2746</v>
      </c>
      <c r="E31" s="18">
        <v>0</v>
      </c>
      <c r="F31" s="18" t="str">
        <f t="shared" si="1"/>
        <v>305:52</v>
      </c>
    </row>
    <row r="32" spans="3:22" x14ac:dyDescent="0.2">
      <c r="C32" s="18">
        <v>2</v>
      </c>
      <c r="D32" s="18" t="s">
        <v>2747</v>
      </c>
      <c r="E32" s="18">
        <v>0</v>
      </c>
      <c r="F32" s="18" t="str">
        <f t="shared" si="1"/>
        <v>305:38</v>
      </c>
    </row>
    <row r="33" spans="3:6" x14ac:dyDescent="0.2">
      <c r="C33" s="18">
        <v>2</v>
      </c>
      <c r="D33" s="18" t="s">
        <v>2748</v>
      </c>
      <c r="E33" s="18">
        <v>0</v>
      </c>
      <c r="F33" s="18" t="str">
        <f t="shared" si="1"/>
        <v>305:75</v>
      </c>
    </row>
    <row r="34" spans="3:6" x14ac:dyDescent="0.2">
      <c r="C34" s="18">
        <v>2</v>
      </c>
      <c r="D34" s="18" t="s">
        <v>2749</v>
      </c>
      <c r="E34" s="18">
        <v>0</v>
      </c>
      <c r="F34" s="18" t="str">
        <f t="shared" si="1"/>
        <v>305:38</v>
      </c>
    </row>
    <row r="35" spans="3:6" x14ac:dyDescent="0.2">
      <c r="C35" s="18">
        <v>2</v>
      </c>
      <c r="D35" s="18" t="s">
        <v>2750</v>
      </c>
      <c r="E35" s="18">
        <v>0</v>
      </c>
      <c r="F35" s="18" t="str">
        <f t="shared" si="1"/>
        <v>305:50</v>
      </c>
    </row>
    <row r="36" spans="3:6" x14ac:dyDescent="0.2">
      <c r="C36" s="18">
        <v>2</v>
      </c>
      <c r="D36" s="18" t="s">
        <v>2751</v>
      </c>
      <c r="E36" s="18">
        <v>0</v>
      </c>
      <c r="F36" s="18" t="str">
        <f t="shared" si="1"/>
        <v>305:38</v>
      </c>
    </row>
    <row r="37" spans="3:6" x14ac:dyDescent="0.2">
      <c r="C37" s="18">
        <v>2</v>
      </c>
      <c r="D37" s="18" t="s">
        <v>2752</v>
      </c>
      <c r="E37" s="18">
        <v>0</v>
      </c>
      <c r="F37" s="18" t="str">
        <f t="shared" si="1"/>
        <v>0:0</v>
      </c>
    </row>
    <row r="38" spans="3:6" x14ac:dyDescent="0.2">
      <c r="C38" s="18">
        <v>2</v>
      </c>
      <c r="D38" s="18" t="s">
        <v>2753</v>
      </c>
      <c r="E38" s="18">
        <v>0</v>
      </c>
      <c r="F38" s="18" t="str">
        <f t="shared" si="1"/>
        <v>0:0</v>
      </c>
    </row>
    <row r="39" spans="3:6" x14ac:dyDescent="0.2">
      <c r="C39" s="18">
        <v>3</v>
      </c>
      <c r="D39" s="18" t="s">
        <v>2744</v>
      </c>
      <c r="E39" s="18">
        <v>1200</v>
      </c>
      <c r="F39" s="18" t="str">
        <f t="shared" si="1"/>
        <v>233:7;234:14</v>
      </c>
    </row>
    <row r="40" spans="3:6" x14ac:dyDescent="0.2">
      <c r="C40" s="18">
        <v>3</v>
      </c>
      <c r="D40" s="18" t="s">
        <v>22</v>
      </c>
      <c r="E40" s="18">
        <v>1200</v>
      </c>
      <c r="F40" s="18" t="str">
        <f t="shared" si="1"/>
        <v>233:5;234:15</v>
      </c>
    </row>
    <row r="41" spans="3:6" x14ac:dyDescent="0.2">
      <c r="C41" s="18">
        <v>3</v>
      </c>
      <c r="D41" s="18" t="s">
        <v>23</v>
      </c>
      <c r="E41" s="18">
        <v>1200</v>
      </c>
      <c r="F41" s="18" t="str">
        <f t="shared" si="1"/>
        <v>233:5;234:17</v>
      </c>
    </row>
    <row r="42" spans="3:6" x14ac:dyDescent="0.2">
      <c r="C42" s="18">
        <v>3</v>
      </c>
      <c r="D42" s="18" t="s">
        <v>24</v>
      </c>
      <c r="E42" s="18">
        <v>800</v>
      </c>
      <c r="F42" s="18" t="str">
        <f t="shared" si="1"/>
        <v>233:5;234:8</v>
      </c>
    </row>
    <row r="43" spans="3:6" x14ac:dyDescent="0.2">
      <c r="C43" s="18">
        <v>3</v>
      </c>
      <c r="D43" s="18" t="s">
        <v>25</v>
      </c>
      <c r="E43" s="18">
        <v>1500</v>
      </c>
      <c r="F43" s="18" t="str">
        <f t="shared" si="1"/>
        <v>233:11;234:25</v>
      </c>
    </row>
    <row r="44" spans="3:6" x14ac:dyDescent="0.2">
      <c r="C44" s="18">
        <v>3</v>
      </c>
      <c r="D44" s="18" t="s">
        <v>26</v>
      </c>
      <c r="E44" s="18">
        <v>1600</v>
      </c>
      <c r="F44" s="18" t="str">
        <f t="shared" si="1"/>
        <v>233:12;234:29</v>
      </c>
    </row>
    <row r="45" spans="3:6" x14ac:dyDescent="0.2">
      <c r="C45" s="18">
        <v>3</v>
      </c>
      <c r="D45" s="18" t="s">
        <v>27</v>
      </c>
      <c r="E45" s="18">
        <v>1700</v>
      </c>
      <c r="F45" s="18" t="str">
        <f t="shared" si="1"/>
        <v>233:8;234:41</v>
      </c>
    </row>
    <row r="46" spans="3:6" x14ac:dyDescent="0.2">
      <c r="C46" s="18">
        <v>3</v>
      </c>
      <c r="D46" s="18" t="s">
        <v>28</v>
      </c>
      <c r="E46" s="18">
        <v>1500</v>
      </c>
      <c r="F46" s="18" t="str">
        <f t="shared" si="1"/>
        <v>233:9;234:19</v>
      </c>
    </row>
    <row r="47" spans="3:6" x14ac:dyDescent="0.2">
      <c r="C47" s="18">
        <v>3</v>
      </c>
      <c r="D47" s="18" t="s">
        <v>29</v>
      </c>
      <c r="E47" s="18">
        <v>1650</v>
      </c>
      <c r="F47" s="18" t="str">
        <f t="shared" si="1"/>
        <v>233:12;234:24</v>
      </c>
    </row>
    <row r="48" spans="3:6" x14ac:dyDescent="0.2">
      <c r="C48" s="18">
        <v>3</v>
      </c>
      <c r="D48" s="18" t="s">
        <v>2745</v>
      </c>
      <c r="E48" s="18">
        <v>1650</v>
      </c>
      <c r="F48" s="18" t="str">
        <f t="shared" si="1"/>
        <v>233:16;234:30</v>
      </c>
    </row>
    <row r="49" spans="3:6" x14ac:dyDescent="0.2">
      <c r="C49" s="18">
        <v>3</v>
      </c>
      <c r="D49" s="18" t="s">
        <v>2746</v>
      </c>
      <c r="E49" s="18">
        <v>0</v>
      </c>
      <c r="F49" s="18" t="str">
        <f t="shared" si="1"/>
        <v>305:68</v>
      </c>
    </row>
    <row r="50" spans="3:6" x14ac:dyDescent="0.2">
      <c r="C50" s="18">
        <v>3</v>
      </c>
      <c r="D50" s="18" t="s">
        <v>2747</v>
      </c>
      <c r="E50" s="18">
        <v>0</v>
      </c>
      <c r="F50" s="18" t="str">
        <f t="shared" si="1"/>
        <v>305:47</v>
      </c>
    </row>
    <row r="51" spans="3:6" x14ac:dyDescent="0.2">
      <c r="C51" s="18">
        <v>3</v>
      </c>
      <c r="D51" s="18" t="s">
        <v>2748</v>
      </c>
      <c r="E51" s="18">
        <v>0</v>
      </c>
      <c r="F51" s="18" t="str">
        <f t="shared" si="1"/>
        <v>305:94</v>
      </c>
    </row>
    <row r="52" spans="3:6" x14ac:dyDescent="0.2">
      <c r="C52" s="18">
        <v>3</v>
      </c>
      <c r="D52" s="18" t="s">
        <v>2749</v>
      </c>
      <c r="E52" s="18">
        <v>0</v>
      </c>
      <c r="F52" s="18" t="str">
        <f t="shared" si="1"/>
        <v>305:47</v>
      </c>
    </row>
    <row r="53" spans="3:6" x14ac:dyDescent="0.2">
      <c r="C53" s="18">
        <v>3</v>
      </c>
      <c r="D53" s="18" t="s">
        <v>2750</v>
      </c>
      <c r="E53" s="18">
        <v>0</v>
      </c>
      <c r="F53" s="18" t="str">
        <f t="shared" si="1"/>
        <v>305:63</v>
      </c>
    </row>
    <row r="54" spans="3:6" x14ac:dyDescent="0.2">
      <c r="C54" s="18">
        <v>3</v>
      </c>
      <c r="D54" s="18" t="s">
        <v>2751</v>
      </c>
      <c r="E54" s="18">
        <v>0</v>
      </c>
      <c r="F54" s="18" t="str">
        <f t="shared" si="1"/>
        <v>305:47</v>
      </c>
    </row>
    <row r="55" spans="3:6" x14ac:dyDescent="0.2">
      <c r="C55" s="18">
        <v>3</v>
      </c>
      <c r="D55" s="18" t="s">
        <v>2752</v>
      </c>
      <c r="E55" s="18">
        <v>0</v>
      </c>
      <c r="F55" s="18" t="str">
        <f t="shared" si="1"/>
        <v>0:0</v>
      </c>
    </row>
    <row r="56" spans="3:6" x14ac:dyDescent="0.2">
      <c r="C56" s="18">
        <v>3</v>
      </c>
      <c r="D56" s="18" t="s">
        <v>2753</v>
      </c>
      <c r="E56" s="18">
        <v>0</v>
      </c>
      <c r="F56" s="18" t="str">
        <f t="shared" si="1"/>
        <v>0:0</v>
      </c>
    </row>
    <row r="57" spans="3:6" x14ac:dyDescent="0.2">
      <c r="C57" s="18">
        <v>4</v>
      </c>
      <c r="D57" s="18" t="s">
        <v>2744</v>
      </c>
      <c r="E57" s="18">
        <v>1200</v>
      </c>
      <c r="F57" s="18" t="str">
        <f t="shared" si="1"/>
        <v>233:9;234:18</v>
      </c>
    </row>
    <row r="58" spans="3:6" x14ac:dyDescent="0.2">
      <c r="C58" s="18">
        <v>4</v>
      </c>
      <c r="D58" s="18" t="s">
        <v>22</v>
      </c>
      <c r="E58" s="18">
        <v>1200</v>
      </c>
      <c r="F58" s="18" t="str">
        <f t="shared" si="1"/>
        <v>233:7;234:20</v>
      </c>
    </row>
    <row r="59" spans="3:6" x14ac:dyDescent="0.2">
      <c r="C59" s="18">
        <v>4</v>
      </c>
      <c r="D59" s="18" t="s">
        <v>23</v>
      </c>
      <c r="E59" s="18">
        <v>1200</v>
      </c>
      <c r="F59" s="18" t="str">
        <f t="shared" si="1"/>
        <v>233:7;234:22</v>
      </c>
    </row>
    <row r="60" spans="3:6" x14ac:dyDescent="0.2">
      <c r="C60" s="18">
        <v>4</v>
      </c>
      <c r="D60" s="18" t="s">
        <v>24</v>
      </c>
      <c r="E60" s="18">
        <v>800</v>
      </c>
      <c r="F60" s="18" t="str">
        <f t="shared" si="1"/>
        <v>233:6;234:10</v>
      </c>
    </row>
    <row r="61" spans="3:6" x14ac:dyDescent="0.2">
      <c r="C61" s="18">
        <v>4</v>
      </c>
      <c r="D61" s="18" t="s">
        <v>25</v>
      </c>
      <c r="E61" s="18">
        <v>1500</v>
      </c>
      <c r="F61" s="18" t="str">
        <f t="shared" si="1"/>
        <v>233:16;234:34</v>
      </c>
    </row>
    <row r="62" spans="3:6" x14ac:dyDescent="0.2">
      <c r="C62" s="18">
        <v>4</v>
      </c>
      <c r="D62" s="18" t="s">
        <v>26</v>
      </c>
      <c r="E62" s="18">
        <v>1600</v>
      </c>
      <c r="F62" s="18" t="str">
        <f t="shared" si="1"/>
        <v>233:16;234:41</v>
      </c>
    </row>
    <row r="63" spans="3:6" x14ac:dyDescent="0.2">
      <c r="C63" s="18">
        <v>4</v>
      </c>
      <c r="D63" s="18" t="s">
        <v>27</v>
      </c>
      <c r="E63" s="18">
        <v>1700</v>
      </c>
      <c r="F63" s="18" t="str">
        <f t="shared" si="1"/>
        <v>233:12;234:58</v>
      </c>
    </row>
    <row r="64" spans="3:6" x14ac:dyDescent="0.2">
      <c r="C64" s="18">
        <v>4</v>
      </c>
      <c r="D64" s="18" t="s">
        <v>28</v>
      </c>
      <c r="E64" s="18">
        <v>1500</v>
      </c>
      <c r="F64" s="18" t="str">
        <f t="shared" si="1"/>
        <v>233:13;234:26</v>
      </c>
    </row>
    <row r="65" spans="3:6" x14ac:dyDescent="0.2">
      <c r="C65" s="18">
        <v>4</v>
      </c>
      <c r="D65" s="18" t="s">
        <v>29</v>
      </c>
      <c r="E65" s="18">
        <v>1650</v>
      </c>
      <c r="F65" s="18" t="str">
        <f t="shared" si="1"/>
        <v>233:17;234:34</v>
      </c>
    </row>
    <row r="66" spans="3:6" x14ac:dyDescent="0.2">
      <c r="C66" s="18">
        <v>4</v>
      </c>
      <c r="D66" s="18" t="s">
        <v>2745</v>
      </c>
      <c r="E66" s="18">
        <v>1650</v>
      </c>
      <c r="F66" s="18" t="str">
        <f t="shared" si="1"/>
        <v>233:23;234:42</v>
      </c>
    </row>
    <row r="67" spans="3:6" x14ac:dyDescent="0.2">
      <c r="C67" s="18">
        <v>4</v>
      </c>
      <c r="D67" s="18" t="s">
        <v>2746</v>
      </c>
      <c r="E67" s="18">
        <v>0</v>
      </c>
      <c r="F67" s="18" t="str">
        <f t="shared" si="1"/>
        <v>305:88</v>
      </c>
    </row>
    <row r="68" spans="3:6" x14ac:dyDescent="0.2">
      <c r="C68" s="18">
        <v>4</v>
      </c>
      <c r="D68" s="18" t="s">
        <v>2747</v>
      </c>
      <c r="E68" s="18">
        <v>0</v>
      </c>
      <c r="F68" s="18" t="str">
        <f t="shared" ref="F68:F131" si="13">_xlfn.IFNA(_xlfn.IFNA("233:"&amp;ROUND(VLOOKUP(D68,$J$3:$M$12,3,FALSE)*(VLOOKUP(D68,$J$3:$O$12,6,FALSE)+1)^(C68-1),0)&amp;";"&amp;"234:"&amp;ROUND(VLOOKUP(D68,$J$3:$M$12,4,FALSE)*(VLOOKUP(D68,$J$3:$O$12,6,FALSE)+1)^(C68-1),0),"305:"&amp;ROUND(VLOOKUP(D68,$J$13:$U$18,11,FALSE)*(1+VLOOKUP(D68,$J$13:$U$18,12,FALSE))^(C68-1),0)),"0:0")</f>
        <v>305:59</v>
      </c>
    </row>
    <row r="69" spans="3:6" x14ac:dyDescent="0.2">
      <c r="C69" s="18">
        <v>4</v>
      </c>
      <c r="D69" s="18" t="s">
        <v>2748</v>
      </c>
      <c r="E69" s="18">
        <v>0</v>
      </c>
      <c r="F69" s="18" t="str">
        <f t="shared" si="13"/>
        <v>305:117</v>
      </c>
    </row>
    <row r="70" spans="3:6" x14ac:dyDescent="0.2">
      <c r="C70" s="18">
        <v>4</v>
      </c>
      <c r="D70" s="18" t="s">
        <v>2749</v>
      </c>
      <c r="E70" s="18">
        <v>0</v>
      </c>
      <c r="F70" s="18" t="str">
        <f t="shared" si="13"/>
        <v>305:59</v>
      </c>
    </row>
    <row r="71" spans="3:6" x14ac:dyDescent="0.2">
      <c r="C71" s="18">
        <v>4</v>
      </c>
      <c r="D71" s="18" t="s">
        <v>2750</v>
      </c>
      <c r="E71" s="18">
        <v>0</v>
      </c>
      <c r="F71" s="18" t="str">
        <f t="shared" si="13"/>
        <v>305:78</v>
      </c>
    </row>
    <row r="72" spans="3:6" x14ac:dyDescent="0.2">
      <c r="C72" s="18">
        <v>4</v>
      </c>
      <c r="D72" s="18" t="s">
        <v>2751</v>
      </c>
      <c r="E72" s="18">
        <v>0</v>
      </c>
      <c r="F72" s="18" t="str">
        <f t="shared" si="13"/>
        <v>305:59</v>
      </c>
    </row>
    <row r="73" spans="3:6" x14ac:dyDescent="0.2">
      <c r="C73" s="18">
        <v>4</v>
      </c>
      <c r="D73" s="18" t="s">
        <v>2752</v>
      </c>
      <c r="E73" s="18">
        <v>0</v>
      </c>
      <c r="F73" s="18" t="str">
        <f t="shared" si="13"/>
        <v>0:0</v>
      </c>
    </row>
    <row r="74" spans="3:6" x14ac:dyDescent="0.2">
      <c r="C74" s="18">
        <v>4</v>
      </c>
      <c r="D74" s="18" t="s">
        <v>2753</v>
      </c>
      <c r="E74" s="18">
        <v>0</v>
      </c>
      <c r="F74" s="18" t="str">
        <f t="shared" si="13"/>
        <v>0:0</v>
      </c>
    </row>
    <row r="75" spans="3:6" x14ac:dyDescent="0.2">
      <c r="C75" s="18">
        <v>5</v>
      </c>
      <c r="D75" s="18" t="s">
        <v>28</v>
      </c>
      <c r="E75" s="18">
        <v>1500</v>
      </c>
      <c r="F75" s="18" t="str">
        <f t="shared" si="13"/>
        <v>233:18;234:36</v>
      </c>
    </row>
    <row r="76" spans="3:6" x14ac:dyDescent="0.2">
      <c r="C76" s="18">
        <v>5</v>
      </c>
      <c r="D76" s="18" t="s">
        <v>28</v>
      </c>
      <c r="E76" s="18">
        <v>1500</v>
      </c>
      <c r="F76" s="18" t="str">
        <f t="shared" si="13"/>
        <v>233:18;234:36</v>
      </c>
    </row>
    <row r="77" spans="3:6" x14ac:dyDescent="0.2">
      <c r="C77" s="18">
        <v>5</v>
      </c>
      <c r="D77" s="18" t="s">
        <v>28</v>
      </c>
      <c r="E77" s="18">
        <v>1500</v>
      </c>
      <c r="F77" s="18" t="str">
        <f t="shared" si="13"/>
        <v>233:18;234:36</v>
      </c>
    </row>
    <row r="78" spans="3:6" x14ac:dyDescent="0.2">
      <c r="C78" s="18">
        <v>5</v>
      </c>
      <c r="D78" s="18" t="s">
        <v>28</v>
      </c>
      <c r="E78" s="18">
        <v>1500</v>
      </c>
      <c r="F78" s="18" t="str">
        <f t="shared" si="13"/>
        <v>233:18;234:36</v>
      </c>
    </row>
    <row r="79" spans="3:6" x14ac:dyDescent="0.2">
      <c r="C79" s="18">
        <v>5</v>
      </c>
      <c r="D79" s="18" t="s">
        <v>28</v>
      </c>
      <c r="E79" s="18">
        <v>1500</v>
      </c>
      <c r="F79" s="18" t="str">
        <f t="shared" si="13"/>
        <v>233:18;234:36</v>
      </c>
    </row>
    <row r="80" spans="3:6" x14ac:dyDescent="0.2">
      <c r="C80" s="18">
        <v>5</v>
      </c>
      <c r="D80" s="18" t="s">
        <v>28</v>
      </c>
      <c r="E80" s="18">
        <v>1500</v>
      </c>
      <c r="F80" s="18" t="str">
        <f t="shared" si="13"/>
        <v>233:18;234:36</v>
      </c>
    </row>
    <row r="81" spans="3:6" x14ac:dyDescent="0.2">
      <c r="C81" s="18">
        <v>5</v>
      </c>
      <c r="D81" s="18" t="s">
        <v>28</v>
      </c>
      <c r="E81" s="18">
        <v>1500</v>
      </c>
      <c r="F81" s="18" t="str">
        <f t="shared" si="13"/>
        <v>233:18;234:36</v>
      </c>
    </row>
    <row r="82" spans="3:6" x14ac:dyDescent="0.2">
      <c r="C82" s="18">
        <v>5</v>
      </c>
      <c r="D82" s="18" t="s">
        <v>2744</v>
      </c>
      <c r="E82" s="18">
        <v>1200</v>
      </c>
      <c r="F82" s="18" t="str">
        <f t="shared" si="13"/>
        <v>233:11;234:23</v>
      </c>
    </row>
    <row r="83" spans="3:6" x14ac:dyDescent="0.2">
      <c r="C83" s="18">
        <v>5</v>
      </c>
      <c r="D83" s="18" t="s">
        <v>2744</v>
      </c>
      <c r="E83" s="18">
        <v>1200</v>
      </c>
      <c r="F83" s="18" t="str">
        <f t="shared" si="13"/>
        <v>233:11;234:23</v>
      </c>
    </row>
    <row r="84" spans="3:6" x14ac:dyDescent="0.2">
      <c r="C84" s="18">
        <v>5</v>
      </c>
      <c r="D84" s="18" t="s">
        <v>2744</v>
      </c>
      <c r="E84" s="18">
        <v>1200</v>
      </c>
      <c r="F84" s="18" t="str">
        <f t="shared" si="13"/>
        <v>233:11;234:23</v>
      </c>
    </row>
    <row r="85" spans="3:6" x14ac:dyDescent="0.2">
      <c r="C85" s="18">
        <v>5</v>
      </c>
      <c r="D85" s="18" t="s">
        <v>2744</v>
      </c>
      <c r="E85" s="18">
        <v>1200</v>
      </c>
      <c r="F85" s="18" t="str">
        <f t="shared" si="13"/>
        <v>233:11;234:23</v>
      </c>
    </row>
    <row r="86" spans="3:6" x14ac:dyDescent="0.2">
      <c r="C86" s="18">
        <v>5</v>
      </c>
      <c r="D86" s="18" t="s">
        <v>2744</v>
      </c>
      <c r="E86" s="18">
        <v>1200</v>
      </c>
      <c r="F86" s="18" t="str">
        <f t="shared" si="13"/>
        <v>233:11;234:23</v>
      </c>
    </row>
    <row r="87" spans="3:6" x14ac:dyDescent="0.2">
      <c r="C87" s="18">
        <v>5</v>
      </c>
      <c r="D87" s="18" t="s">
        <v>24</v>
      </c>
      <c r="E87" s="18">
        <v>800</v>
      </c>
      <c r="F87" s="18" t="str">
        <f t="shared" si="13"/>
        <v>233:7;234:12</v>
      </c>
    </row>
    <row r="88" spans="3:6" x14ac:dyDescent="0.2">
      <c r="C88" s="18">
        <v>5</v>
      </c>
      <c r="D88" s="18" t="s">
        <v>24</v>
      </c>
      <c r="E88" s="18">
        <v>800</v>
      </c>
      <c r="F88" s="18" t="str">
        <f t="shared" si="13"/>
        <v>233:7;234:12</v>
      </c>
    </row>
    <row r="89" spans="3:6" x14ac:dyDescent="0.2">
      <c r="C89" s="18">
        <v>5</v>
      </c>
      <c r="D89" s="18" t="s">
        <v>24</v>
      </c>
      <c r="E89" s="18">
        <v>800</v>
      </c>
      <c r="F89" s="18" t="str">
        <f t="shared" si="13"/>
        <v>233:7;234:12</v>
      </c>
    </row>
    <row r="90" spans="3:6" x14ac:dyDescent="0.2">
      <c r="C90" s="18">
        <v>5</v>
      </c>
      <c r="D90" s="18" t="s">
        <v>24</v>
      </c>
      <c r="E90" s="18">
        <v>800</v>
      </c>
      <c r="F90" s="18" t="str">
        <f t="shared" si="13"/>
        <v>233:7;234:12</v>
      </c>
    </row>
    <row r="91" spans="3:6" x14ac:dyDescent="0.2">
      <c r="C91" s="18">
        <v>5</v>
      </c>
      <c r="D91" s="18" t="s">
        <v>24</v>
      </c>
      <c r="E91" s="18">
        <v>800</v>
      </c>
      <c r="F91" s="18" t="str">
        <f t="shared" si="13"/>
        <v>233:7;234:12</v>
      </c>
    </row>
    <row r="92" spans="3:6" x14ac:dyDescent="0.2">
      <c r="C92" s="18">
        <v>5</v>
      </c>
      <c r="D92" s="18" t="s">
        <v>24</v>
      </c>
      <c r="E92" s="18">
        <v>800</v>
      </c>
      <c r="F92" s="18" t="str">
        <f t="shared" si="13"/>
        <v>233:7;234:12</v>
      </c>
    </row>
    <row r="93" spans="3:6" x14ac:dyDescent="0.2">
      <c r="C93" s="18">
        <v>5</v>
      </c>
      <c r="D93" s="18" t="s">
        <v>22</v>
      </c>
      <c r="E93" s="18">
        <v>1200</v>
      </c>
      <c r="F93" s="18" t="str">
        <f t="shared" si="13"/>
        <v>233:9;234:26</v>
      </c>
    </row>
    <row r="94" spans="3:6" x14ac:dyDescent="0.2">
      <c r="C94" s="18">
        <v>5</v>
      </c>
      <c r="D94" s="18" t="s">
        <v>22</v>
      </c>
      <c r="E94" s="18">
        <v>1200</v>
      </c>
      <c r="F94" s="18" t="str">
        <f t="shared" si="13"/>
        <v>233:9;234:26</v>
      </c>
    </row>
    <row r="95" spans="3:6" x14ac:dyDescent="0.2">
      <c r="C95" s="18">
        <v>5</v>
      </c>
      <c r="D95" s="18" t="s">
        <v>22</v>
      </c>
      <c r="E95" s="18">
        <v>1200</v>
      </c>
      <c r="F95" s="18" t="str">
        <f t="shared" si="13"/>
        <v>233:9;234:26</v>
      </c>
    </row>
    <row r="96" spans="3:6" x14ac:dyDescent="0.2">
      <c r="C96" s="18">
        <v>5</v>
      </c>
      <c r="D96" s="18" t="s">
        <v>26</v>
      </c>
      <c r="E96" s="18">
        <v>1600</v>
      </c>
      <c r="F96" s="18" t="str">
        <f t="shared" si="13"/>
        <v>233:23;234:58</v>
      </c>
    </row>
    <row r="97" spans="3:6" x14ac:dyDescent="0.2">
      <c r="C97" s="18">
        <v>5</v>
      </c>
      <c r="D97" s="18" t="s">
        <v>26</v>
      </c>
      <c r="E97" s="18">
        <v>1600</v>
      </c>
      <c r="F97" s="18" t="str">
        <f t="shared" si="13"/>
        <v>233:23;234:58</v>
      </c>
    </row>
    <row r="98" spans="3:6" x14ac:dyDescent="0.2">
      <c r="C98" s="18">
        <v>5</v>
      </c>
      <c r="D98" s="18" t="s">
        <v>26</v>
      </c>
      <c r="E98" s="18">
        <v>1600</v>
      </c>
      <c r="F98" s="18" t="str">
        <f t="shared" si="13"/>
        <v>233:23;234:58</v>
      </c>
    </row>
    <row r="99" spans="3:6" x14ac:dyDescent="0.2">
      <c r="C99" s="18">
        <v>5</v>
      </c>
      <c r="D99" s="18" t="s">
        <v>27</v>
      </c>
      <c r="E99" s="18">
        <v>1700</v>
      </c>
      <c r="F99" s="18" t="str">
        <f t="shared" si="13"/>
        <v>233:16;234:82</v>
      </c>
    </row>
    <row r="100" spans="3:6" x14ac:dyDescent="0.2">
      <c r="C100" s="18">
        <v>5</v>
      </c>
      <c r="D100" s="18" t="s">
        <v>25</v>
      </c>
      <c r="E100" s="18">
        <v>1500</v>
      </c>
      <c r="F100" s="18" t="str">
        <f t="shared" si="13"/>
        <v>233:21;234:46</v>
      </c>
    </row>
    <row r="101" spans="3:6" x14ac:dyDescent="0.2">
      <c r="C101" s="18">
        <v>5</v>
      </c>
      <c r="D101" s="18" t="s">
        <v>25</v>
      </c>
      <c r="E101" s="18">
        <v>1500</v>
      </c>
      <c r="F101" s="18" t="str">
        <f t="shared" si="13"/>
        <v>233:21;234:46</v>
      </c>
    </row>
    <row r="102" spans="3:6" x14ac:dyDescent="0.2">
      <c r="C102" s="18">
        <v>5</v>
      </c>
      <c r="D102" s="18" t="s">
        <v>25</v>
      </c>
      <c r="E102" s="18">
        <v>1500</v>
      </c>
      <c r="F102" s="18" t="str">
        <f t="shared" si="13"/>
        <v>233:21;234:46</v>
      </c>
    </row>
    <row r="103" spans="3:6" x14ac:dyDescent="0.2">
      <c r="C103" s="18">
        <v>5</v>
      </c>
      <c r="D103" s="18" t="s">
        <v>25</v>
      </c>
      <c r="E103" s="18">
        <v>1500</v>
      </c>
      <c r="F103" s="18" t="str">
        <f t="shared" si="13"/>
        <v>233:21;234:46</v>
      </c>
    </row>
    <row r="104" spans="3:6" x14ac:dyDescent="0.2">
      <c r="C104" s="18">
        <v>5</v>
      </c>
      <c r="D104" s="18" t="s">
        <v>25</v>
      </c>
      <c r="E104" s="18">
        <v>1500</v>
      </c>
      <c r="F104" s="18" t="str">
        <f t="shared" si="13"/>
        <v>233:21;234:46</v>
      </c>
    </row>
    <row r="105" spans="3:6" x14ac:dyDescent="0.2">
      <c r="C105" s="18">
        <v>5</v>
      </c>
      <c r="D105" s="18" t="s">
        <v>2745</v>
      </c>
      <c r="E105" s="18">
        <v>1650</v>
      </c>
      <c r="F105" s="18" t="str">
        <f t="shared" si="13"/>
        <v>233:32;234:60</v>
      </c>
    </row>
    <row r="106" spans="3:6" x14ac:dyDescent="0.2">
      <c r="C106" s="18">
        <v>5</v>
      </c>
      <c r="D106" s="18" t="s">
        <v>2745</v>
      </c>
      <c r="E106" s="18">
        <v>1650</v>
      </c>
      <c r="F106" s="18" t="str">
        <f t="shared" si="13"/>
        <v>233:32;234:60</v>
      </c>
    </row>
    <row r="107" spans="3:6" x14ac:dyDescent="0.2">
      <c r="C107" s="18">
        <v>5</v>
      </c>
      <c r="D107" s="18" t="s">
        <v>29</v>
      </c>
      <c r="E107" s="18">
        <v>1650</v>
      </c>
      <c r="F107" s="18" t="str">
        <f t="shared" si="13"/>
        <v>233:24;234:48</v>
      </c>
    </row>
    <row r="108" spans="3:6" x14ac:dyDescent="0.2">
      <c r="C108" s="18">
        <v>5</v>
      </c>
      <c r="D108" s="18" t="s">
        <v>29</v>
      </c>
      <c r="E108" s="18">
        <v>1650</v>
      </c>
      <c r="F108" s="18" t="str">
        <f t="shared" si="13"/>
        <v>233:24;234:48</v>
      </c>
    </row>
    <row r="109" spans="3:6" x14ac:dyDescent="0.2">
      <c r="C109" s="18">
        <v>5</v>
      </c>
      <c r="D109" s="18" t="s">
        <v>29</v>
      </c>
      <c r="E109" s="18">
        <v>1650</v>
      </c>
      <c r="F109" s="18" t="str">
        <f t="shared" si="13"/>
        <v>233:24;234:48</v>
      </c>
    </row>
    <row r="110" spans="3:6" x14ac:dyDescent="0.2">
      <c r="C110" s="18">
        <v>5</v>
      </c>
      <c r="D110" s="18" t="s">
        <v>29</v>
      </c>
      <c r="E110" s="18">
        <v>1650</v>
      </c>
      <c r="F110" s="18" t="str">
        <f t="shared" si="13"/>
        <v>233:24;234:48</v>
      </c>
    </row>
    <row r="111" spans="3:6" x14ac:dyDescent="0.2">
      <c r="C111" s="18">
        <v>5</v>
      </c>
      <c r="D111" s="18" t="s">
        <v>29</v>
      </c>
      <c r="E111" s="18">
        <v>1650</v>
      </c>
      <c r="F111" s="18" t="str">
        <f t="shared" si="13"/>
        <v>233:24;234:48</v>
      </c>
    </row>
    <row r="112" spans="3:6" x14ac:dyDescent="0.2">
      <c r="C112" s="18">
        <v>5</v>
      </c>
      <c r="D112" s="18" t="s">
        <v>29</v>
      </c>
      <c r="E112" s="18">
        <v>1650</v>
      </c>
      <c r="F112" s="18" t="str">
        <f t="shared" si="13"/>
        <v>233:24;234:48</v>
      </c>
    </row>
    <row r="113" spans="3:6" x14ac:dyDescent="0.2">
      <c r="C113" s="18">
        <v>5</v>
      </c>
      <c r="D113" s="18" t="s">
        <v>29</v>
      </c>
      <c r="E113" s="18">
        <v>1650</v>
      </c>
      <c r="F113" s="18" t="str">
        <f t="shared" si="13"/>
        <v>233:24;234:48</v>
      </c>
    </row>
    <row r="114" spans="3:6" x14ac:dyDescent="0.2">
      <c r="C114" s="18">
        <v>5</v>
      </c>
      <c r="D114" s="18" t="s">
        <v>29</v>
      </c>
      <c r="E114" s="18">
        <v>1650</v>
      </c>
      <c r="F114" s="18" t="str">
        <f t="shared" si="13"/>
        <v>233:24;234:48</v>
      </c>
    </row>
    <row r="115" spans="3:6" x14ac:dyDescent="0.2">
      <c r="C115" s="18">
        <v>5</v>
      </c>
      <c r="D115" s="18" t="s">
        <v>29</v>
      </c>
      <c r="E115" s="18">
        <v>1650</v>
      </c>
      <c r="F115" s="18" t="str">
        <f t="shared" si="13"/>
        <v>233:24;234:48</v>
      </c>
    </row>
    <row r="116" spans="3:6" x14ac:dyDescent="0.2">
      <c r="C116" s="18">
        <v>5</v>
      </c>
      <c r="D116" s="18" t="s">
        <v>29</v>
      </c>
      <c r="E116" s="18">
        <v>1650</v>
      </c>
      <c r="F116" s="18" t="str">
        <f t="shared" si="13"/>
        <v>233:24;234:48</v>
      </c>
    </row>
    <row r="117" spans="3:6" x14ac:dyDescent="0.2">
      <c r="C117" s="18">
        <v>5</v>
      </c>
      <c r="D117" s="18" t="s">
        <v>2746</v>
      </c>
      <c r="E117" s="18">
        <v>0</v>
      </c>
      <c r="F117" s="18" t="str">
        <f t="shared" si="13"/>
        <v>305:114</v>
      </c>
    </row>
    <row r="118" spans="3:6" x14ac:dyDescent="0.2">
      <c r="C118" s="18">
        <v>5</v>
      </c>
      <c r="D118" s="18" t="s">
        <v>2746</v>
      </c>
      <c r="E118" s="18">
        <v>0</v>
      </c>
      <c r="F118" s="18" t="str">
        <f t="shared" si="13"/>
        <v>305:114</v>
      </c>
    </row>
    <row r="119" spans="3:6" x14ac:dyDescent="0.2">
      <c r="C119" s="18">
        <v>5</v>
      </c>
      <c r="D119" s="18" t="s">
        <v>2746</v>
      </c>
      <c r="E119" s="18">
        <v>0</v>
      </c>
      <c r="F119" s="18" t="str">
        <f t="shared" si="13"/>
        <v>305:114</v>
      </c>
    </row>
    <row r="120" spans="3:6" x14ac:dyDescent="0.2">
      <c r="C120" s="18">
        <v>5</v>
      </c>
      <c r="D120" s="18" t="s">
        <v>2746</v>
      </c>
      <c r="E120" s="18">
        <v>0</v>
      </c>
      <c r="F120" s="18" t="str">
        <f t="shared" si="13"/>
        <v>305:114</v>
      </c>
    </row>
    <row r="121" spans="3:6" x14ac:dyDescent="0.2">
      <c r="C121" s="18">
        <v>5</v>
      </c>
      <c r="D121" s="18" t="s">
        <v>2746</v>
      </c>
      <c r="E121" s="18">
        <v>0</v>
      </c>
      <c r="F121" s="18" t="str">
        <f t="shared" si="13"/>
        <v>305:114</v>
      </c>
    </row>
    <row r="122" spans="3:6" x14ac:dyDescent="0.2">
      <c r="C122" s="18">
        <v>5</v>
      </c>
      <c r="D122" s="18" t="s">
        <v>2746</v>
      </c>
      <c r="E122" s="18">
        <v>0</v>
      </c>
      <c r="F122" s="18" t="str">
        <f t="shared" si="13"/>
        <v>305:114</v>
      </c>
    </row>
    <row r="123" spans="3:6" x14ac:dyDescent="0.2">
      <c r="C123" s="18">
        <v>5</v>
      </c>
      <c r="D123" s="18" t="s">
        <v>2746</v>
      </c>
      <c r="E123" s="18">
        <v>0</v>
      </c>
      <c r="F123" s="18" t="str">
        <f t="shared" si="13"/>
        <v>305:114</v>
      </c>
    </row>
    <row r="124" spans="3:6" x14ac:dyDescent="0.2">
      <c r="C124" s="18">
        <v>5</v>
      </c>
      <c r="D124" s="18" t="s">
        <v>2746</v>
      </c>
      <c r="E124" s="18">
        <v>0</v>
      </c>
      <c r="F124" s="18" t="str">
        <f t="shared" si="13"/>
        <v>305:114</v>
      </c>
    </row>
    <row r="125" spans="3:6" x14ac:dyDescent="0.2">
      <c r="C125" s="18">
        <v>5</v>
      </c>
      <c r="D125" s="18" t="s">
        <v>2746</v>
      </c>
      <c r="E125" s="18">
        <v>0</v>
      </c>
      <c r="F125" s="18" t="str">
        <f t="shared" si="13"/>
        <v>305:114</v>
      </c>
    </row>
    <row r="126" spans="3:6" x14ac:dyDescent="0.2">
      <c r="C126" s="18">
        <v>5</v>
      </c>
      <c r="D126" s="18" t="s">
        <v>2746</v>
      </c>
      <c r="E126" s="18">
        <v>0</v>
      </c>
      <c r="F126" s="18" t="str">
        <f t="shared" si="13"/>
        <v>305:114</v>
      </c>
    </row>
    <row r="127" spans="3:6" x14ac:dyDescent="0.2">
      <c r="C127" s="18">
        <v>5</v>
      </c>
      <c r="D127" s="18" t="s">
        <v>2747</v>
      </c>
      <c r="E127" s="18">
        <v>0</v>
      </c>
      <c r="F127" s="18" t="str">
        <f t="shared" si="13"/>
        <v>305:73</v>
      </c>
    </row>
    <row r="128" spans="3:6" x14ac:dyDescent="0.2">
      <c r="C128" s="18">
        <v>5</v>
      </c>
      <c r="D128" s="18" t="s">
        <v>2747</v>
      </c>
      <c r="E128" s="18">
        <v>0</v>
      </c>
      <c r="F128" s="18" t="str">
        <f t="shared" si="13"/>
        <v>305:73</v>
      </c>
    </row>
    <row r="129" spans="3:6" x14ac:dyDescent="0.2">
      <c r="C129" s="18">
        <v>5</v>
      </c>
      <c r="D129" s="18" t="s">
        <v>2747</v>
      </c>
      <c r="E129" s="18">
        <v>0</v>
      </c>
      <c r="F129" s="18" t="str">
        <f t="shared" si="13"/>
        <v>305:73</v>
      </c>
    </row>
    <row r="130" spans="3:6" x14ac:dyDescent="0.2">
      <c r="C130" s="18">
        <v>5</v>
      </c>
      <c r="D130" s="18" t="s">
        <v>2747</v>
      </c>
      <c r="E130" s="18">
        <v>0</v>
      </c>
      <c r="F130" s="18" t="str">
        <f t="shared" si="13"/>
        <v>305:73</v>
      </c>
    </row>
    <row r="131" spans="3:6" x14ac:dyDescent="0.2">
      <c r="C131" s="18">
        <v>5</v>
      </c>
      <c r="D131" s="18" t="s">
        <v>2747</v>
      </c>
      <c r="E131" s="18">
        <v>0</v>
      </c>
      <c r="F131" s="18" t="str">
        <f t="shared" si="13"/>
        <v>305:73</v>
      </c>
    </row>
    <row r="132" spans="3:6" x14ac:dyDescent="0.2">
      <c r="C132" s="18">
        <v>5</v>
      </c>
      <c r="D132" s="18" t="s">
        <v>2747</v>
      </c>
      <c r="E132" s="18">
        <v>0</v>
      </c>
      <c r="F132" s="18" t="str">
        <f t="shared" ref="F132:F195" si="14">_xlfn.IFNA(_xlfn.IFNA("233:"&amp;ROUND(VLOOKUP(D132,$J$3:$M$12,3,FALSE)*(VLOOKUP(D132,$J$3:$O$12,6,FALSE)+1)^(C132-1),0)&amp;";"&amp;"234:"&amp;ROUND(VLOOKUP(D132,$J$3:$M$12,4,FALSE)*(VLOOKUP(D132,$J$3:$O$12,6,FALSE)+1)^(C132-1),0),"305:"&amp;ROUND(VLOOKUP(D132,$J$13:$U$18,11,FALSE)*(1+VLOOKUP(D132,$J$13:$U$18,12,FALSE))^(C132-1),0)),"0:0")</f>
        <v>305:73</v>
      </c>
    </row>
    <row r="133" spans="3:6" x14ac:dyDescent="0.2">
      <c r="C133" s="18">
        <v>5</v>
      </c>
      <c r="D133" s="18" t="s">
        <v>2747</v>
      </c>
      <c r="E133" s="18">
        <v>0</v>
      </c>
      <c r="F133" s="18" t="str">
        <f t="shared" si="14"/>
        <v>305:73</v>
      </c>
    </row>
    <row r="134" spans="3:6" x14ac:dyDescent="0.2">
      <c r="C134" s="18">
        <v>5</v>
      </c>
      <c r="D134" s="18" t="s">
        <v>2747</v>
      </c>
      <c r="E134" s="18">
        <v>0</v>
      </c>
      <c r="F134" s="18" t="str">
        <f t="shared" si="14"/>
        <v>305:73</v>
      </c>
    </row>
    <row r="135" spans="3:6" x14ac:dyDescent="0.2">
      <c r="C135" s="18">
        <v>5</v>
      </c>
      <c r="D135" s="18" t="s">
        <v>2747</v>
      </c>
      <c r="E135" s="18">
        <v>0</v>
      </c>
      <c r="F135" s="18" t="str">
        <f t="shared" si="14"/>
        <v>305:73</v>
      </c>
    </row>
    <row r="136" spans="3:6" x14ac:dyDescent="0.2">
      <c r="C136" s="18">
        <v>5</v>
      </c>
      <c r="D136" s="18" t="s">
        <v>2747</v>
      </c>
      <c r="E136" s="18">
        <v>0</v>
      </c>
      <c r="F136" s="18" t="str">
        <f t="shared" si="14"/>
        <v>305:73</v>
      </c>
    </row>
    <row r="137" spans="3:6" x14ac:dyDescent="0.2">
      <c r="C137" s="18">
        <v>5</v>
      </c>
      <c r="D137" s="18" t="s">
        <v>2747</v>
      </c>
      <c r="E137" s="18">
        <v>0</v>
      </c>
      <c r="F137" s="18" t="str">
        <f t="shared" si="14"/>
        <v>305:73</v>
      </c>
    </row>
    <row r="138" spans="3:6" x14ac:dyDescent="0.2">
      <c r="C138" s="18">
        <v>5</v>
      </c>
      <c r="D138" s="18" t="s">
        <v>2747</v>
      </c>
      <c r="E138" s="18">
        <v>0</v>
      </c>
      <c r="F138" s="18" t="str">
        <f t="shared" si="14"/>
        <v>305:73</v>
      </c>
    </row>
    <row r="139" spans="3:6" x14ac:dyDescent="0.2">
      <c r="C139" s="18">
        <v>5</v>
      </c>
      <c r="D139" s="18" t="s">
        <v>2747</v>
      </c>
      <c r="E139" s="18">
        <v>0</v>
      </c>
      <c r="F139" s="18" t="str">
        <f t="shared" si="14"/>
        <v>305:73</v>
      </c>
    </row>
    <row r="140" spans="3:6" x14ac:dyDescent="0.2">
      <c r="C140" s="18">
        <v>5</v>
      </c>
      <c r="D140" s="18" t="s">
        <v>2747</v>
      </c>
      <c r="E140" s="18">
        <v>0</v>
      </c>
      <c r="F140" s="18" t="str">
        <f t="shared" si="14"/>
        <v>305:73</v>
      </c>
    </row>
    <row r="141" spans="3:6" x14ac:dyDescent="0.2">
      <c r="C141" s="18">
        <v>5</v>
      </c>
      <c r="D141" s="18" t="s">
        <v>2747</v>
      </c>
      <c r="E141" s="18">
        <v>0</v>
      </c>
      <c r="F141" s="18" t="str">
        <f t="shared" si="14"/>
        <v>305:73</v>
      </c>
    </row>
    <row r="142" spans="3:6" x14ac:dyDescent="0.2">
      <c r="C142" s="18">
        <v>5</v>
      </c>
      <c r="D142" s="18" t="s">
        <v>2747</v>
      </c>
      <c r="E142" s="18">
        <v>0</v>
      </c>
      <c r="F142" s="18" t="str">
        <f t="shared" si="14"/>
        <v>305:73</v>
      </c>
    </row>
    <row r="143" spans="3:6" x14ac:dyDescent="0.2">
      <c r="C143" s="18">
        <v>5</v>
      </c>
      <c r="D143" s="18" t="s">
        <v>2747</v>
      </c>
      <c r="E143" s="18">
        <v>0</v>
      </c>
      <c r="F143" s="18" t="str">
        <f t="shared" si="14"/>
        <v>305:73</v>
      </c>
    </row>
    <row r="144" spans="3:6" x14ac:dyDescent="0.2">
      <c r="C144" s="18">
        <v>5</v>
      </c>
      <c r="D144" s="18" t="s">
        <v>2747</v>
      </c>
      <c r="E144" s="18">
        <v>0</v>
      </c>
      <c r="F144" s="18" t="str">
        <f t="shared" si="14"/>
        <v>305:73</v>
      </c>
    </row>
    <row r="145" spans="3:6" x14ac:dyDescent="0.2">
      <c r="C145" s="18">
        <v>5</v>
      </c>
      <c r="D145" s="18" t="s">
        <v>2747</v>
      </c>
      <c r="E145" s="18">
        <v>0</v>
      </c>
      <c r="F145" s="18" t="str">
        <f t="shared" si="14"/>
        <v>305:73</v>
      </c>
    </row>
    <row r="146" spans="3:6" x14ac:dyDescent="0.2">
      <c r="C146" s="18">
        <v>5</v>
      </c>
      <c r="D146" s="18" t="s">
        <v>2748</v>
      </c>
      <c r="E146" s="18">
        <v>0</v>
      </c>
      <c r="F146" s="18" t="str">
        <f t="shared" si="14"/>
        <v>305:146</v>
      </c>
    </row>
    <row r="147" spans="3:6" x14ac:dyDescent="0.2">
      <c r="C147" s="18">
        <v>5</v>
      </c>
      <c r="D147" s="18" t="s">
        <v>2748</v>
      </c>
      <c r="E147" s="18">
        <v>0</v>
      </c>
      <c r="F147" s="18" t="str">
        <f t="shared" si="14"/>
        <v>305:146</v>
      </c>
    </row>
    <row r="148" spans="3:6" x14ac:dyDescent="0.2">
      <c r="C148" s="18">
        <v>5</v>
      </c>
      <c r="D148" s="18" t="s">
        <v>2748</v>
      </c>
      <c r="E148" s="18">
        <v>0</v>
      </c>
      <c r="F148" s="18" t="str">
        <f t="shared" si="14"/>
        <v>305:146</v>
      </c>
    </row>
    <row r="149" spans="3:6" x14ac:dyDescent="0.2">
      <c r="C149" s="18">
        <v>5</v>
      </c>
      <c r="D149" s="18" t="s">
        <v>2748</v>
      </c>
      <c r="E149" s="18">
        <v>0</v>
      </c>
      <c r="F149" s="18" t="str">
        <f t="shared" si="14"/>
        <v>305:146</v>
      </c>
    </row>
    <row r="150" spans="3:6" x14ac:dyDescent="0.2">
      <c r="C150" s="18">
        <v>5</v>
      </c>
      <c r="D150" s="18" t="s">
        <v>2748</v>
      </c>
      <c r="E150" s="18">
        <v>0</v>
      </c>
      <c r="F150" s="18" t="str">
        <f t="shared" si="14"/>
        <v>305:146</v>
      </c>
    </row>
    <row r="151" spans="3:6" x14ac:dyDescent="0.2">
      <c r="C151" s="18">
        <v>5</v>
      </c>
      <c r="D151" s="18" t="s">
        <v>2748</v>
      </c>
      <c r="E151" s="18">
        <v>0</v>
      </c>
      <c r="F151" s="18" t="str">
        <f t="shared" si="14"/>
        <v>305:146</v>
      </c>
    </row>
    <row r="152" spans="3:6" x14ac:dyDescent="0.2">
      <c r="C152" s="18">
        <v>5</v>
      </c>
      <c r="D152" s="18" t="s">
        <v>2748</v>
      </c>
      <c r="E152" s="18">
        <v>0</v>
      </c>
      <c r="F152" s="18" t="str">
        <f t="shared" si="14"/>
        <v>305:146</v>
      </c>
    </row>
    <row r="153" spans="3:6" x14ac:dyDescent="0.2">
      <c r="C153" s="18">
        <v>5</v>
      </c>
      <c r="D153" s="18" t="s">
        <v>2748</v>
      </c>
      <c r="E153" s="18">
        <v>0</v>
      </c>
      <c r="F153" s="18" t="str">
        <f t="shared" si="14"/>
        <v>305:146</v>
      </c>
    </row>
    <row r="154" spans="3:6" x14ac:dyDescent="0.2">
      <c r="C154" s="18">
        <v>5</v>
      </c>
      <c r="D154" s="18" t="s">
        <v>2748</v>
      </c>
      <c r="E154" s="18">
        <v>0</v>
      </c>
      <c r="F154" s="18" t="str">
        <f t="shared" si="14"/>
        <v>305:146</v>
      </c>
    </row>
    <row r="155" spans="3:6" x14ac:dyDescent="0.2">
      <c r="C155" s="18">
        <v>5</v>
      </c>
      <c r="D155" s="18" t="s">
        <v>2748</v>
      </c>
      <c r="E155" s="18">
        <v>0</v>
      </c>
      <c r="F155" s="18" t="str">
        <f t="shared" si="14"/>
        <v>305:146</v>
      </c>
    </row>
    <row r="156" spans="3:6" x14ac:dyDescent="0.2">
      <c r="C156" s="18">
        <v>5</v>
      </c>
      <c r="D156" s="18" t="s">
        <v>2748</v>
      </c>
      <c r="E156" s="18">
        <v>0</v>
      </c>
      <c r="F156" s="18" t="str">
        <f t="shared" si="14"/>
        <v>305:146</v>
      </c>
    </row>
    <row r="157" spans="3:6" x14ac:dyDescent="0.2">
      <c r="C157" s="18">
        <v>5</v>
      </c>
      <c r="D157" s="18" t="s">
        <v>2748</v>
      </c>
      <c r="E157" s="18">
        <v>0</v>
      </c>
      <c r="F157" s="18" t="str">
        <f t="shared" si="14"/>
        <v>305:146</v>
      </c>
    </row>
    <row r="158" spans="3:6" x14ac:dyDescent="0.2">
      <c r="C158" s="18">
        <v>5</v>
      </c>
      <c r="D158" s="18" t="s">
        <v>2748</v>
      </c>
      <c r="E158" s="18">
        <v>0</v>
      </c>
      <c r="F158" s="18" t="str">
        <f t="shared" si="14"/>
        <v>305:146</v>
      </c>
    </row>
    <row r="159" spans="3:6" x14ac:dyDescent="0.2">
      <c r="C159" s="18">
        <v>5</v>
      </c>
      <c r="D159" s="18" t="s">
        <v>2748</v>
      </c>
      <c r="E159" s="18">
        <v>0</v>
      </c>
      <c r="F159" s="18" t="str">
        <f t="shared" si="14"/>
        <v>305:146</v>
      </c>
    </row>
    <row r="160" spans="3:6" x14ac:dyDescent="0.2">
      <c r="C160" s="18">
        <v>5</v>
      </c>
      <c r="D160" s="18" t="s">
        <v>2748</v>
      </c>
      <c r="E160" s="18">
        <v>0</v>
      </c>
      <c r="F160" s="18" t="str">
        <f t="shared" si="14"/>
        <v>305:146</v>
      </c>
    </row>
    <row r="161" spans="3:6" x14ac:dyDescent="0.2">
      <c r="C161" s="18">
        <v>5</v>
      </c>
      <c r="D161" s="18" t="s">
        <v>2748</v>
      </c>
      <c r="E161" s="18">
        <v>0</v>
      </c>
      <c r="F161" s="18" t="str">
        <f t="shared" si="14"/>
        <v>305:146</v>
      </c>
    </row>
    <row r="162" spans="3:6" x14ac:dyDescent="0.2">
      <c r="C162" s="18">
        <v>5</v>
      </c>
      <c r="D162" s="18" t="s">
        <v>2748</v>
      </c>
      <c r="E162" s="18">
        <v>0</v>
      </c>
      <c r="F162" s="18" t="str">
        <f t="shared" si="14"/>
        <v>305:146</v>
      </c>
    </row>
    <row r="163" spans="3:6" x14ac:dyDescent="0.2">
      <c r="C163" s="18">
        <v>5</v>
      </c>
      <c r="D163" s="18" t="s">
        <v>2748</v>
      </c>
      <c r="E163" s="18">
        <v>0</v>
      </c>
      <c r="F163" s="18" t="str">
        <f t="shared" si="14"/>
        <v>305:146</v>
      </c>
    </row>
    <row r="164" spans="3:6" x14ac:dyDescent="0.2">
      <c r="C164" s="18">
        <v>5</v>
      </c>
      <c r="D164" s="18" t="s">
        <v>2748</v>
      </c>
      <c r="E164" s="18">
        <v>0</v>
      </c>
      <c r="F164" s="18" t="str">
        <f t="shared" si="14"/>
        <v>305:146</v>
      </c>
    </row>
    <row r="165" spans="3:6" x14ac:dyDescent="0.2">
      <c r="C165" s="18">
        <v>5</v>
      </c>
      <c r="D165" s="18" t="s">
        <v>2748</v>
      </c>
      <c r="E165" s="18">
        <v>0</v>
      </c>
      <c r="F165" s="18" t="str">
        <f t="shared" si="14"/>
        <v>305:146</v>
      </c>
    </row>
    <row r="166" spans="3:6" x14ac:dyDescent="0.2">
      <c r="C166" s="18">
        <v>5</v>
      </c>
      <c r="D166" s="18" t="s">
        <v>2750</v>
      </c>
      <c r="E166" s="18">
        <v>0</v>
      </c>
      <c r="F166" s="18" t="str">
        <f t="shared" si="14"/>
        <v>305:98</v>
      </c>
    </row>
    <row r="167" spans="3:6" x14ac:dyDescent="0.2">
      <c r="C167" s="18">
        <v>5</v>
      </c>
      <c r="D167" s="18" t="s">
        <v>2750</v>
      </c>
      <c r="E167" s="18">
        <v>0</v>
      </c>
      <c r="F167" s="18" t="str">
        <f t="shared" si="14"/>
        <v>305:98</v>
      </c>
    </row>
    <row r="168" spans="3:6" x14ac:dyDescent="0.2">
      <c r="C168" s="18">
        <v>5</v>
      </c>
      <c r="D168" s="18" t="s">
        <v>2750</v>
      </c>
      <c r="E168" s="18">
        <v>0</v>
      </c>
      <c r="F168" s="18" t="str">
        <f t="shared" si="14"/>
        <v>305:98</v>
      </c>
    </row>
    <row r="169" spans="3:6" x14ac:dyDescent="0.2">
      <c r="C169" s="18">
        <v>5</v>
      </c>
      <c r="D169" s="18" t="s">
        <v>2750</v>
      </c>
      <c r="E169" s="18">
        <v>0</v>
      </c>
      <c r="F169" s="18" t="str">
        <f t="shared" si="14"/>
        <v>305:98</v>
      </c>
    </row>
    <row r="170" spans="3:6" x14ac:dyDescent="0.2">
      <c r="C170" s="18">
        <v>5</v>
      </c>
      <c r="D170" s="18" t="s">
        <v>2750</v>
      </c>
      <c r="E170" s="18">
        <v>0</v>
      </c>
      <c r="F170" s="18" t="str">
        <f t="shared" si="14"/>
        <v>305:98</v>
      </c>
    </row>
    <row r="171" spans="3:6" x14ac:dyDescent="0.2">
      <c r="C171" s="18">
        <v>5</v>
      </c>
      <c r="D171" s="18" t="s">
        <v>2750</v>
      </c>
      <c r="E171" s="18">
        <v>0</v>
      </c>
      <c r="F171" s="18" t="str">
        <f t="shared" si="14"/>
        <v>305:98</v>
      </c>
    </row>
    <row r="172" spans="3:6" x14ac:dyDescent="0.2">
      <c r="C172" s="18">
        <v>5</v>
      </c>
      <c r="D172" s="18" t="s">
        <v>2750</v>
      </c>
      <c r="E172" s="18">
        <v>0</v>
      </c>
      <c r="F172" s="18" t="str">
        <f t="shared" si="14"/>
        <v>305:98</v>
      </c>
    </row>
    <row r="173" spans="3:6" x14ac:dyDescent="0.2">
      <c r="C173" s="18">
        <v>5</v>
      </c>
      <c r="D173" s="18" t="s">
        <v>2750</v>
      </c>
      <c r="E173" s="18">
        <v>0</v>
      </c>
      <c r="F173" s="18" t="str">
        <f t="shared" si="14"/>
        <v>305:98</v>
      </c>
    </row>
    <row r="174" spans="3:6" x14ac:dyDescent="0.2">
      <c r="C174" s="18">
        <v>5</v>
      </c>
      <c r="D174" s="18" t="s">
        <v>2750</v>
      </c>
      <c r="E174" s="18">
        <v>0</v>
      </c>
      <c r="F174" s="18" t="str">
        <f t="shared" si="14"/>
        <v>305:98</v>
      </c>
    </row>
    <row r="175" spans="3:6" x14ac:dyDescent="0.2">
      <c r="C175" s="18">
        <v>5</v>
      </c>
      <c r="D175" s="18" t="s">
        <v>2750</v>
      </c>
      <c r="E175" s="18">
        <v>0</v>
      </c>
      <c r="F175" s="18" t="str">
        <f t="shared" si="14"/>
        <v>305:98</v>
      </c>
    </row>
    <row r="176" spans="3:6" x14ac:dyDescent="0.2">
      <c r="C176" s="18">
        <v>5</v>
      </c>
      <c r="D176" s="18" t="s">
        <v>2750</v>
      </c>
      <c r="E176" s="18">
        <v>0</v>
      </c>
      <c r="F176" s="18" t="str">
        <f t="shared" si="14"/>
        <v>305:98</v>
      </c>
    </row>
    <row r="177" spans="3:6" x14ac:dyDescent="0.2">
      <c r="C177" s="18">
        <v>5</v>
      </c>
      <c r="D177" s="18" t="s">
        <v>2750</v>
      </c>
      <c r="E177" s="18">
        <v>0</v>
      </c>
      <c r="F177" s="18" t="str">
        <f t="shared" si="14"/>
        <v>305:98</v>
      </c>
    </row>
    <row r="178" spans="3:6" x14ac:dyDescent="0.2">
      <c r="C178" s="18">
        <v>5</v>
      </c>
      <c r="D178" s="18" t="s">
        <v>2750</v>
      </c>
      <c r="E178" s="18">
        <v>0</v>
      </c>
      <c r="F178" s="18" t="str">
        <f t="shared" si="14"/>
        <v>305:98</v>
      </c>
    </row>
    <row r="179" spans="3:6" x14ac:dyDescent="0.2">
      <c r="C179" s="18">
        <v>5</v>
      </c>
      <c r="D179" s="18" t="s">
        <v>2750</v>
      </c>
      <c r="E179" s="18">
        <v>0</v>
      </c>
      <c r="F179" s="18" t="str">
        <f t="shared" si="14"/>
        <v>305:98</v>
      </c>
    </row>
    <row r="180" spans="3:6" x14ac:dyDescent="0.2">
      <c r="C180" s="18">
        <v>5</v>
      </c>
      <c r="D180" s="18" t="s">
        <v>2750</v>
      </c>
      <c r="E180" s="18">
        <v>0</v>
      </c>
      <c r="F180" s="18" t="str">
        <f t="shared" si="14"/>
        <v>305:98</v>
      </c>
    </row>
    <row r="181" spans="3:6" x14ac:dyDescent="0.2">
      <c r="C181" s="18">
        <v>5</v>
      </c>
      <c r="D181" s="18" t="s">
        <v>2750</v>
      </c>
      <c r="E181" s="18">
        <v>0</v>
      </c>
      <c r="F181" s="18" t="str">
        <f t="shared" si="14"/>
        <v>305:98</v>
      </c>
    </row>
    <row r="182" spans="3:6" x14ac:dyDescent="0.2">
      <c r="C182" s="18">
        <v>5</v>
      </c>
      <c r="D182" s="18" t="s">
        <v>2750</v>
      </c>
      <c r="E182" s="18">
        <v>0</v>
      </c>
      <c r="F182" s="18" t="str">
        <f t="shared" si="14"/>
        <v>305:98</v>
      </c>
    </row>
    <row r="183" spans="3:6" x14ac:dyDescent="0.2">
      <c r="C183" s="18">
        <v>5</v>
      </c>
      <c r="D183" s="18" t="s">
        <v>2750</v>
      </c>
      <c r="E183" s="18">
        <v>0</v>
      </c>
      <c r="F183" s="18" t="str">
        <f t="shared" si="14"/>
        <v>305:98</v>
      </c>
    </row>
    <row r="184" spans="3:6" x14ac:dyDescent="0.2">
      <c r="C184" s="18">
        <v>5</v>
      </c>
      <c r="D184" s="18" t="s">
        <v>2749</v>
      </c>
      <c r="E184" s="18">
        <v>0</v>
      </c>
      <c r="F184" s="18" t="str">
        <f t="shared" si="14"/>
        <v>305:73</v>
      </c>
    </row>
    <row r="185" spans="3:6" x14ac:dyDescent="0.2">
      <c r="C185" s="18">
        <v>5</v>
      </c>
      <c r="D185" s="18" t="s">
        <v>2749</v>
      </c>
      <c r="E185" s="18">
        <v>0</v>
      </c>
      <c r="F185" s="18" t="str">
        <f t="shared" si="14"/>
        <v>305:73</v>
      </c>
    </row>
    <row r="186" spans="3:6" x14ac:dyDescent="0.2">
      <c r="C186" s="18">
        <v>5</v>
      </c>
      <c r="D186" s="18" t="s">
        <v>2749</v>
      </c>
      <c r="E186" s="18">
        <v>0</v>
      </c>
      <c r="F186" s="18" t="str">
        <f t="shared" si="14"/>
        <v>305:73</v>
      </c>
    </row>
    <row r="187" spans="3:6" x14ac:dyDescent="0.2">
      <c r="C187" s="18">
        <v>5</v>
      </c>
      <c r="D187" s="18" t="s">
        <v>2749</v>
      </c>
      <c r="E187" s="18">
        <v>0</v>
      </c>
      <c r="F187" s="18" t="str">
        <f t="shared" si="14"/>
        <v>305:73</v>
      </c>
    </row>
    <row r="188" spans="3:6" x14ac:dyDescent="0.2">
      <c r="C188" s="18">
        <v>5</v>
      </c>
      <c r="D188" s="18" t="s">
        <v>2749</v>
      </c>
      <c r="E188" s="18">
        <v>0</v>
      </c>
      <c r="F188" s="18" t="str">
        <f t="shared" si="14"/>
        <v>305:73</v>
      </c>
    </row>
    <row r="189" spans="3:6" x14ac:dyDescent="0.2">
      <c r="C189" s="18">
        <v>5</v>
      </c>
      <c r="D189" s="18" t="s">
        <v>2749</v>
      </c>
      <c r="E189" s="18">
        <v>0</v>
      </c>
      <c r="F189" s="18" t="str">
        <f t="shared" si="14"/>
        <v>305:73</v>
      </c>
    </row>
    <row r="190" spans="3:6" x14ac:dyDescent="0.2">
      <c r="C190" s="18">
        <v>5</v>
      </c>
      <c r="D190" s="18" t="s">
        <v>2749</v>
      </c>
      <c r="E190" s="18">
        <v>0</v>
      </c>
      <c r="F190" s="18" t="str">
        <f t="shared" si="14"/>
        <v>305:73</v>
      </c>
    </row>
    <row r="191" spans="3:6" x14ac:dyDescent="0.2">
      <c r="C191" s="18">
        <v>5</v>
      </c>
      <c r="D191" s="18" t="s">
        <v>2749</v>
      </c>
      <c r="E191" s="18">
        <v>0</v>
      </c>
      <c r="F191" s="18" t="str">
        <f t="shared" si="14"/>
        <v>305:73</v>
      </c>
    </row>
    <row r="192" spans="3:6" x14ac:dyDescent="0.2">
      <c r="C192" s="18">
        <v>5</v>
      </c>
      <c r="D192" s="18" t="s">
        <v>2749</v>
      </c>
      <c r="E192" s="18">
        <v>0</v>
      </c>
      <c r="F192" s="18" t="str">
        <f t="shared" si="14"/>
        <v>305:73</v>
      </c>
    </row>
    <row r="193" spans="3:6" x14ac:dyDescent="0.2">
      <c r="C193" s="18">
        <v>5</v>
      </c>
      <c r="D193" s="18" t="s">
        <v>2749</v>
      </c>
      <c r="E193" s="18">
        <v>0</v>
      </c>
      <c r="F193" s="18" t="str">
        <f t="shared" si="14"/>
        <v>305:73</v>
      </c>
    </row>
    <row r="194" spans="3:6" x14ac:dyDescent="0.2">
      <c r="C194" s="18">
        <v>5</v>
      </c>
      <c r="D194" s="18" t="s">
        <v>2749</v>
      </c>
      <c r="E194" s="18">
        <v>0</v>
      </c>
      <c r="F194" s="18" t="str">
        <f t="shared" si="14"/>
        <v>305:73</v>
      </c>
    </row>
    <row r="195" spans="3:6" x14ac:dyDescent="0.2">
      <c r="C195" s="18">
        <v>5</v>
      </c>
      <c r="D195" s="18" t="s">
        <v>2749</v>
      </c>
      <c r="E195" s="18">
        <v>0</v>
      </c>
      <c r="F195" s="18" t="str">
        <f t="shared" si="14"/>
        <v>305:73</v>
      </c>
    </row>
    <row r="196" spans="3:6" x14ac:dyDescent="0.2">
      <c r="C196" s="18">
        <v>5</v>
      </c>
      <c r="D196" s="18" t="s">
        <v>2749</v>
      </c>
      <c r="E196" s="18">
        <v>0</v>
      </c>
      <c r="F196" s="18" t="str">
        <f t="shared" ref="F196:F252" si="15">_xlfn.IFNA(_xlfn.IFNA("233:"&amp;ROUND(VLOOKUP(D196,$J$3:$M$12,3,FALSE)*(VLOOKUP(D196,$J$3:$O$12,6,FALSE)+1)^(C196-1),0)&amp;";"&amp;"234:"&amp;ROUND(VLOOKUP(D196,$J$3:$M$12,4,FALSE)*(VLOOKUP(D196,$J$3:$O$12,6,FALSE)+1)^(C196-1),0),"305:"&amp;ROUND(VLOOKUP(D196,$J$13:$U$18,11,FALSE)*(1+VLOOKUP(D196,$J$13:$U$18,12,FALSE))^(C196-1),0)),"0:0")</f>
        <v>305:73</v>
      </c>
    </row>
    <row r="197" spans="3:6" x14ac:dyDescent="0.2">
      <c r="C197" s="18">
        <v>5</v>
      </c>
      <c r="D197" s="18" t="s">
        <v>2749</v>
      </c>
      <c r="E197" s="18">
        <v>0</v>
      </c>
      <c r="F197" s="18" t="str">
        <f t="shared" si="15"/>
        <v>305:73</v>
      </c>
    </row>
    <row r="198" spans="3:6" x14ac:dyDescent="0.2">
      <c r="C198" s="18">
        <v>5</v>
      </c>
      <c r="D198" s="18" t="s">
        <v>2751</v>
      </c>
      <c r="E198" s="18">
        <v>0</v>
      </c>
      <c r="F198" s="18" t="str">
        <f t="shared" si="15"/>
        <v>305:73</v>
      </c>
    </row>
    <row r="199" spans="3:6" x14ac:dyDescent="0.2">
      <c r="C199" s="18">
        <v>5</v>
      </c>
      <c r="D199" s="18" t="s">
        <v>2751</v>
      </c>
      <c r="E199" s="18">
        <v>0</v>
      </c>
      <c r="F199" s="18" t="str">
        <f t="shared" si="15"/>
        <v>305:73</v>
      </c>
    </row>
    <row r="200" spans="3:6" x14ac:dyDescent="0.2">
      <c r="C200" s="18">
        <v>5</v>
      </c>
      <c r="D200" s="18" t="s">
        <v>2751</v>
      </c>
      <c r="E200" s="18">
        <v>0</v>
      </c>
      <c r="F200" s="18" t="str">
        <f t="shared" si="15"/>
        <v>305:73</v>
      </c>
    </row>
    <row r="201" spans="3:6" x14ac:dyDescent="0.2">
      <c r="C201" s="18">
        <v>5</v>
      </c>
      <c r="D201" s="18" t="s">
        <v>2751</v>
      </c>
      <c r="E201" s="18">
        <v>0</v>
      </c>
      <c r="F201" s="18" t="str">
        <f t="shared" si="15"/>
        <v>305:73</v>
      </c>
    </row>
    <row r="202" spans="3:6" x14ac:dyDescent="0.2">
      <c r="C202" s="18">
        <v>5</v>
      </c>
      <c r="D202" s="18" t="s">
        <v>2751</v>
      </c>
      <c r="E202" s="18">
        <v>0</v>
      </c>
      <c r="F202" s="18" t="str">
        <f t="shared" si="15"/>
        <v>305:73</v>
      </c>
    </row>
    <row r="203" spans="3:6" x14ac:dyDescent="0.2">
      <c r="C203" s="18">
        <v>5</v>
      </c>
      <c r="D203" s="18" t="s">
        <v>2753</v>
      </c>
      <c r="E203" s="18">
        <v>0</v>
      </c>
      <c r="F203" s="18" t="str">
        <f t="shared" si="15"/>
        <v>0:0</v>
      </c>
    </row>
    <row r="204" spans="3:6" x14ac:dyDescent="0.2">
      <c r="C204" s="18">
        <v>5</v>
      </c>
      <c r="D204" s="18" t="s">
        <v>2753</v>
      </c>
      <c r="E204" s="18">
        <v>0</v>
      </c>
      <c r="F204" s="18" t="str">
        <f t="shared" si="15"/>
        <v>0:0</v>
      </c>
    </row>
    <row r="205" spans="3:6" x14ac:dyDescent="0.2">
      <c r="C205" s="18">
        <v>5</v>
      </c>
      <c r="D205" s="18" t="s">
        <v>2753</v>
      </c>
      <c r="E205" s="18">
        <v>0</v>
      </c>
      <c r="F205" s="18" t="str">
        <f t="shared" si="15"/>
        <v>0:0</v>
      </c>
    </row>
    <row r="206" spans="3:6" x14ac:dyDescent="0.2">
      <c r="C206" s="18">
        <v>5</v>
      </c>
      <c r="D206" s="18" t="s">
        <v>2753</v>
      </c>
      <c r="E206" s="18">
        <v>0</v>
      </c>
      <c r="F206" s="18" t="str">
        <f t="shared" si="15"/>
        <v>0:0</v>
      </c>
    </row>
    <row r="207" spans="3:6" x14ac:dyDescent="0.2">
      <c r="C207" s="18">
        <v>5</v>
      </c>
      <c r="D207" s="18" t="s">
        <v>2753</v>
      </c>
      <c r="E207" s="18">
        <v>0</v>
      </c>
      <c r="F207" s="18" t="str">
        <f t="shared" si="15"/>
        <v>0:0</v>
      </c>
    </row>
    <row r="208" spans="3:6" x14ac:dyDescent="0.2">
      <c r="C208" s="18">
        <v>5</v>
      </c>
      <c r="D208" s="18" t="s">
        <v>2753</v>
      </c>
      <c r="E208" s="18">
        <v>0</v>
      </c>
      <c r="F208" s="18" t="str">
        <f t="shared" si="15"/>
        <v>0:0</v>
      </c>
    </row>
    <row r="209" spans="3:6" x14ac:dyDescent="0.2">
      <c r="C209" s="18">
        <v>5</v>
      </c>
      <c r="D209" s="18" t="s">
        <v>2753</v>
      </c>
      <c r="E209" s="18">
        <v>0</v>
      </c>
      <c r="F209" s="18" t="str">
        <f t="shared" si="15"/>
        <v>0:0</v>
      </c>
    </row>
    <row r="210" spans="3:6" x14ac:dyDescent="0.2">
      <c r="C210" s="18">
        <v>5</v>
      </c>
      <c r="D210" s="18" t="s">
        <v>2753</v>
      </c>
      <c r="E210" s="18">
        <v>0</v>
      </c>
      <c r="F210" s="18" t="str">
        <f t="shared" si="15"/>
        <v>0:0</v>
      </c>
    </row>
    <row r="211" spans="3:6" x14ac:dyDescent="0.2">
      <c r="C211" s="18">
        <v>5</v>
      </c>
      <c r="D211" s="18" t="s">
        <v>2753</v>
      </c>
      <c r="E211" s="18">
        <v>0</v>
      </c>
      <c r="F211" s="18" t="str">
        <f t="shared" si="15"/>
        <v>0:0</v>
      </c>
    </row>
    <row r="212" spans="3:6" x14ac:dyDescent="0.2">
      <c r="C212" s="18">
        <v>5</v>
      </c>
      <c r="D212" s="18" t="s">
        <v>2753</v>
      </c>
      <c r="E212" s="18">
        <v>0</v>
      </c>
      <c r="F212" s="18" t="str">
        <f t="shared" si="15"/>
        <v>0:0</v>
      </c>
    </row>
    <row r="213" spans="3:6" x14ac:dyDescent="0.2">
      <c r="C213" s="18">
        <v>5</v>
      </c>
      <c r="D213" s="18" t="s">
        <v>2753</v>
      </c>
      <c r="E213" s="18">
        <v>0</v>
      </c>
      <c r="F213" s="18" t="str">
        <f t="shared" si="15"/>
        <v>0:0</v>
      </c>
    </row>
    <row r="214" spans="3:6" x14ac:dyDescent="0.2">
      <c r="C214" s="18">
        <v>5</v>
      </c>
      <c r="D214" s="18" t="s">
        <v>2753</v>
      </c>
      <c r="E214" s="18">
        <v>0</v>
      </c>
      <c r="F214" s="18" t="str">
        <f t="shared" si="15"/>
        <v>0:0</v>
      </c>
    </row>
    <row r="215" spans="3:6" x14ac:dyDescent="0.2">
      <c r="C215" s="18">
        <v>5</v>
      </c>
      <c r="D215" s="18" t="s">
        <v>2753</v>
      </c>
      <c r="E215" s="18">
        <v>0</v>
      </c>
      <c r="F215" s="18" t="str">
        <f t="shared" si="15"/>
        <v>0:0</v>
      </c>
    </row>
    <row r="216" spans="3:6" x14ac:dyDescent="0.2">
      <c r="C216" s="18">
        <v>5</v>
      </c>
      <c r="D216" s="18" t="s">
        <v>2753</v>
      </c>
      <c r="E216" s="18">
        <v>0</v>
      </c>
      <c r="F216" s="18" t="str">
        <f t="shared" si="15"/>
        <v>0:0</v>
      </c>
    </row>
    <row r="217" spans="3:6" x14ac:dyDescent="0.2">
      <c r="C217" s="18">
        <v>5</v>
      </c>
      <c r="D217" s="18" t="s">
        <v>2753</v>
      </c>
      <c r="E217" s="18">
        <v>0</v>
      </c>
      <c r="F217" s="18" t="str">
        <f t="shared" si="15"/>
        <v>0:0</v>
      </c>
    </row>
    <row r="218" spans="3:6" x14ac:dyDescent="0.2">
      <c r="C218" s="18">
        <v>5</v>
      </c>
      <c r="D218" s="18" t="s">
        <v>2753</v>
      </c>
      <c r="E218" s="18">
        <v>0</v>
      </c>
      <c r="F218" s="18" t="str">
        <f t="shared" si="15"/>
        <v>0:0</v>
      </c>
    </row>
    <row r="219" spans="3:6" x14ac:dyDescent="0.2">
      <c r="C219" s="18">
        <v>5</v>
      </c>
      <c r="D219" s="18" t="s">
        <v>2753</v>
      </c>
      <c r="E219" s="18">
        <v>0</v>
      </c>
      <c r="F219" s="18" t="str">
        <f t="shared" si="15"/>
        <v>0:0</v>
      </c>
    </row>
    <row r="220" spans="3:6" x14ac:dyDescent="0.2">
      <c r="C220" s="18">
        <v>5</v>
      </c>
      <c r="D220" s="18" t="s">
        <v>2753</v>
      </c>
      <c r="E220" s="18">
        <v>0</v>
      </c>
      <c r="F220" s="18" t="str">
        <f t="shared" si="15"/>
        <v>0:0</v>
      </c>
    </row>
    <row r="221" spans="3:6" x14ac:dyDescent="0.2">
      <c r="C221" s="18">
        <v>5</v>
      </c>
      <c r="D221" s="18" t="s">
        <v>2753</v>
      </c>
      <c r="E221" s="18">
        <v>0</v>
      </c>
      <c r="F221" s="18" t="str">
        <f t="shared" si="15"/>
        <v>0:0</v>
      </c>
    </row>
    <row r="222" spans="3:6" x14ac:dyDescent="0.2">
      <c r="C222" s="18">
        <v>5</v>
      </c>
      <c r="D222" s="18" t="s">
        <v>2753</v>
      </c>
      <c r="E222" s="18">
        <v>0</v>
      </c>
      <c r="F222" s="18" t="str">
        <f t="shared" si="15"/>
        <v>0:0</v>
      </c>
    </row>
    <row r="223" spans="3:6" x14ac:dyDescent="0.2">
      <c r="C223" s="18">
        <v>5</v>
      </c>
      <c r="D223" s="18" t="s">
        <v>2753</v>
      </c>
      <c r="E223" s="18">
        <v>0</v>
      </c>
      <c r="F223" s="18" t="str">
        <f t="shared" si="15"/>
        <v>0:0</v>
      </c>
    </row>
    <row r="224" spans="3:6" x14ac:dyDescent="0.2">
      <c r="C224" s="18">
        <v>5</v>
      </c>
      <c r="D224" s="18" t="s">
        <v>2753</v>
      </c>
      <c r="E224" s="18">
        <v>0</v>
      </c>
      <c r="F224" s="18" t="str">
        <f t="shared" si="15"/>
        <v>0:0</v>
      </c>
    </row>
    <row r="225" spans="3:6" x14ac:dyDescent="0.2">
      <c r="C225" s="18">
        <v>5</v>
      </c>
      <c r="D225" s="18" t="s">
        <v>2753</v>
      </c>
      <c r="E225" s="18">
        <v>0</v>
      </c>
      <c r="F225" s="18" t="str">
        <f t="shared" si="15"/>
        <v>0:0</v>
      </c>
    </row>
    <row r="226" spans="3:6" x14ac:dyDescent="0.2">
      <c r="C226" s="18">
        <v>5</v>
      </c>
      <c r="D226" s="18" t="s">
        <v>2753</v>
      </c>
      <c r="E226" s="18">
        <v>0</v>
      </c>
      <c r="F226" s="18" t="str">
        <f t="shared" si="15"/>
        <v>0:0</v>
      </c>
    </row>
    <row r="227" spans="3:6" x14ac:dyDescent="0.2">
      <c r="C227" s="18">
        <v>5</v>
      </c>
      <c r="D227" s="18" t="s">
        <v>2753</v>
      </c>
      <c r="E227" s="18">
        <v>0</v>
      </c>
      <c r="F227" s="18" t="str">
        <f t="shared" si="15"/>
        <v>0:0</v>
      </c>
    </row>
    <row r="228" spans="3:6" x14ac:dyDescent="0.2">
      <c r="C228" s="18">
        <v>5</v>
      </c>
      <c r="D228" s="18" t="s">
        <v>2753</v>
      </c>
      <c r="E228" s="18">
        <v>0</v>
      </c>
      <c r="F228" s="18" t="str">
        <f t="shared" si="15"/>
        <v>0:0</v>
      </c>
    </row>
    <row r="229" spans="3:6" x14ac:dyDescent="0.2">
      <c r="C229" s="18">
        <v>5</v>
      </c>
      <c r="D229" s="18" t="s">
        <v>2753</v>
      </c>
      <c r="E229" s="18">
        <v>0</v>
      </c>
      <c r="F229" s="18" t="str">
        <f t="shared" si="15"/>
        <v>0:0</v>
      </c>
    </row>
    <row r="230" spans="3:6" x14ac:dyDescent="0.2">
      <c r="C230" s="18">
        <v>5</v>
      </c>
      <c r="D230" s="18" t="s">
        <v>2753</v>
      </c>
      <c r="E230" s="18">
        <v>0</v>
      </c>
      <c r="F230" s="18" t="str">
        <f t="shared" si="15"/>
        <v>0:0</v>
      </c>
    </row>
    <row r="231" spans="3:6" x14ac:dyDescent="0.2">
      <c r="C231" s="18">
        <v>5</v>
      </c>
      <c r="D231" s="18" t="s">
        <v>2752</v>
      </c>
      <c r="E231" s="18">
        <v>0</v>
      </c>
      <c r="F231" s="18" t="str">
        <f t="shared" si="15"/>
        <v>0:0</v>
      </c>
    </row>
    <row r="232" spans="3:6" x14ac:dyDescent="0.2">
      <c r="C232" s="18">
        <v>5</v>
      </c>
      <c r="D232" s="18" t="s">
        <v>2752</v>
      </c>
      <c r="E232" s="18">
        <v>0</v>
      </c>
      <c r="F232" s="18" t="str">
        <f t="shared" si="15"/>
        <v>0:0</v>
      </c>
    </row>
    <row r="233" spans="3:6" x14ac:dyDescent="0.2">
      <c r="C233" s="18">
        <v>5</v>
      </c>
      <c r="D233" s="18" t="s">
        <v>2753</v>
      </c>
      <c r="E233" s="18">
        <v>0</v>
      </c>
      <c r="F233" s="18" t="str">
        <f t="shared" si="15"/>
        <v>0:0</v>
      </c>
    </row>
    <row r="234" spans="3:6" x14ac:dyDescent="0.2">
      <c r="C234" s="18">
        <v>5</v>
      </c>
      <c r="D234" s="18" t="s">
        <v>2752</v>
      </c>
      <c r="E234" s="18">
        <v>0</v>
      </c>
      <c r="F234" s="18" t="str">
        <f t="shared" si="15"/>
        <v>0:0</v>
      </c>
    </row>
    <row r="235" spans="3:6" x14ac:dyDescent="0.2">
      <c r="C235" s="18">
        <v>5</v>
      </c>
      <c r="D235" s="18" t="s">
        <v>2752</v>
      </c>
      <c r="E235" s="18">
        <v>0</v>
      </c>
      <c r="F235" s="18" t="str">
        <f t="shared" si="15"/>
        <v>0:0</v>
      </c>
    </row>
    <row r="236" spans="3:6" x14ac:dyDescent="0.2">
      <c r="C236" s="18">
        <v>5</v>
      </c>
      <c r="D236" s="18" t="s">
        <v>2752</v>
      </c>
      <c r="E236" s="18">
        <v>0</v>
      </c>
      <c r="F236" s="18" t="str">
        <f t="shared" si="15"/>
        <v>0:0</v>
      </c>
    </row>
    <row r="237" spans="3:6" x14ac:dyDescent="0.2">
      <c r="C237" s="18">
        <v>5</v>
      </c>
      <c r="D237" s="18" t="s">
        <v>2752</v>
      </c>
      <c r="E237" s="18">
        <v>0</v>
      </c>
      <c r="F237" s="18" t="str">
        <f t="shared" si="15"/>
        <v>0:0</v>
      </c>
    </row>
    <row r="238" spans="3:6" x14ac:dyDescent="0.2">
      <c r="C238" s="18">
        <v>5</v>
      </c>
      <c r="D238" s="18" t="s">
        <v>2752</v>
      </c>
      <c r="E238" s="18">
        <v>0</v>
      </c>
      <c r="F238" s="18" t="str">
        <f t="shared" si="15"/>
        <v>0:0</v>
      </c>
    </row>
    <row r="239" spans="3:6" x14ac:dyDescent="0.2">
      <c r="C239" s="18">
        <v>5</v>
      </c>
      <c r="D239" s="18" t="s">
        <v>2752</v>
      </c>
      <c r="E239" s="18">
        <v>0</v>
      </c>
      <c r="F239" s="18" t="str">
        <f t="shared" si="15"/>
        <v>0:0</v>
      </c>
    </row>
    <row r="240" spans="3:6" x14ac:dyDescent="0.2">
      <c r="C240" s="18">
        <v>5</v>
      </c>
      <c r="D240" s="18" t="s">
        <v>2752</v>
      </c>
      <c r="E240" s="18">
        <v>0</v>
      </c>
      <c r="F240" s="18" t="str">
        <f t="shared" si="15"/>
        <v>0:0</v>
      </c>
    </row>
    <row r="241" spans="3:6" x14ac:dyDescent="0.2">
      <c r="C241" s="18">
        <v>5</v>
      </c>
      <c r="D241" s="18" t="s">
        <v>2752</v>
      </c>
      <c r="E241" s="18">
        <v>0</v>
      </c>
      <c r="F241" s="18" t="str">
        <f t="shared" si="15"/>
        <v>0:0</v>
      </c>
    </row>
    <row r="242" spans="3:6" x14ac:dyDescent="0.2">
      <c r="C242" s="18">
        <v>5</v>
      </c>
      <c r="D242" s="18" t="s">
        <v>2752</v>
      </c>
      <c r="E242" s="18">
        <v>0</v>
      </c>
      <c r="F242" s="18" t="str">
        <f t="shared" si="15"/>
        <v>0:0</v>
      </c>
    </row>
    <row r="243" spans="3:6" x14ac:dyDescent="0.2">
      <c r="C243" s="18">
        <v>5</v>
      </c>
      <c r="D243" s="18" t="s">
        <v>2752</v>
      </c>
      <c r="E243" s="18">
        <v>0</v>
      </c>
      <c r="F243" s="18" t="str">
        <f t="shared" si="15"/>
        <v>0:0</v>
      </c>
    </row>
    <row r="244" spans="3:6" x14ac:dyDescent="0.2">
      <c r="C244" s="18">
        <v>5</v>
      </c>
      <c r="D244" s="18" t="s">
        <v>2752</v>
      </c>
      <c r="E244" s="18">
        <v>0</v>
      </c>
      <c r="F244" s="18" t="str">
        <f t="shared" si="15"/>
        <v>0:0</v>
      </c>
    </row>
    <row r="245" spans="3:6" x14ac:dyDescent="0.2">
      <c r="C245" s="18">
        <v>5</v>
      </c>
      <c r="D245" s="18" t="s">
        <v>2752</v>
      </c>
      <c r="E245" s="18">
        <v>0</v>
      </c>
      <c r="F245" s="18" t="str">
        <f t="shared" si="15"/>
        <v>0:0</v>
      </c>
    </row>
    <row r="246" spans="3:6" x14ac:dyDescent="0.2">
      <c r="C246" s="18">
        <v>5</v>
      </c>
      <c r="D246" s="18" t="s">
        <v>2752</v>
      </c>
      <c r="E246" s="18">
        <v>0</v>
      </c>
      <c r="F246" s="18" t="str">
        <f t="shared" si="15"/>
        <v>0:0</v>
      </c>
    </row>
    <row r="247" spans="3:6" x14ac:dyDescent="0.2">
      <c r="C247" s="18">
        <v>2</v>
      </c>
      <c r="D247" s="18" t="s">
        <v>2787</v>
      </c>
      <c r="E247" s="18">
        <v>0</v>
      </c>
      <c r="F247" s="18" t="str">
        <f t="shared" si="15"/>
        <v>0:0</v>
      </c>
    </row>
    <row r="248" spans="3:6" x14ac:dyDescent="0.2">
      <c r="C248" s="18">
        <v>3</v>
      </c>
      <c r="D248" s="18" t="s">
        <v>2787</v>
      </c>
      <c r="E248" s="18">
        <v>0</v>
      </c>
      <c r="F248" s="18" t="str">
        <f t="shared" si="15"/>
        <v>0:0</v>
      </c>
    </row>
    <row r="249" spans="3:6" x14ac:dyDescent="0.2">
      <c r="C249" s="18">
        <v>3</v>
      </c>
      <c r="D249" s="18" t="s">
        <v>2787</v>
      </c>
      <c r="E249" s="18">
        <v>0</v>
      </c>
      <c r="F249" s="18" t="str">
        <f t="shared" si="15"/>
        <v>0:0</v>
      </c>
    </row>
    <row r="250" spans="3:6" x14ac:dyDescent="0.2">
      <c r="C250" s="18">
        <v>3</v>
      </c>
      <c r="D250" s="18" t="s">
        <v>2787</v>
      </c>
      <c r="E250" s="18">
        <v>0</v>
      </c>
      <c r="F250" s="18" t="str">
        <f t="shared" si="15"/>
        <v>0:0</v>
      </c>
    </row>
    <row r="251" spans="3:6" x14ac:dyDescent="0.2">
      <c r="C251" s="18">
        <v>3</v>
      </c>
      <c r="D251" s="18" t="s">
        <v>2787</v>
      </c>
      <c r="E251" s="18">
        <v>0</v>
      </c>
      <c r="F251" s="18" t="str">
        <f t="shared" si="15"/>
        <v>0:0</v>
      </c>
    </row>
    <row r="252" spans="3:6" x14ac:dyDescent="0.2">
      <c r="C252" s="18">
        <v>3</v>
      </c>
      <c r="D252" s="18" t="s">
        <v>2787</v>
      </c>
      <c r="E252" s="18">
        <v>0</v>
      </c>
      <c r="F252" s="18" t="str">
        <f t="shared" si="15"/>
        <v>0:0</v>
      </c>
    </row>
  </sheetData>
  <phoneticPr fontId="1" type="noConversion"/>
  <conditionalFormatting sqref="N3:N12">
    <cfRule type="cellIs" dxfId="0" priority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装备表</vt:lpstr>
      <vt:lpstr>套装属性表</vt:lpstr>
      <vt:lpstr>暴击率219设置</vt:lpstr>
      <vt:lpstr>传说装备设计</vt:lpstr>
      <vt:lpstr>暗金包配置</vt:lpstr>
      <vt:lpstr>装备槽位表</vt:lpstr>
      <vt:lpstr>中文名称</vt:lpstr>
      <vt:lpstr>装备掉落包配置</vt:lpstr>
      <vt:lpstr>装备权重</vt:lpstr>
      <vt:lpstr>装备基础属性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2026-02-27T09:00:24Z</dcterms:modified>
</cp:coreProperties>
</file>