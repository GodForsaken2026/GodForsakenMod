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426"/>
  <workbookPr codeName="ThisWorkbook"/>
  <mc:AlternateContent xmlns:mc="http://schemas.openxmlformats.org/markup-compatibility/2006">
    <mc:Choice Requires="x15">
      <x15ac:absPath xmlns:x15ac="http://schemas.microsoft.com/office/spreadsheetml/2010/11/ac" url="G:\survivors\data\trunk\excel\"/>
    </mc:Choice>
  </mc:AlternateContent>
  <xr:revisionPtr revIDLastSave="0" documentId="13_ncr:1_{3DA56720-C573-4FA9-9AF3-4B37B66656EC}" xr6:coauthVersionLast="45" xr6:coauthVersionMax="47" xr10:uidLastSave="{00000000-0000-0000-0000-000000000000}"/>
  <bookViews>
    <workbookView xWindow="-120" yWindow="-120" windowWidth="29040" windowHeight="15840" tabRatio="598" xr2:uid="{00000000-000D-0000-FFFF-FFFF00000000}"/>
  </bookViews>
  <sheets>
    <sheet name="杂物表" sheetId="25" r:id="rId1"/>
    <sheet name="笔记整理" sheetId="28" r:id="rId2"/>
    <sheet name="Sheet2" sheetId="27" r:id="rId3"/>
    <sheet name="Sheet1" sheetId="26" r:id="rId4"/>
  </sheets>
  <calcPr calcId="181029"/>
</workbook>
</file>

<file path=xl/calcChain.xml><?xml version="1.0" encoding="utf-8"?>
<calcChain xmlns="http://schemas.openxmlformats.org/spreadsheetml/2006/main">
  <c r="V20" i="26" l="1"/>
  <c r="U20" i="26"/>
  <c r="T20" i="26"/>
  <c r="S20" i="26"/>
  <c r="L20" i="26"/>
  <c r="K20" i="26"/>
  <c r="J20" i="26"/>
  <c r="I20" i="26"/>
  <c r="V19" i="26"/>
  <c r="U19" i="26"/>
  <c r="T19" i="26"/>
  <c r="S19" i="26"/>
  <c r="L19" i="26"/>
  <c r="K19" i="26"/>
  <c r="J19" i="26"/>
  <c r="I19" i="26"/>
  <c r="V18" i="26"/>
  <c r="U18" i="26"/>
  <c r="T18" i="26"/>
  <c r="S18" i="26"/>
  <c r="L18" i="26"/>
  <c r="K18" i="26"/>
  <c r="J18" i="26"/>
  <c r="I18" i="26"/>
  <c r="V17" i="26"/>
  <c r="U17" i="26"/>
  <c r="T17" i="26"/>
  <c r="S17" i="26"/>
  <c r="L17" i="26"/>
  <c r="K17" i="26"/>
  <c r="J17" i="26"/>
  <c r="I17" i="26"/>
  <c r="V16" i="26"/>
  <c r="U16" i="26"/>
  <c r="T16" i="26"/>
  <c r="S16" i="26"/>
  <c r="L16" i="26"/>
  <c r="K16" i="26"/>
  <c r="J16" i="26"/>
  <c r="I16" i="26"/>
  <c r="N16" i="26" s="1"/>
  <c r="I92" i="26" s="1"/>
  <c r="V15" i="26"/>
  <c r="U15" i="26"/>
  <c r="T15" i="26"/>
  <c r="S15" i="26"/>
  <c r="L15" i="26"/>
  <c r="K15" i="26"/>
  <c r="J15" i="26"/>
  <c r="I15" i="26"/>
  <c r="V14" i="26"/>
  <c r="U14" i="26"/>
  <c r="T14" i="26"/>
  <c r="S14" i="26"/>
  <c r="L14" i="26"/>
  <c r="K14" i="26"/>
  <c r="J14" i="26"/>
  <c r="I14" i="26"/>
  <c r="V13" i="26"/>
  <c r="U13" i="26"/>
  <c r="T13" i="26"/>
  <c r="S13" i="26"/>
  <c r="L13" i="26"/>
  <c r="K13" i="26"/>
  <c r="J13" i="26"/>
  <c r="I13" i="26"/>
  <c r="V12" i="26"/>
  <c r="U12" i="26"/>
  <c r="T12" i="26"/>
  <c r="S12" i="26"/>
  <c r="L12" i="26"/>
  <c r="K12" i="26"/>
  <c r="J12" i="26"/>
  <c r="I12" i="26"/>
  <c r="V11" i="26"/>
  <c r="U11" i="26"/>
  <c r="T11" i="26"/>
  <c r="S11" i="26"/>
  <c r="L11" i="26"/>
  <c r="K11" i="26"/>
  <c r="J11" i="26"/>
  <c r="I11" i="26"/>
  <c r="V10" i="26"/>
  <c r="U10" i="26"/>
  <c r="T10" i="26"/>
  <c r="S10" i="26"/>
  <c r="L10" i="26"/>
  <c r="K10" i="26"/>
  <c r="J10" i="26"/>
  <c r="I10" i="26"/>
  <c r="V9" i="26"/>
  <c r="U9" i="26"/>
  <c r="T9" i="26"/>
  <c r="S9" i="26"/>
  <c r="L9" i="26"/>
  <c r="K9" i="26"/>
  <c r="J9" i="26"/>
  <c r="I9" i="26"/>
  <c r="V8" i="26"/>
  <c r="U8" i="26"/>
  <c r="T8" i="26"/>
  <c r="S8" i="26"/>
  <c r="L8" i="26"/>
  <c r="K8" i="26"/>
  <c r="J8" i="26"/>
  <c r="I8" i="26"/>
  <c r="V7" i="26"/>
  <c r="U7" i="26"/>
  <c r="T7" i="26"/>
  <c r="S7" i="26"/>
  <c r="L7" i="26"/>
  <c r="K7" i="26"/>
  <c r="J7" i="26"/>
  <c r="I7" i="26"/>
  <c r="V6" i="26"/>
  <c r="U6" i="26"/>
  <c r="T6" i="26"/>
  <c r="S6" i="26"/>
  <c r="L6" i="26"/>
  <c r="K6" i="26"/>
  <c r="J6" i="26"/>
  <c r="I6" i="26"/>
  <c r="N12" i="26" l="1"/>
  <c r="I68" i="26" s="1"/>
  <c r="N8" i="26"/>
  <c r="I44" i="26" s="1"/>
  <c r="N20" i="26"/>
  <c r="I111" i="26" s="1"/>
  <c r="I116" i="26"/>
  <c r="N11" i="26"/>
  <c r="I61" i="26" s="1"/>
  <c r="N14" i="26"/>
  <c r="I75" i="26" s="1"/>
  <c r="N17" i="26"/>
  <c r="I96" i="26" s="1"/>
  <c r="N15" i="26"/>
  <c r="I85" i="26" s="1"/>
  <c r="N18" i="26"/>
  <c r="I101" i="26" s="1"/>
  <c r="N10" i="26"/>
  <c r="I56" i="26" s="1"/>
  <c r="N13" i="26"/>
  <c r="I71" i="26" s="1"/>
  <c r="N7" i="26"/>
  <c r="I33" i="26" s="1"/>
  <c r="N6" i="26"/>
  <c r="I31" i="26" s="1"/>
  <c r="N19" i="26"/>
  <c r="I105" i="26" s="1"/>
  <c r="N9" i="26"/>
  <c r="I50" i="26" s="1"/>
  <c r="I32" i="26"/>
  <c r="I29" i="26"/>
  <c r="I40" i="26"/>
  <c r="I88" i="26"/>
  <c r="I112" i="26"/>
  <c r="I39" i="26"/>
  <c r="I87" i="26"/>
  <c r="I41" i="26"/>
  <c r="I89" i="26"/>
  <c r="I113" i="26"/>
  <c r="I42" i="26"/>
  <c r="I90" i="26"/>
  <c r="I114" i="26"/>
  <c r="I43" i="26"/>
  <c r="I91" i="26"/>
  <c r="I115" i="26"/>
  <c r="I77" i="26" l="1"/>
  <c r="I99" i="26"/>
  <c r="I102" i="26"/>
  <c r="I78" i="26"/>
  <c r="I86" i="26"/>
  <c r="I57" i="26"/>
  <c r="I93" i="26"/>
  <c r="I59" i="26"/>
  <c r="I94" i="26"/>
  <c r="I62" i="26"/>
  <c r="I97" i="26"/>
  <c r="I98" i="26"/>
  <c r="I27" i="26"/>
  <c r="I79" i="26"/>
  <c r="I76" i="26"/>
  <c r="I80" i="26"/>
  <c r="I58" i="26"/>
  <c r="I36" i="26"/>
  <c r="I103" i="26"/>
  <c r="I38" i="26"/>
  <c r="I34" i="26"/>
  <c r="I67" i="26"/>
  <c r="I74" i="26"/>
  <c r="I69" i="26"/>
  <c r="I63" i="26"/>
  <c r="I70" i="26"/>
  <c r="I64" i="26"/>
  <c r="I72" i="26"/>
  <c r="I73" i="26"/>
  <c r="I35" i="26"/>
  <c r="I37" i="26"/>
  <c r="I66" i="26"/>
  <c r="I100" i="26"/>
  <c r="I65" i="26"/>
  <c r="I104" i="26"/>
  <c r="I83" i="26"/>
  <c r="I95" i="26"/>
  <c r="I81" i="26"/>
  <c r="I82" i="26"/>
  <c r="I28" i="26"/>
  <c r="I108" i="26"/>
  <c r="I84" i="26"/>
  <c r="I60" i="26"/>
  <c r="I30" i="26"/>
  <c r="I107" i="26"/>
  <c r="I109" i="26"/>
  <c r="I110" i="26"/>
  <c r="I51" i="26"/>
  <c r="I45" i="26"/>
  <c r="I46" i="26"/>
  <c r="I52" i="26"/>
  <c r="I53" i="26"/>
  <c r="I47" i="26"/>
  <c r="I54" i="26"/>
  <c r="I48" i="26"/>
  <c r="I106" i="26"/>
  <c r="I55" i="26"/>
  <c r="I49" i="2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1" type="4" refreshedVersion="2" background="1" saveData="1">
    <webPr xml="1" sourceData="1" parsePre="1" consecutive="1" xl2000="1" url="C:\Users\Transistor\Desktop\1.xml" htmlTables="1" htmlFormat="all"/>
  </connection>
  <connection id="2" xr16:uid="{00000000-0015-0000-FFFF-FFFF01000000}" name="11" type="4" refreshedVersion="2" background="1" saveData="1">
    <webPr xml="1" sourceData="1" parsePre="1" consecutive="1" xl2000="1" url="C:\Users\Transistor\Desktop\1.xml" htmlTables="1" htmlFormat="all"/>
  </connection>
  <connection id="3" xr16:uid="{00000000-0015-0000-FFFF-FFFF02000000}" name="a" type="4" refreshedVersion="2" background="1" saveData="1">
    <webPr xml="1" sourceData="1" parsePre="1" consecutive="1" xl2000="1" url="C:\Users\Administrator\Desktop\a.xml" htmlTables="1"/>
  </connection>
  <connection id="4" xr16:uid="{00000000-0015-0000-FFFF-FFFF03000000}" name="a1" type="4" refreshedVersion="2" background="1" saveData="1">
    <webPr xml="1" sourceData="1" parsePre="1" consecutive="1" xl2000="1" url="C:\Users\Administrator\Desktop\a.xml" htmlTables="1"/>
  </connection>
  <connection id="5" xr16:uid="{00000000-0015-0000-FFFF-FFFF04000000}" name="a2" type="4" refreshedVersion="2" background="1" saveData="1">
    <webPr xml="1" sourceData="1" parsePre="1" consecutive="1" xl2000="1" url="C:\Users\Administrator\Desktop\a.xml" htmlTables="1"/>
  </connection>
  <connection id="6" xr16:uid="{00000000-0015-0000-FFFF-FFFF05000000}" name="a3" type="4" refreshedVersion="2" background="1" saveData="1">
    <webPr xml="1" sourceData="1" parsePre="1" consecutive="1" xl2000="1" url="C:\Users\Administrator\Desktop\a.xml" htmlTables="1"/>
  </connection>
  <connection id="7" xr16:uid="{00000000-0015-0000-FFFF-FFFF06000000}" name="a4" type="4" refreshedVersion="2" background="1" saveData="1">
    <webPr xml="1" sourceData="1" parsePre="1" consecutive="1" xl2000="1" url="C:\Users\Administrator\Desktop\a.xml" htmlTables="1"/>
  </connection>
  <connection id="8" xr16:uid="{00000000-0015-0000-FFFF-FFFF07000000}" name="a5" type="4" refreshedVersion="2" background="1" saveData="1">
    <webPr xml="1" sourceData="1" parsePre="1" consecutive="1" xl2000="1" url="C:\Users\Administrator\Desktop\a.xml" htmlTables="1"/>
  </connection>
  <connection id="9" xr16:uid="{00000000-0015-0000-FFFF-FFFF08000000}" name="a6" type="4" refreshedVersion="2" background="1" saveData="1">
    <webPr xml="1" sourceData="1" parsePre="1" consecutive="1" xl2000="1" url="C:\Users\Administrator\Desktop\a.xml" htmlTables="1"/>
  </connection>
  <connection id="10" xr16:uid="{00000000-0015-0000-FFFF-FFFF09000000}" name="action" type="4" refreshedVersion="2" background="1" saveData="1">
    <webPr xml="1" sourceData="1" parsePre="1" consecutive="1" xl2000="1" url="E:\svn\mogo\data\trunk\xml\action.xml" htmlTables="1"/>
  </connection>
  <connection id="11" xr16:uid="{00000000-0015-0000-FFFF-FFFF0D000000}" name="action_icon" type="4" refreshedVersion="2" background="1" saveData="1">
    <webPr xml="1" sourceData="1" parsePre="1" consecutive="1" xl2000="1" url="E:\Work\Game4\workspace_linux\doc\策划文档\data\excel模板\不要在这里提交xml数据\action_icon.xml" htmlTables="1"/>
  </connection>
  <connection id="12" xr16:uid="{00000000-0015-0000-FFFF-FFFF0A000000}" name="action1" type="4" refreshedVersion="2" background="1" saveData="1">
    <webPr xml="1" sourceData="1" parsePre="1" consecutive="1" xl2000="1" url="E:\svn\mogo\data\trunk\xml\action.xml" htmlTables="1"/>
  </connection>
  <connection id="13" xr16:uid="{00000000-0015-0000-FFFF-FFFF0B000000}" name="action2" type="4" refreshedVersion="2" background="1" saveData="1">
    <webPr xml="1" sourceData="1" parsePre="1" consecutive="1" xl2000="1" url="E:\svn\mogo\data\trunk\xml\action.xml" htmlTables="1"/>
  </connection>
  <connection id="14" xr16:uid="{00000000-0015-0000-FFFF-FFFF0C000000}" name="action3" type="4" refreshedVersion="2" background="1" saveData="1">
    <webPr xml="1" sourceData="1" parsePre="1" consecutive="1" xl2000="1" url="F:\workspace_linux\xgame\server\trunk_vbox\scripts\data\xml\action.xml" htmlTables="1"/>
  </connection>
  <connection id="15" xr16:uid="{00000000-0015-0000-FFFF-FFFF0E000000}" name="armor" type="4" refreshedVersion="2" background="1" saveData="1">
    <webPr xml="1" sourceData="1" parsePre="1" consecutive="1" xl2000="1" url="D:\data\trunk\excel\xml模板\armor.xml" htmlTables="1" htmlFormat="all"/>
  </connection>
  <connection id="16" xr16:uid="{00000000-0015-0000-FFFF-FFFF0F000000}" name="chapters" type="4" refreshedVersion="2" background="1" saveData="1">
    <webPr xml="1" sourceData="1" parsePre="1" consecutive="1" xl2000="1" url="E:\Work\Game4\workspace_linux\doc\策划文档\data\excel模板\xml模板\chapters.xml" htmlTables="1"/>
  </connection>
  <connection id="17" xr16:uid="{00000000-0015-0000-FFFF-FFFF10000000}" name="chapters1" type="4" refreshedVersion="2" background="1" saveData="1">
    <webPr xml="1" sourceData="1" parsePre="1" consecutive="1" xl2000="1" url="E:\_data\trunk\excel模板\xml模板\chapters.xml" htmlTables="1" htmlFormat="all"/>
  </connection>
  <connection id="18" xr16:uid="{00000000-0015-0000-FFFF-FFFF11000000}" name="chapters2" type="4" refreshedVersion="2" background="1" saveData="1">
    <webPr xml="1" sourceData="1" parsePre="1" consecutive="1" xl2000="1" url="E:\_data\trunk\excel模板\xml模板\chapters.xml" htmlTables="1" htmlFormat="all"/>
  </connection>
  <connection id="19" xr16:uid="{00000000-0015-0000-FFFF-FFFF12000000}" name="chapters3" type="4" refreshedVersion="2" background="1" saveData="1">
    <webPr xml="1" sourceData="1" parsePre="1" consecutive="1" xl2000="1" url="E:\DSix\Doc\策划文档\data\excel模板\不要在这里提交xml数据\chapters.xml" htmlTables="1" htmlFormat="all"/>
  </connection>
  <connection id="20" xr16:uid="{00000000-0015-0000-FFFF-FFFF13000000}" name="d" type="4" refreshedVersion="2" background="1" saveData="1">
    <webPr xml="1" sourceData="1" parsePre="1" consecutive="1" xl2000="1" url="C:\Users\Administrator\Desktop\d.xml" htmlTables="1"/>
  </connection>
  <connection id="21" xr16:uid="{00000000-0015-0000-FFFF-FFFF14000000}" name="fort" type="4" refreshedVersion="2" background="1" saveData="1">
    <webPr xml="1" sourceData="1" parsePre="1" consecutive="1" xl2000="1" url="E:\Aion\data\trunk\excel\xml模板\fort.xml" htmlTables="1"/>
  </connection>
  <connection id="22" xr16:uid="{00000000-0015-0000-FFFF-FFFF15000000}" name="fort_buff" type="4" refreshedVersion="2" background="1" saveData="1">
    <webPr xml="1" sourceData="1" parsePre="1" consecutive="1" xl2000="1" url="E:\Aion\data\trunk\excel\xml模板\fort_buff.xml" htmlTables="1"/>
  </connection>
  <connection id="23" xr16:uid="{00000000-0015-0000-FFFF-FFFF16000000}" name="inst_match_rule" type="4" refreshedVersion="2" background="1" saveData="1">
    <webPr xml="1" sourceData="1" parsePre="1" consecutive="1" xl2000="1" url="E:\work\xgame-4\data\trunk\excel模板\xml模板\inst_match_rule.xml" htmlTables="1" htmlFormat="all"/>
  </connection>
  <connection id="24" xr16:uid="{00000000-0015-0000-FFFF-FFFF17000000}" name="inst_match_rule1" type="4" refreshedVersion="2" background="1" saveData="1">
    <webPr xml="1" sourceData="1" parsePre="1" consecutive="1" xl2000="1" url="E:\work\xgame-4\data\trunk\excel模板\xml模板\inst_match_rule.xml" htmlTables="1" htmlFormat="all"/>
  </connection>
  <connection id="25" xr16:uid="{00000000-0015-0000-FFFF-FFFF18000000}" name="inst_type_operate" type="4" refreshedVersion="2" background="1" saveData="1">
    <webPr xml="1" sourceData="1" parsePre="1" consecutive="1" xl2000="1" url="F:\workspace_linux\xgame\data\trunk\excel模板\xml模板\inst_type_operate.xml" htmlTables="1" htmlFormat="all"/>
  </connection>
  <connection id="26" xr16:uid="{00000000-0015-0000-FFFF-FFFF19000000}" name="inst_type_operate1" type="4" refreshedVersion="2" background="1" saveData="1">
    <webPr xml="1" sourceData="1" parsePre="1" consecutive="1" xl2000="1" url="F:\workspace_linux\xgame\data\trunk\excel模板\xml模板\inst_type_operate.xml" htmlTables="1" htmlFormat="all"/>
  </connection>
  <connection id="27" xr16:uid="{00000000-0015-0000-FFFF-FFFF1A000000}" name="inst_type_operate10" type="4" refreshedVersion="2" background="1" saveData="1">
    <webPr xml="1" sourceData="1" parsePre="1" consecutive="1" xl2000="1" url="E:\work\xgame-4\data\trunk\excel模板\不要在这里提交xml数据\inst_type_operate.xml" htmlTables="1" htmlFormat="all"/>
  </connection>
  <connection id="28" xr16:uid="{00000000-0015-0000-FFFF-FFFF1B000000}" name="inst_type_operate11" type="4" refreshedVersion="2" background="1" saveData="1">
    <webPr xml="1" sourceData="1" parsePre="1" consecutive="1" xl2000="1" url="E:\work\xgame-4\data\trunk\excel模板\不要在这里提交xml数据\inst_type_operate.xml" htmlTables="1" htmlFormat="all"/>
  </connection>
  <connection id="29" xr16:uid="{00000000-0015-0000-FFFF-FFFF1C000000}" name="inst_type_operate12" type="4" refreshedVersion="2" background="1" saveData="1">
    <webPr xml="1" sourceData="1" parsePre="1" consecutive="1" xl2000="1" url="D:\xgame\src\data\trunk\excel模板\不要在这里提交xml数据\inst_type_operate.xml" htmlTables="1" htmlFormat="all"/>
  </connection>
  <connection id="30" xr16:uid="{00000000-0015-0000-FFFF-FFFF1D000000}" name="inst_type_operate13" type="4" refreshedVersion="2" background="1" saveData="1">
    <webPr xml="1" sourceData="1" parsePre="1" consecutive="1" xl2000="1" url="E:\DSix\Doc\策划文档\data\excel模板\不要在这里提交xml数据\inst_type_operate.xml" htmlTables="1" htmlFormat="all"/>
  </connection>
  <connection id="31" xr16:uid="{00000000-0015-0000-FFFF-FFFF1E000000}" name="inst_type_operate14" type="4" refreshedVersion="2" background="1" saveData="1">
    <webPr xml="1" sourceData="1" parsePre="1" consecutive="1" xl2000="1" url="D:\xgame\src\data\trunk\excel模板\不要在这里提交xml数据\inst_type_operate.xml" htmlTables="1" htmlFormat="all"/>
  </connection>
  <connection id="32" xr16:uid="{00000000-0015-0000-FFFF-FFFF1F000000}" name="inst_type_operate15" type="4" refreshedVersion="2" background="1" saveData="1">
    <webPr xml="1" sourceData="1" parsePre="1" consecutive="1" xl2000="1" url="E:\work\xgame-4\data\trunk\excel模板\不要在这里提交xml数据\inst_type_operate.xml" htmlTables="1" htmlFormat="all"/>
  </connection>
  <connection id="33" xr16:uid="{00000000-0015-0000-FFFF-FFFF20000000}" name="inst_type_operate16" type="4" refreshedVersion="2" background="1" saveData="1">
    <webPr xml="1" sourceData="1" parsePre="1" consecutive="1" xl2000="1" url="E:\work\xgame-4\data\trunk\excel模板\不要在这里提交xml数据\inst_type_operate.xml" htmlTables="1" htmlFormat="all"/>
  </connection>
  <connection id="34" xr16:uid="{00000000-0015-0000-FFFF-FFFF21000000}" name="inst_type_operate17" type="4" refreshedVersion="2" background="1" saveData="1">
    <webPr xml="1" sourceData="1" parsePre="1" consecutive="1" xl2000="1" url="D:\xgame\src\data\trunk\excel模板\不要在这里提交xml数据\inst_type_operate.xml" htmlTables="1" htmlFormat="all"/>
  </connection>
  <connection id="35" xr16:uid="{00000000-0015-0000-FFFF-FFFF22000000}" name="inst_type_operate18" type="4" refreshedVersion="2" background="1" saveData="1">
    <webPr xml="1" sourceData="1" parsePre="1" consecutive="1" xl2000="1" url="E:\Work\Game4\workspace_linux\doc\策划文档\data\excel模板\不要在这里提交xml数据\inst_type_operate.xml" htmlTables="1" htmlFormat="all"/>
  </connection>
  <connection id="36" xr16:uid="{00000000-0015-0000-FFFF-FFFF23000000}" name="inst_type_operate19" type="4" refreshedVersion="2" background="1" saveData="1">
    <webPr xml="1" sourceData="1" parsePre="1" consecutive="1" xl2000="1" url="E:\DSix\Doc\策划文档\data\excel模板\不要在这里提交xml数据\inst_type_operate.xml" htmlTables="1" htmlFormat="all"/>
  </connection>
  <connection id="37" xr16:uid="{00000000-0015-0000-FFFF-FFFF24000000}" name="inst_type_operate2" type="4" refreshedVersion="2" background="1" saveData="1">
    <webPr xml="1" sourceData="1" parsePre="1" consecutive="1" xl2000="1" url="E:\Work\Game4\workspace_linux\doc\策划文档\data\excel模板\xml模板\inst_type_operate.xml" htmlTables="1" htmlFormat="all"/>
  </connection>
  <connection id="38" xr16:uid="{00000000-0015-0000-FFFF-FFFF25000000}" name="inst_type_operate20" type="4" refreshedVersion="2" background="1" saveData="1">
    <webPr xml="1" sourceData="1" parsePre="1" consecutive="1" xl2000="1" url="E:\DSix\Doc\策划文档\data\excel模板\不要在这里提交xml数据\inst_type_operate.xml" htmlTables="1" htmlFormat="all"/>
  </connection>
  <connection id="39" xr16:uid="{00000000-0015-0000-FFFF-FFFF26000000}" name="inst_type_operate21" type="4" refreshedVersion="2" background="1" saveData="1">
    <webPr xml="1" sourceData="1" parsePre="1" consecutive="1" xl2000="1" url="E:\DSix\Doc\策划文档\data\excel模板\不要在这里提交xml数据\inst_type_operate.xml" htmlTables="1" htmlFormat="all"/>
  </connection>
  <connection id="40" xr16:uid="{00000000-0015-0000-FFFF-FFFF27000000}" name="inst_type_operate22" type="4" refreshedVersion="2" background="1" saveData="1">
    <webPr xml="1" sourceData="1" parsePre="1" consecutive="1" xl2000="1" url="E:\Work\Game4\workspace_linux\策划数据模板\trunk\excel模板\不要在这里提交xml数据\inst_type_operate.xml" htmlTables="1" htmlFormat="all"/>
  </connection>
  <connection id="41" xr16:uid="{00000000-0015-0000-FFFF-FFFF28000000}" name="inst_type_operate23" type="4" refreshedVersion="2" background="1" saveData="1">
    <webPr xml="1" sourceData="1" parsePre="1" consecutive="1" xl2000="1" url="E:\work\xgame-4\data\trunk\excel模板\不要在这里提交xml数据\inst_type_operate.xml" htmlTables="1" htmlFormat="all"/>
  </connection>
  <connection id="42" xr16:uid="{00000000-0015-0000-FFFF-FFFF29000000}" name="inst_type_operate24" type="4" refreshedVersion="2" background="1" saveData="1">
    <webPr xml="1" sourceData="1" parsePre="1" consecutive="1" xl2000="1" url="E:\work\xgame-4\data\trunk\excel模板\不要在这里提交xml数据\inst_type_operate.xml" htmlTables="1" htmlFormat="all"/>
  </connection>
  <connection id="43" xr16:uid="{00000000-0015-0000-FFFF-FFFF2A000000}" name="inst_type_operate25" type="4" refreshedVersion="2" background="1" saveData="1">
    <webPr xml="1" sourceData="1" parsePre="1" consecutive="1" xl2000="1" url="E:\work\xgame-4\data\trunk\excel模板\不要在这里提交xml数据\inst_type_operate.xml" htmlTables="1" htmlFormat="all"/>
  </connection>
  <connection id="44" xr16:uid="{00000000-0015-0000-FFFF-FFFF2B000000}" name="inst_type_operate26" type="4" refreshedVersion="2" background="1" saveData="1">
    <webPr xml="1" sourceData="1" parsePre="1" consecutive="1" xl2000="1" url="G:\ahzs\doc\策划文档\data\excel模板\不要在这里提交xml数据\inst_type_operate.xml" htmlTables="1" htmlFormat="all"/>
  </connection>
  <connection id="45" xr16:uid="{00000000-0015-0000-FFFF-FFFF2C000000}" name="inst_type_operate27" type="4" refreshedVersion="2" background="1" saveData="1">
    <webPr xml="1" sourceData="1" parsePre="1" consecutive="1" xl2000="1" url="E:\work\xgame-4\data\trunk\excel模板\不要在这里提交xml数据\inst_type_operate.xml" htmlTables="1" htmlFormat="all"/>
  </connection>
  <connection id="46" xr16:uid="{00000000-0015-0000-FFFF-FFFF2D000000}" name="inst_type_operate3" type="4" refreshedVersion="2" background="1" saveData="1">
    <webPr xml="1" sourceData="1" parsePre="1" consecutive="1" xl2000="1" url="E:\work\xgame-4\data\trunk\excel模板\不要在这里提交xml数据\inst_type_operate.xml" htmlTables="1" htmlFormat="all"/>
  </connection>
  <connection id="47" xr16:uid="{00000000-0015-0000-FFFF-FFFF2E000000}" name="inst_type_operate4" type="4" refreshedVersion="2" background="1" saveData="1">
    <webPr xml="1" sourceData="1" parsePre="1" consecutive="1" xl2000="1" url="E:\work\xgame-4\data\trunk\excel模板\不要在这里提交xml数据\inst_type_operate.xml" htmlTables="1" htmlFormat="all"/>
  </connection>
  <connection id="48" xr16:uid="{00000000-0015-0000-FFFF-FFFF2F000000}" name="inst_type_operate5" type="4" refreshedVersion="2" background="1" saveData="1">
    <webPr xml="1" sourceData="1" parsePre="1" consecutive="1" xl2000="1" url="E:\work\xgame-4\data\trunk\excel模板\不要在这里提交xml数据\inst_type_operate.xml" htmlTables="1" htmlFormat="all"/>
  </connection>
  <connection id="49" xr16:uid="{00000000-0015-0000-FFFF-FFFF30000000}" name="inst_type_operate6" type="4" refreshedVersion="2" background="1" saveData="1">
    <webPr xml="1" sourceData="1" parsePre="1" consecutive="1" xl2000="1" url="E:\work\xgame-4\data\trunk\excel模板\不要在这里提交xml数据\inst_type_operate.xml" htmlTables="1" htmlFormat="all"/>
  </connection>
  <connection id="50" xr16:uid="{00000000-0015-0000-FFFF-FFFF31000000}" name="inst_type_operate7" type="4" refreshedVersion="2" background="1" saveData="1">
    <webPr xml="1" sourceData="1" parsePre="1" consecutive="1" xl2000="1" url="J:\doc\策划文档\data\excel模板\不要在这里提交xml数据\inst_type_operate.xml" htmlTables="1" htmlFormat="all"/>
  </connection>
  <connection id="51" xr16:uid="{00000000-0015-0000-FFFF-FFFF32000000}" name="inst_type_operate8" type="4" refreshedVersion="2" background="1" saveData="1">
    <webPr xml="1" sourceData="1" parsePre="1" consecutive="1" xl2000="1" url="J:\doc\策划文档\data\excel模板\不要在这里提交xml数据\inst_type_operate.xml" htmlTables="1" htmlFormat="all"/>
  </connection>
  <connection id="52" xr16:uid="{00000000-0015-0000-FFFF-FFFF33000000}" name="inst_type_operate9" type="4" refreshedVersion="2" background="1" saveData="1">
    <webPr xml="1" sourceData="1" parsePre="1" consecutive="1" xl2000="1" url="F:\workspace_linux\xgame\data\trunk\excel模板\不要在这里提交xml数据\inst_type_operate.xml" htmlTables="1" htmlFormat="all"/>
  </connection>
  <connection id="53" xr16:uid="{00000000-0015-0000-FFFF-FFFF34000000}" name="instance" type="4" refreshedVersion="2" background="1" saveData="1">
    <webPr xml="1" sourceData="1" parsePre="1" consecutive="1" xl2000="1" url="E:\work\xgame-4\data\trunk\excel模板\xml模板\instance.xml" htmlTables="1" htmlFormat="all"/>
  </connection>
  <connection id="54" xr16:uid="{00000000-0015-0000-FFFF-FFFF5A000000}" name="instance_group" type="4" refreshedVersion="2" background="1" saveData="1">
    <webPr xml="1" sourceData="1" parsePre="1" consecutive="1" xl2000="1" url="E:\Aion\data\trunk\excel\xml模板\instance_group.xml" htmlTables="1"/>
  </connection>
  <connection id="55" xr16:uid="{00000000-0015-0000-FFFF-FFFF5B000000}" name="instance_group1" type="4" refreshedVersion="2" background="1" saveData="1">
    <webPr xml="1" sourceData="1" parsePre="1" consecutive="1" xl2000="1" url="E:\Aion\data\trunk\excel\xml模板\instance_group.xml" htmlTables="1"/>
  </connection>
  <connection id="56" xr16:uid="{00000000-0015-0000-FFFF-FFFF5C000000}" name="instance_group2" type="4" refreshedVersion="2" background="1" saveData="1">
    <webPr xml="1" sourceData="1" parsePre="1" consecutive="1" xl2000="1" url="E:\Aion\data\trunk\excel\xml模板\instance_group.xml" htmlTables="1"/>
  </connection>
  <connection id="57" xr16:uid="{00000000-0015-0000-FFFF-FFFF5D000000}" name="instance_group3" type="4" refreshedVersion="2" background="1" saveData="1">
    <webPr xml="1" sourceData="1" parsePre="1" consecutive="1" xl2000="1" url="E:\Aion\data\trunk\excel\xml模板\instance_group.xml" htmlTables="1"/>
  </connection>
  <connection id="58" xr16:uid="{00000000-0015-0000-FFFF-FFFF5E000000}" name="instance_group4" type="4" refreshedVersion="2" background="1" saveData="1">
    <webPr xml="1" sourceData="1" parsePre="1" consecutive="1" xl2000="1" url="E:\Aion\data\trunk\xml\instance_group.xml" htmlTables="1"/>
  </connection>
  <connection id="59" xr16:uid="{00000000-0015-0000-FFFF-FFFF5F000000}" name="instance_group5" type="4" refreshedVersion="2" background="1" saveData="1">
    <webPr xml="1" sourceData="1" parsePre="1" consecutive="1" xl2000="1" url="E:\xgame\data\trunk\xml\instance_group.xml" htmlTables="1"/>
  </connection>
  <connection id="60" xr16:uid="{00000000-0015-0000-FFFF-FFFF60000000}" name="instance_low_reward" type="4" refreshedVersion="2" background="1" saveData="1">
    <webPr xml="1" sourceData="1" parsePre="1" consecutive="1" xl2000="1" url="E:\Work\Game4\workspace_linux\doc\策划文档\data\excel模板\不要在这里提交xml数据\instance_low_reward.xml" htmlTables="1"/>
  </connection>
  <connection id="61" xr16:uid="{00000000-0015-0000-FFFF-FFFF61000000}" name="instance_low_reward1" type="4" refreshedVersion="2" background="1" saveData="1">
    <webPr xml="1" sourceData="1" parsePre="1" consecutive="1" xl2000="1" url="E:\Work\Game4\workspace_linux\doc\策划文档\data\excel模板\不要在这里提交xml数据\instance_low_reward.xml" htmlTables="1" htmlFormat="all"/>
  </connection>
  <connection id="62" xr16:uid="{00000000-0015-0000-FFFF-FFFF62000000}" name="instance_low_reward2" type="4" refreshedVersion="2" background="1" saveData="1">
    <webPr xml="1" sourceData="1" parsePre="1" consecutive="1" xl2000="1" url="E:\Work\Game4\workspace_linux\doc\策划文档\data\excel模板\不要在这里提交xml数据\instance_low_reward.xml" htmlTables="1" htmlFormat="all"/>
  </connection>
  <connection id="63" xr16:uid="{00000000-0015-0000-FFFF-FFFF63000000}" name="instance_reward" type="4" refreshedVersion="2" background="1" saveData="1">
    <webPr xml="1" sourceData="1" parsePre="1" consecutive="1" xl2000="1" url="E:\work\xgame-4\data\trunk\excel模板\xml模板\instance_reward.xml" htmlTables="1" htmlFormat="all"/>
  </connection>
  <connection id="64" xr16:uid="{00000000-0015-0000-FFFF-FFFF64000000}" name="instance_reward1" type="4" refreshedVersion="2" background="1" saveData="1">
    <webPr xml="1" sourceData="1" parsePre="1" consecutive="1" xl2000="1" url="E:\work\xgame-4\data\trunk\excel模板\xml模板\instance_reward.xml" htmlTables="1" htmlFormat="all"/>
  </connection>
  <connection id="65" xr16:uid="{00000000-0015-0000-FFFF-FFFF65000000}" name="instance_reward2" type="4" refreshedVersion="2" background="1" saveData="1">
    <webPr xml="1" sourceData="1" parsePre="1" consecutive="1" xl2000="1" url="E:\work\xgame-4\data\trunk\excel模板\xml模板\instance_reward.xml" htmlTables="1" htmlFormat="all"/>
  </connection>
  <connection id="66" xr16:uid="{00000000-0015-0000-FFFF-FFFF66000000}" name="instance_reward3" type="4" refreshedVersion="2" background="1" saveData="1">
    <webPr xml="1" sourceData="1" parsePre="1" consecutive="1" xl2000="1" url="E:\Work\Game4\workspace_linux\data\trunk\excel模板\xml模板\instance_reward.xml" htmlTables="1"/>
  </connection>
  <connection id="67" xr16:uid="{00000000-0015-0000-FFFF-FFFF67000000}" name="instance_reward4" type="4" refreshedVersion="2" background="1" saveData="1">
    <webPr xml="1" sourceData="1" parsePre="1" consecutive="1" xl2000="1" url="E:\Work\Game4\workspace_linux\doc\策划文档\data\excel模板\xml模板\instance_reward.xml" htmlTables="1"/>
  </connection>
  <connection id="68" xr16:uid="{00000000-0015-0000-FFFF-FFFF68000000}" name="instance_reward5" type="4" refreshedVersion="2" background="1" saveData="1">
    <webPr xml="1" sourceData="1" parsePre="1" consecutive="1" xl2000="1" url="E:\Work\Game4\workspace_linux\doc\策划文档\data\excel模板\xml模板\instance_reward.xml" htmlTables="1" htmlFormat="all"/>
  </connection>
  <connection id="69" xr16:uid="{00000000-0015-0000-FFFF-FFFF69000000}" name="instance_reward6" type="4" refreshedVersion="2" background="1" saveData="1">
    <webPr xml="1" sourceData="1" parsePre="1" consecutive="1" xl2000="1" url="E:\Work\Game4\workspace_linux\策划数据模板\trunk\excel模板\不要在这里提交xml数据\instance_reward.xml" htmlTables="1" htmlFormat="all"/>
  </connection>
  <connection id="70" xr16:uid="{00000000-0015-0000-FFFF-FFFF6A000000}" name="instance_reward7" type="4" refreshedVersion="2" background="1" saveData="1">
    <webPr xml="1" sourceData="1" parsePre="1" consecutive="1" xl2000="1" url="E:\data\trunk\excel模板\不要在这里提交xml数据\instance_reward.xml" htmlTables="1" htmlFormat="all"/>
  </connection>
  <connection id="71" xr16:uid="{00000000-0015-0000-FFFF-FFFF6B000000}" name="instance_reward8" type="4" refreshedVersion="2" background="1" saveData="1">
    <webPr xml="1" sourceData="1" parsePre="1" consecutive="1" xl2000="1" url="E:\DSix\Doc\策划文档\data\excel模板\不要在这里提交xml数据\instance_reward.xml" htmlTables="1" htmlFormat="all"/>
  </connection>
  <connection id="72" xr16:uid="{00000000-0015-0000-FFFF-FFFF35000000}" name="instance1" type="4" refreshedVersion="2" background="1" saveData="1">
    <webPr xml="1" sourceData="1" parsePre="1" consecutive="1" xl2000="1" url="E:\work\xgame-4\data\trunk\excel模板\xml模板\instance.xml" htmlTables="1" htmlFormat="all"/>
  </connection>
  <connection id="73" xr16:uid="{00000000-0015-0000-FFFF-FFFF36000000}" name="instance10" type="4" refreshedVersion="2" background="1" saveData="1">
    <webPr xml="1" sourceData="1" parsePre="1" consecutive="1" xl2000="1" url="E:\DSix\Doc\策划文档\data\excel模板\不要在这里提交xml数据\instance.xml" htmlTables="1" htmlFormat="all"/>
  </connection>
  <connection id="74" xr16:uid="{00000000-0015-0000-FFFF-FFFF37000000}" name="instance11" type="4" refreshedVersion="2" background="1" saveData="1">
    <webPr xml="1" sourceData="1" parsePre="1" consecutive="1" xl2000="1" url="E:\DSix\Doc\策划文档\data\excel模板\不要在这里提交xml数据\instance.xml" htmlTables="1" htmlFormat="all"/>
  </connection>
  <connection id="75" xr16:uid="{00000000-0015-0000-FFFF-FFFF38000000}" name="instance12" type="4" refreshedVersion="2" background="1" saveData="1">
    <webPr xml="1" sourceData="1" parsePre="1" consecutive="1" xl2000="1" url="E:\DSix\Doc\策划文档\data\excel模板\不要在这里提交xml数据\instance.xml" htmlTables="1" htmlFormat="all"/>
  </connection>
  <connection id="76" xr16:uid="{00000000-0015-0000-FFFF-FFFF39000000}" name="instance13" type="4" refreshedVersion="2" background="1" saveData="1">
    <webPr xml="1" sourceData="1" parsePre="1" consecutive="1" xl2000="1" url="E:\DSix\Doc\策划文档\data\excel模板\不要在这里提交xml数据\instance.xml" htmlTables="1" htmlFormat="all"/>
  </connection>
  <connection id="77" xr16:uid="{00000000-0015-0000-FFFF-FFFF3A000000}" name="instance14" type="4" refreshedVersion="2" background="1" saveData="1">
    <webPr xml="1" sourceData="1" parsePre="1" consecutive="1" xl2000="1" url="E:\DSix\Doc\策划文档\data\excel模板\不要在这里提交xml数据\instance.xml" htmlTables="1" htmlFormat="all"/>
  </connection>
  <connection id="78" xr16:uid="{00000000-0015-0000-FFFF-FFFF3B000000}" name="instance15" type="4" refreshedVersion="2" background="1" saveData="1">
    <webPr xml="1" sourceData="1" parsePre="1" consecutive="1" xl2000="1" url="E:\DSix\Doc\策划文档\data\excel模板\不要在这里提交xml数据\instance.xml" htmlTables="1" htmlFormat="all"/>
  </connection>
  <connection id="79" xr16:uid="{00000000-0015-0000-FFFF-FFFF3C000000}" name="instance16" type="4" refreshedVersion="2" background="1" saveData="1">
    <webPr xml="1" sourceData="1" parsePre="1" consecutive="1" xl2000="1" url="E:\DSix\Doc\策划文档\data\excel模板\不要在这里提交xml数据\instance.xml" htmlTables="1" htmlFormat="all"/>
  </connection>
  <connection id="80" xr16:uid="{00000000-0015-0000-FFFF-FFFF3D000000}" name="instance17" type="4" refreshedVersion="2" background="1" saveData="1">
    <webPr xml="1" sourceData="1" parsePre="1" consecutive="1" xl2000="1" url="E:\DSix\Doc\策划文档\data\excel模板\不要在这里提交xml数据\instance.xml" htmlTables="1" htmlFormat="all"/>
  </connection>
  <connection id="81" xr16:uid="{00000000-0015-0000-FFFF-FFFF3E000000}" name="instance18" type="4" refreshedVersion="2" background="1" saveData="1">
    <webPr xml="1" sourceData="1" parsePre="1" consecutive="1" xl2000="1" url="E:\DSix\Doc\策划文档\data\excel模板\不要在这里提交xml数据\instance.xml" htmlTables="1" htmlFormat="all"/>
  </connection>
  <connection id="82" xr16:uid="{00000000-0015-0000-FFFF-FFFF3F000000}" name="instance19" type="4" refreshedVersion="2" background="1" saveData="1">
    <webPr xml="1" sourceData="1" parsePre="1" consecutive="1" xl2000="1" url="E:\DSix\Doc\策划文档\data\excel模板\不要在这里提交xml数据\instance.xml" htmlTables="1" htmlFormat="all"/>
  </connection>
  <connection id="83" xr16:uid="{00000000-0015-0000-FFFF-FFFF40000000}" name="instance2" type="4" refreshedVersion="2" background="1" saveData="1">
    <webPr xml="1" sourceData="1" parsePre="1" consecutive="1" xl2000="1" url="E:\work\xgame-4\data\trunk\excel模板\xml模板\instance.xml" htmlTables="1" htmlFormat="all"/>
  </connection>
  <connection id="84" xr16:uid="{00000000-0015-0000-FFFF-FFFF41000000}" name="instance20" type="4" refreshedVersion="2" background="1" saveData="1">
    <webPr xml="1" sourceData="1" parsePre="1" consecutive="1" xl2000="1" url="E:\DSix\Doc\策划文档\data\excel模板\不要在这里提交xml数据\instance.xml" htmlTables="1" htmlFormat="all"/>
  </connection>
  <connection id="85" xr16:uid="{00000000-0015-0000-FFFF-FFFF42000000}" name="instance21" type="4" refreshedVersion="2" background="1" saveData="1">
    <webPr xml="1" sourceData="1" parsePre="1" consecutive="1" xl2000="1" url="C:\Users\Administrator\Desktop\instance.xml" htmlTables="1" htmlFormat="all"/>
  </connection>
  <connection id="86" xr16:uid="{00000000-0015-0000-FFFF-FFFF43000000}" name="instance22" type="4" refreshedVersion="2" background="1" saveData="1">
    <webPr xml="1" sourceData="1" parsePre="1" consecutive="1" xl2000="1" url="D:\xgame\src\data\trunk\excel模板\不要在这里提交xml数据\instance.xml" htmlTables="1" htmlFormat="all"/>
  </connection>
  <connection id="87" xr16:uid="{00000000-0015-0000-FFFF-FFFF44000000}" name="instance23" type="4" refreshedVersion="2" background="1" saveData="1">
    <webPr xml="1" sourceData="1" parsePre="1" consecutive="1" xl2000="1" url="Z:\thor_lua\scripts\data\xml\instance.xml" htmlTables="1"/>
  </connection>
  <connection id="88" xr16:uid="{00000000-0015-0000-FFFF-FFFF45000000}" name="instance24" type="4" refreshedVersion="2" background="1" saveData="1">
    <webPr xml="1" sourceData="1" parsePre="1" consecutive="1" xl2000="1" url="E:\svn\xgame\data\trunk\xml\instance.xml" htmlTables="1"/>
  </connection>
  <connection id="89" xr16:uid="{00000000-0015-0000-FFFF-FFFF46000000}" name="instance25" type="4" refreshedVersion="2" background="1" saveData="1">
    <webPr xml="1" sourceData="1" parsePre="1" consecutive="1" xl2000="1" url="E:\Aion\data\trunk\xml\instance.xml" htmlTables="1"/>
  </connection>
  <connection id="90" xr16:uid="{00000000-0015-0000-FFFF-FFFF47000000}" name="instance26" type="4" refreshedVersion="2" background="1" saveData="1">
    <webPr xml="1" sourceData="1" parsePre="1" consecutive="1" xl2000="1" url="E:\Aion\data\trunk\xml\instance.xml" htmlTables="1"/>
  </connection>
  <connection id="91" xr16:uid="{00000000-0015-0000-FFFF-FFFF48000000}" name="instance27" type="4" refreshedVersion="2" background="1" saveData="1">
    <webPr xml="1" sourceData="1" parsePre="1" consecutive="1" xl2000="1" url="E:\workspace_leishen\trunk_data\excel\xml模板\instance.xml" htmlTables="1" htmlFormat="all"/>
  </connection>
  <connection id="92" xr16:uid="{00000000-0015-0000-FFFF-FFFF49000000}" name="instance28" type="4" refreshedVersion="2" background="1" saveData="1">
    <webPr xml="1" sourceData="1" parsePre="1" consecutive="1" xl2000="1" url="E:\workspace_leishen\trunk_data\excel\xml模板\instance.xml" htmlTables="1" htmlFormat="all"/>
  </connection>
  <connection id="93" xr16:uid="{00000000-0015-0000-FFFF-FFFF4A000000}" name="instance29" type="4" refreshedVersion="2" background="1" saveData="1">
    <webPr xml="1" sourceData="1" parsePre="1" consecutive="1" xl2000="1" url="E:\xgame\data\trunk\xml\instance.xml" htmlTables="1"/>
  </connection>
  <connection id="94" xr16:uid="{00000000-0015-0000-FFFF-FFFF4B000000}" name="instance3" type="4" refreshedVersion="2" background="1" saveData="1">
    <webPr xml="1" sourceData="1" parsePre="1" consecutive="1" xl2000="1" url="E:\work\xgame-4\data\trunk\excel模板\xml模板\instance.xml" htmlTables="1" htmlFormat="all"/>
  </connection>
  <connection id="95" xr16:uid="{00000000-0015-0000-FFFF-FFFF4C000000}" name="instance30" type="4" refreshedVersion="2" background="1" saveData="1">
    <webPr xml="1" sourceData="1" parsePre="1" consecutive="1" xl2000="1" url="E:\Aion\data\trunk\excel\xml模板\instance.xml" htmlTables="1" htmlFormat="all"/>
  </connection>
  <connection id="96" xr16:uid="{00000000-0015-0000-FFFF-FFFF4D000000}" name="instance31" type="4" refreshedVersion="2" background="1" saveData="1">
    <webPr xml="1" sourceData="1" parsePre="1" consecutive="1" xl2000="1" url="E:\Aion\data\trunk\excel\xml模板\instance.xml" htmlTables="1" htmlFormat="all"/>
  </connection>
  <connection id="97" xr16:uid="{00000000-0015-0000-FFFF-FFFF4E000000}" name="instance32" type="4" refreshedVersion="2" background="1" saveData="1">
    <webPr xml="1" sourceData="1" parsePre="1" consecutive="1" xl2000="1" url="E:\Aion\data\trunk\excel\xml模板\instance.xml" htmlTables="1" htmlFormat="all"/>
  </connection>
  <connection id="98" xr16:uid="{00000000-0015-0000-FFFF-FFFF4F000000}" name="instance33" type="4" refreshedVersion="2" background="1" saveData="1">
    <webPr xml="1" sourceData="1" parsePre="1" consecutive="1" xl2000="1" url="E:\proX\data\trunk\excel\xml模板\instance.xml" htmlTables="1" htmlFormat="all"/>
  </connection>
  <connection id="99" xr16:uid="{00000000-0015-0000-FFFF-FFFF50000000}" name="instance34" type="4" refreshedVersion="2" background="1" saveData="1">
    <webPr xml="1" sourceData="1" parsePre="1" consecutive="1" xl2000="1" url="E:\proX\data\trunk\excel\xml模板\instance.xml" htmlTables="1" htmlFormat="all"/>
  </connection>
  <connection id="100" xr16:uid="{00000000-0015-0000-FFFF-FFFF51000000}" name="instance35" type="4" refreshedVersion="2" background="1" saveData="1">
    <webPr xml="1" sourceData="1" parsePre="1" consecutive="1" xl2000="1" url="E:\proX\data\trunk\xml\instance.xml" htmlTables="1" htmlFormat="all"/>
  </connection>
  <connection id="101" xr16:uid="{00000000-0015-0000-FFFF-FFFF52000000}" name="instance36" type="4" refreshedVersion="2" background="1" saveData="1">
    <webPr xml="1" sourceData="1" parsePre="1" consecutive="1" xl2000="1" url="E:\adoc\data\trunk\xml\instance.xml" htmlTables="1" htmlFormat="all"/>
  </connection>
  <connection id="102" xr16:uid="{00000000-0015-0000-FFFF-FFFF53000000}" name="instance37" type="4" refreshedVersion="2" background="1" saveData="1">
    <webPr xml="1" sourceData="1" parsePre="1" consecutive="1" xl2000="1" url="E:\fm\data\trunk\excel\xml模板\instance.xml" htmlTables="1" htmlFormat="all"/>
  </connection>
  <connection id="103" xr16:uid="{00000000-0015-0000-FFFF-FFFF54000000}" name="instance4" type="4" refreshedVersion="2" background="1" saveData="1">
    <webPr xml="1" sourceData="1" parsePre="1" consecutive="1" xl2000="1" url="E:\Work\Game4\workspace_linux\doc\策划文档\data\excel模板\xml模板\instance.xml" htmlTables="1"/>
  </connection>
  <connection id="104" xr16:uid="{00000000-0015-0000-FFFF-FFFF55000000}" name="instance5" type="4" refreshedVersion="2" background="1" saveData="1">
    <webPr xml="1" sourceData="1" parsePre="1" consecutive="1" xl2000="1" url="E:\Work\Game4\workspace_linux\doc\策划文档\data\excel模板\xml模板\instance.xml" htmlTables="1" htmlFormat="all"/>
  </connection>
  <connection id="105" xr16:uid="{00000000-0015-0000-FFFF-FFFF56000000}" name="instance6" type="4" refreshedVersion="2" background="1" saveData="1">
    <webPr xml="1" sourceData="1" parsePre="1" consecutive="1" xl2000="1" url="E:\work\xgame-4\data\trunk\excel模板\xml模板\instance.xml" htmlTables="1" htmlFormat="all"/>
  </connection>
  <connection id="106" xr16:uid="{00000000-0015-0000-FFFF-FFFF57000000}" name="instance7" type="4" refreshedVersion="2" background="1" saveData="1">
    <webPr xml="1" sourceData="1" parsePre="1" consecutive="1" xl2000="1" url="E:\work\xgame-4\data\trunk\excel模板\不要在这里提交xml数据\instance.xml" htmlTables="1" htmlFormat="all"/>
  </connection>
  <connection id="107" xr16:uid="{00000000-0015-0000-FFFF-FFFF58000000}" name="instance8" type="4" refreshedVersion="2" background="1" saveData="1">
    <webPr xml="1" sourceData="1" parsePre="1" consecutive="1" xl2000="1" url="C:\Users\4399\Desktop\instance.xml" htmlTables="1" htmlFormat="all"/>
  </connection>
  <connection id="108" xr16:uid="{00000000-0015-0000-FFFF-FFFF59000000}" name="instance9" type="4" refreshedVersion="2" background="1" saveData="1">
    <webPr xml="1" sourceData="1" parsePre="1" consecutive="1" xl2000="1" url="C:\Users\4399\Desktop\instance.xml" htmlTables="1" htmlFormat="all"/>
  </connection>
  <connection id="109" xr16:uid="{00000000-0015-0000-FFFF-FFFF6C000000}" name="item" type="4" refreshedVersion="2" background="1" saveData="1">
    <webPr xml="1" sourceData="1" parsePre="1" consecutive="1" xl2000="1" url="E:\x1-data\trunk\excel\xml模板\item.xml" htmlTables="1" htmlFormat="all"/>
  </connection>
  <connection id="110" xr16:uid="{00000000-0015-0000-FFFF-FFFF6D000000}" name="item1" type="4" refreshedVersion="2" background="1" saveData="1">
    <webPr xml="1" sourceData="1" parsePre="1" consecutive="1" xl2000="1" url="E:\x1-data\trunk\excel\xml模板\item.xml" htmlTables="1" htmlFormat="all"/>
  </connection>
  <connection id="111" xr16:uid="{148A4662-7B1B-4C28-9C4B-DD95DFF06783}" name="item10" type="4" refreshedVersion="0" background="1">
    <webPr xml="1" sourceData="1" url="G:\survivors\data\trunk\excel\xml模板\item.xml" htmlTables="1" htmlFormat="all"/>
  </connection>
  <connection id="112" xr16:uid="{D42C48DC-9BA7-46F3-8FD3-909E154B5DC5}" name="item11" type="4" refreshedVersion="0" background="1">
    <webPr xml="1" sourceData="1" url="G:\survivors\data\trunk\excel\xml模板\item.xml" htmlTables="1" htmlFormat="all"/>
  </connection>
  <connection id="113" xr16:uid="{00000000-0015-0000-FFFF-FFFF6E000000}" name="item2" type="4" refreshedVersion="2" background="1" saveData="1">
    <webPr xml="1" sourceData="1" parsePre="1" consecutive="1" xl2000="1" url="E:\x1-data\trunk\excel\xml模板\item.xml" htmlTables="1" htmlFormat="all"/>
  </connection>
  <connection id="114" xr16:uid="{00000000-0015-0000-FFFF-FFFF6F000000}" name="item3" type="4" refreshedVersion="2" background="1" saveData="1">
    <webPr xml="1" sourceData="1" parsePre="1" consecutive="1" xl2000="1" url="G:\survivors相关\data\trunk\excel\xml模板\item.xml" htmlTables="1" htmlFormat="all"/>
  </connection>
  <connection id="115" xr16:uid="{6E0FF8DD-9A00-451F-8DDA-E9252F9ABFFA}" name="item4" type="4" refreshedVersion="0" background="1">
    <webPr xml="1" sourceData="1" url="D:\x1\data\trunk\excel\xml模板\item.xml" htmlTables="1" htmlFormat="all"/>
  </connection>
  <connection id="116" xr16:uid="{5B6CD554-1C66-4262-8D14-0E106038873D}" name="item5" type="4" refreshedVersion="0" background="1">
    <webPr xml="1" sourceData="1" url="G:\survivors相关\data\trunk\excel\xml模板\item.xml" htmlTables="1" htmlFormat="all"/>
  </connection>
  <connection id="117" xr16:uid="{5BE5D40F-B43A-44C0-8104-CA7DD62EE923}" name="item6" type="4" refreshedVersion="0" background="1">
    <webPr xml="1" sourceData="1" url="G:\survivors\data\trunk\excel\xml模板\item.xml" htmlTables="1" htmlFormat="all"/>
  </connection>
  <connection id="118" xr16:uid="{ABF36E00-F782-4604-8183-DE41BD8BD891}" name="item7" type="4" refreshedVersion="0" background="1">
    <webPr xml="1" sourceData="1" url="G:\survivors\data\trunk\excel\xml模板\item.xml" htmlTables="1" htmlFormat="all"/>
  </connection>
  <connection id="119" xr16:uid="{440D6987-8AC4-476D-856B-79625D09E878}" name="item8" type="4" refreshedVersion="0" background="1">
    <webPr xml="1" sourceData="1" url="G:\survivors\data\trunk\excel\xml模板\item.xml" htmlTables="1" htmlFormat="all"/>
  </connection>
  <connection id="120" xr16:uid="{08EC9D4C-D9F1-4CD0-8D4D-6137E979662F}" name="item9" type="4" refreshedVersion="0" background="1">
    <webPr xml="1" sourceData="1" url="G:\survivors\data\trunk\excel\xml模板\item.xml" htmlTables="1" htmlFormat="all"/>
  </connection>
  <connection id="121" xr16:uid="{00000000-0015-0000-FFFF-FFFF70000000}" name="map" type="4" refreshedVersion="2" background="1" saveData="1">
    <webPr xml="1" sourceData="1" parsePre="1" consecutive="1" xl2000="1" url="F:\workspace_linux\xgame\server\trunk_vbox\scripts\data\xml\map.xml" htmlTables="1"/>
  </connection>
  <connection id="122" xr16:uid="{00000000-0015-0000-FFFF-FFFFCD000000}" name="map_family" type="4" refreshedVersion="2" background="1" saveData="1">
    <webPr xml="1" sourceData="1" parsePre="1" consecutive="1" xl2000="1" url="E:\proX\data\trunk\excel\xml模板\map_family.xml" htmlTables="1" htmlFormat="all"/>
  </connection>
  <connection id="123" xr16:uid="{00000000-0015-0000-FFFF-FFFF71000000}" name="map1" type="4" refreshedVersion="2" background="1" saveData="1">
    <webPr xml="1" sourceData="1" parsePre="1" consecutive="1" xl2000="1" url="F:\workspace_linux\xgame\data\trunk\excel模板\xml模板\map.xml" htmlTables="1"/>
  </connection>
  <connection id="124" xr16:uid="{00000000-0015-0000-FFFF-FFFF72000000}" name="map10" type="4" refreshedVersion="2" background="1" saveData="1">
    <webPr xml="1" sourceData="1" parsePre="1" consecutive="1" xl2000="1" url="E:\work\xgame-4\data\trunk\excel模板\xml模板\map.xml" htmlTables="1" htmlFormat="all"/>
  </connection>
  <connection id="125" xr16:uid="{00000000-0015-0000-FFFF-FFFF73000000}" name="map11" type="4" refreshedVersion="2" background="1" saveData="1">
    <webPr xml="1" sourceData="1" parsePre="1" consecutive="1" xl2000="1" url="E:\Work\Game4\workspace_linux\doc\策划文档\data\excel模板\xml模板\map.xml" htmlTables="1"/>
  </connection>
  <connection id="126" xr16:uid="{00000000-0015-0000-FFFF-FFFF74000000}" name="map12" type="4" refreshedVersion="2" background="1" saveData="1">
    <webPr xml="1" sourceData="1" parsePre="1" consecutive="1" xl2000="1" url="E:\Work\Game4\workspace_linux\doc\策划文档\data\excel模板\xml模板\map.xml" htmlTables="1" htmlFormat="all"/>
  </connection>
  <connection id="127" xr16:uid="{00000000-0015-0000-FFFF-FFFF75000000}" name="map13" type="4" refreshedVersion="2" background="1" saveData="1">
    <webPr xml="1" sourceData="1" parsePre="1" consecutive="1" xl2000="1" url="E:\Work\Game4\workspace_linux\doc\策划文档\data\excel模板\xml模板\map.xml" htmlTables="1" htmlFormat="all"/>
  </connection>
  <connection id="128" xr16:uid="{00000000-0015-0000-FFFF-FFFF76000000}" name="map14" type="4" refreshedVersion="2" background="1" saveData="1">
    <webPr xml="1" sourceData="1" parsePre="1" consecutive="1" xl2000="1" url="E:\Work\Game4\workspace_linux\doc\策划文档\data\excel模板\xml模板\map.xml" htmlTables="1" htmlFormat="all"/>
  </connection>
  <connection id="129" xr16:uid="{00000000-0015-0000-FFFF-FFFF77000000}" name="map15" type="4" refreshedVersion="2" background="1" saveData="1">
    <webPr xml="1" sourceData="1" parsePre="1" consecutive="1" xl2000="1" url="F:\项目4文档\doc\策划文档\data\excel模板\不要在这里提交xml数据\map.xml" htmlTables="1" htmlFormat="all"/>
  </connection>
  <connection id="130" xr16:uid="{00000000-0015-0000-FFFF-FFFF78000000}" name="map16" type="4" refreshedVersion="2" background="1" saveData="1">
    <webPr xml="1" sourceData="1" parsePre="1" consecutive="1" xl2000="1" url="F:\项目4文档\doc\策划文档\data\excel模板\不要在这里提交xml数据\map.xml" htmlTables="1" htmlFormat="all"/>
  </connection>
  <connection id="131" xr16:uid="{00000000-0015-0000-FFFF-FFFF79000000}" name="map17" type="4" refreshedVersion="2" background="1" saveData="1">
    <webPr xml="1" sourceData="1" parsePre="1" consecutive="1" xl2000="1" url="E:\work\xgame-4\data\trunk\excel模板\不要在这里提交xml数据\map.xml" htmlTables="1" htmlFormat="all"/>
  </connection>
  <connection id="132" xr16:uid="{00000000-0015-0000-FFFF-FFFF7A000000}" name="map18" type="4" refreshedVersion="2" background="1" saveData="1">
    <webPr xml="1" sourceData="1" parsePre="1" consecutive="1" xl2000="1" url="E:\DSix\Doc\策划文档\data\excel模板\不要在这里提交xml数据\map.xml" htmlTables="1" htmlFormat="all"/>
  </connection>
  <connection id="133" xr16:uid="{00000000-0015-0000-FFFF-FFFF7B000000}" name="map19" type="4" refreshedVersion="2" background="1" saveData="1">
    <webPr xml="1" sourceData="1" parsePre="1" consecutive="1" xl2000="1" url="E:\Work\Game4\workspace_linux\doc\策划文档\data\excel模板\不要在这里提交xml数据\map.xml" htmlTables="1" htmlFormat="all"/>
  </connection>
  <connection id="134" xr16:uid="{00000000-0015-0000-FFFF-FFFF7C000000}" name="map2" type="4" refreshedVersion="2" background="1" saveData="1">
    <webPr xml="1" sourceData="1" parsePre="1" consecutive="1" xl2000="1" url="F:\workspace_linux\xgame\data\trunk\excel模板\xml模板\map.xml" htmlTables="1"/>
  </connection>
  <connection id="135" xr16:uid="{00000000-0015-0000-FFFF-FFFF7D000000}" name="map20" type="4" refreshedVersion="2" background="1" saveData="1">
    <webPr xml="1" sourceData="1" parsePre="1" consecutive="1" xl2000="1" url="E:\DSix\Doc\策划文档\data\excel模板\不要在这里提交xml数据\map.xml" htmlTables="1" htmlFormat="all"/>
  </connection>
  <connection id="136" xr16:uid="{00000000-0015-0000-FFFF-FFFF7E000000}" name="map21" type="4" refreshedVersion="2" background="1" saveData="1">
    <webPr xml="1" sourceData="1" parsePre="1" consecutive="1" xl2000="1" url="G:\ahzs\doc\策划文档\data\excel模板\不要在这里提交xml数据\map.xml" htmlTables="1" htmlFormat="all"/>
  </connection>
  <connection id="137" xr16:uid="{00000000-0015-0000-FFFF-FFFF7F000000}" name="map22" type="4" refreshedVersion="2" background="1" saveData="1">
    <webPr xml="1" sourceData="1" parsePre="1" consecutive="1" xl2000="1" url="E:\svn\xgame\data\trunk\excel模板\不要在这里提交xml数据\map.xml" htmlTables="1"/>
  </connection>
  <connection id="138" xr16:uid="{00000000-0015-0000-FFFF-FFFF80000000}" name="map23" type="4" refreshedVersion="2" background="1" saveData="1">
    <webPr xml="1" sourceData="1" parsePre="1" consecutive="1" xl2000="1" url="I:\xgame\doc\策划文档\data\excel模板\不要在这里提交xml数据\map.xml" htmlTables="1" htmlFormat="all"/>
  </connection>
  <connection id="139" xr16:uid="{00000000-0015-0000-FFFF-FFFF81000000}" name="map24" type="4" refreshedVersion="2" background="1" saveData="1">
    <webPr xml="1" sourceData="1" parsePre="1" consecutive="1" xl2000="1" url="E:\Work\Game4\workspace_linux\策划数据模板\trunk\excel模板\不要在这里提交xml数据\map.xml" htmlTables="1" htmlFormat="all"/>
  </connection>
  <connection id="140" xr16:uid="{00000000-0015-0000-FFFF-FFFF82000000}" name="map25" type="4" refreshedVersion="2" background="1" saveData="1">
    <webPr xml="1" sourceData="1" parsePre="1" consecutive="1" xl2000="1" url="E:\Work\Game4\workspace_linux\策划数据模板\trunk\excel模板\不要在这里提交xml数据\map.xml" htmlTables="1" htmlFormat="all"/>
  </connection>
  <connection id="141" xr16:uid="{00000000-0015-0000-FFFF-FFFF83000000}" name="map26" type="4" refreshedVersion="2" background="1" saveData="1">
    <webPr xml="1" sourceData="1" parsePre="1" consecutive="1" xl2000="1" url="G:\ahzs\doc\策划文档\data\excel模板\不要在这里提交xml数据\map.xml" htmlTables="1" htmlFormat="all"/>
  </connection>
  <connection id="142" xr16:uid="{00000000-0015-0000-FFFF-FFFF84000000}" name="map27" type="4" refreshedVersion="2" background="1" saveData="1">
    <webPr xml="1" sourceData="1" parsePre="1" consecutive="1" xl2000="1" url="G:\ahzs\doc\策划文档\data\excel模板\不要在这里提交xml数据\map.xml" htmlTables="1" htmlFormat="all"/>
  </connection>
  <connection id="143" xr16:uid="{00000000-0015-0000-FFFF-FFFF85000000}" name="map28" type="4" refreshedVersion="2" background="1" saveData="1">
    <webPr xml="1" sourceData="1" parsePre="1" consecutive="1" xl2000="1" url="E:\svn\xgame\data\trunk\excel模板\不要在这里提交xml数据\map.xml" htmlTables="1" htmlFormat="all"/>
  </connection>
  <connection id="144" xr16:uid="{00000000-0015-0000-FFFF-FFFF86000000}" name="map29" type="4" refreshedVersion="2" background="1" saveData="1">
    <webPr xml="1" sourceData="1" parsePre="1" consecutive="1" xl2000="1" url="E:\svn\xgame\data\trunk\excel模板\不要在这里提交xml数据\map.xml" htmlTables="1"/>
  </connection>
  <connection id="145" xr16:uid="{00000000-0015-0000-FFFF-FFFF87000000}" name="map3" type="4" refreshedVersion="2" background="1" saveData="1">
    <webPr xml="1" sourceData="1" parsePre="1" consecutive="1" xl2000="1" url="F:\workspace_linux\xgame\data\trunk\excel模板\xml模板\map.xml" htmlTables="1"/>
  </connection>
  <connection id="146" xr16:uid="{00000000-0015-0000-FFFF-FFFF88000000}" name="map30" type="4" refreshedVersion="2" background="1" saveData="1">
    <webPr xml="1" sourceData="1" parsePre="1" consecutive="1" xl2000="1" url="E:\svn\xgame\data\trunk\excel模板\不要在这里提交xml数据\map.xml" htmlTables="1"/>
  </connection>
  <connection id="147" xr16:uid="{00000000-0015-0000-FFFF-FFFF89000000}" name="map31" type="4" refreshedVersion="2" background="1" saveData="1">
    <webPr xml="1" sourceData="1" parsePre="1" consecutive="1" xl2000="1" url="E:\data\trunk\excel模板\不要在这里提交xml数据\map.xml" htmlTables="1" htmlFormat="all"/>
  </connection>
  <connection id="148" xr16:uid="{00000000-0015-0000-FFFF-FFFF8A000000}" name="map32" type="4" refreshedVersion="2" background="1" saveData="1">
    <webPr xml="1" sourceData="1" parsePre="1" consecutive="1" xl2000="1" url="Z:\thor_lua\scripts\data\xml\map.xml" htmlTables="1"/>
  </connection>
  <connection id="149" xr16:uid="{00000000-0015-0000-FFFF-FFFF8B000000}" name="map33" type="4" refreshedVersion="2" background="1" saveData="1">
    <webPr xml="1" sourceData="1" parsePre="1" consecutive="1" xl2000="1" url="Z:\thor_lua\scripts\data\xml\map.xml" htmlTables="1"/>
  </connection>
  <connection id="150" xr16:uid="{00000000-0015-0000-FFFF-FFFF8C000000}" name="map34" type="4" refreshedVersion="2" background="1" saveData="1">
    <webPr xml="1" sourceData="1" parsePre="1" consecutive="1" xl2000="1" url="Z:\thor_lua\scripts\data\xml\map.xml" htmlTables="1"/>
  </connection>
  <connection id="151" xr16:uid="{00000000-0015-0000-FFFF-FFFF8D000000}" name="map35" type="4" refreshedVersion="2" background="1" saveData="1">
    <webPr xml="1" sourceData="1" parsePre="1" consecutive="1" xl2000="1" url="E:\svn\xgame\data\trunk\xml\map.xml" htmlTables="1"/>
  </connection>
  <connection id="152" xr16:uid="{00000000-0015-0000-FFFF-FFFF8E000000}" name="map36" type="4" refreshedVersion="2" background="1" saveData="1">
    <webPr xml="1" sourceData="1" parsePre="1" consecutive="1" xl2000="1" url="E:\svn\xgame\data\trunk\xml\map.xml" htmlTables="1"/>
  </connection>
  <connection id="153" xr16:uid="{00000000-0015-0000-FFFF-FFFF8F000000}" name="map37" type="4" refreshedVersion="2" background="1" saveData="1">
    <webPr xml="1" sourceData="1" parsePre="1" consecutive="1" xl2000="1" url="Z:\thor_lua\scripts\data\xml\map.xml" htmlTables="1"/>
  </connection>
  <connection id="154" xr16:uid="{00000000-0015-0000-FFFF-FFFF90000000}" name="map38" type="4" refreshedVersion="2" background="1" saveData="1">
    <webPr xml="1" sourceData="1" parsePre="1" consecutive="1" xl2000="1" url="Z:\thor_lua\scripts\data\xml\map.xml" htmlTables="1"/>
  </connection>
  <connection id="155" xr16:uid="{00000000-0015-0000-FFFF-FFFF91000000}" name="map39" type="4" refreshedVersion="2" background="1" saveData="1">
    <webPr xml="1" sourceData="1" parsePre="1" consecutive="1" xl2000="1" url="F:\workspace_leishen\trunk_data\excel\xml模板\map.xml" htmlTables="1" htmlFormat="all"/>
  </connection>
  <connection id="156" xr16:uid="{00000000-0015-0000-FFFF-FFFF92000000}" name="map4" type="4" refreshedVersion="2" background="1" saveData="1">
    <webPr xml="1" sourceData="1" parsePre="1" consecutive="1" xl2000="1" url="F:\workspace_linux\xgame\data\trunk\excel模板\xml模板\map.xml" htmlTables="1"/>
  </connection>
  <connection id="157" xr16:uid="{00000000-0015-0000-FFFF-FFFF93000000}" name="map40" type="4" refreshedVersion="2" background="1" saveData="1">
    <webPr xml="1" sourceData="1" parsePre="1" consecutive="1" xl2000="1" url="E:\Aion\data\trunk\excel\xml模板\map.xml" htmlTables="1"/>
  </connection>
  <connection id="158" xr16:uid="{00000000-0015-0000-FFFF-FFFF94000000}" name="map41" type="4" refreshedVersion="2" background="1" saveData="1">
    <webPr xml="1" sourceData="1" parsePre="1" consecutive="1" xl2000="1" url="E:\Aion\data\trunk\excel\xml模板\map.xml" htmlTables="1"/>
  </connection>
  <connection id="159" xr16:uid="{00000000-0015-0000-FFFF-FFFF95000000}" name="map42" type="4" refreshedVersion="2" background="1" saveData="1">
    <webPr xml="1" sourceData="1" parsePre="1" consecutive="1" xl2000="1" url="E:\Aion\data\trunk\excel\xml模板\map.xml" htmlTables="1"/>
  </connection>
  <connection id="160" xr16:uid="{00000000-0015-0000-FFFF-FFFF96000000}" name="map43" type="4" refreshedVersion="2" background="1" saveData="1">
    <webPr xml="1" sourceData="1" parsePre="1" consecutive="1" xl2000="1" url="F:\workspace_leishen\trunk_data\excel\xml模板\map.xml" htmlTables="1" htmlFormat="all"/>
  </connection>
  <connection id="161" xr16:uid="{00000000-0015-0000-FFFF-FFFF97000000}" name="map44" type="4" refreshedVersion="2" background="1" saveData="1">
    <webPr xml="1" sourceData="1" parsePre="1" consecutive="1" xl2000="1" url="E:\Aion\data\trunk\excel\xml模板\map.xml" htmlTables="1" htmlFormat="all"/>
  </connection>
  <connection id="162" xr16:uid="{00000000-0015-0000-FFFF-FFFF98000000}" name="map45" type="4" refreshedVersion="2" background="1" saveData="1">
    <webPr xml="1" sourceData="1" parsePre="1" consecutive="1" xl2000="1" url="E:\Aion\data\trunk\excel\xml模板\map.xml" htmlTables="1" htmlFormat="all"/>
  </connection>
  <connection id="163" xr16:uid="{00000000-0015-0000-FFFF-FFFF99000000}" name="map46" type="4" refreshedVersion="2" background="1" saveData="1">
    <webPr xml="1" sourceData="1" parsePre="1" consecutive="1" xl2000="1" url="E:\Aion\data\trunk\excel\xml模板\map.xml" htmlTables="1" htmlFormat="all"/>
  </connection>
  <connection id="164" xr16:uid="{00000000-0015-0000-FFFF-FFFF9A000000}" name="map47" type="4" refreshedVersion="2" background="1" saveData="1">
    <webPr xml="1" sourceData="1" parsePre="1" consecutive="1" xl2000="1" url="E:\Aion\data\trunk\excel\xml模板\map.xml" htmlTables="1" htmlFormat="all"/>
  </connection>
  <connection id="165" xr16:uid="{00000000-0015-0000-FFFF-FFFF9B000000}" name="map48" type="4" refreshedVersion="2" background="1" saveData="1">
    <webPr xml="1" sourceData="1" parsePre="1" consecutive="1" xl2000="1" url="E:\xgame\data\trunk\xml\map.xml" htmlTables="1"/>
  </connection>
  <connection id="166" xr16:uid="{00000000-0015-0000-FFFF-FFFF9C000000}" name="map49" type="4" refreshedVersion="2" background="1" saveData="1">
    <webPr xml="1" sourceData="1" parsePre="1" consecutive="1" xl2000="1" url="E:\proX\data\trunk\xml\map.xml" htmlTables="1"/>
  </connection>
  <connection id="167" xr16:uid="{00000000-0015-0000-FFFF-FFFF9D000000}" name="map5" type="4" refreshedVersion="2" background="1" saveData="1">
    <webPr xml="1" sourceData="1" parsePre="1" consecutive="1" xl2000="1" url="F:\workspace_linux\xgame\data\trunk\excel模板\xml模板\map.xml" htmlTables="1"/>
  </connection>
  <connection id="168" xr16:uid="{00000000-0015-0000-FFFF-FFFF9E000000}" name="map50" type="4" refreshedVersion="2" background="1" saveData="1">
    <webPr xml="1" sourceData="1" parsePre="1" consecutive="1" xl2000="1" url="E:\proX\data\trunk\xml\map.xml" htmlTables="1"/>
  </connection>
  <connection id="169" xr16:uid="{00000000-0015-0000-FFFF-FFFF9F000000}" name="map51" type="4" refreshedVersion="2" background="1" saveData="1">
    <webPr xml="1" sourceData="1" parsePre="1" consecutive="1" xl2000="1" url="E:\proX\data\trunk\xml\map.xml" htmlTables="1"/>
  </connection>
  <connection id="170" xr16:uid="{00000000-0015-0000-FFFF-FFFFA0000000}" name="map52" type="4" refreshedVersion="2" background="1" saveData="1">
    <webPr xml="1" sourceData="1" parsePre="1" consecutive="1" xl2000="1" url="E:\proX\data\trunk\xml\map.xml" htmlTables="1"/>
  </connection>
  <connection id="171" xr16:uid="{00000000-0015-0000-FFFF-FFFFA1000000}" name="map53" type="4" refreshedVersion="2" background="1" saveData="1">
    <webPr xml="1" sourceData="1" parsePre="1" consecutive="1" xl2000="1" url="E:\proX\data\trunk\xml\map.xml" htmlTables="1"/>
  </connection>
  <connection id="172" xr16:uid="{00000000-0015-0000-FFFF-FFFFA2000000}" name="map54" type="4" refreshedVersion="2" background="1" saveData="1">
    <webPr xml="1" sourceData="1" parsePre="1" consecutive="1" xl2000="1" url="D:\New doc\data\trunk\xml\map.xml" htmlTables="1" htmlFormat="all"/>
  </connection>
  <connection id="173" xr16:uid="{00000000-0015-0000-FFFF-FFFFA3000000}" name="map55" type="4" refreshedVersion="2" background="1" saveData="1">
    <webPr xml="1" sourceData="1" parsePre="1" consecutive="1" xl2000="1" url="E:\proX\data\trunk\xml\map.xml" htmlTables="1" htmlFormat="all"/>
  </connection>
  <connection id="174" xr16:uid="{00000000-0015-0000-FFFF-FFFFA4000000}" name="map56" type="4" refreshedVersion="2" background="1" saveData="1">
    <webPr xml="1" sourceData="1" parsePre="1" consecutive="1" xl2000="1" url="E:\adoc\data\trunk\excel\xml模板\map.xml" htmlTables="1" htmlFormat="all"/>
  </connection>
  <connection id="175" xr16:uid="{00000000-0015-0000-FFFF-FFFFA5000000}" name="map57" type="4" refreshedVersion="2" background="1" saveData="1">
    <webPr xml="1" sourceData="1" parsePre="1" consecutive="1" xl2000="1" url="E:\proX\data\trunk\xml\map.xml" htmlTables="1" htmlFormat="all"/>
  </connection>
  <connection id="176" xr16:uid="{00000000-0015-0000-FFFF-FFFFA6000000}" name="map58" type="4" refreshedVersion="2" background="1" saveData="1">
    <webPr xml="1" sourceData="1" parsePre="1" consecutive="1" xl2000="1" url="E:\proX\data\trunk\xml\map.xml" htmlTables="1" htmlFormat="all"/>
  </connection>
  <connection id="177" xr16:uid="{00000000-0015-0000-FFFF-FFFFA7000000}" name="map59" type="4" refreshedVersion="2" background="1" saveData="1">
    <webPr xml="1" sourceData="1" parsePre="1" consecutive="1" xl2000="1" url="D:\doc\data\trunk\xml\map.xml" htmlTables="1" htmlFormat="all"/>
  </connection>
  <connection id="178" xr16:uid="{00000000-0015-0000-FFFF-FFFFA8000000}" name="map6" type="4" refreshedVersion="2" background="1" saveData="1">
    <webPr xml="1" sourceData="1" parsePre="1" consecutive="1" xl2000="1" url="F:\workspace_linux\xgame\data\trunk\excel模板\xml模板\map.xml" htmlTables="1"/>
  </connection>
  <connection id="179" xr16:uid="{00000000-0015-0000-FFFF-FFFFA9000000}" name="map60" type="4" refreshedVersion="2" background="1" saveData="1">
    <webPr xml="1" sourceData="1" parsePre="1" consecutive="1" xl2000="1" url="D:\doc\data\trunk\excel\xml模板\map.xml" htmlTables="1" htmlFormat="all"/>
  </connection>
  <connection id="180" xr16:uid="{00000000-0015-0000-FFFF-FFFFAA000000}" name="map61" type="4" refreshedVersion="2" background="1" saveData="1">
    <webPr xml="1" sourceData="1" parsePre="1" consecutive="1" xl2000="1" url="D:\doc\data\trunk\excel\xml模板\map.xml" htmlTables="1" htmlFormat="all"/>
  </connection>
  <connection id="181" xr16:uid="{00000000-0015-0000-FFFF-FFFFAB000000}" name="map62" type="4" refreshedVersion="2" background="1" saveData="1">
    <webPr xml="1" sourceData="1" parsePre="1" consecutive="1" xl2000="1" url="E:\AProjectX\data\trunk\excel\xml模板\map.xml" htmlTables="1"/>
  </connection>
  <connection id="182" xr16:uid="{00000000-0015-0000-FFFF-FFFFAC000000}" name="map63" type="4" refreshedVersion="2" background="1" saveData="1">
    <webPr xml="1" sourceData="1" parsePre="1" consecutive="1" xl2000="1" url="D:\doc\data\trunk\excel\xml模板\map.xml" htmlTables="1" htmlFormat="all"/>
  </connection>
  <connection id="183" xr16:uid="{00000000-0015-0000-FFFF-FFFFAD000000}" name="map64" type="4" refreshedVersion="2" background="1" saveData="1">
    <webPr xml="1" sourceData="1" parsePre="1" consecutive="1" xl2000="1" url="F:\xgame\data\trunk\excel\xml模板\map.xml" htmlTables="1" htmlFormat="all"/>
  </connection>
  <connection id="184" xr16:uid="{00000000-0015-0000-FFFF-FFFFAE000000}" name="map65" type="4" refreshedVersion="2" background="1" saveData="1">
    <webPr xml="1" sourceData="1" parsePre="1" consecutive="1" xl2000="1" url="E:\AProjectX\data\trunk\excel\xml模板\map.xml" htmlTables="1"/>
  </connection>
  <connection id="185" xr16:uid="{00000000-0015-0000-FFFF-FFFFAF000000}" name="map66" type="4" refreshedVersion="2" background="1" saveData="1">
    <webPr xml="1" sourceData="1" parsePre="1" consecutive="1" xl2000="1" url="D:\doc\data\trunk\excel\xml模板\map.xml" htmlTables="1" htmlFormat="all"/>
  </connection>
  <connection id="186" xr16:uid="{00000000-0015-0000-FFFF-FFFFB0000000}" name="map67" type="4" refreshedVersion="2" background="1" saveData="1">
    <webPr xml="1" sourceData="1" parsePre="1" consecutive="1" xl2000="1" url="F:\one_othe_workspace\data\trunk\excel\xml模板\map.xml" htmlTables="1" htmlFormat="all"/>
  </connection>
  <connection id="187" xr16:uid="{00000000-0015-0000-FFFF-FFFFB1000000}" name="map68" type="4" refreshedVersion="2" background="1" saveData="1">
    <webPr xml="1" sourceData="1" parsePre="1" consecutive="1" xl2000="1" url="F:\one_othe_workspace\data\trunk\xml\map.xml" htmlTables="1" htmlFormat="all"/>
  </connection>
  <connection id="188" xr16:uid="{00000000-0015-0000-FFFF-FFFFB2000000}" name="map69" type="4" refreshedVersion="2" background="1" saveData="1">
    <webPr xml="1" sourceData="1" parsePre="1" consecutive="1" xl2000="1" url="F:\one_othe_workspace\data\trunk\excel\xml模板\map.xml" htmlTables="1" htmlFormat="all"/>
  </connection>
  <connection id="189" xr16:uid="{00000000-0015-0000-FFFF-FFFFB3000000}" name="map7" type="4" refreshedVersion="2" background="1" saveData="1">
    <webPr xml="1" sourceData="1" parsePre="1" consecutive="1" xl2000="1" url="F:\workspace_linux\xgame\data\trunk\excel模板\xml模板\map.xml" htmlTables="1"/>
  </connection>
  <connection id="190" xr16:uid="{00000000-0015-0000-FFFF-FFFFB4000000}" name="map70" type="4" refreshedVersion="2" background="1" saveData="1">
    <webPr xml="1" sourceData="1" parsePre="1" consecutive="1" xl2000="1" url="F:\one_othe_workspace\data\trunk\excel\xml模板\map.xml" htmlTables="1" htmlFormat="all"/>
  </connection>
  <connection id="191" xr16:uid="{00000000-0015-0000-FFFF-FFFFB5000000}" name="map71" type="4" refreshedVersion="2" background="1" saveData="1">
    <webPr xml="1" sourceData="1" parsePre="1" consecutive="1" xl2000="1" url="D:\doc\data\trunk\excel\xml模板\map.xml" htmlTables="1" htmlFormat="all"/>
  </connection>
  <connection id="192" xr16:uid="{00000000-0015-0000-FFFF-FFFFB6000000}" name="map72" type="4" refreshedVersion="2" background="1" saveData="1">
    <webPr xml="1" sourceData="1" parsePre="1" consecutive="1" xl2000="1" url="D:\doc\data\trunk\excel\xml模板\map.xml" htmlTables="1" htmlFormat="all"/>
  </connection>
  <connection id="193" xr16:uid="{00000000-0015-0000-FFFF-FFFFB7000000}" name="map73" type="4" refreshedVersion="2" background="1" saveData="1">
    <webPr xml="1" sourceData="1" parsePre="1" consecutive="1" xl2000="1" url="D:\doc\data\trunk\excel\xml模板\map.xml" htmlTables="1" htmlFormat="all"/>
  </connection>
  <connection id="194" xr16:uid="{00000000-0015-0000-FFFF-FFFFB8000000}" name="map74" type="4" refreshedVersion="2" background="1" saveData="1">
    <webPr xml="1" sourceData="1" parsePre="1" consecutive="1" xl2000="1" url="E:\svn\xgame\qjzr\data\trunk\excel\xml模板\map.xml" htmlTables="1"/>
  </connection>
  <connection id="195" xr16:uid="{00000000-0015-0000-FFFF-FFFFB9000000}" name="map75" type="4" refreshedVersion="2" background="1" saveData="1">
    <webPr xml="1" sourceData="1" parsePre="1" consecutive="1" xl2000="1" url="E:\data\trunk\excel\xml模板\map.xml" htmlTables="1" htmlFormat="all"/>
  </connection>
  <connection id="196" xr16:uid="{00000000-0015-0000-FFFF-FFFFBA000000}" name="map76" type="4" refreshedVersion="2" background="1" saveData="1">
    <webPr xml="1" sourceData="1" parsePre="1" consecutive="1" xl2000="1" url="E:\data\excel\xml模板\map.xml" htmlTables="1" htmlFormat="all"/>
  </connection>
  <connection id="197" xr16:uid="{00000000-0015-0000-FFFF-FFFFBB000000}" name="map77" type="4" refreshedVersion="2" background="1" saveData="1">
    <webPr xml="1" sourceData="1" parsePre="1" consecutive="1" xl2000="1" url="E:\ProjectX\data\trunk\excel\xml模板\map.xml" htmlTables="1" htmlFormat="all"/>
  </connection>
  <connection id="198" xr16:uid="{00000000-0015-0000-FFFF-FFFFBC000000}" name="map78" type="4" refreshedVersion="2" background="1" saveData="1">
    <webPr xml="1" sourceData="1" parsePre="1" consecutive="1" xl2000="1" url="E:\fm\data\trunk\excel\xml模板\map.xml" htmlTables="1" htmlFormat="all"/>
  </connection>
  <connection id="199" xr16:uid="{00000000-0015-0000-FFFF-FFFFBD000000}" name="map79" type="4" refreshedVersion="2" background="1" saveData="1">
    <webPr xml="1" sourceData="1" parsePre="1" consecutive="1" xl2000="1" url="E:\fm\data\trunk\excel\xml模板\map.xml" htmlTables="1" htmlFormat="all"/>
  </connection>
  <connection id="200" xr16:uid="{00000000-0015-0000-FFFF-FFFFBE000000}" name="map8" type="4" refreshedVersion="2" background="1" saveData="1">
    <webPr xml="1" sourceData="1" parsePre="1" consecutive="1" xl2000="1" url="F:\workspace_linux\xgame\data\trunk\excel模板\xml模板\map.xml" htmlTables="1"/>
  </connection>
  <connection id="201" xr16:uid="{00000000-0015-0000-FFFF-FFFFBF000000}" name="map80" type="4" refreshedVersion="2" background="1" saveData="1">
    <webPr xml="1" sourceData="1" parsePre="1" consecutive="1" xl2000="1" url="D:\data\trunk\excel\xml模板\map.xml" htmlTables="1" htmlFormat="all"/>
  </connection>
  <connection id="202" xr16:uid="{00000000-0015-0000-FFFF-FFFFC0000000}" name="map81" type="4" refreshedVersion="2" background="1" saveData="1">
    <webPr xml="1" sourceData="1" parsePre="1" consecutive="1" xl2000="1" url="D:\data\trunk\excel\xml模板\map.xml" htmlTables="1" htmlFormat="all"/>
  </connection>
  <connection id="203" xr16:uid="{00000000-0015-0000-FFFF-FFFFC1000000}" name="map82" type="4" refreshedVersion="2" background="1" saveData="1">
    <webPr xml="1" sourceData="1" parsePre="1" consecutive="1" xl2000="1" url="E:\data\excel\xml模板\map.xml" htmlTables="1" htmlFormat="all"/>
  </connection>
  <connection id="204" xr16:uid="{00000000-0015-0000-FFFF-FFFFC2000000}" name="map83" type="4" refreshedVersion="2" background="1" saveData="1">
    <webPr xml="1" sourceData="1" parsePre="1" consecutive="1" xl2000="1" url="E:\data\trunk\excel\xml模板\map.xml" htmlTables="1" htmlFormat="all"/>
  </connection>
  <connection id="205" xr16:uid="{00000000-0015-0000-FFFF-FFFFC3000000}" name="map84" type="4" refreshedVersion="2" background="1" saveData="1">
    <webPr xml="1" sourceData="1" parsePre="1" consecutive="1" xl2000="1" url="E:\data\excel\xml模板\map.xml" htmlTables="1" htmlFormat="all"/>
  </connection>
  <connection id="206" xr16:uid="{00000000-0015-0000-FFFF-FFFFC4000000}" name="map85" type="4" refreshedVersion="2" background="1" saveData="1">
    <webPr xml="1" sourceData="1" parsePre="1" consecutive="1" xl2000="1" url="E:\data\excel\xml模板\map.xml" htmlTables="1" htmlFormat="all"/>
  </connection>
  <connection id="207" xr16:uid="{00000000-0015-0000-FFFF-FFFFC5000000}" name="map86" type="4" refreshedVersion="2" background="1" saveData="1">
    <webPr xml="1" sourceData="1" parsePre="1" consecutive="1" xl2000="1" url="D:\data\trunk\excel\xml模板\map.xml" htmlTables="1" htmlFormat="all"/>
  </connection>
  <connection id="208" xr16:uid="{00000000-0015-0000-FFFF-FFFFC6000000}" name="map87" type="4" refreshedVersion="2" background="1" saveData="1">
    <webPr xml="1" sourceData="1" parsePre="1" consecutive="1" xl2000="1" url="E:\fm\data\trunk\excel\xml模板\map.xml" htmlTables="1" htmlFormat="all"/>
  </connection>
  <connection id="209" xr16:uid="{00000000-0015-0000-FFFF-FFFFC7000000}" name="map88" type="4" refreshedVersion="2" background="1" saveData="1">
    <webPr xml="1" sourceData="1" parsePre="1" consecutive="1" xl2000="1" url="D:\data\trunk\excel\xml模板\map.xml" htmlTables="1" htmlFormat="all"/>
  </connection>
  <connection id="210" xr16:uid="{00000000-0015-0000-FFFF-FFFFC8000000}" name="map89" type="4" refreshedVersion="2" background="1" saveData="1">
    <webPr xml="1" sourceData="1" parsePre="1" consecutive="1" xl2000="1" url="E:\data\trunk\excel\xml模板\map.xml" htmlTables="1" htmlFormat="all"/>
  </connection>
  <connection id="211" xr16:uid="{00000000-0015-0000-FFFF-FFFFC9000000}" name="map9" type="4" refreshedVersion="2" background="1" saveData="1">
    <webPr xml="1" sourceData="1" parsePre="1" consecutive="1" xl2000="1" url="E:\work\xgame-4\data\trunk\excel模板\xml模板\map.xml" htmlTables="1" htmlFormat="all"/>
  </connection>
  <connection id="212" xr16:uid="{00000000-0015-0000-FFFF-FFFFCA000000}" name="map90" type="4" refreshedVersion="2" background="1" saveData="1">
    <webPr xml="1" sourceData="1" parsePre="1" consecutive="1" xl2000="1" url="E:\data\excel\xml模板\map.xml" htmlTables="1" htmlFormat="all"/>
  </connection>
  <connection id="213" xr16:uid="{00000000-0015-0000-FFFF-FFFFCB000000}" name="map91" type="4" refreshedVersion="2" background="1" saveData="1">
    <webPr xml="1" sourceData="1" parsePre="1" consecutive="1" xl2000="1" url="D:\data\trunk\excel\xml模板\map.xml" htmlTables="1" htmlFormat="all"/>
  </connection>
  <connection id="214" xr16:uid="{00000000-0015-0000-FFFF-FFFFCC000000}" name="map92" type="4" refreshedVersion="2" background="1" saveData="1">
    <webPr xml="1" sourceData="1" parsePre="1" consecutive="1" xl2000="1" url="E:\data\excel\xml模板\map.xml" htmlTables="1" htmlFormat="all"/>
  </connection>
  <connection id="215" xr16:uid="{00000000-0015-0000-FFFF-FFFFCE000000}" name="misc" type="4" refreshedVersion="2" background="1" saveData="1">
    <webPr xml="1" sourceData="1" parsePre="1" consecutive="1" xl2000="1" url="D:\data\trunk\excel\xml模板\misc.xml" htmlTables="1" htmlFormat="all"/>
  </connection>
  <connection id="216" xr16:uid="{00000000-0015-0000-FFFF-FFFFCF000000}" name="misc1" type="4" refreshedVersion="2" background="1" saveData="1">
    <webPr xml="1" sourceData="1" parsePre="1" consecutive="1" xl2000="1" url="D:\data\trunk\excel\xml模板\misc.xml" htmlTables="1" htmlFormat="all"/>
  </connection>
  <connection id="217" xr16:uid="{00000000-0015-0000-FFFF-FFFFD0000000}" name="misc10" type="4" refreshedVersion="2" background="1" saveData="1">
    <webPr xml="1" sourceData="1" parsePre="1" consecutive="1" xl2000="1" url="F:\data\trunk\xml\misc.xml" htmlTables="1" htmlFormat="all"/>
  </connection>
  <connection id="218" xr16:uid="{00000000-0015-0000-FFFF-FFFFD1000000}" name="misc11" type="4" refreshedVersion="2" background="1" saveData="1">
    <webPr xml="1" sourceData="1" parsePre="1" consecutive="1" xl2000="1" url="F:\data\trunk\excel\xml模板\misc.xml" htmlTables="1" htmlFormat="all"/>
  </connection>
  <connection id="219" xr16:uid="{00000000-0015-0000-FFFF-FFFFD2000000}" name="misc12" type="4" refreshedVersion="2" background="1" saveData="1">
    <webPr xml="1" sourceData="1" parsePre="1" consecutive="1" xl2000="1" url="F:\data\trunk\excel\xml模板\misc.xml" htmlTables="1" htmlFormat="all"/>
  </connection>
  <connection id="220" xr16:uid="{00000000-0015-0000-FFFF-FFFFD3000000}" name="misc13" type="4" refreshedVersion="2" background="1" saveData="1">
    <webPr xml="1" sourceData="1" parsePre="1" consecutive="1" xl2000="1" url="D:\data\trunk\excel\xml模板\misc.xml" htmlTables="1" htmlFormat="all"/>
  </connection>
  <connection id="221" xr16:uid="{00000000-0015-0000-FFFF-FFFFD4000000}" name="misc14" type="4" refreshedVersion="2" background="1" saveData="1">
    <webPr xml="1" sourceData="1" parsePre="1" consecutive="1" xl2000="1" url="F:\data\trunk\excel\xml模板\misc.xml" htmlTables="1" htmlFormat="all"/>
  </connection>
  <connection id="222" xr16:uid="{00000000-0015-0000-FFFF-FFFFD5000000}" name="misc15" type="4" refreshedVersion="2" background="1" saveData="1">
    <webPr xml="1" sourceData="1" parsePre="1" consecutive="1" xl2000="1" url="F:\data\trunk\excel\xml模板\misc.xml" htmlTables="1" htmlFormat="all"/>
  </connection>
  <connection id="223" xr16:uid="{00000000-0015-0000-FFFF-FFFFD6000000}" name="misc16" type="4" refreshedVersion="2" background="1" saveData="1">
    <webPr xml="1" sourceData="1" parsePre="1" consecutive="1" xl2000="1" url="D:\data\trunk\excel\xml模板\misc.xml" htmlTables="1" htmlFormat="all"/>
  </connection>
  <connection id="224" xr16:uid="{00000000-0015-0000-FFFF-FFFFD7000000}" name="misc17" type="4" refreshedVersion="2" background="1" saveData="1">
    <webPr xml="1" sourceData="1" parsePre="1" consecutive="1" xl2000="1" url="E:\data\excel\xml模板\misc.xml" htmlTables="1" htmlFormat="all"/>
  </connection>
  <connection id="225" xr16:uid="{00000000-0015-0000-FFFF-FFFFD8000000}" name="misc18" type="4" refreshedVersion="2" background="1" saveData="1">
    <webPr xml="1" sourceData="1" parsePre="1" consecutive="1" xl2000="1" url="E:\data\excel\xml模板\misc.xml" htmlTables="1" htmlFormat="all"/>
  </connection>
  <connection id="226" xr16:uid="{00000000-0015-0000-FFFF-FFFFD9000000}" name="misc19" type="4" refreshedVersion="2" background="1" saveData="1">
    <webPr xml="1" sourceData="1" parsePre="1" consecutive="1" xl2000="1" url="E:\data\excel\xml模板\misc.xml" htmlTables="1" htmlFormat="all"/>
  </connection>
  <connection id="227" xr16:uid="{00000000-0015-0000-FFFF-FFFFDA000000}" name="misc2" type="4" refreshedVersion="2" background="1" saveData="1">
    <webPr xml="1" sourceData="1" parsePre="1" consecutive="1" xl2000="1" url="F:\data\trunk\excel\xml模板\misc.xml" htmlTables="1" htmlFormat="all"/>
  </connection>
  <connection id="228" xr16:uid="{00000000-0015-0000-FFFF-FFFFDB000000}" name="misc20" type="4" refreshedVersion="2" background="1" saveData="1">
    <webPr xml="1" sourceData="1" parsePre="1" consecutive="1" xl2000="1" url="D:\data\trunk\excel\xml模板\misc.xml" htmlTables="1" htmlFormat="all"/>
  </connection>
  <connection id="229" xr16:uid="{00000000-0015-0000-FFFF-FFFFDC000000}" name="misc21" type="4" refreshedVersion="2" background="1" saveData="1">
    <webPr xml="1" sourceData="1" parsePre="1" consecutive="1" xl2000="1" url="F:\data\trunk\excel\xml模板\misc.xml" htmlTables="1" htmlFormat="all"/>
  </connection>
  <connection id="230" xr16:uid="{00000000-0015-0000-FFFF-FFFFDD000000}" name="misc22" type="4" refreshedVersion="2" background="1" saveData="1">
    <webPr xml="1" sourceData="1" parsePre="1" consecutive="1" xl2000="1" url="E:\ProjectD2-data\trunk\excel\xml模板\misc.xml" htmlTables="1" htmlFormat="all"/>
  </connection>
  <connection id="231" xr16:uid="{00000000-0015-0000-FFFF-FFFFDE000000}" name="misc23" type="4" refreshedVersion="2" background="1" saveData="1">
    <webPr xml="1" sourceData="1" parsePre="1" consecutive="1" xl2000="1" url="E:\data\excel\xml模板\misc.xml" htmlTables="1" htmlFormat="all"/>
  </connection>
  <connection id="232" xr16:uid="{00000000-0015-0000-FFFF-FFFFDF000000}" name="misc24" type="4" refreshedVersion="2" background="1" saveData="1">
    <webPr xml="1" sourceData="1" parsePre="1" consecutive="1" xl2000="1" url="E:\data\excel\xml模板\misc.xml" htmlTables="1" htmlFormat="all"/>
  </connection>
  <connection id="233" xr16:uid="{00000000-0015-0000-FFFF-FFFFE0000000}" name="misc25" type="4" refreshedVersion="2" background="1" saveData="1">
    <webPr xml="1" sourceData="1" parsePre="1" consecutive="1" xl2000="1" url="D:\data\trunk\excel\xml模板\misc.xml" htmlTables="1" htmlFormat="all"/>
  </connection>
  <connection id="234" xr16:uid="{00000000-0015-0000-FFFF-FFFFE1000000}" name="misc26" type="4" refreshedVersion="2" background="1" saveData="1">
    <webPr xml="1" sourceData="1" parsePre="1" consecutive="1" xl2000="1" url="E:\data\excel\xml模板\misc.xml" htmlTables="1" htmlFormat="all"/>
  </connection>
  <connection id="235" xr16:uid="{00000000-0015-0000-FFFF-FFFFE2000000}" name="misc27" type="4" refreshedVersion="2" background="1" saveData="1">
    <webPr xml="1" sourceData="1" parsePre="1" consecutive="1" xl2000="1" url="E:\data\excel\xml模板\misc.xml" htmlTables="1" htmlFormat="all"/>
  </connection>
  <connection id="236" xr16:uid="{00000000-0015-0000-FFFF-FFFFE3000000}" name="misc28" type="4" refreshedVersion="2" background="1" saveData="1">
    <webPr xml="1" sourceData="1" parsePre="1" consecutive="1" xl2000="1" url="D:\data\trunk\excel\xml模板\misc.xml" htmlTables="1" htmlFormat="all"/>
  </connection>
  <connection id="237" xr16:uid="{00000000-0015-0000-FFFF-FFFFE4000000}" name="misc29" type="4" refreshedVersion="2" background="1" saveData="1">
    <webPr xml="1" sourceData="1" parsePre="1" consecutive="1" xl2000="1" url="E:\data\excel\xml模板\misc.xml" htmlTables="1" htmlFormat="all"/>
  </connection>
  <connection id="238" xr16:uid="{00000000-0015-0000-FFFF-FFFFE5000000}" name="misc3" type="4" refreshedVersion="2" background="1" saveData="1">
    <webPr xml="1" sourceData="1" parsePre="1" consecutive="1" xl2000="1" url="F:\data\trunk\excel\xml模板\misc.xml" htmlTables="1" htmlFormat="all"/>
  </connection>
  <connection id="239" xr16:uid="{00000000-0015-0000-FFFF-FFFFE6000000}" name="misc30" type="4" refreshedVersion="2" background="1" saveData="1">
    <webPr xml="1" sourceData="1" parsePre="1" consecutive="1" xl2000="1" url="E:\data\excel\xml模板\misc.xml" htmlTables="1" htmlFormat="all"/>
  </connection>
  <connection id="240" xr16:uid="{00000000-0015-0000-FFFF-FFFFE7000000}" name="misc31" type="4" refreshedVersion="2" background="1" saveData="1">
    <webPr xml="1" sourceData="1" parsePre="1" consecutive="1" xl2000="1" url="E:\data\excel\xml模板\misc.xml" htmlTables="1" htmlFormat="all"/>
  </connection>
  <connection id="241" xr16:uid="{00000000-0015-0000-FFFF-FFFFE8000000}" name="misc32" type="4" refreshedVersion="2" background="1" saveData="1">
    <webPr xml="1" sourceData="1" parsePre="1" consecutive="1" xl2000="1" url="D:\data\trunk\excel\xml模板\misc.xml" htmlTables="1" htmlFormat="all"/>
  </connection>
  <connection id="242" xr16:uid="{00000000-0015-0000-FFFF-FFFFE9000000}" name="misc33" type="4" refreshedVersion="2" background="1" saveData="1">
    <webPr xml="1" sourceData="1" parsePre="1" consecutive="1" xl2000="1" url="E:\ProjectD2-data\trunk\excel\xml模板\misc.xml" htmlTables="1" htmlFormat="all"/>
  </connection>
  <connection id="243" xr16:uid="{00000000-0015-0000-FFFF-FFFFEA000000}" name="misc34" type="4" refreshedVersion="2" background="1" saveData="1">
    <webPr xml="1" sourceData="1" parsePre="1" consecutive="1" xl2000="1" url="E:\ProjectD2-data\trunk\excel\xml模板\misc.xml" htmlTables="1" htmlFormat="all"/>
  </connection>
  <connection id="244" xr16:uid="{00000000-0015-0000-FFFF-FFFFEB000000}" name="misc35" type="4" refreshedVersion="2" background="1" saveData="1">
    <webPr xml="1" sourceData="1" parsePre="1" consecutive="1" xl2000="1" url="E:\data\excel\xml模板\misc.xml" htmlTables="1" htmlFormat="all"/>
  </connection>
  <connection id="245" xr16:uid="{00000000-0015-0000-FFFF-FFFFEC000000}" name="misc36" type="4" refreshedVersion="2" background="1" saveData="1">
    <webPr xml="1" sourceData="1" parsePre="1" consecutive="1" xl2000="1" url="D:\data\trunk\excel\xml模板\misc.xml" htmlTables="1" htmlFormat="all"/>
  </connection>
  <connection id="246" xr16:uid="{00000000-0015-0000-FFFF-FFFFED000000}" name="misc37" type="4" refreshedVersion="2" background="1" saveData="1">
    <webPr xml="1" sourceData="1" parsePre="1" consecutive="1" xl2000="1" url="F:\data\trunk\excel\xml模板\misc.xml" htmlTables="1" htmlFormat="all"/>
  </connection>
  <connection id="247" xr16:uid="{00000000-0015-0000-FFFF-FFFFEE000000}" name="misc38" type="4" refreshedVersion="2" background="1" saveData="1">
    <webPr xml="1" sourceData="1" parsePre="1" consecutive="1" xl2000="1" url="F:\data\trunk\excel\xml模板\misc.xml" htmlTables="1" htmlFormat="all"/>
  </connection>
  <connection id="248" xr16:uid="{00000000-0015-0000-FFFF-FFFFEF000000}" name="misc39" type="4" refreshedVersion="2" background="1" saveData="1">
    <webPr xml="1" sourceData="1" parsePre="1" consecutive="1" xl2000="1" url="D:\data\trunk\excel\xml模板\misc.xml" htmlTables="1" htmlFormat="all"/>
  </connection>
  <connection id="249" xr16:uid="{00000000-0015-0000-FFFF-FFFFF0000000}" name="misc4" type="4" refreshedVersion="2" background="1" saveData="1">
    <webPr xml="1" sourceData="1" parsePre="1" consecutive="1" xl2000="1" url="F:\data\trunk\excel\xml模板\misc.xml" htmlTables="1" htmlFormat="all"/>
  </connection>
  <connection id="250" xr16:uid="{00000000-0015-0000-FFFF-FFFFF1000000}" name="misc40" type="4" refreshedVersion="2" background="1" saveData="1">
    <webPr xml="1" sourceData="1" parsePre="1" consecutive="1" xl2000="1" url="E:\data\excel\xml模板\misc.xml" htmlTables="1" htmlFormat="all"/>
  </connection>
  <connection id="251" xr16:uid="{00000000-0015-0000-FFFF-FFFFF2000000}" name="misc41" type="4" refreshedVersion="2" background="1" saveData="1">
    <webPr xml="1" sourceData="1" parsePre="1" consecutive="1" xl2000="1" url="D:\data\trunk\excel\xml模板\misc.xml" htmlTables="1" htmlFormat="all"/>
  </connection>
  <connection id="252" xr16:uid="{00000000-0015-0000-FFFF-FFFFF3000000}" name="misc42" type="4" refreshedVersion="2" background="1" saveData="1">
    <webPr xml="1" sourceData="1" parsePre="1" consecutive="1" xl2000="1" url="D:\data\trunk\excel\xml模板\misc.xml" htmlTables="1" htmlFormat="all"/>
  </connection>
  <connection id="253" xr16:uid="{00000000-0015-0000-FFFF-FFFFF4000000}" name="misc43" type="4" refreshedVersion="2" background="1" saveData="1">
    <webPr xml="1" sourceData="1" parsePre="1" consecutive="1" xl2000="1" url="E:\data\excel\xml模板\misc.xml" htmlTables="1" htmlFormat="all"/>
  </connection>
  <connection id="254" xr16:uid="{00000000-0015-0000-FFFF-FFFFF5000000}" name="misc44" type="4" refreshedVersion="2" background="1" saveData="1">
    <webPr xml="1" sourceData="1" parsePre="1" consecutive="1" xl2000="1" url="D:\data\trunk\excel\xml模板\misc.xml" htmlTables="1" htmlFormat="all"/>
  </connection>
  <connection id="255" xr16:uid="{00000000-0015-0000-FFFF-FFFFF6000000}" name="misc5" type="4" refreshedVersion="2" background="1" saveData="1">
    <webPr xml="1" sourceData="1" parsePre="1" consecutive="1" xl2000="1" url="D:\data\trunk\excel\xml模板\misc.xml" htmlTables="1" htmlFormat="all"/>
  </connection>
  <connection id="256" xr16:uid="{00000000-0015-0000-FFFF-FFFFF7000000}" name="misc6" type="4" refreshedVersion="2" background="1" saveData="1">
    <webPr xml="1" sourceData="1" parsePre="1" consecutive="1" xl2000="1" url="D:\data\trunk\excel\xml模板\misc.xml" htmlTables="1" htmlFormat="all"/>
  </connection>
  <connection id="257" xr16:uid="{00000000-0015-0000-FFFF-FFFFF8000000}" name="misc7" type="4" refreshedVersion="2" background="1" saveData="1">
    <webPr xml="1" sourceData="1" parsePre="1" consecutive="1" xl2000="1" url="F:\data\trunk\excel\xml模板\misc.xml" htmlTables="1" htmlFormat="all"/>
  </connection>
  <connection id="258" xr16:uid="{00000000-0015-0000-FFFF-FFFFF9000000}" name="misc8" type="4" refreshedVersion="2" background="1" saveData="1">
    <webPr xml="1" sourceData="1" parsePre="1" consecutive="1" xl2000="1" url="F:\data\trunk\excel\xml模板\misc.xml" htmlTables="1" htmlFormat="all"/>
  </connection>
  <connection id="259" xr16:uid="{00000000-0015-0000-FFFF-FFFFFA000000}" name="misc9" type="4" refreshedVersion="2" background="1" saveData="1">
    <webPr xml="1" sourceData="1" parsePre="1" consecutive="1" xl2000="1" url="F:\data\trunk\excel\xml模板\misc.xml" htmlTables="1" htmlFormat="all"/>
  </connection>
  <connection id="260" xr16:uid="{00000000-0015-0000-FFFF-FFFFFB000000}" name="monster_family" type="4" refreshedVersion="2" background="1" saveData="1">
    <webPr xml="1" sourceData="1" parsePre="1" consecutive="1" xl2000="1" url="E:\proX\data\trunk\excel\xml模板\monster_family.xml" htmlTables="1" htmlFormat="all"/>
  </connection>
  <connection id="261" xr16:uid="{00000000-0015-0000-FFFF-FFFFFC000000}" name="revive" type="4" refreshedVersion="2" background="1" saveData="1">
    <webPr xml="1" sourceData="1" parsePre="1" consecutive="1" xl2000="1" url="F:\workspace_leishen\trunk_data\excel\xml模板\revive.xml" htmlTables="1" htmlFormat="all"/>
  </connection>
  <connection id="262" xr16:uid="{00000000-0015-0000-FFFF-FFFFFD000000}" name="space_setting" type="4" refreshedVersion="2" background="1" saveData="1">
    <webPr xml="1" sourceData="1" parsePre="1" consecutive="1" xl2000="1" url="F:\workspace_linux\xgame\server\trunk_vbox\scripts\data\xml\space_setting.xml" htmlTables="1"/>
  </connection>
  <connection id="263" xr16:uid="{00000000-0015-0000-FFFF-FFFFFE000000}" name="space_setting1" type="4" refreshedVersion="2" background="1" saveData="1">
    <webPr xml="1" sourceData="1" parsePre="1" consecutive="1" xl2000="1" url="E:\work\xgame-4\data\trunk\excel模板\xml模板\space_setting.xml" htmlTables="1" htmlFormat="all"/>
  </connection>
</connections>
</file>

<file path=xl/sharedStrings.xml><?xml version="1.0" encoding="utf-8"?>
<sst xmlns="http://schemas.openxmlformats.org/spreadsheetml/2006/main" count="814" uniqueCount="476">
  <si>
    <t>基础信息</t>
  </si>
  <si>
    <t>道具类型</t>
  </si>
  <si>
    <t>道具叠加</t>
  </si>
  <si>
    <t>出售与丢弃</t>
  </si>
  <si>
    <t>音效</t>
  </si>
  <si>
    <t>道具使用效果</t>
  </si>
  <si>
    <r>
      <rPr>
        <b/>
        <sz val="14"/>
        <color theme="1"/>
        <rFont val="宋体"/>
        <family val="3"/>
        <charset val="134"/>
        <scheme val="minor"/>
      </rPr>
      <t>道具ID</t>
    </r>
    <r>
      <rPr>
        <sz val="14"/>
        <color theme="1"/>
        <rFont val="宋体"/>
        <family val="3"/>
        <charset val="134"/>
        <scheme val="minor"/>
      </rPr>
      <t xml:space="preserve">
1~9999
装备ID
10000~
不可交错</t>
    </r>
  </si>
  <si>
    <t>道具名称</t>
  </si>
  <si>
    <t>道具额外描述</t>
  </si>
  <si>
    <r>
      <rPr>
        <b/>
        <sz val="14"/>
        <color theme="5" tint="-0.499984740745262"/>
        <rFont val="宋体"/>
        <family val="3"/>
        <charset val="134"/>
        <scheme val="minor"/>
      </rPr>
      <t>书籍详细内容icon</t>
    </r>
    <r>
      <rPr>
        <b/>
        <sz val="14"/>
        <color theme="1"/>
        <rFont val="宋体"/>
        <family val="3"/>
        <charset val="134"/>
        <scheme val="minor"/>
      </rPr>
      <t xml:space="preserve">
iconID</t>
    </r>
  </si>
  <si>
    <t>道具图标</t>
  </si>
  <si>
    <t>占用物品栏
宽度</t>
  </si>
  <si>
    <t>占用物品栏
高度</t>
  </si>
  <si>
    <t>基本类型</t>
  </si>
  <si>
    <t>次要类型</t>
  </si>
  <si>
    <t>类型名称</t>
  </si>
  <si>
    <r>
      <rPr>
        <b/>
        <sz val="14"/>
        <color theme="1"/>
        <rFont val="宋体"/>
        <family val="3"/>
        <charset val="134"/>
        <scheme val="minor"/>
      </rPr>
      <t>同类物品是否能叠加</t>
    </r>
    <r>
      <rPr>
        <sz val="14"/>
        <color theme="1"/>
        <rFont val="宋体"/>
        <family val="3"/>
        <charset val="134"/>
        <scheme val="minor"/>
      </rPr>
      <t xml:space="preserve">
1可以
0不可</t>
    </r>
  </si>
  <si>
    <t>控制物品允许的
最小堆叠数量</t>
  </si>
  <si>
    <r>
      <rPr>
        <b/>
        <sz val="14"/>
        <color theme="1"/>
        <rFont val="宋体"/>
        <family val="3"/>
        <charset val="134"/>
        <scheme val="minor"/>
      </rPr>
      <t>道具是否能出售</t>
    </r>
    <r>
      <rPr>
        <sz val="14"/>
        <color theme="1"/>
        <rFont val="宋体"/>
        <family val="3"/>
        <charset val="134"/>
        <scheme val="minor"/>
      </rPr>
      <t xml:space="preserve">
0-不能
1-能</t>
    </r>
  </si>
  <si>
    <r>
      <rPr>
        <b/>
        <sz val="14"/>
        <color theme="1"/>
        <rFont val="宋体"/>
        <family val="3"/>
        <charset val="134"/>
        <scheme val="minor"/>
      </rPr>
      <t>道具出售
价格</t>
    </r>
    <r>
      <rPr>
        <sz val="14"/>
        <color theme="1"/>
        <rFont val="宋体"/>
        <family val="3"/>
        <charset val="134"/>
        <scheme val="minor"/>
      </rPr>
      <t xml:space="preserve">
对应金币</t>
    </r>
  </si>
  <si>
    <r>
      <rPr>
        <b/>
        <sz val="14"/>
        <color theme="1"/>
        <rFont val="宋体"/>
        <family val="3"/>
        <charset val="134"/>
        <scheme val="minor"/>
      </rPr>
      <t xml:space="preserve">掉在地上的模型
</t>
    </r>
    <r>
      <rPr>
        <sz val="14"/>
        <color theme="1"/>
        <rFont val="宋体"/>
        <family val="3"/>
        <charset val="134"/>
        <scheme val="minor"/>
      </rPr>
      <t xml:space="preserve">
读静态模型表</t>
    </r>
  </si>
  <si>
    <t>掉落声音</t>
  </si>
  <si>
    <t>拾取声音</t>
  </si>
  <si>
    <t>掉落帧数</t>
  </si>
  <si>
    <t>使用音效</t>
  </si>
  <si>
    <t>id_i</t>
  </si>
  <si>
    <t>name_i</t>
  </si>
  <si>
    <t>dis_i</t>
  </si>
  <si>
    <t>dis2_i</t>
  </si>
  <si>
    <t>book_icon_i</t>
  </si>
  <si>
    <t>quality_i</t>
  </si>
  <si>
    <t>icon_i</t>
  </si>
  <si>
    <t>invwidth_i</t>
  </si>
  <si>
    <t>invheight_i</t>
  </si>
  <si>
    <t>type2_s</t>
  </si>
  <si>
    <t>type_name_i</t>
  </si>
  <si>
    <t>stackable_i</t>
  </si>
  <si>
    <t>minstack_i</t>
  </si>
  <si>
    <t>maxstack_i</t>
  </si>
  <si>
    <t>sale_i</t>
  </si>
  <si>
    <t>cost_i</t>
  </si>
  <si>
    <t>discard_i</t>
  </si>
  <si>
    <t>flippyfile_i</t>
  </si>
  <si>
    <t>dropsound_i</t>
  </si>
  <si>
    <t>pickupsound_i</t>
  </si>
  <si>
    <t>dropsfxframe_i</t>
  </si>
  <si>
    <t>usesound_i</t>
  </si>
  <si>
    <t>pSpell_i</t>
  </si>
  <si>
    <t>state_l</t>
  </si>
  <si>
    <t>0:0</t>
  </si>
  <si>
    <t>经验</t>
  </si>
  <si>
    <t>EXP</t>
  </si>
  <si>
    <t>gold</t>
  </si>
  <si>
    <t>金币</t>
  </si>
  <si>
    <t>Gold</t>
  </si>
  <si>
    <t>天赋点</t>
  </si>
  <si>
    <t>TalentPoint</t>
  </si>
  <si>
    <t>scro2</t>
  </si>
  <si>
    <t>技能bd</t>
  </si>
  <si>
    <t>skillBD</t>
  </si>
  <si>
    <t>skill</t>
  </si>
  <si>
    <t>书籍</t>
  </si>
  <si>
    <t>book</t>
  </si>
  <si>
    <t>T1</t>
  </si>
  <si>
    <t>T2</t>
  </si>
  <si>
    <t>T3</t>
  </si>
  <si>
    <t>T4</t>
  </si>
  <si>
    <t>T5</t>
  </si>
  <si>
    <t>T6</t>
  </si>
  <si>
    <t>T7</t>
  </si>
  <si>
    <t>T8</t>
  </si>
  <si>
    <t>T9</t>
  </si>
  <si>
    <t>T10</t>
  </si>
  <si>
    <t>T11</t>
  </si>
  <si>
    <t>T12</t>
  </si>
  <si>
    <t>T13</t>
  </si>
  <si>
    <t>T14</t>
  </si>
  <si>
    <t>T15</t>
  </si>
  <si>
    <t>item.xml</t>
    <phoneticPr fontId="15" type="noConversion"/>
  </si>
  <si>
    <t>技能书</t>
  </si>
  <si>
    <t>血瓶</t>
  </si>
  <si>
    <t>关卡内</t>
    <phoneticPr fontId="15" type="noConversion"/>
  </si>
  <si>
    <t>拾取后获得buff
buffID</t>
    <phoneticPr fontId="15" type="noConversion"/>
  </si>
  <si>
    <t>auto_pickup_i</t>
  </si>
  <si>
    <t>pickup_buff_i</t>
  </si>
  <si>
    <t>自动拾取（近距离）
1-自动拾取
0或不填不会</t>
    <phoneticPr fontId="15" type="noConversion"/>
  </si>
  <si>
    <t>黑石教堂编年录</t>
  </si>
  <si>
    <t>道具基础描述</t>
    <phoneticPr fontId="15" type="noConversion"/>
  </si>
  <si>
    <t>itembuff</t>
    <phoneticPr fontId="15" type="noConversion"/>
  </si>
  <si>
    <r>
      <rPr>
        <b/>
        <sz val="14"/>
        <color theme="1"/>
        <rFont val="宋体"/>
        <family val="3"/>
        <charset val="134"/>
        <scheme val="minor"/>
      </rPr>
      <t xml:space="preserve">是否能丢弃
</t>
    </r>
    <r>
      <rPr>
        <sz val="14"/>
        <color theme="1"/>
        <rFont val="宋体"/>
        <family val="3"/>
        <charset val="134"/>
        <scheme val="minor"/>
      </rPr>
      <t xml:space="preserve">
0或不填-能丢弃
1-不可以丢弃</t>
    </r>
    <phoneticPr fontId="15" type="noConversion"/>
  </si>
  <si>
    <t>技能升级</t>
    <phoneticPr fontId="15" type="noConversion"/>
  </si>
  <si>
    <t>skillBD</t>
    <phoneticPr fontId="15" type="noConversion"/>
  </si>
  <si>
    <t>火炬剩余时间增加</t>
    <phoneticPr fontId="15" type="noConversion"/>
  </si>
  <si>
    <t>学徒信物</t>
  </si>
  <si>
    <t>怨灵之书</t>
  </si>
  <si>
    <t>腐朽骨片</t>
  </si>
  <si>
    <t>生锈的旧玩偶</t>
  </si>
  <si>
    <t>任务道具
ACT1</t>
    <phoneticPr fontId="15" type="noConversion"/>
  </si>
  <si>
    <t>火炬恢复</t>
    <phoneticPr fontId="15" type="noConversion"/>
  </si>
  <si>
    <t>taskitem</t>
    <phoneticPr fontId="15" type="noConversion"/>
  </si>
  <si>
    <t>雷鸣火种</t>
    <phoneticPr fontId="15" type="noConversion"/>
  </si>
  <si>
    <t>雷鸣电核</t>
    <phoneticPr fontId="15" type="noConversion"/>
  </si>
  <si>
    <t>游侠日记</t>
    <phoneticPr fontId="15" type="noConversion"/>
  </si>
  <si>
    <t>神罚断剑碎片</t>
    <phoneticPr fontId="15" type="noConversion"/>
  </si>
  <si>
    <t>ACT2</t>
    <phoneticPr fontId="15" type="noConversion"/>
  </si>
  <si>
    <t>闪电之心</t>
    <phoneticPr fontId="15" type="noConversion"/>
  </si>
  <si>
    <t>无头骑士的踪迹</t>
    <phoneticPr fontId="15" type="noConversion"/>
  </si>
  <si>
    <t>ACT3</t>
    <phoneticPr fontId="15" type="noConversion"/>
  </si>
  <si>
    <t>毒蚀火种</t>
    <phoneticPr fontId="15" type="noConversion"/>
  </si>
  <si>
    <t>腐蚀毒核</t>
    <phoneticPr fontId="15" type="noConversion"/>
  </si>
  <si>
    <t>腐化装备材料</t>
    <phoneticPr fontId="15" type="noConversion"/>
  </si>
  <si>
    <t>破损实验笔记</t>
    <phoneticPr fontId="15" type="noConversion"/>
  </si>
  <si>
    <t>抗毒血清药剂</t>
    <phoneticPr fontId="15" type="noConversion"/>
  </si>
  <si>
    <t>腐化幼虫</t>
    <phoneticPr fontId="15" type="noConversion"/>
  </si>
  <si>
    <t>毒蚀之心</t>
    <phoneticPr fontId="15" type="noConversion"/>
  </si>
  <si>
    <t>腐化的血液</t>
    <phoneticPr fontId="15" type="noConversion"/>
  </si>
  <si>
    <t>material</t>
    <phoneticPr fontId="15" type="noConversion"/>
  </si>
  <si>
    <t>ACT4</t>
    <phoneticPr fontId="15" type="noConversion"/>
  </si>
  <si>
    <t>预言石板</t>
    <phoneticPr fontId="15" type="noConversion"/>
  </si>
  <si>
    <t>书籍</t>
    <phoneticPr fontId="15" type="noConversion"/>
  </si>
  <si>
    <t>寒冰火种</t>
    <phoneticPr fontId="15" type="noConversion"/>
  </si>
  <si>
    <t>幽魂冰核</t>
    <phoneticPr fontId="15" type="noConversion"/>
  </si>
  <si>
    <t>石阵秘钥</t>
    <phoneticPr fontId="15" type="noConversion"/>
  </si>
  <si>
    <t>破碎的冰晶护符</t>
    <phoneticPr fontId="15" type="noConversion"/>
  </si>
  <si>
    <t>腐化徽记</t>
    <phoneticPr fontId="15" type="noConversion"/>
  </si>
  <si>
    <t>冰霜之心</t>
    <phoneticPr fontId="15" type="noConversion"/>
  </si>
  <si>
    <t>预言石板碎片1</t>
    <phoneticPr fontId="15" type="noConversion"/>
  </si>
  <si>
    <t>预言石板碎片2</t>
  </si>
  <si>
    <t>预言石板碎片3</t>
  </si>
  <si>
    <t>book</t>
    <phoneticPr fontId="15" type="noConversion"/>
  </si>
  <si>
    <t>熔岩火种</t>
    <phoneticPr fontId="15" type="noConversion"/>
  </si>
  <si>
    <t>炽热之核</t>
    <phoneticPr fontId="15" type="noConversion"/>
  </si>
  <si>
    <t>深渊焰火</t>
    <phoneticPr fontId="15" type="noConversion"/>
  </si>
  <si>
    <t>灼热骨髓</t>
    <phoneticPr fontId="15" type="noConversion"/>
  </si>
  <si>
    <t>灼热之心</t>
    <phoneticPr fontId="15" type="noConversion"/>
  </si>
  <si>
    <t>堕恶祷文</t>
    <phoneticPr fontId="15" type="noConversion"/>
  </si>
  <si>
    <t>ACT5</t>
    <phoneticPr fontId="15" type="noConversion"/>
  </si>
  <si>
    <t>熔岩之心</t>
    <phoneticPr fontId="15" type="noConversion"/>
  </si>
  <si>
    <t>炎抗药剂</t>
    <phoneticPr fontId="15" type="noConversion"/>
  </si>
  <si>
    <t>主线</t>
    <phoneticPr fontId="15" type="noConversion"/>
  </si>
  <si>
    <t>未送出的戒指</t>
    <phoneticPr fontId="15" type="noConversion"/>
  </si>
  <si>
    <t>残缺日记页</t>
    <phoneticPr fontId="15" type="noConversion"/>
  </si>
  <si>
    <t>血印之石</t>
    <phoneticPr fontId="15" type="noConversion"/>
  </si>
  <si>
    <t>被污染的太阳神印记</t>
    <phoneticPr fontId="15" type="noConversion"/>
  </si>
  <si>
    <t>污浊的古神脐带</t>
    <phoneticPr fontId="15" type="noConversion"/>
  </si>
  <si>
    <t>枯藤毒液</t>
    <phoneticPr fontId="15" type="noConversion"/>
  </si>
  <si>
    <t>腐化圣杯</t>
    <phoneticPr fontId="15" type="noConversion"/>
  </si>
  <si>
    <t>古神之血</t>
    <phoneticPr fontId="15" type="noConversion"/>
  </si>
  <si>
    <t>冻裂的骨笛</t>
    <phoneticPr fontId="15" type="noConversion"/>
  </si>
  <si>
    <t>封印之钥</t>
    <phoneticPr fontId="15" type="noConversion"/>
  </si>
  <si>
    <t>古神之眼</t>
    <phoneticPr fontId="15" type="noConversion"/>
  </si>
  <si>
    <t>完整的古神脐带</t>
    <phoneticPr fontId="15" type="noConversion"/>
  </si>
  <si>
    <t>仇恨的心脏</t>
    <phoneticPr fontId="15" type="noConversion"/>
  </si>
  <si>
    <t>恐惧的心脏</t>
    <phoneticPr fontId="15" type="noConversion"/>
  </si>
  <si>
    <t>麻木的心脏</t>
    <phoneticPr fontId="15" type="noConversion"/>
  </si>
  <si>
    <t>净化后的血钥</t>
    <phoneticPr fontId="15" type="noConversion"/>
  </si>
  <si>
    <t>腐蚀的血钥</t>
    <phoneticPr fontId="15" type="noConversion"/>
  </si>
  <si>
    <t>book_descri_m</t>
  </si>
  <si>
    <t>task_id_i</t>
  </si>
  <si>
    <t>隐藏地图</t>
    <phoneticPr fontId="15" type="noConversion"/>
  </si>
  <si>
    <t>古神印记碎片</t>
    <phoneticPr fontId="15" type="noConversion"/>
  </si>
  <si>
    <t>古神印记</t>
    <phoneticPr fontId="15" type="noConversion"/>
  </si>
  <si>
    <t>改造图纸</t>
    <phoneticPr fontId="15" type="noConversion"/>
  </si>
  <si>
    <t>维特的左腿</t>
    <phoneticPr fontId="15" type="noConversion"/>
  </si>
  <si>
    <t>传送之书</t>
    <phoneticPr fontId="15" type="noConversion"/>
  </si>
  <si>
    <t>牧场传送卷轴</t>
    <phoneticPr fontId="15" type="noConversion"/>
  </si>
  <si>
    <t>信徒遗言</t>
    <phoneticPr fontId="15" type="noConversion"/>
  </si>
  <si>
    <t>牧场真相</t>
    <phoneticPr fontId="15" type="noConversion"/>
  </si>
  <si>
    <t xml:space="preserve">控制该物品的右键点击效果
0-无效果
1-打开书籍界面
2-打开技能选择界面
3-打开属性选择界面
4-打开bd选择界面
5-刷出特殊NPC
</t>
    <phoneticPr fontId="15" type="noConversion"/>
  </si>
  <si>
    <t>效果参数
效果5：NPCID</t>
    <phoneticPr fontId="15" type="noConversion"/>
  </si>
  <si>
    <t>5:51</t>
    <phoneticPr fontId="15" type="noConversion"/>
  </si>
  <si>
    <t>神像符文</t>
    <phoneticPr fontId="15" type="noConversion"/>
  </si>
  <si>
    <t>不死</t>
  </si>
  <si>
    <t>腐烂</t>
  </si>
  <si>
    <t>族群</t>
  </si>
  <si>
    <t>压制</t>
  </si>
  <si>
    <t>失心疯</t>
  </si>
  <si>
    <t>畏火症</t>
  </si>
  <si>
    <t>嗜血</t>
  </si>
  <si>
    <t>精英</t>
  </si>
  <si>
    <t>陷阱</t>
  </si>
  <si>
    <t>灵魂狂乱</t>
  </si>
  <si>
    <t>猎狗追击</t>
  </si>
  <si>
    <t>永夜</t>
  </si>
  <si>
    <t>阴魂不散</t>
  </si>
  <si>
    <t>rune</t>
    <phoneticPr fontId="15" type="noConversion"/>
  </si>
  <si>
    <t>任务奖励</t>
    <phoneticPr fontId="15" type="noConversion"/>
  </si>
  <si>
    <t>解锁法师</t>
    <phoneticPr fontId="15" type="noConversion"/>
  </si>
  <si>
    <t>解锁死灵</t>
    <phoneticPr fontId="15" type="noConversion"/>
  </si>
  <si>
    <t>解锁游侠</t>
    <phoneticPr fontId="15" type="noConversion"/>
  </si>
  <si>
    <t>role</t>
    <phoneticPr fontId="15" type="noConversion"/>
  </si>
  <si>
    <t>回复san值</t>
    <phoneticPr fontId="15" type="noConversion"/>
  </si>
  <si>
    <t>熔岩火种碎片</t>
    <phoneticPr fontId="15" type="noConversion"/>
  </si>
  <si>
    <t>??</t>
    <phoneticPr fontId="15" type="noConversion"/>
  </si>
  <si>
    <t>35601:35601</t>
    <phoneticPr fontId="15" type="noConversion"/>
  </si>
  <si>
    <t>35602:35602</t>
    <phoneticPr fontId="15" type="noConversion"/>
  </si>
  <si>
    <t>35603:35603</t>
    <phoneticPr fontId="15" type="noConversion"/>
  </si>
  <si>
    <t>35604:35604</t>
    <phoneticPr fontId="15" type="noConversion"/>
  </si>
  <si>
    <t>35605:35605</t>
    <phoneticPr fontId="15" type="noConversion"/>
  </si>
  <si>
    <t>35606:35606</t>
    <phoneticPr fontId="15" type="noConversion"/>
  </si>
  <si>
    <t>魔法禁书</t>
    <phoneticPr fontId="15" type="noConversion"/>
  </si>
  <si>
    <t>卡恩的研究材料</t>
    <phoneticPr fontId="15" type="noConversion"/>
  </si>
  <si>
    <t>腐化之瞳</t>
    <phoneticPr fontId="15" type="noConversion"/>
  </si>
  <si>
    <t>亵渎圣印</t>
    <phoneticPr fontId="15" type="noConversion"/>
  </si>
  <si>
    <t>脐带残片</t>
    <phoneticPr fontId="15" type="noConversion"/>
  </si>
  <si>
    <t>喑哑舌骨</t>
    <phoneticPr fontId="15" type="noConversion"/>
  </si>
  <si>
    <t>虚空胃囊</t>
    <phoneticPr fontId="15" type="noConversion"/>
  </si>
  <si>
    <t>摇篮菌株</t>
    <phoneticPr fontId="15" type="noConversion"/>
  </si>
  <si>
    <t>弭声之铃</t>
    <phoneticPr fontId="15" type="noConversion"/>
  </si>
  <si>
    <t>褪色神谕</t>
    <phoneticPr fontId="15" type="noConversion"/>
  </si>
  <si>
    <t>12711掉落</t>
    <phoneticPr fontId="15" type="noConversion"/>
  </si>
  <si>
    <t>11721掉落</t>
    <phoneticPr fontId="15" type="noConversion"/>
  </si>
  <si>
    <t>12701掉落</t>
    <phoneticPr fontId="15" type="noConversion"/>
  </si>
  <si>
    <t>10711掉落</t>
    <phoneticPr fontId="15" type="noConversion"/>
  </si>
  <si>
    <t>13701掉落</t>
    <phoneticPr fontId="15" type="noConversion"/>
  </si>
  <si>
    <t>13711掉落</t>
    <phoneticPr fontId="15" type="noConversion"/>
  </si>
  <si>
    <t>11701掉落</t>
    <phoneticPr fontId="15" type="noConversion"/>
  </si>
  <si>
    <t>被腐化的太阳徽记</t>
    <phoneticPr fontId="15" type="noConversion"/>
  </si>
  <si>
    <t>腐化的祭祀之骨</t>
    <phoneticPr fontId="15" type="noConversion"/>
  </si>
  <si>
    <t>血月结晶</t>
    <phoneticPr fontId="15" type="noConversion"/>
  </si>
  <si>
    <t>禁锢之链</t>
    <phoneticPr fontId="15" type="noConversion"/>
  </si>
  <si>
    <t>亵渎之杖·塔恩的遗愿</t>
    <phoneticPr fontId="15" type="noConversion"/>
  </si>
  <si>
    <t>骑士的头颅</t>
    <phoneticPr fontId="15" type="noConversion"/>
  </si>
  <si>
    <t>第一根古神脐带</t>
    <phoneticPr fontId="15" type="noConversion"/>
  </si>
  <si>
    <t>第二根古神脐带</t>
    <phoneticPr fontId="15" type="noConversion"/>
  </si>
  <si>
    <t>第三根古神脐带</t>
    <phoneticPr fontId="15" type="noConversion"/>
  </si>
  <si>
    <t>蠕行之书</t>
    <phoneticPr fontId="15" type="noConversion"/>
  </si>
  <si>
    <t>纯净的泪滴</t>
    <phoneticPr fontId="15" type="noConversion"/>
  </si>
  <si>
    <t>向卡恩交付的奖励</t>
    <phoneticPr fontId="15" type="noConversion"/>
  </si>
  <si>
    <t>卡恩的馈赠1</t>
    <phoneticPr fontId="15" type="noConversion"/>
  </si>
  <si>
    <t>卡恩的馈赠2</t>
  </si>
  <si>
    <t>卡恩的馈赠3</t>
  </si>
  <si>
    <t>卡恩的馈赠4</t>
  </si>
  <si>
    <t>卡恩的馈赠5</t>
  </si>
  <si>
    <t>卡恩的馈赠6</t>
  </si>
  <si>
    <t>卡恩的馈赠7</t>
  </si>
  <si>
    <t>卡恩的馈赠8</t>
  </si>
  <si>
    <t>冲刺技能</t>
    <phoneticPr fontId="15" type="noConversion"/>
  </si>
  <si>
    <t>skilldash</t>
    <phoneticPr fontId="15" type="noConversion"/>
  </si>
  <si>
    <t>净化之泉</t>
    <phoneticPr fontId="15" type="noConversion"/>
  </si>
  <si>
    <t>判断是否任务道具
1-是
0或不填-不是</t>
    <phoneticPr fontId="15" type="noConversion"/>
  </si>
  <si>
    <t>task_item_i</t>
  </si>
  <si>
    <t>item_effect_n</t>
  </si>
  <si>
    <t>类别</t>
    <phoneticPr fontId="15" type="noConversion"/>
  </si>
  <si>
    <t>名字</t>
    <phoneticPr fontId="15" type="noConversion"/>
  </si>
  <si>
    <t>内容</t>
    <phoneticPr fontId="15" type="noConversion"/>
  </si>
  <si>
    <t>• 在太阳神的光辉之下，首位国王萨恩格林，以其无双的智慧与勇气，于德莱德摩大陆的沃土之上建立了敦赫洛。他手持象征秩序的权杖，颁布了敦赫洛第一部法典，使公平与正义如河水般流淌于王国全境。在他的统治下，田野丰饶，城市兴盛，人民安居乐业，吟游诗人传唱着他的英名，称其为“光之子”。编年史记载，国王年轻时曾深入时间的迷雾，获得古老神祇的馈赠，此乃王国长治久安的基石。然伟业之下，亦有阴影。史官的笔尖在此处变得模糊，只留下寥寥数语：“……预言中的灾厄如远雷般在地平线轰鸣，纵是光之子，亦无法忽视那来自深渊的凝视。” 这部官方史书为王国的黄金时代画上了完美的句号，却也为未来的悲剧埋下了不祥的伏笔。</t>
    <phoneticPr fontId="15" type="noConversion"/>
  </si>
  <si>
    <t>• 在智者德拉索尼姆的辅佐下，王国迎来了变革的阵痛。为应对迫在眉睫的威胁，萨恩格林陛下以非凡的魄力，批准了一系列旨在强化国力的革新。瓦尔德里克将军的军队接受了“存在的洗礼”，获得了前所未有的力量，成为王国无坚不摧的“裂隙军团”。太阳神的信仰亦在艾莉丝大祭司的引导下，迎来了更深刻的诠释，信徒们开始理解“光之阴影”的必要性，于新建的黑石教堂中探寻更高维度的真理。史书记载，此乃必要的牺牲与进化，是敦赫洛为在即将到来的黑暗中存续，所必须付出的代价。一切质疑与骚动，皆被视为旧时代软弱的残响，迅速被新时代洪流所淹没。</t>
    <phoneticPr fontId="15" type="noConversion"/>
  </si>
  <si>
    <t>• 国王陛下的意志如同太阳般不可动摇，他下令建造一座前所未有的宏伟圣殿，以彰显敦赫洛对太阳神的无上虔诚。我们自北境采掘了最坚硬的黑石，其色深沉，能更好地映衬圣火的光辉。我设计的尖顶将是王国最高之处，每日清晨，第一缕阳光必将亲吻其顶。圣殿之内，将有百米穹顶，绘满太阳神驱逐远古黑暗的史诗壁画。中央的巨大火盆，将由高阶祭司日夜看护，使其永不熄灭。当我将这完美的草图呈给萨恩格林陛下时，他却久久凝视，最终指向图纸的一角，低语道：“须在圣殿之下，留一处足够深、足够坚固的密室……以备不时之需。” 我虽不解，但君王之命不可违。</t>
    <phoneticPr fontId="15" type="noConversion"/>
  </si>
  <si>
    <t>• 天空是紫色的！神啊，那不是夜晚的颜色！城墙在融化，士兵们……那些怪物在街上收割生命！德拉索尼姆，那个骗子，他站在高塔上，像个疯子一样大笑！国王陛下，他把自己锁在王座厅，已经三天了。我刚才看到他，他抱着那面传说中的盾牌，双眼通红，他没有哭，但他的悲伤仿佛要将整个王宫压垮。他只对我说了一句话：“告诉后人，是我引狼入室，但也是我，会关上这地狱之门。” 外面的哀嚎声越来越近了……我听到了，那些不死军团的脚步声。我无处可逃。这是敦赫洛最后的记录。愿太阳……不，愿什么都好，怜悯我们。</t>
    <phoneticPr fontId="15" type="noConversion"/>
  </si>
  <si>
    <t>• 敦赫洛王国，东临无尽之海，西接哀嚎山脉，北抵裂冰荒原，南至雷鸣沼泽。王城坐落于中央平原，物产丰饶。南部沼泽虽环境恶劣，但其独特的黑泥是制作陶器的上好材料，王国在此设有前哨站。西部的沙海曾是一片绿洲，古文明的遗迹在流沙下若隐若现，是学者与探险家的乐园。北方的荒原气候严酷，冰川中封存着太古时代的秘密。国王的疆域广阔而稳固，瓦尔德里克将军的军团如雄狮般巡视着每一寸土地，确保着王国的和平与繁荣。此乃太阳神光辉所及之地，亦是敦赫洛子民生息之所。</t>
    <phoneticPr fontId="15" type="noConversion"/>
  </si>
  <si>
    <t>开国之治</t>
  </si>
  <si>
    <t>开国之治</t>
    <phoneticPr fontId="15" type="noConversion"/>
  </si>
  <si>
    <t>阴影纪元</t>
  </si>
  <si>
    <t>阴影纪元</t>
    <phoneticPr fontId="15" type="noConversion"/>
  </si>
  <si>
    <t>圣殿奠基</t>
  </si>
  <si>
    <t>圣殿奠基</t>
    <phoneticPr fontId="15" type="noConversion"/>
  </si>
  <si>
    <t>最后的宫廷记录</t>
    <phoneticPr fontId="15" type="noConversion"/>
  </si>
  <si>
    <t>疆域篇</t>
  </si>
  <si>
    <t>疆域篇</t>
    <phoneticPr fontId="15" type="noConversion"/>
  </si>
  <si>
    <t>萨恩格林王子的冒险日志</t>
  </si>
  <si>
    <t>萨恩格林王子的冒险日志</t>
    <phoneticPr fontId="15" type="noConversion"/>
  </si>
  <si>
    <t>《敦赫洛皇家编年史》</t>
    <phoneticPr fontId="15" type="noConversion"/>
  </si>
  <si>
    <t>• ……父亲说，王冠不仅是荣耀，更是重担。他说预言中的阴影终将到来，我必须为此做好准备。导师告诉我，传说中时间之神的神器就藏在哀嚎山脉的“时之裂隙”中。那里的时间是破碎的，踏错一步就可能瞬间衰老或回到幼年。我必须去。为了敦赫洛。……裂隙中的景象难以言喻，我看到了王国的未来，那是一片火海与废墟。一个高大的、被紫色光芒笼罩的身影……不，我不能被幻象迷惑。在裂隙的最深处，我找到了它——那面盾牌，【萨恩格林之盾】。它没有散发光芒，却仿佛承载了整个世界的重量。当我握住它时，一个声音在我脑中响起：“此为封印，非为武器。启动它的代价，是你所拥有的一切。</t>
    <phoneticPr fontId="15" type="noConversion"/>
  </si>
  <si>
    <t>掉落途径</t>
    <phoneticPr fontId="15" type="noConversion"/>
  </si>
  <si>
    <t>《地理杂录》</t>
    <phoneticPr fontId="15" type="noConversion"/>
  </si>
  <si>
    <t>雷鸣沼泽的成因</t>
    <phoneticPr fontId="15" type="noConversion"/>
  </si>
  <si>
    <t>• 主流观点认为雷鸣沼泽是地质沉降与河流改道形成的。但我在此地进行了长达十年的考察，发现事实远非如此。沼泽深处的泥土中含有大量无法辨识的有机物残骸，以及微量的、具有高度侵蚀性的未知金属元素。根据地层分析，在远古时代，此地曾发生过一场剧烈的爆炸，能量层级远超任何已知的火山或陨星撞击。我的猜想是，这里曾是两位古神或高维存在的战场，其中一位陨落于此，其神躯与神血在漫长岁月中腐化、分解，最终形成了这片散发着不祥气息，闪电的沼泽。那些黑泥，或许就是一位古神腐朽的血肉。</t>
    <phoneticPr fontId="15" type="noConversion"/>
  </si>
  <si>
    <t>黑石教堂建筑草图</t>
  </si>
  <si>
    <t>黑石教堂建筑草图</t>
    <phoneticPr fontId="15" type="noConversion"/>
  </si>
  <si>
    <t>• 这是我一生中最得意的作品，一座献给太阳神的赞歌。尖顶、穹顶、采光……一切都为了彰显光明与秩序。 
 不，全错了！光无法驱散真正的虚无！德拉索尼姆先生说得对，我们需要的是“锚点”，是“容器”！尖顶太脆弱，改成厚重的平顶！采光是多余的，黑暗才能孕育真正的力量！必须用黑石，只有它能承受那股力量的灌注！入口的雕像保留，但要刻上新的符文，让它成为引导而非驱散的信标！中心火盆熄灭，改成吸收能量的祭坛！神啊，我究竟在设计什么？一座神殿？还是一座……巨大的坟墓？</t>
    <phoneticPr fontId="15" type="noConversion"/>
  </si>
  <si>
    <t>冰封遗迹勘探日志</t>
  </si>
  <si>
    <t>冰封遗迹勘探日志</t>
    <phoneticPr fontId="15" type="noConversion"/>
  </si>
  <si>
    <t>• 国王陛下第十七号勘探队日志。我们已进入冰封遗迹深处。此地气候异常，远超预估。更令人不安的是时间流速的紊乱。罗盘指针疯狂旋转，计时沙漏时快时慢。昨天，队员马可在我们眼前迅速衰老，皮肤布满皱纹，几息之间便化为一具枯骨。而今天，我们发现了一块巨大的冰川，冰层中……封印着一些东西。不是动物，像是某种建筑的残骸，还有一些穿着古老服饰的人形，他们的表情凝固在惊恐的一瞬间。这里仿佛是一个被时间遗忘的巨大战场。我们必须撤退，这片土地本身……就是一个缓慢转动的囚笼。</t>
    <phoneticPr fontId="15" type="noConversion"/>
  </si>
  <si>
    <t>炎狱深渊的传说</t>
  </si>
  <si>
    <t>炎狱深渊的传说</t>
    <phoneticPr fontId="15" type="noConversion"/>
  </si>
  <si>
    <t>•我爷爷的爷爷就住在这附近。他说，那大裂谷底下，不是什么岩浆，是大地流的血。传说创世的时候，太阳神跟一个叫“古神”的大怪物打了一架。太阳神一锤子把那怪物打进了地底下，但怪物的黑心肠还在跳，它的血就从地底冒出来，变成了这滚烫的岩浆。所以这地方才这么热，还老是能听到地底下传来‘咚咚’的声音，跟打雷一样。他说，千万别往里扔东西，也别在边上大声嚷嚷，不然会把那怪物吵醒。要是它哪天真醒了，整个世界都得被烧成灰。</t>
    <phoneticPr fontId="15" type="noConversion"/>
  </si>
  <si>
    <t>看墓人的日记</t>
  </si>
  <si>
    <t>看墓人的日记</t>
    <phoneticPr fontId="15" type="noConversion"/>
  </si>
  <si>
    <t>• 这是我守着这片王家墓园的第三十年。我熟悉每一块墓碑，熟悉每一寸土地。但最近，一切都变了。土地变得松软，像是下面有什么东西在翻动。到了晚上，我总能听到墓碑下传来若有若无的刮擦声。前天夜里，我亲眼看见，刚下葬的财政大臣的坟头，泥土自己拱了起来！我吓得跑回小屋，整夜不敢出门。黑石教堂的祭司今天来了，他们不是来安抚亡魂，而是在墓园中心洒下一些黑色的粉末，念着我听不懂的咒语。他们说这是“必要的安宁”。我呸！我看他们是想把这片安息之地，变成一座……兵营。</t>
    <phoneticPr fontId="15" type="noConversion"/>
  </si>
  <si>
    <t>腐蚀荒原植物样本报告</t>
  </si>
  <si>
    <t>腐蚀荒原植物样本报告</t>
    <phoneticPr fontId="15" type="noConversion"/>
  </si>
  <si>
    <t>• 致王家科学院：我在腐蚀荒原采集的植物样本表现出前所未有的攻击性。‘血喉花’的根须能主动缠绕小型动物并吸食其血肉。‘怨毒藤’的汁液具有强烈的神经毒性。最令人不安的是，这些植物的细胞结构中，出现了一种与动物细胞高度相似的线粒体。它们似乎正在跨越植物与动物的界限，进行着某种恐怖的“进化”。德拉索尼姆顾问对此的解释是‘生命力在特殊环境下的应激反应’，并建议加大研究力度，寻找可利用的价值。但我认为，这不是进化，这是污染。一种源自地底深处的、针对‘生命’这个概念本身的污染。我请求立即封锁此区域！</t>
    <phoneticPr fontId="15" type="noConversion"/>
  </si>
  <si>
    <t>王室地理顾问的密信</t>
    <phoneticPr fontId="15" type="noConversion"/>
  </si>
  <si>
    <t>• “桑德森大人，您要我秘密调查的德拉索尼姆顾问，其行踪确实诡异。他并未过多干涉王国政务，却对几处特定的‘无用之地’表现出超乎寻常的兴趣。他曾数次独自前往雷鸣沼泽的中心以及冰封遗迹那座封印着未知存在的冰川。我派遣的探子都未能靠近，或失踪，或精神失常。我绘制了一份他频繁前往地点的地图。这些地点看似毫无关联，但在古老的地脉学说中，它们似乎都位于某种……能量流的节点上。我不知道他想做什么，但这绝不是在为王国祈福。他像是在……唤醒这片土地下沉睡的什么东西。请务必小心。”</t>
    <phoneticPr fontId="15" type="noConversion"/>
  </si>
  <si>
    <t>《神祇与信仰》</t>
    <phoneticPr fontId="15" type="noConversion"/>
  </si>
  <si>
    <t>• “……我主，昔日光辉之源，为何您的恩典日渐吝啬？白昼愈发短暂，连正午的阳光也失去了灼人的温度，仿佛一层看不见的纱，隔绝了天与地。圣殿中的永恒之火，如今跳动得疲惫而虚弱，火焰的颜色不再是纯粹的金色，而是混杂着一丝病态的灰白，冒出的黑烟如同绝望的叹息。我们日夜诵经，以最虔诚的心献上祷告，但回应我们的只有愈发深沉的寂静与寒冷。孩童们不再于阳光下嬉戏，因为阴影似乎在光天化日之下悄然延长。老人们说，这是太阳神即将隐退的征兆，是祂对我们信仰动摇的惩罚。神啊，若真是如此，我们该如何才能重新赢得您的垂青？抑或是，那预言中的永夜，已非凡人之力所能挽回？”</t>
    <phoneticPr fontId="15" type="noConversion"/>
  </si>
  <si>
    <t>衰亡之兆</t>
  </si>
  <si>
    <t>衰亡之兆</t>
    <phoneticPr fontId="15" type="noConversion"/>
  </si>
  <si>
    <t>最后的永昼之礼记录</t>
  </si>
  <si>
    <t>最后的永昼之礼记录</t>
    <phoneticPr fontId="15" type="noConversion"/>
  </si>
  <si>
    <t>• “……今年的永昼之礼，气氛诡异得让人窒息。往年，全城的人都会涌向中央广场，欢庆太阳神最盛大的恩典。但今年，广场上的人稀稀拉拉，每个人脸上都挂着恐惧。那巨大的圣火堆，用了比往年多三倍的油脂，却迟迟无法点燃。艾莉丝大祭司的脸色苍白如纸，她的祷文听起来不再充满力量，反而带着一丝颤抖。好不容易燃起的火焰，颜色是昏黄的，还夹杂着一股恶臭的黑烟。风中传来的不再是圣歌，而是远处黑石教堂方向传来的、令人不安的低沉嗡鸣。我看到许多邻居悄悄地离开了广场，朝着黑石教堂的方向走去。他们说，那里有‘新的希望’。我不知道什么是新的希望，我只知道，太阳……好像真的要抛弃我们了。”</t>
    <phoneticPr fontId="15" type="noConversion"/>
  </si>
  <si>
    <t>古神的苏醒</t>
  </si>
  <si>
    <t>古神的苏醒</t>
    <phoneticPr fontId="15" type="noConversion"/>
  </si>
  <si>
    <t>• “古神的苏醒并非一个事件，而是一个缓慢的‘现实覆盖’过程。它始于最细微之处，对物理法则的公然蔑视。我记录到，某些地区的影子在没有光源改变的情况下会自行扭曲；声音在空旷地带会产生延迟甚至倒置的回响。第二阶段，是概念的侵蚀。植物开始模仿动物的形态，岩石的纹理中浮现出类似内脏的脉络。这片土地仿佛‘活’了过来，但却是在做一个恐怖的噩梦，而梦境中的产物正通过现实的裂缝渗透出来。德拉索尼姆称此为‘旧有存在的解构’，是‘伟大重塑’前的必要阵痛。我不知道那是什么，我只知道，我们所熟知的‘真实’，正在像被酸液腐蚀的画卷一样，慢慢溶解。”</t>
    <phoneticPr fontId="15" type="noConversion"/>
  </si>
  <si>
    <t>太阳神信仰的终结</t>
  </si>
  <si>
    <t>太阳神信仰的终结</t>
    <phoneticPr fontId="15" type="noConversion"/>
  </si>
  <si>
    <t>• “我见证了敦赫洛的百年兴衰，也侍奉了太阳神一生。我曾以为我的信仰坚如磐石，直到黑石教堂拔地而起。那不是神殿，那是坟墓，吞噬光明的坟墓。艾莉丝，我曾经最骄傲的学生，如今却在高台上宣讲着亵渎的教义，将黑暗称为‘更深邃的光’。我试图反驳，却被信徒们当作老糊涂和异端。他们不再需要温暖和希望，他们需要的是从恐惧中解脱的麻木。当最后一丝永恒之火在我的看护下熄灭时，我听到了神的叹息，或是我自己的。太阳没有抛弃我们，是我们……亲手关上了迎接祂光芒的窗。此信留给或许能发现此地的后来者：警惕那些承诺用黑暗来战胜黑暗的人，因为他们带来的，只会是更深的夜。”</t>
    <phoneticPr fontId="15" type="noConversion"/>
  </si>
  <si>
    <t>艾莉丝的秘密祷文</t>
  </si>
  <si>
    <t>艾莉丝的秘密祷文</t>
    <phoneticPr fontId="15" type="noConversion"/>
  </si>
  <si>
    <t>• “……我不再向那沉默的太阳祈求。我转向您，伟大的、静默的存在，那超越光明与黑暗的终极虚无。若光明的代价是面对绝望时的无能为力，我宁愿舍弃这虚伪的温暖。若秩序的尽头是眼睁睁看着子民在恐惧中沉沦，我宁愿拥抱足以颠覆一切的混沌。我听到了您的低语，德拉索尼姆先生将其称为‘宇宙的真言’。它冰冷，却充满力量；它无情，却承诺改变。我，艾莉丝·拉维尔，愿献上我曾对太阳神的全部虔诚，作为交换。请赐予我力量，不是为了我自己，而是为了拯救这片即将被绝望吞噬的土地。即便代价是我的灵魂将在您深邃的阴影中永世沉沦，我也在所不惜。”</t>
    <phoneticPr fontId="15" type="noConversion"/>
  </si>
  <si>
    <t>《预言与诅咒》</t>
    <phoneticPr fontId="15" type="noConversion"/>
  </si>
  <si>
    <t>无名先知的预言</t>
  </si>
  <si>
    <t>无名先知的预言</t>
    <phoneticPr fontId="15" type="noConversion"/>
  </si>
  <si>
    <t>• “当王座上的雄狮为远方的雷声而忧愁， 一位披着星辰与哀伤的智者将自虚无中行走。 他带来逆转时间的知识，与抵御永夜的火种， 却以王国的根基为柴，燃起一场欺世的火。 影子中的匕首将发出警告，却只能刺破幻梦， 忠诚的盾卫将拥抱黑暗，只为换取虚假的强盛。 最终，雄狮将以自身为锁，囚禁那滔天的灾祸， 留下一个破碎的国度，在时间的裂隙中唱着悲歌。”</t>
    <phoneticPr fontId="15" type="noConversion"/>
  </si>
  <si>
    <t>时间封印的代价</t>
  </si>
  <si>
    <t>时间封印的代价</t>
    <phoneticPr fontId="15" type="noConversion"/>
  </si>
  <si>
    <t>• “……我启动了‘萨恩格林之盾’，以我身为国王的血脉与灵魂为代价，将整个敦赫洛连同那滔天的灾厄一同放逐到了时间的裂隙之中。我成功了，古神的力量未能蔓延至整个大陆。但我亦失败了。这并非真正的封印，而是一个巨大的‘时间停滞区域’。在这里，一切都凝固在毁灭的那一刻，痛苦与绝望被无限拉长，化为永恒。而我，萨恩格林，作为封印的核心，将永世被困于此，既是这里的囚徒，也是这里的狱卒。我将一遍又一遍地目睹我的王国在我眼前崩塌，我的子民在我面前哀嚎。这是我轻信谎言的惩罚，也是我身为末代君王，唯一能为这片土地做出的……最后的赎罪。”</t>
    <phoneticPr fontId="15" type="noConversion"/>
  </si>
  <si>
    <t>德拉索尼姆的自我诅咒</t>
  </si>
  <si>
    <t>德拉索尼姆的自我诅咒</t>
    <phoneticPr fontId="15" type="noConversion"/>
  </si>
  <si>
    <t>“……我已不记得上一次感受到温暖是什么时候，或许是在艾尔丹诺的光芒中，或许那也只是我的幻想。我追逐着族人的幻影，跨越了无尽的时间与维度。这份执念，便是我为自己设下的最恶毒的诅咒。我无法死亡，因为我的‘死亡’早已与族人的‘归来’绑定在一起。我无法停歇，因为每一次呼吸都在提醒我那份巨大的、永恒的失落。我欺骗，我毁灭，我将无数世界化为祭品，但我内心深处那片冰冷的虚无却从未被填满。或许，我追寻的并非真正的团聚，而只是一个能让我这无尽的痛苦显得‘有意义’的借口。我诅咒自己永生不死，直到我亲手重现那份辉煌……或者，直到我被自己的谎言彻底吞噬。”</t>
    <phoneticPr fontId="15" type="noConversion"/>
  </si>
  <si>
    <t>《BOSS列传》</t>
    <phoneticPr fontId="15" type="noConversion"/>
  </si>
  <si>
    <t>尸王阿克蒙德的过往</t>
  </si>
  <si>
    <t>尸王阿克蒙德的过往</t>
    <phoneticPr fontId="15" type="noConversion"/>
  </si>
  <si>
    <t>• 阿克蒙德曾是黑死墓园旁一个富裕的领主。他因反对德拉索尼姆在王国推行“新政”而被秘密毒杀，并被草草葬于平民墓区。德拉索尼姆的仪式污染了墓园的土地，让他带着无尽的怨恨与对生者的嫉妒从地下爬出。他并非为古神效力，他只是憎恨一切活物，想把所有人都拖进他那冰冷、腐臭的国度。</t>
    <phoneticPr fontId="15" type="noConversion"/>
  </si>
  <si>
    <t>瓦尔德里克将军的最后家书</t>
  </si>
  <si>
    <t>瓦尔德里克将军的最后家书</t>
    <phoneticPr fontId="15" type="noConversion"/>
  </si>
  <si>
    <t>致我亲爱的艾米丽：若你读到此信，说明我已无法归来。国王的决定沉重，但我必须遵从。德拉索尼姆先生赐予我们无法想象的力量，我的士兵不再畏惧刀剑。我们或许能赢得这场战争。但每当看到他们空洞的眼神，我都会感到刺骨的寒冷。我不知我带领的还是一支军队，或是一群行尸走肉。若我战死，告诉我们的儿子，他父亲是英雄。若我……变成了别的什么东西，请让他忘了我。</t>
    <phoneticPr fontId="15" type="noConversion"/>
  </si>
  <si>
    <t>堕落祭司艾莉丝的日记</t>
  </si>
  <si>
    <t>堕落祭司艾莉丝的日记</t>
    <phoneticPr fontId="15" type="noConversion"/>
  </si>
  <si>
    <t>• “今天，我将在黑石祭坛上完成最后的飞升。德拉索尼姆先生说，我将与‘虚无’融为一体，成为新世界的第一位圣徒。我曾动摇，曾怀疑。但当我看到圣火在眼前熄灭，听到太阳神长久的沉默时，我便明白了。光明已经抛弃了我们。与其在被遗弃的绝望中等待，不如主动拥抱那永恒的、静谧的黑暗。我将成为黑暗，为那些仍在光明中挣扎的迷途羔羊，指引‘真正’的道路。”</t>
    <phoneticPr fontId="15" type="noConversion"/>
  </si>
  <si>
    <t>屠夫的起源</t>
  </si>
  <si>
    <t>屠夫的起源</t>
    <phoneticPr fontId="15" type="noConversion"/>
  </si>
  <si>
    <t>• 他曾是王城地牢的拷问官，一个以折磨他人为乐的虐待狂。大灾变时，他没有逃跑，反而兴奋地打开了所有牢房，享受着那场混乱的盛宴。古神的力量对他来说不是诅咒，而是恩赐。它放大了他内心所有的残忍与暴虐，将他变成了一个只为“切割”与“分解”而存在的怪物。他庞大的身躯，是由无数受害者的血肉拼接而成。</t>
    <phoneticPr fontId="15" type="noConversion"/>
  </si>
  <si>
    <t>获取方式：击败堕落后的瓦尔德里克将军后掉落的残破书卷。
（第二幕终BOSS掉落）</t>
    <phoneticPr fontId="15" type="noConversion"/>
  </si>
  <si>
    <t>获取方式：黑石教堂侧翼一间废弃的工坊内，从一具建筑师的骸骨旁拾取。
（教堂工坊内）</t>
    <phoneticPr fontId="15" type="noConversion"/>
  </si>
  <si>
    <t>获取方式：王城图书馆废墟一处保存尚完好的高大书架上。
（教堂书房）</t>
    <phoneticPr fontId="15" type="noConversion"/>
  </si>
  <si>
    <t>获取方式：一处边境哨塔的废墟中，藏在地图箱里的官方地图册附录。
（荒原哨塔旁边的宝箱掉落）</t>
    <phoneticPr fontId="15" type="noConversion"/>
  </si>
  <si>
    <t>获取方式：在王城一个隐藏的宝库中，与一件传说道具放在一起。
（墓园尸潮墓碑掉落）</t>
    <phoneticPr fontId="15" type="noConversion"/>
  </si>
  <si>
    <t>获取方式：黑泥沼泽边缘一个被泥土半掩的营地里，一具探险家骸骨的背包中。
（沼泽中一具探险家骸骨翻找掉落）</t>
    <phoneticPr fontId="15" type="noConversion"/>
  </si>
  <si>
    <t>获取方式：黑石教堂一个隐秘的夹层房间里，散落在绘图桌上的图纸。
（教堂工坊内）</t>
    <phoneticPr fontId="15" type="noConversion"/>
  </si>
  <si>
    <t>获取方式：裂冰荒原一处废弃的勘探营地帐篷内，一本被冻结的日志。
（荒原的一处帐篷边上）</t>
    <phoneticPr fontId="15" type="noConversion"/>
  </si>
  <si>
    <t>获取-方式：炎狱深渊附近一个破败村庄的废墟中，一个说书人留下的故事集。
（献祭之柱完成概率掉落）</t>
    <phoneticPr fontId="15" type="noConversion"/>
  </si>
  <si>
    <t>获取-方式：通往一个废弃矿坑的路上，一具矿工骸骨旁。
（荒原的一处帐篷中的一具骸骨旁边）</t>
    <phoneticPr fontId="15" type="noConversion"/>
  </si>
  <si>
    <t>获取方式：黑死墓园入口处一间破败的小木屋里。
（墓园的一个破败小屋边上）</t>
    <phoneticPr fontId="15" type="noConversion"/>
  </si>
  <si>
    <t>（冰原的一个尸体上翻查掉落）</t>
    <phoneticPr fontId="15" type="noConversion"/>
  </si>
  <si>
    <t>（屠夫掉落）</t>
    <phoneticPr fontId="15" type="noConversion"/>
  </si>
  <si>
    <t>（第三章图BOSS掉落）</t>
    <phoneticPr fontId="15" type="noConversion"/>
  </si>
  <si>
    <t>（第二章图BOSS掉落）</t>
    <phoneticPr fontId="15" type="noConversion"/>
  </si>
  <si>
    <t>（第一章图尸王BOSS掉落）</t>
    <phoneticPr fontId="15" type="noConversion"/>
  </si>
  <si>
    <t>• 获取方式： 在一个流浪艺人的骸骨旁发现的羊皮纸，上面的文字似乎会随着观看者的心境而发生微小的变化。
（预言碎片合成）</t>
    <phoneticPr fontId="15" type="noConversion"/>
  </si>
  <si>
    <t>• 获取方式： 王城大学士的一个秘密实验室内，一张沾满黑色液体的研究桌上。
（击败腐化卡恩后掉落）</t>
    <phoneticPr fontId="15" type="noConversion"/>
  </si>
  <si>
    <t>（祭祀骨堆掉落）</t>
    <phoneticPr fontId="15" type="noConversion"/>
  </si>
  <si>
    <t xml:space="preserve">• 获取方式： 在敦赫洛城一个被烧毁的民居废墟中，从一个木箱里找到的日记。
（祭祀之地掉落）
</t>
    <phoneticPr fontId="15" type="noConversion"/>
  </si>
  <si>
    <t>• 获取方式： 在一座被查封的太阳神小神庙的密室中，一具穿着祭司袍的骸骨怀里。
（冰火种祭坛掉落）</t>
    <phoneticPr fontId="15" type="noConversion"/>
  </si>
  <si>
    <t>• 获取方式： 黑石教堂深处，艾莉丝堕落后的房间里，藏在一本地板下的《太阳圣典》夹页中
（毒火种祭坛掉落）</t>
    <phoneticPr fontId="15" type="noConversion"/>
  </si>
  <si>
    <t>• 获取方式： 在一座远离王城的、被废弃的太阳神小教堂内，从主祭坛上的一具神父骸骨手中发现。
（监牢里面）</t>
    <phoneticPr fontId="15" type="noConversion"/>
  </si>
  <si>
    <r>
      <rPr>
        <b/>
        <sz val="14"/>
        <color theme="1"/>
        <rFont val="宋体"/>
        <family val="3"/>
        <charset val="134"/>
        <scheme val="minor"/>
      </rPr>
      <t>稀有度</t>
    </r>
    <r>
      <rPr>
        <sz val="14"/>
        <color theme="1"/>
        <rFont val="宋体"/>
        <family val="3"/>
        <charset val="134"/>
        <scheme val="minor"/>
      </rPr>
      <t xml:space="preserve">
1-普通
</t>
    </r>
    <r>
      <rPr>
        <sz val="14"/>
        <color rgb="FF00B050"/>
        <rFont val="宋体"/>
        <family val="3"/>
        <charset val="134"/>
        <scheme val="minor"/>
      </rPr>
      <t>2-精良</t>
    </r>
    <r>
      <rPr>
        <sz val="14"/>
        <color theme="1"/>
        <rFont val="宋体"/>
        <family val="3"/>
        <charset val="134"/>
        <scheme val="minor"/>
      </rPr>
      <t xml:space="preserve">
</t>
    </r>
    <r>
      <rPr>
        <sz val="14"/>
        <color rgb="FF00B0F0"/>
        <rFont val="宋体"/>
        <family val="3"/>
        <charset val="134"/>
        <scheme val="minor"/>
      </rPr>
      <t>3-稀有</t>
    </r>
    <r>
      <rPr>
        <sz val="14"/>
        <color theme="1"/>
        <rFont val="宋体"/>
        <family val="3"/>
        <charset val="134"/>
        <scheme val="minor"/>
      </rPr>
      <t xml:space="preserve">
</t>
    </r>
    <r>
      <rPr>
        <sz val="14"/>
        <color rgb="FFCC66FF"/>
        <rFont val="宋体"/>
        <family val="3"/>
        <charset val="134"/>
        <scheme val="minor"/>
      </rPr>
      <t>4-史诗</t>
    </r>
    <r>
      <rPr>
        <sz val="14"/>
        <color theme="1"/>
        <rFont val="宋体"/>
        <family val="3"/>
        <charset val="134"/>
        <scheme val="minor"/>
      </rPr>
      <t xml:space="preserve">
</t>
    </r>
    <r>
      <rPr>
        <sz val="14"/>
        <color theme="5" tint="-0.249977111117893"/>
        <rFont val="宋体"/>
        <family val="3"/>
        <charset val="134"/>
        <scheme val="minor"/>
      </rPr>
      <t xml:space="preserve">5-传奇
</t>
    </r>
    <r>
      <rPr>
        <sz val="14"/>
        <color rgb="FF00B0F0"/>
        <rFont val="宋体"/>
        <family val="3"/>
        <charset val="134"/>
        <scheme val="minor"/>
      </rPr>
      <t xml:space="preserve">6-套装
</t>
    </r>
    <r>
      <rPr>
        <sz val="14"/>
        <color theme="5" tint="0.39997558519241921"/>
        <rFont val="宋体"/>
        <family val="3"/>
        <charset val="134"/>
        <scheme val="minor"/>
      </rPr>
      <t>7-任务道具</t>
    </r>
    <phoneticPr fontId="15" type="noConversion"/>
  </si>
  <si>
    <t>获取方式： 在最终进入时间裂隙中的敦赫洛王城后，在王座上发现的萨恩格林国王的残影留下的精神回响。
（电火种祭坛掉落）</t>
    <phoneticPr fontId="15" type="noConversion"/>
  </si>
  <si>
    <t>获取方式：王座厅门外一具蜷缩的宫廷史官骸骨手中。
（教堂内）</t>
    <phoneticPr fontId="15" type="noConversion"/>
  </si>
  <si>
    <r>
      <rPr>
        <b/>
        <sz val="14"/>
        <color theme="5" tint="-0.499984740745262"/>
        <rFont val="宋体"/>
        <family val="3"/>
        <charset val="134"/>
        <scheme val="minor"/>
      </rPr>
      <t>书籍详细内容</t>
    </r>
    <r>
      <rPr>
        <b/>
        <sz val="14"/>
        <color theme="1"/>
        <rFont val="宋体"/>
        <family val="3"/>
        <charset val="134"/>
        <scheme val="minor"/>
      </rPr>
      <t xml:space="preserve">
中文ID：音效ID
（无音效配0）</t>
    </r>
    <phoneticPr fontId="15" type="noConversion"/>
  </si>
  <si>
    <t>35101:0</t>
    <phoneticPr fontId="15" type="noConversion"/>
  </si>
  <si>
    <t>35102:0</t>
    <phoneticPr fontId="15" type="noConversion"/>
  </si>
  <si>
    <t>35103:0</t>
    <phoneticPr fontId="15" type="noConversion"/>
  </si>
  <si>
    <t>35104:0</t>
    <phoneticPr fontId="15" type="noConversion"/>
  </si>
  <si>
    <t>35105:0</t>
    <phoneticPr fontId="15" type="noConversion"/>
  </si>
  <si>
    <t>35106:0</t>
    <phoneticPr fontId="15" type="noConversion"/>
  </si>
  <si>
    <t>37001:37001</t>
    <phoneticPr fontId="15" type="noConversion"/>
  </si>
  <si>
    <t>37002:37002</t>
    <phoneticPr fontId="15" type="noConversion"/>
  </si>
  <si>
    <t>37003:37003</t>
    <phoneticPr fontId="15" type="noConversion"/>
  </si>
  <si>
    <t>37004:37004</t>
    <phoneticPr fontId="15" type="noConversion"/>
  </si>
  <si>
    <t>37005:37005</t>
    <phoneticPr fontId="15" type="noConversion"/>
  </si>
  <si>
    <t>37006:37006</t>
    <phoneticPr fontId="15" type="noConversion"/>
  </si>
  <si>
    <t>35107:0</t>
  </si>
  <si>
    <t>35502:0</t>
  </si>
  <si>
    <t>35503:0</t>
  </si>
  <si>
    <t>腐化之心</t>
    <phoneticPr fontId="15" type="noConversion"/>
  </si>
  <si>
    <t>37101:37101</t>
    <phoneticPr fontId="15" type="noConversion"/>
  </si>
  <si>
    <t>37102:37102</t>
    <phoneticPr fontId="15" type="noConversion"/>
  </si>
  <si>
    <t>37103:37103</t>
    <phoneticPr fontId="15" type="noConversion"/>
  </si>
  <si>
    <t>37104:37104</t>
    <phoneticPr fontId="15" type="noConversion"/>
  </si>
  <si>
    <t>37105:37105</t>
    <phoneticPr fontId="15" type="noConversion"/>
  </si>
  <si>
    <t>37106:37106</t>
    <phoneticPr fontId="15" type="noConversion"/>
  </si>
  <si>
    <t>37107:37107</t>
    <phoneticPr fontId="15" type="noConversion"/>
  </si>
  <si>
    <t>37201:37201</t>
    <phoneticPr fontId="15" type="noConversion"/>
  </si>
  <si>
    <t>37202:37202</t>
    <phoneticPr fontId="15" type="noConversion"/>
  </si>
  <si>
    <t>37203:37203</t>
    <phoneticPr fontId="15" type="noConversion"/>
  </si>
  <si>
    <t>37204:37204</t>
    <phoneticPr fontId="15" type="noConversion"/>
  </si>
  <si>
    <t>37205:37205</t>
    <phoneticPr fontId="15" type="noConversion"/>
  </si>
  <si>
    <t>37301:37301</t>
    <phoneticPr fontId="15" type="noConversion"/>
  </si>
  <si>
    <t>37302:37302</t>
    <phoneticPr fontId="15" type="noConversion"/>
  </si>
  <si>
    <t>37303:37303</t>
    <phoneticPr fontId="15" type="noConversion"/>
  </si>
  <si>
    <t>37401:37401</t>
    <phoneticPr fontId="15" type="noConversion"/>
  </si>
  <si>
    <t>37402:37402</t>
    <phoneticPr fontId="15" type="noConversion"/>
  </si>
  <si>
    <t>37403:37403</t>
    <phoneticPr fontId="15" type="noConversion"/>
  </si>
  <si>
    <t>37404:37404</t>
    <phoneticPr fontId="15" type="noConversion"/>
  </si>
  <si>
    <t>task_complete_i</t>
  </si>
  <si>
    <t>任务道具关联的任务ID
(控制道具停止掉落）</t>
    <phoneticPr fontId="15" type="noConversion"/>
  </si>
  <si>
    <t>任务道具关联的任务ID
(控制道具在指定任务完成后开始掉落）</t>
    <phoneticPr fontId="15" type="noConversion"/>
  </si>
  <si>
    <t>14701掉落</t>
    <phoneticPr fontId="15" type="noConversion"/>
  </si>
  <si>
    <t>献祭材料</t>
    <phoneticPr fontId="15" type="noConversion"/>
  </si>
  <si>
    <t>刷新次数+1</t>
    <phoneticPr fontId="15" type="noConversion"/>
  </si>
  <si>
    <t>锁定次数+1</t>
    <phoneticPr fontId="15" type="noConversion"/>
  </si>
  <si>
    <t>剔除次数+1</t>
    <phoneticPr fontId="15" type="noConversion"/>
  </si>
  <si>
    <t>生命值+1</t>
    <phoneticPr fontId="15" type="noConversion"/>
  </si>
  <si>
    <t>攻击+2</t>
    <phoneticPr fontId="15" type="noConversion"/>
  </si>
  <si>
    <t>攻击速度+2%</t>
    <phoneticPr fontId="15" type="noConversion"/>
  </si>
  <si>
    <t>移动速度+2%</t>
    <phoneticPr fontId="15" type="noConversion"/>
  </si>
  <si>
    <t>腐化材料+1</t>
    <phoneticPr fontId="15" type="noConversion"/>
  </si>
  <si>
    <t>sacrifice</t>
    <phoneticPr fontId="15" type="noConversion"/>
  </si>
  <si>
    <t>属性</t>
    <phoneticPr fontId="15" type="noConversion"/>
  </si>
  <si>
    <t>吸铁石</t>
    <phoneticPr fontId="15" type="noConversion"/>
  </si>
  <si>
    <t>仓库解锁道具</t>
    <phoneticPr fontId="15" type="noConversion"/>
  </si>
  <si>
    <t>魂具</t>
    <phoneticPr fontId="15" type="noConversion"/>
  </si>
  <si>
    <t>缚魂灯盏</t>
    <phoneticPr fontId="15" type="noConversion"/>
  </si>
  <si>
    <t>蓝色</t>
    <phoneticPr fontId="15" type="noConversion"/>
  </si>
  <si>
    <t>紫色</t>
    <phoneticPr fontId="15" type="noConversion"/>
  </si>
  <si>
    <t>橙色</t>
    <phoneticPr fontId="15" type="noConversion"/>
  </si>
  <si>
    <t>soullamp</t>
    <phoneticPr fontId="15" type="noConversion"/>
  </si>
  <si>
    <t>普通材料</t>
    <phoneticPr fontId="15" type="noConversion"/>
  </si>
  <si>
    <t>精良材料</t>
    <phoneticPr fontId="15" type="noConversion"/>
  </si>
  <si>
    <t>稀有材料</t>
    <phoneticPr fontId="15" type="noConversion"/>
  </si>
  <si>
    <t>传奇材料</t>
    <phoneticPr fontId="15" type="noConversion"/>
  </si>
  <si>
    <t>史诗材料</t>
    <phoneticPr fontId="15" type="noConversion"/>
  </si>
  <si>
    <t>套装材料</t>
    <phoneticPr fontId="15" type="noConversion"/>
  </si>
  <si>
    <t>辉耀魂晶</t>
    <phoneticPr fontId="15" type="noConversion"/>
  </si>
  <si>
    <t>不灭灵核</t>
    <phoneticPr fontId="15" type="noConversion"/>
  </si>
  <si>
    <t>天铸圣髓</t>
    <phoneticPr fontId="15" type="noConversion"/>
  </si>
  <si>
    <t>残铁碎屑</t>
    <phoneticPr fontId="15" type="noConversion"/>
  </si>
  <si>
    <t>魂钢晶屑</t>
    <phoneticPr fontId="15" type="noConversion"/>
  </si>
  <si>
    <t>虚蚀结晶</t>
    <phoneticPr fontId="15" type="noConversion"/>
  </si>
  <si>
    <t>营地拾取</t>
    <phoneticPr fontId="15" type="noConversion"/>
  </si>
  <si>
    <t>冰封遗迹场景拾取</t>
    <phoneticPr fontId="15" type="noConversion"/>
  </si>
  <si>
    <t>腐蚀荒原场景拾取</t>
    <phoneticPr fontId="15" type="noConversion"/>
  </si>
  <si>
    <t>雷鸣沼泽第4BOSS</t>
    <phoneticPr fontId="15" type="noConversion"/>
  </si>
  <si>
    <t>和怨灵之书一起</t>
    <phoneticPr fontId="15" type="noConversion"/>
  </si>
  <si>
    <t>冰原遗失的宝箱掉落</t>
    <phoneticPr fontId="15" type="noConversion"/>
  </si>
  <si>
    <t>黑死墓园右上尸潮求生掉落</t>
    <phoneticPr fontId="15" type="noConversion"/>
  </si>
  <si>
    <t>雷鸣沼泽探险家骸骨掉落</t>
    <phoneticPr fontId="15" type="noConversion"/>
  </si>
  <si>
    <t>炎狱深渊献祭之柱掉落</t>
    <phoneticPr fontId="15" type="noConversion"/>
  </si>
  <si>
    <t>冰封遗迹调查士兵的尸体</t>
    <phoneticPr fontId="15" type="noConversion"/>
  </si>
  <si>
    <t>冰封遗迹祭祀之地事件掉落</t>
    <phoneticPr fontId="15" type="noConversion"/>
  </si>
  <si>
    <t>最终BOSS腐化卡恩掉落</t>
    <phoneticPr fontId="15" type="noConversion"/>
  </si>
  <si>
    <t>腐蚀荒原火种祭坛掉落</t>
    <phoneticPr fontId="15" type="noConversion"/>
  </si>
  <si>
    <t>冰封遗迹火种祭坛掉落</t>
    <phoneticPr fontId="15" type="noConversion"/>
  </si>
  <si>
    <t>雷鸣沼泽火种祭坛掉落</t>
    <phoneticPr fontId="15" type="noConversion"/>
  </si>
  <si>
    <t>腐化荒原祭祀骨堆掉落</t>
    <phoneticPr fontId="15" type="noConversion"/>
  </si>
  <si>
    <t>合成出来</t>
    <phoneticPr fontId="15" type="noConversion"/>
  </si>
  <si>
    <t>黑色墓园缝合巨尸掉落</t>
    <phoneticPr fontId="15" type="noConversion"/>
  </si>
  <si>
    <t>雷鸣沼泽第4个BOSS掉落</t>
    <phoneticPr fontId="15" type="noConversion"/>
  </si>
  <si>
    <t>腐蚀荒原第4个BOSS掉落</t>
    <phoneticPr fontId="15" type="noConversion"/>
  </si>
  <si>
    <t>监牢屠夫掉落</t>
    <phoneticPr fontId="15" type="noConversion"/>
  </si>
  <si>
    <r>
      <t xml:space="preserve">控制物品允许的
最大堆叠数量
</t>
    </r>
    <r>
      <rPr>
        <sz val="14"/>
        <color rgb="FFFF0000"/>
        <rFont val="宋体"/>
        <family val="3"/>
        <charset val="134"/>
        <scheme val="minor"/>
      </rPr>
      <t>涉及合成材料不允许堆叠</t>
    </r>
    <phoneticPr fontId="15" type="noConversion"/>
  </si>
  <si>
    <t>魂火碎片</t>
    <phoneticPr fontId="15" type="noConversion"/>
  </si>
  <si>
    <t>在配置的任务完成后
该道具允许丢弃售卖
(填任务ID）</t>
    <phoneticPr fontId="15" type="noConversion"/>
  </si>
  <si>
    <t>discard_task_i</t>
  </si>
  <si>
    <t>type_s</t>
  </si>
  <si>
    <t>古血残晶</t>
    <phoneticPr fontId="15" type="noConversion"/>
  </si>
  <si>
    <t>古神熔炉抽奖</t>
    <phoneticPr fontId="15" type="noConversion"/>
  </si>
  <si>
    <t>冥墓灵质碎片</t>
    <phoneticPr fontId="15" type="noConversion"/>
  </si>
  <si>
    <t>雷沼灵质碎片</t>
    <phoneticPr fontId="15" type="noConversion"/>
  </si>
  <si>
    <t>腐原灵质碎片</t>
    <phoneticPr fontId="15" type="noConversion"/>
  </si>
  <si>
    <t>霜遗灵质碎片</t>
    <phoneticPr fontId="15" type="noConversion"/>
  </si>
  <si>
    <t>炎渊灵质碎片</t>
    <phoneticPr fontId="15" type="noConversion"/>
  </si>
  <si>
    <t>冥墓共鸣残片</t>
    <phoneticPr fontId="15" type="noConversion"/>
  </si>
  <si>
    <t>雷沼共鸣残片</t>
    <phoneticPr fontId="15" type="noConversion"/>
  </si>
  <si>
    <t>腐原共鸣残片</t>
    <phoneticPr fontId="15" type="noConversion"/>
  </si>
  <si>
    <t>霜遗共鸣残片</t>
    <phoneticPr fontId="15" type="noConversion"/>
  </si>
  <si>
    <t>炎渊共鸣残片</t>
    <phoneticPr fontId="15" type="noConversion"/>
  </si>
  <si>
    <t>冥墓神性裂晶</t>
    <phoneticPr fontId="15" type="noConversion"/>
  </si>
  <si>
    <t>雷沼神性裂晶</t>
    <phoneticPr fontId="15" type="noConversion"/>
  </si>
  <si>
    <t>腐原神性裂晶</t>
    <phoneticPr fontId="15" type="noConversion"/>
  </si>
  <si>
    <t>霜遗神性裂晶</t>
    <phoneticPr fontId="15" type="noConversion"/>
  </si>
  <si>
    <t>炎渊神性裂晶</t>
    <phoneticPr fontId="15" type="noConversion"/>
  </si>
  <si>
    <t>巅峰天赋点</t>
    <phoneticPr fontId="15" type="noConversion"/>
  </si>
  <si>
    <t>OverTalentPoint</t>
    <phoneticPr fontId="15" type="noConversion"/>
  </si>
  <si>
    <t>血契</t>
  </si>
  <si>
    <t>诅咒</t>
  </si>
  <si>
    <t>枷锁</t>
  </si>
  <si>
    <t>心蚀</t>
  </si>
  <si>
    <t>虚壳</t>
  </si>
  <si>
    <t>雷殛</t>
  </si>
  <si>
    <t>狂暴连锁</t>
  </si>
  <si>
    <t>苦难</t>
  </si>
  <si>
    <t>在小地图上是否显示标识
1-不显示
0或不填-显示</t>
    <phoneticPr fontId="15" type="noConversion"/>
  </si>
  <si>
    <t>map_show_i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</si>
</sst>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宋体"/>
      <charset val="134"/>
      <scheme val="minor"/>
    </font>
    <font>
      <sz val="14"/>
      <color theme="1"/>
      <name val="等线"/>
      <family val="3"/>
      <charset val="134"/>
    </font>
    <font>
      <sz val="14"/>
      <color theme="1"/>
      <name val="宋体"/>
      <family val="3"/>
      <charset val="134"/>
      <scheme val="minor"/>
    </font>
    <font>
      <b/>
      <sz val="14"/>
      <color theme="1"/>
      <name val="宋体"/>
      <family val="3"/>
      <charset val="134"/>
      <scheme val="minor"/>
    </font>
    <font>
      <sz val="14"/>
      <color theme="1"/>
      <name val="宋体"/>
      <family val="3"/>
      <charset val="134"/>
    </font>
    <font>
      <sz val="14"/>
      <color rgb="FFFF0000"/>
      <name val="宋体"/>
      <family val="3"/>
      <charset val="134"/>
      <scheme val="minor"/>
    </font>
    <font>
      <sz val="14"/>
      <name val="宋体"/>
      <family val="3"/>
      <charset val="134"/>
      <scheme val="minor"/>
    </font>
    <font>
      <sz val="11"/>
      <color theme="1"/>
      <name val="宋体"/>
      <family val="3"/>
      <charset val="134"/>
      <scheme val="minor"/>
    </font>
    <font>
      <sz val="11"/>
      <color theme="1"/>
      <name val="Tahoma"/>
      <family val="2"/>
    </font>
    <font>
      <sz val="12"/>
      <name val="宋体"/>
      <family val="3"/>
      <charset val="134"/>
    </font>
    <font>
      <b/>
      <sz val="14"/>
      <color theme="5" tint="-0.499984740745262"/>
      <name val="宋体"/>
      <family val="3"/>
      <charset val="134"/>
      <scheme val="minor"/>
    </font>
    <font>
      <sz val="14"/>
      <color rgb="FF00B050"/>
      <name val="宋体"/>
      <family val="3"/>
      <charset val="134"/>
      <scheme val="minor"/>
    </font>
    <font>
      <sz val="14"/>
      <color rgb="FF00B0F0"/>
      <name val="宋体"/>
      <family val="3"/>
      <charset val="134"/>
      <scheme val="minor"/>
    </font>
    <font>
      <sz val="14"/>
      <color rgb="FFCC66FF"/>
      <name val="宋体"/>
      <family val="3"/>
      <charset val="134"/>
      <scheme val="minor"/>
    </font>
    <font>
      <sz val="14"/>
      <color theme="5" tint="-0.249977111117893"/>
      <name val="宋体"/>
      <family val="3"/>
      <charset val="134"/>
      <scheme val="minor"/>
    </font>
    <font>
      <sz val="9"/>
      <name val="宋体"/>
      <family val="3"/>
      <charset val="134"/>
      <scheme val="minor"/>
    </font>
    <font>
      <sz val="14"/>
      <color theme="0"/>
      <name val="等线"/>
      <family val="3"/>
      <charset val="134"/>
    </font>
    <font>
      <sz val="14"/>
      <name val="等线"/>
      <family val="3"/>
      <charset val="134"/>
    </font>
    <font>
      <sz val="14"/>
      <color rgb="FFFF0000"/>
      <name val="宋体"/>
      <family val="3"/>
      <charset val="134"/>
    </font>
    <font>
      <sz val="12"/>
      <color theme="1"/>
      <name val="等线"/>
      <family val="3"/>
      <charset val="134"/>
    </font>
    <font>
      <sz val="14"/>
      <color rgb="FFFF0000"/>
      <name val="等线"/>
      <family val="3"/>
      <charset val="134"/>
    </font>
    <font>
      <sz val="14"/>
      <color theme="5" tint="0.39997558519241921"/>
      <name val="宋体"/>
      <family val="3"/>
      <charset val="134"/>
      <scheme val="minor"/>
    </font>
    <font>
      <sz val="14"/>
      <name val="宋体"/>
      <family val="3"/>
      <charset val="134"/>
    </font>
    <font>
      <sz val="11"/>
      <color theme="0"/>
      <name val="等线"/>
      <family val="3"/>
      <charset val="134"/>
    </font>
    <font>
      <sz val="11"/>
      <color theme="1"/>
      <name val="等线"/>
      <family val="3"/>
      <charset val="134"/>
    </font>
    <font>
      <b/>
      <sz val="11"/>
      <color theme="1"/>
      <name val="等线"/>
      <family val="3"/>
      <charset val="134"/>
    </font>
    <font>
      <sz val="10.5"/>
      <color rgb="FF374151"/>
      <name val="微软雅黑"/>
      <family val="2"/>
      <charset val="134"/>
    </font>
    <font>
      <sz val="14"/>
      <color rgb="FF00B0F0"/>
      <name val="等线"/>
      <family val="3"/>
      <charset val="134"/>
    </font>
    <font>
      <sz val="14"/>
      <color rgb="FF7030A0"/>
      <name val="等线"/>
      <family val="3"/>
      <charset val="134"/>
    </font>
    <font>
      <sz val="14"/>
      <color theme="9" tint="-0.249977111117893"/>
      <name val="等线"/>
      <family val="3"/>
      <charset val="134"/>
    </font>
  </fonts>
  <fills count="25">
    <fill>
      <patternFill patternType="none"/>
    </fill>
    <fill>
      <patternFill patternType="gray125"/>
    </fill>
    <fill>
      <patternFill patternType="solid">
        <fgColor theme="8" tint="0.79995117038483843"/>
        <bgColor indexed="64"/>
      </patternFill>
    </fill>
    <fill>
      <patternFill patternType="solid">
        <fgColor theme="9" tint="0.59999389629810485"/>
        <bgColor indexed="64"/>
      </patternFill>
    </fill>
    <fill>
      <patternFill patternType="solid">
        <fgColor theme="5" tint="0.79995117038483843"/>
        <bgColor indexed="64"/>
      </patternFill>
    </fill>
    <fill>
      <patternFill patternType="solid">
        <fgColor theme="2" tint="-9.9978637043366805E-2"/>
        <bgColor indexed="64"/>
      </patternFill>
    </fill>
    <fill>
      <patternFill patternType="solid">
        <fgColor theme="6" tint="0.79995117038483843"/>
        <bgColor indexed="64"/>
      </patternFill>
    </fill>
    <fill>
      <patternFill patternType="solid">
        <fgColor theme="8" tint="0.39997558519241921"/>
        <bgColor indexed="64"/>
      </patternFill>
    </fill>
    <fill>
      <patternFill patternType="solid">
        <fgColor theme="1"/>
        <bgColor indexed="64"/>
      </patternFill>
    </fill>
    <fill>
      <patternFill patternType="solid">
        <fgColor theme="5" tint="0.59999389629810485"/>
        <bgColor indexed="64"/>
      </patternFill>
    </fill>
    <fill>
      <patternFill patternType="solid">
        <fgColor theme="9" tint="0.39997558519241921"/>
        <bgColor indexed="64"/>
      </patternFill>
    </fill>
    <fill>
      <patternFill patternType="solid">
        <fgColor theme="1" tint="0.34998626667073579"/>
        <bgColor indexed="64"/>
      </patternFill>
    </fill>
    <fill>
      <patternFill patternType="solid">
        <fgColor rgb="FFFF99CC"/>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rgb="FFFFFF00"/>
        <bgColor indexed="64"/>
      </patternFill>
    </fill>
    <fill>
      <patternFill patternType="solid">
        <fgColor rgb="FF00B050"/>
        <bgColor indexed="64"/>
      </patternFill>
    </fill>
    <fill>
      <patternFill patternType="solid">
        <fgColor rgb="FF92D050"/>
        <bgColor indexed="6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3" tint="0.39997558519241921"/>
        <bgColor indexed="64"/>
      </patternFill>
    </fill>
    <fill>
      <patternFill patternType="solid">
        <fgColor rgb="FFE63ADE"/>
        <bgColor indexed="64"/>
      </patternFill>
    </fill>
    <fill>
      <patternFill patternType="solid">
        <fgColor theme="9" tint="-0.249977111117893"/>
        <bgColor indexed="64"/>
      </patternFill>
    </fill>
    <fill>
      <patternFill patternType="solid">
        <fgColor theme="8" tint="-0.249977111117893"/>
        <bgColor indexed="64"/>
      </patternFill>
    </fill>
    <fill>
      <patternFill patternType="solid">
        <fgColor theme="9" tint="-0.499984740745262"/>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theme="0"/>
      </left>
      <right/>
      <top style="thin">
        <color theme="0"/>
      </top>
      <bottom style="thin">
        <color theme="0"/>
      </bottom>
      <diagonal/>
    </border>
  </borders>
  <cellStyleXfs count="5">
    <xf numFmtId="0" fontId="0" fillId="0" borderId="0"/>
    <xf numFmtId="0" fontId="7" fillId="0" borderId="0">
      <alignment vertical="center"/>
    </xf>
    <xf numFmtId="0" fontId="7" fillId="0" borderId="0"/>
    <xf numFmtId="0" fontId="8" fillId="0" borderId="0"/>
    <xf numFmtId="0" fontId="9" fillId="0" borderId="0">
      <alignment vertical="center"/>
    </xf>
  </cellStyleXfs>
  <cellXfs count="156">
    <xf numFmtId="0" fontId="0" fillId="0" borderId="0" xfId="0"/>
    <xf numFmtId="0" fontId="0" fillId="0" borderId="0" xfId="0" applyAlignment="1">
      <alignment horizontal="center"/>
    </xf>
    <xf numFmtId="0" fontId="1" fillId="0" borderId="0" xfId="0" applyFont="1"/>
    <xf numFmtId="0" fontId="2" fillId="0" borderId="0" xfId="0" applyFont="1"/>
    <xf numFmtId="49" fontId="2" fillId="0" borderId="0" xfId="0" applyNumberFormat="1" applyFont="1"/>
    <xf numFmtId="0" fontId="2" fillId="2" borderId="1" xfId="0" applyFont="1" applyFill="1" applyBorder="1" applyAlignment="1">
      <alignment wrapText="1"/>
    </xf>
    <xf numFmtId="0" fontId="3" fillId="2" borderId="1" xfId="0" applyFont="1" applyFill="1" applyBorder="1"/>
    <xf numFmtId="0" fontId="3" fillId="2" borderId="1" xfId="0" applyFont="1" applyFill="1" applyBorder="1" applyAlignment="1">
      <alignment wrapText="1"/>
    </xf>
    <xf numFmtId="0" fontId="2" fillId="0" borderId="2" xfId="0" applyFont="1" applyBorder="1" applyAlignment="1">
      <alignment horizontal="left" wrapText="1"/>
    </xf>
    <xf numFmtId="0" fontId="2" fillId="0" borderId="2" xfId="0" applyFont="1" applyBorder="1"/>
    <xf numFmtId="0" fontId="2" fillId="0" borderId="0" xfId="0" applyFont="1" applyAlignment="1">
      <alignment horizontal="left"/>
    </xf>
    <xf numFmtId="0" fontId="4" fillId="0" borderId="0" xfId="0" applyFont="1" applyAlignment="1">
      <alignment horizontal="left"/>
    </xf>
    <xf numFmtId="0" fontId="2" fillId="2" borderId="1" xfId="0" applyFont="1" applyFill="1" applyBorder="1" applyAlignment="1">
      <alignment horizontal="center" wrapText="1"/>
    </xf>
    <xf numFmtId="0" fontId="3" fillId="2" borderId="1" xfId="0" applyFont="1" applyFill="1" applyBorder="1" applyAlignment="1">
      <alignment horizontal="center" wrapText="1"/>
    </xf>
    <xf numFmtId="0" fontId="3" fillId="3" borderId="1" xfId="0" applyFont="1" applyFill="1" applyBorder="1"/>
    <xf numFmtId="0" fontId="2" fillId="0" borderId="0" xfId="0" applyFont="1" applyAlignment="1">
      <alignment horizontal="center"/>
    </xf>
    <xf numFmtId="0" fontId="2"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xf>
    <xf numFmtId="0" fontId="2" fillId="4" borderId="1" xfId="0" applyFont="1" applyFill="1" applyBorder="1" applyAlignment="1">
      <alignment wrapText="1"/>
    </xf>
    <xf numFmtId="0" fontId="3" fillId="4" borderId="1" xfId="0" applyFont="1" applyFill="1" applyBorder="1" applyAlignment="1">
      <alignment wrapText="1"/>
    </xf>
    <xf numFmtId="0" fontId="2" fillId="5" borderId="7" xfId="0" applyFont="1" applyFill="1" applyBorder="1" applyAlignment="1">
      <alignment wrapText="1"/>
    </xf>
    <xf numFmtId="0" fontId="2" fillId="5" borderId="1" xfId="0" applyFont="1" applyFill="1" applyBorder="1" applyAlignment="1">
      <alignment vertical="center" wrapText="1"/>
    </xf>
    <xf numFmtId="0" fontId="2" fillId="5" borderId="6" xfId="0" applyFont="1" applyFill="1" applyBorder="1" applyAlignment="1">
      <alignment wrapText="1"/>
    </xf>
    <xf numFmtId="0" fontId="3" fillId="6" borderId="1" xfId="0" applyFont="1" applyFill="1" applyBorder="1"/>
    <xf numFmtId="0" fontId="5" fillId="0" borderId="0" xfId="0" applyFont="1" applyAlignment="1">
      <alignment horizontal="left"/>
    </xf>
    <xf numFmtId="0" fontId="6" fillId="0" borderId="1" xfId="0" applyFont="1" applyBorder="1" applyAlignment="1">
      <alignment vertical="top" wrapText="1"/>
    </xf>
    <xf numFmtId="0" fontId="6" fillId="0" borderId="1" xfId="0" applyFont="1" applyBorder="1" applyAlignment="1">
      <alignment wrapText="1"/>
    </xf>
    <xf numFmtId="49" fontId="6" fillId="0" borderId="1" xfId="0" applyNumberFormat="1" applyFont="1" applyBorder="1" applyAlignment="1">
      <alignment wrapText="1"/>
    </xf>
    <xf numFmtId="49" fontId="2" fillId="0" borderId="2" xfId="0" applyNumberFormat="1" applyFont="1" applyBorder="1"/>
    <xf numFmtId="49" fontId="2" fillId="0" borderId="0" xfId="0" applyNumberFormat="1" applyFont="1" applyAlignment="1">
      <alignment horizontal="left"/>
    </xf>
    <xf numFmtId="49" fontId="4" fillId="0" borderId="0" xfId="0" applyNumberFormat="1" applyFont="1" applyAlignment="1">
      <alignment horizontal="left"/>
    </xf>
    <xf numFmtId="0" fontId="2" fillId="0" borderId="1" xfId="0" applyFont="1" applyBorder="1"/>
    <xf numFmtId="0" fontId="2" fillId="0" borderId="1" xfId="0" applyFont="1" applyBorder="1" applyAlignment="1">
      <alignment horizontal="center" vertical="center" wrapText="1"/>
    </xf>
    <xf numFmtId="0" fontId="1" fillId="7" borderId="1" xfId="0" applyFont="1" applyFill="1" applyBorder="1"/>
    <xf numFmtId="0" fontId="1" fillId="7" borderId="1" xfId="0" applyFont="1" applyFill="1" applyBorder="1" applyAlignment="1">
      <alignment horizontal="center"/>
    </xf>
    <xf numFmtId="0" fontId="1" fillId="0" borderId="1" xfId="0" applyFont="1" applyBorder="1"/>
    <xf numFmtId="0" fontId="16" fillId="8" borderId="0" xfId="0" applyFont="1" applyFill="1"/>
    <xf numFmtId="0" fontId="16" fillId="8" borderId="0" xfId="0" applyFont="1" applyFill="1" applyAlignment="1">
      <alignment horizontal="center"/>
    </xf>
    <xf numFmtId="0" fontId="17" fillId="9" borderId="1" xfId="0" applyFont="1" applyFill="1" applyBorder="1"/>
    <xf numFmtId="0" fontId="17" fillId="9" borderId="1" xfId="0" applyFont="1" applyFill="1" applyBorder="1" applyAlignment="1">
      <alignment horizontal="center"/>
    </xf>
    <xf numFmtId="0" fontId="1" fillId="10" borderId="1" xfId="0" applyFont="1" applyFill="1" applyBorder="1" applyAlignment="1">
      <alignment horizontal="center" vertical="center"/>
    </xf>
    <xf numFmtId="0" fontId="1" fillId="10" borderId="1" xfId="0" applyFont="1" applyFill="1" applyBorder="1"/>
    <xf numFmtId="0" fontId="1" fillId="10" borderId="1" xfId="0" applyFont="1" applyFill="1" applyBorder="1" applyAlignment="1">
      <alignment horizontal="center"/>
    </xf>
    <xf numFmtId="0" fontId="1" fillId="7" borderId="9" xfId="0" applyFont="1" applyFill="1" applyBorder="1" applyAlignment="1">
      <alignment horizontal="center"/>
    </xf>
    <xf numFmtId="0" fontId="1" fillId="7" borderId="9" xfId="0" applyFont="1" applyFill="1" applyBorder="1"/>
    <xf numFmtId="0" fontId="19" fillId="7" borderId="2" xfId="0" applyFont="1" applyFill="1" applyBorder="1" applyAlignment="1">
      <alignment horizontal="center" vertical="center" wrapText="1"/>
    </xf>
    <xf numFmtId="0" fontId="1" fillId="11" borderId="1" xfId="0" applyFont="1" applyFill="1" applyBorder="1"/>
    <xf numFmtId="0" fontId="20" fillId="7" borderId="1" xfId="0" applyFont="1" applyFill="1" applyBorder="1" applyAlignment="1">
      <alignment horizontal="center"/>
    </xf>
    <xf numFmtId="0" fontId="18" fillId="0" borderId="0" xfId="0" applyFont="1" applyAlignment="1">
      <alignment horizontal="center"/>
    </xf>
    <xf numFmtId="0" fontId="1" fillId="13" borderId="1" xfId="0" applyFont="1" applyFill="1" applyBorder="1" applyAlignment="1">
      <alignment horizontal="left" vertical="center"/>
    </xf>
    <xf numFmtId="0" fontId="1" fillId="13" borderId="1" xfId="0" applyFont="1" applyFill="1" applyBorder="1" applyAlignment="1">
      <alignment horizontal="center" vertical="center"/>
    </xf>
    <xf numFmtId="0" fontId="22" fillId="0" borderId="0" xfId="0" applyFont="1" applyAlignment="1">
      <alignment horizontal="center" vertical="center"/>
    </xf>
    <xf numFmtId="0" fontId="1" fillId="14" borderId="1" xfId="0" applyFont="1" applyFill="1" applyBorder="1" applyAlignment="1">
      <alignment horizontal="center"/>
    </xf>
    <xf numFmtId="0" fontId="1" fillId="14" borderId="1" xfId="0" applyFont="1" applyFill="1" applyBorder="1"/>
    <xf numFmtId="0" fontId="1" fillId="15" borderId="2" xfId="0" applyFont="1" applyFill="1" applyBorder="1" applyAlignment="1">
      <alignment horizontal="center" vertical="center"/>
    </xf>
    <xf numFmtId="0" fontId="1" fillId="15" borderId="1" xfId="0" applyFont="1" applyFill="1" applyBorder="1" applyAlignment="1">
      <alignment horizontal="center"/>
    </xf>
    <xf numFmtId="0" fontId="1" fillId="15" borderId="1" xfId="0" applyFont="1" applyFill="1" applyBorder="1"/>
    <xf numFmtId="0" fontId="6" fillId="0" borderId="0" xfId="0" applyFont="1" applyAlignment="1">
      <alignment horizontal="left"/>
    </xf>
    <xf numFmtId="0" fontId="20" fillId="11" borderId="1" xfId="0" applyFont="1" applyFill="1" applyBorder="1" applyAlignment="1">
      <alignment horizontal="center"/>
    </xf>
    <xf numFmtId="0" fontId="1" fillId="11" borderId="1" xfId="0" applyFont="1" applyFill="1" applyBorder="1" applyAlignment="1">
      <alignment horizontal="center" vertical="center" wrapText="1"/>
    </xf>
    <xf numFmtId="0" fontId="19" fillId="7" borderId="2" xfId="0" applyFont="1" applyFill="1" applyBorder="1" applyAlignment="1">
      <alignment horizontal="center" vertical="center" wrapText="1"/>
    </xf>
    <xf numFmtId="0" fontId="1" fillId="3" borderId="1" xfId="0" applyFont="1" applyFill="1" applyBorder="1" applyAlignment="1">
      <alignment horizontal="center" vertical="center"/>
    </xf>
    <xf numFmtId="0" fontId="1" fillId="3" borderId="1" xfId="0" applyFont="1" applyFill="1" applyBorder="1" applyAlignment="1">
      <alignment horizontal="left" vertical="center"/>
    </xf>
    <xf numFmtId="0" fontId="1" fillId="3" borderId="2"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22" fillId="0" borderId="0" xfId="0" applyFont="1" applyAlignment="1">
      <alignment horizontal="center"/>
    </xf>
    <xf numFmtId="0" fontId="1" fillId="11" borderId="1" xfId="0" applyFont="1" applyFill="1" applyBorder="1" applyAlignment="1">
      <alignment horizontal="left" vertical="center" wrapText="1"/>
    </xf>
    <xf numFmtId="0" fontId="1" fillId="11" borderId="1" xfId="0" applyFont="1" applyFill="1" applyBorder="1" applyAlignment="1">
      <alignment horizontal="center" vertical="center"/>
    </xf>
    <xf numFmtId="0" fontId="23" fillId="8" borderId="1" xfId="0" applyFont="1" applyFill="1" applyBorder="1" applyAlignment="1">
      <alignment horizontal="center"/>
    </xf>
    <xf numFmtId="0" fontId="24" fillId="0" borderId="0" xfId="0" applyFont="1"/>
    <xf numFmtId="0" fontId="25" fillId="0" borderId="1" xfId="0" applyFont="1" applyBorder="1" applyAlignment="1">
      <alignment horizontal="center" vertical="center"/>
    </xf>
    <xf numFmtId="0" fontId="24" fillId="0" borderId="1" xfId="0" applyFont="1" applyBorder="1" applyAlignment="1">
      <alignment vertical="top" wrapText="1"/>
    </xf>
    <xf numFmtId="0" fontId="24" fillId="0" borderId="1" xfId="0" applyFont="1" applyBorder="1"/>
    <xf numFmtId="0" fontId="26" fillId="0" borderId="0" xfId="0" applyFont="1" applyAlignment="1">
      <alignment horizontal="center" vertical="center"/>
    </xf>
    <xf numFmtId="0" fontId="24" fillId="0" borderId="1" xfId="0" applyFont="1" applyBorder="1" applyAlignment="1">
      <alignment horizontal="left" vertical="top" wrapText="1"/>
    </xf>
    <xf numFmtId="0" fontId="26" fillId="0" borderId="0" xfId="0" applyFont="1" applyAlignment="1">
      <alignment horizontal="left" vertical="top" wrapText="1"/>
    </xf>
    <xf numFmtId="0" fontId="26" fillId="0" borderId="0" xfId="0" applyFont="1" applyAlignment="1">
      <alignment wrapText="1"/>
    </xf>
    <xf numFmtId="0" fontId="26" fillId="0" borderId="0" xfId="0" applyFont="1" applyAlignment="1">
      <alignment horizontal="center" vertical="center" wrapText="1"/>
    </xf>
    <xf numFmtId="49" fontId="5" fillId="0" borderId="0" xfId="0" applyNumberFormat="1" applyFont="1" applyAlignment="1">
      <alignment horizontal="left"/>
    </xf>
    <xf numFmtId="0" fontId="26" fillId="0" borderId="1" xfId="0" applyFont="1" applyBorder="1" applyAlignment="1">
      <alignment horizontal="center" vertical="center" wrapText="1"/>
    </xf>
    <xf numFmtId="0" fontId="24" fillId="0" borderId="1" xfId="0" applyFont="1" applyBorder="1" applyAlignment="1">
      <alignment horizontal="center" vertical="center" wrapText="1"/>
    </xf>
    <xf numFmtId="0" fontId="24" fillId="16" borderId="0" xfId="0" applyFont="1" applyFill="1"/>
    <xf numFmtId="0" fontId="24" fillId="0" borderId="0" xfId="0" applyFont="1" applyAlignment="1">
      <alignment horizontal="center" vertical="center"/>
    </xf>
    <xf numFmtId="49" fontId="18" fillId="0" borderId="0" xfId="0" applyNumberFormat="1" applyFont="1" applyAlignment="1">
      <alignment horizontal="left"/>
    </xf>
    <xf numFmtId="0" fontId="6" fillId="0" borderId="0" xfId="0" applyFont="1"/>
    <xf numFmtId="0" fontId="1" fillId="17" borderId="9" xfId="0" applyFont="1" applyFill="1" applyBorder="1"/>
    <xf numFmtId="0" fontId="1" fillId="17" borderId="1" xfId="0" applyFont="1" applyFill="1" applyBorder="1" applyAlignment="1">
      <alignment horizontal="center"/>
    </xf>
    <xf numFmtId="0" fontId="1" fillId="17" borderId="1" xfId="0" applyFont="1" applyFill="1" applyBorder="1"/>
    <xf numFmtId="0" fontId="6" fillId="18" borderId="11" xfId="0" applyFont="1" applyFill="1" applyBorder="1"/>
    <xf numFmtId="0" fontId="2" fillId="18" borderId="11" xfId="0" applyFont="1" applyFill="1" applyBorder="1"/>
    <xf numFmtId="0" fontId="2" fillId="19" borderId="11" xfId="0" applyFont="1" applyFill="1" applyBorder="1"/>
    <xf numFmtId="0" fontId="1" fillId="0" borderId="2" xfId="0" applyFont="1" applyFill="1" applyBorder="1" applyAlignment="1">
      <alignment horizontal="center" vertical="center"/>
    </xf>
    <xf numFmtId="0" fontId="1" fillId="0" borderId="1" xfId="0" applyFont="1" applyFill="1" applyBorder="1" applyAlignment="1">
      <alignment horizontal="center"/>
    </xf>
    <xf numFmtId="0" fontId="27" fillId="0" borderId="1" xfId="0" applyFont="1" applyFill="1" applyBorder="1"/>
    <xf numFmtId="0" fontId="28" fillId="0" borderId="1" xfId="0" applyFont="1" applyFill="1" applyBorder="1"/>
    <xf numFmtId="0" fontId="1" fillId="0" borderId="9" xfId="0" applyFont="1" applyFill="1" applyBorder="1" applyAlignment="1">
      <alignment horizontal="center"/>
    </xf>
    <xf numFmtId="0" fontId="29" fillId="0" borderId="9" xfId="0" applyFont="1" applyFill="1" applyBorder="1"/>
    <xf numFmtId="0" fontId="1" fillId="0" borderId="9" xfId="0" applyFont="1" applyFill="1" applyBorder="1" applyAlignment="1">
      <alignment horizontal="center" vertical="center"/>
    </xf>
    <xf numFmtId="0" fontId="1" fillId="0" borderId="10" xfId="0" applyFont="1" applyFill="1" applyBorder="1" applyAlignment="1">
      <alignment horizontal="center" vertical="center"/>
    </xf>
    <xf numFmtId="0" fontId="17" fillId="0" borderId="1" xfId="0" applyFont="1" applyFill="1" applyBorder="1"/>
    <xf numFmtId="0" fontId="17" fillId="17" borderId="1" xfId="0" applyFont="1" applyFill="1" applyBorder="1"/>
    <xf numFmtId="0" fontId="1" fillId="20" borderId="1" xfId="0" applyFont="1" applyFill="1" applyBorder="1" applyAlignment="1">
      <alignment horizontal="center"/>
    </xf>
    <xf numFmtId="0" fontId="17" fillId="20" borderId="1" xfId="0" applyFont="1" applyFill="1" applyBorder="1"/>
    <xf numFmtId="0" fontId="1" fillId="21" borderId="1" xfId="0" applyFont="1" applyFill="1" applyBorder="1" applyAlignment="1">
      <alignment horizontal="center"/>
    </xf>
    <xf numFmtId="0" fontId="17" fillId="21" borderId="1" xfId="0" applyFont="1" applyFill="1" applyBorder="1"/>
    <xf numFmtId="0" fontId="1" fillId="22" borderId="1" xfId="0" applyFont="1" applyFill="1" applyBorder="1" applyAlignment="1">
      <alignment horizontal="center"/>
    </xf>
    <xf numFmtId="0" fontId="17" fillId="22" borderId="1" xfId="0" applyFont="1" applyFill="1" applyBorder="1"/>
    <xf numFmtId="0" fontId="1" fillId="23" borderId="1" xfId="0" applyFont="1" applyFill="1" applyBorder="1" applyAlignment="1">
      <alignment horizontal="center"/>
    </xf>
    <xf numFmtId="0" fontId="17" fillId="23" borderId="1" xfId="0" applyFont="1" applyFill="1" applyBorder="1"/>
    <xf numFmtId="0" fontId="1" fillId="0" borderId="2" xfId="0" applyFont="1" applyFill="1" applyBorder="1"/>
    <xf numFmtId="0" fontId="20" fillId="0" borderId="1" xfId="0" applyFont="1" applyBorder="1"/>
    <xf numFmtId="0" fontId="1" fillId="3" borderId="9" xfId="0" applyFont="1" applyFill="1" applyBorder="1" applyAlignment="1">
      <alignment horizontal="center" vertical="center" wrapText="1"/>
    </xf>
    <xf numFmtId="0" fontId="1" fillId="3" borderId="9" xfId="0" applyFont="1" applyFill="1" applyBorder="1" applyAlignment="1">
      <alignment horizontal="center" vertical="center"/>
    </xf>
    <xf numFmtId="0" fontId="2" fillId="15" borderId="0" xfId="0" applyFont="1" applyFill="1" applyBorder="1" applyAlignment="1">
      <alignment horizontal="center"/>
    </xf>
    <xf numFmtId="0" fontId="1" fillId="24" borderId="1" xfId="0" applyFont="1" applyFill="1" applyBorder="1" applyAlignment="1">
      <alignment horizontal="center"/>
    </xf>
    <xf numFmtId="0" fontId="17" fillId="24" borderId="1" xfId="0" applyFont="1" applyFill="1" applyBorder="1"/>
    <xf numFmtId="0" fontId="1" fillId="14" borderId="2" xfId="0" applyFont="1" applyFill="1" applyBorder="1" applyAlignment="1">
      <alignment horizontal="center" vertical="center"/>
    </xf>
    <xf numFmtId="0" fontId="3" fillId="5" borderId="3" xfId="0" applyFont="1" applyFill="1" applyBorder="1" applyAlignment="1">
      <alignment horizontal="center" vertical="center"/>
    </xf>
    <xf numFmtId="0" fontId="4" fillId="15" borderId="0" xfId="0" applyFont="1" applyFill="1" applyAlignment="1">
      <alignment horizontal="left"/>
    </xf>
    <xf numFmtId="0" fontId="2" fillId="15" borderId="6" xfId="0" applyFont="1" applyFill="1" applyBorder="1" applyAlignment="1">
      <alignment horizontal="center"/>
    </xf>
    <xf numFmtId="0" fontId="2" fillId="15" borderId="8" xfId="0" applyFont="1" applyFill="1" applyBorder="1" applyAlignment="1">
      <alignment horizontal="center"/>
    </xf>
    <xf numFmtId="0" fontId="2" fillId="15" borderId="7" xfId="0" applyFont="1" applyFill="1" applyBorder="1" applyAlignment="1">
      <alignment horizontal="center"/>
    </xf>
    <xf numFmtId="0" fontId="1" fillId="0" borderId="9" xfId="0" applyFont="1" applyBorder="1" applyAlignment="1">
      <alignment horizontal="center" vertical="center"/>
    </xf>
    <xf numFmtId="0" fontId="1" fillId="0" borderId="2" xfId="0" applyFont="1" applyBorder="1" applyAlignment="1">
      <alignment horizontal="center" vertical="center"/>
    </xf>
    <xf numFmtId="0" fontId="1" fillId="0" borderId="10" xfId="0" applyFont="1" applyBorder="1" applyAlignment="1">
      <alignment horizontal="center" vertical="center"/>
    </xf>
    <xf numFmtId="0" fontId="1" fillId="0" borderId="9" xfId="0" applyFont="1" applyBorder="1" applyAlignment="1">
      <alignment horizontal="center"/>
    </xf>
    <xf numFmtId="0" fontId="1" fillId="0" borderId="2" xfId="0" applyFont="1" applyBorder="1" applyAlignment="1">
      <alignment horizontal="center"/>
    </xf>
    <xf numFmtId="0" fontId="1" fillId="0" borderId="10" xfId="0" applyFont="1" applyBorder="1" applyAlignment="1">
      <alignment horizontal="center"/>
    </xf>
    <xf numFmtId="0" fontId="1" fillId="0" borderId="1" xfId="0" applyFont="1" applyBorder="1" applyAlignment="1">
      <alignment horizontal="center" vertical="center"/>
    </xf>
    <xf numFmtId="0" fontId="1" fillId="3" borderId="1" xfId="0" applyFont="1" applyFill="1" applyBorder="1" applyAlignment="1">
      <alignment horizontal="center" vertical="center" wrapText="1"/>
    </xf>
    <xf numFmtId="0" fontId="1" fillId="3" borderId="9"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13" borderId="9" xfId="0" applyFont="1" applyFill="1" applyBorder="1" applyAlignment="1">
      <alignment horizontal="center" vertical="center"/>
    </xf>
    <xf numFmtId="0" fontId="1" fillId="13" borderId="2" xfId="0" applyFont="1" applyFill="1" applyBorder="1" applyAlignment="1">
      <alignment horizontal="center" vertical="center"/>
    </xf>
    <xf numFmtId="0" fontId="1" fillId="13" borderId="10" xfId="0" applyFont="1" applyFill="1" applyBorder="1" applyAlignment="1">
      <alignment horizontal="center" vertical="center"/>
    </xf>
    <xf numFmtId="0" fontId="1" fillId="12" borderId="9" xfId="0" applyFont="1" applyFill="1" applyBorder="1" applyAlignment="1">
      <alignment horizontal="center" vertical="center" wrapText="1"/>
    </xf>
    <xf numFmtId="0" fontId="1" fillId="12" borderId="2" xfId="0" applyFont="1" applyFill="1" applyBorder="1" applyAlignment="1">
      <alignment horizontal="center" vertical="center" wrapText="1"/>
    </xf>
    <xf numFmtId="0" fontId="1" fillId="12" borderId="10" xfId="0" applyFont="1" applyFill="1" applyBorder="1" applyAlignment="1">
      <alignment horizontal="center" vertical="center" wrapText="1"/>
    </xf>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3" fillId="3" borderId="1" xfId="0" applyFont="1" applyFill="1" applyBorder="1" applyAlignment="1">
      <alignment horizontal="center" vertical="center"/>
    </xf>
    <xf numFmtId="0" fontId="19" fillId="7" borderId="9" xfId="0" applyFont="1" applyFill="1" applyBorder="1" applyAlignment="1">
      <alignment horizontal="center" vertical="center" wrapText="1"/>
    </xf>
    <xf numFmtId="0" fontId="19" fillId="7" borderId="2" xfId="0" applyFont="1" applyFill="1" applyBorder="1" applyAlignment="1">
      <alignment horizontal="center" vertical="center" wrapText="1"/>
    </xf>
    <xf numFmtId="0" fontId="19" fillId="7" borderId="10" xfId="0" applyFont="1" applyFill="1" applyBorder="1" applyAlignment="1">
      <alignment horizontal="center" vertical="center" wrapText="1"/>
    </xf>
    <xf numFmtId="0" fontId="3" fillId="4" borderId="1" xfId="0" applyFont="1" applyFill="1" applyBorder="1" applyAlignment="1">
      <alignment horizontal="center" vertical="center"/>
    </xf>
    <xf numFmtId="0" fontId="3" fillId="5" borderId="4" xfId="0" applyFont="1" applyFill="1" applyBorder="1" applyAlignment="1">
      <alignment horizontal="center" vertical="center"/>
    </xf>
    <xf numFmtId="0" fontId="3" fillId="5" borderId="3" xfId="0" applyFont="1" applyFill="1" applyBorder="1" applyAlignment="1">
      <alignment horizontal="center" vertical="center"/>
    </xf>
    <xf numFmtId="0" fontId="3" fillId="5" borderId="5" xfId="0" applyFont="1" applyFill="1" applyBorder="1" applyAlignment="1">
      <alignment horizontal="center" vertical="center"/>
    </xf>
    <xf numFmtId="0" fontId="3" fillId="6" borderId="6" xfId="0" applyFont="1" applyFill="1" applyBorder="1" applyAlignment="1">
      <alignment horizontal="center" vertical="center"/>
    </xf>
    <xf numFmtId="0" fontId="3" fillId="6" borderId="8" xfId="0" applyFont="1" applyFill="1" applyBorder="1" applyAlignment="1">
      <alignment horizontal="center" vertical="center"/>
    </xf>
    <xf numFmtId="0" fontId="3" fillId="6" borderId="7" xfId="0" applyFont="1" applyFill="1" applyBorder="1" applyAlignment="1">
      <alignment horizontal="center" vertical="center"/>
    </xf>
    <xf numFmtId="0" fontId="1" fillId="14" borderId="9" xfId="0" applyFont="1" applyFill="1" applyBorder="1" applyAlignment="1">
      <alignment horizontal="center" vertical="center"/>
    </xf>
    <xf numFmtId="0" fontId="1" fillId="14" borderId="2" xfId="0" applyFont="1" applyFill="1" applyBorder="1" applyAlignment="1">
      <alignment horizontal="center" vertical="center"/>
    </xf>
    <xf numFmtId="0" fontId="1" fillId="14" borderId="10" xfId="0" applyFont="1" applyFill="1" applyBorder="1" applyAlignment="1">
      <alignment horizontal="center" vertical="center"/>
    </xf>
  </cellXfs>
  <cellStyles count="5">
    <cellStyle name="常规" xfId="0" builtinId="0"/>
    <cellStyle name="常规 10" xfId="1" xr:uid="{00000000-0005-0000-0000-000031000000}"/>
    <cellStyle name="常规 15" xfId="2" xr:uid="{00000000-0005-0000-0000-000032000000}"/>
    <cellStyle name="常规 3 3" xfId="3" xr:uid="{00000000-0005-0000-0000-000033000000}"/>
    <cellStyle name="常规 4" xfId="4" xr:uid="{00000000-0005-0000-0000-000034000000}"/>
  </cellStyles>
  <dxfs count="42">
    <dxf>
      <font>
        <color rgb="FF9C0006"/>
      </font>
      <fill>
        <patternFill patternType="solid">
          <bgColor rgb="FFFFC7CE"/>
        </patternFill>
      </fill>
    </dxf>
    <dxf>
      <font>
        <b val="0"/>
        <i val="0"/>
        <strike val="0"/>
        <condense val="0"/>
        <extend val="0"/>
        <outline val="0"/>
        <shadow val="0"/>
        <u val="none"/>
        <vertAlign val="baseline"/>
        <sz val="14"/>
        <color theme="1"/>
        <name val="宋体"/>
        <family val="3"/>
        <charset val="134"/>
        <scheme val="minor"/>
      </font>
    </dxf>
    <dxf>
      <font>
        <b val="0"/>
        <i val="0"/>
        <strike val="0"/>
        <condense val="0"/>
        <extend val="0"/>
        <outline val="0"/>
        <shadow val="0"/>
        <u val="none"/>
        <vertAlign val="baseline"/>
        <sz val="14"/>
        <color theme="1"/>
        <name val="宋体"/>
        <family val="3"/>
        <charset val="134"/>
        <scheme val="minor"/>
      </font>
    </dxf>
    <dxf>
      <font>
        <b val="0"/>
        <i val="0"/>
        <strike val="0"/>
        <condense val="0"/>
        <extend val="0"/>
        <outline val="0"/>
        <shadow val="0"/>
        <u val="none"/>
        <vertAlign val="baseline"/>
        <sz val="14"/>
        <color theme="1"/>
        <name val="宋体"/>
        <family val="3"/>
        <charset val="134"/>
        <scheme val="minor"/>
      </font>
    </dxf>
    <dxf>
      <font>
        <b val="0"/>
        <i val="0"/>
        <strike val="0"/>
        <condense val="0"/>
        <extend val="0"/>
        <outline val="0"/>
        <shadow val="0"/>
        <u val="none"/>
        <vertAlign val="baseline"/>
        <sz val="14"/>
        <color theme="1"/>
        <name val="宋体"/>
        <family val="3"/>
        <charset val="134"/>
        <scheme val="minor"/>
      </font>
    </dxf>
    <dxf>
      <font>
        <b val="0"/>
        <i val="0"/>
        <strike val="0"/>
        <condense val="0"/>
        <extend val="0"/>
        <outline val="0"/>
        <shadow val="0"/>
        <u val="none"/>
        <vertAlign val="baseline"/>
        <sz val="14"/>
        <color theme="1"/>
        <name val="宋体"/>
        <family val="3"/>
        <charset val="134"/>
        <scheme val="minor"/>
      </font>
    </dxf>
    <dxf>
      <font>
        <b val="0"/>
        <i val="0"/>
        <strike val="0"/>
        <condense val="0"/>
        <extend val="0"/>
        <outline val="0"/>
        <shadow val="0"/>
        <u val="none"/>
        <vertAlign val="baseline"/>
        <sz val="14"/>
        <color theme="1"/>
        <name val="宋体"/>
        <family val="3"/>
        <charset val="134"/>
        <scheme val="minor"/>
      </font>
    </dxf>
    <dxf>
      <font>
        <b val="0"/>
        <i val="0"/>
        <strike val="0"/>
        <u val="none"/>
        <sz val="14"/>
        <color theme="1"/>
        <name val="宋体"/>
        <family val="3"/>
        <charset val="134"/>
        <scheme val="none"/>
      </font>
      <numFmt numFmtId="30" formatCode="@"/>
      <alignment horizontal="left"/>
    </dxf>
    <dxf>
      <font>
        <b val="0"/>
        <i val="0"/>
        <strike val="0"/>
        <u val="none"/>
        <sz val="14"/>
        <color theme="1"/>
        <name val="宋体"/>
        <family val="3"/>
        <charset val="134"/>
        <scheme val="none"/>
      </font>
      <alignment horizontal="left"/>
    </dxf>
    <dxf>
      <font>
        <b val="0"/>
        <i val="0"/>
        <strike val="0"/>
        <u val="none"/>
        <sz val="14"/>
        <color theme="1"/>
        <name val="宋体"/>
        <family val="3"/>
        <charset val="134"/>
        <scheme val="none"/>
      </font>
      <alignment horizontal="left"/>
    </dxf>
    <dxf>
      <font>
        <strike val="0"/>
        <u val="none"/>
        <sz val="14"/>
      </font>
      <alignment horizontal="left"/>
    </dxf>
    <dxf>
      <font>
        <strike val="0"/>
        <u val="none"/>
        <sz val="14"/>
      </font>
      <alignment horizontal="left"/>
    </dxf>
    <dxf>
      <font>
        <b val="0"/>
        <i val="0"/>
        <strike val="0"/>
        <u val="none"/>
        <sz val="14"/>
        <color theme="1"/>
        <name val="宋体"/>
        <family val="3"/>
        <charset val="134"/>
        <scheme val="none"/>
      </font>
      <numFmt numFmtId="0" formatCode="General"/>
      <alignment horizontal="left"/>
    </dxf>
    <dxf>
      <font>
        <strike val="0"/>
        <u val="none"/>
        <sz val="14"/>
      </font>
      <alignment horizontal="left"/>
    </dxf>
    <dxf>
      <font>
        <b val="0"/>
        <i val="0"/>
        <strike val="0"/>
        <condense val="0"/>
        <extend val="0"/>
        <outline val="0"/>
        <shadow val="0"/>
        <u val="none"/>
        <vertAlign val="baseline"/>
        <sz val="14"/>
        <color auto="1"/>
        <name val="宋体"/>
        <family val="3"/>
        <charset val="134"/>
        <scheme val="minor"/>
      </font>
      <alignment horizontal="left" vertical="bottom" textRotation="0" wrapText="0" indent="0" justifyLastLine="0" shrinkToFit="0" readingOrder="0"/>
    </dxf>
    <dxf>
      <font>
        <strike val="0"/>
        <u val="none"/>
        <sz val="14"/>
      </font>
      <alignment horizontal="left"/>
    </dxf>
    <dxf>
      <font>
        <strike val="0"/>
        <u val="none"/>
        <sz val="14"/>
        <family val="3"/>
      </font>
      <alignment horizontal="left"/>
    </dxf>
    <dxf>
      <font>
        <strike val="0"/>
        <u val="none"/>
        <sz val="14"/>
      </font>
      <alignment horizontal="left"/>
    </dxf>
    <dxf>
      <font>
        <b val="0"/>
        <i val="0"/>
        <strike val="0"/>
        <u val="none"/>
        <sz val="14"/>
        <color theme="1"/>
        <name val="宋体"/>
        <family val="3"/>
        <charset val="134"/>
        <scheme val="none"/>
      </font>
      <alignment horizontal="left"/>
    </dxf>
    <dxf>
      <font>
        <strike val="0"/>
        <u val="none"/>
        <sz val="14"/>
        <family val="3"/>
      </font>
      <alignment horizontal="left"/>
    </dxf>
    <dxf>
      <font>
        <strike val="0"/>
        <u val="none"/>
        <sz val="14"/>
        <family val="3"/>
      </font>
      <alignment horizontal="left"/>
    </dxf>
    <dxf>
      <font>
        <strike val="0"/>
        <u val="none"/>
        <sz val="14"/>
        <family val="3"/>
      </font>
      <alignment horizontal="left"/>
    </dxf>
    <dxf>
      <font>
        <b val="0"/>
        <i val="0"/>
        <strike val="0"/>
        <u val="none"/>
        <sz val="14"/>
        <color theme="1"/>
        <name val="宋体"/>
        <family val="3"/>
        <charset val="134"/>
        <scheme val="none"/>
      </font>
      <alignment horizontal="left"/>
    </dxf>
    <dxf>
      <font>
        <strike val="0"/>
        <u val="none"/>
        <sz val="14"/>
        <family val="3"/>
      </font>
      <alignment horizontal="left"/>
    </dxf>
    <dxf>
      <font>
        <strike val="0"/>
        <u val="none"/>
        <sz val="14"/>
        <family val="3"/>
      </font>
      <alignment horizontal="left"/>
    </dxf>
    <dxf>
      <font>
        <strike val="0"/>
        <u val="none"/>
        <sz val="14"/>
        <family val="3"/>
      </font>
      <alignment horizontal="left"/>
    </dxf>
    <dxf>
      <font>
        <strike val="0"/>
        <u val="none"/>
        <sz val="14"/>
        <family val="3"/>
      </font>
      <alignment horizontal="left"/>
    </dxf>
    <dxf>
      <font>
        <b val="0"/>
        <i val="0"/>
        <strike val="0"/>
        <u val="none"/>
        <sz val="14"/>
        <color theme="1"/>
        <name val="宋体"/>
        <family val="3"/>
        <charset val="134"/>
        <scheme val="none"/>
      </font>
      <alignment horizontal="center"/>
    </dxf>
    <dxf>
      <font>
        <b val="0"/>
        <i val="0"/>
        <strike val="0"/>
        <u val="none"/>
        <sz val="14"/>
        <color theme="1"/>
        <name val="宋体"/>
        <family val="3"/>
        <charset val="134"/>
        <scheme val="none"/>
      </font>
      <alignment horizontal="center"/>
    </dxf>
    <dxf>
      <font>
        <b val="0"/>
        <i val="0"/>
        <strike val="0"/>
        <u val="none"/>
        <sz val="14"/>
        <color theme="1"/>
        <name val="宋体"/>
        <family val="3"/>
        <charset val="134"/>
        <scheme val="none"/>
      </font>
      <alignment horizontal="left"/>
    </dxf>
    <dxf>
      <font>
        <b val="0"/>
        <i val="0"/>
        <strike val="0"/>
        <u val="none"/>
        <sz val="14"/>
        <color theme="1"/>
        <name val="宋体"/>
        <family val="3"/>
        <charset val="134"/>
        <scheme val="none"/>
      </font>
      <alignment horizontal="left"/>
    </dxf>
    <dxf>
      <font>
        <b val="0"/>
        <i val="0"/>
        <strike val="0"/>
        <u val="none"/>
        <sz val="14"/>
        <color theme="1"/>
        <name val="宋体"/>
        <family val="3"/>
        <charset val="134"/>
        <scheme val="none"/>
      </font>
      <alignment horizontal="left"/>
    </dxf>
    <dxf>
      <font>
        <b val="0"/>
        <i val="0"/>
        <strike val="0"/>
        <u val="none"/>
        <sz val="14"/>
        <color theme="1"/>
        <name val="宋体"/>
        <family val="3"/>
        <charset val="134"/>
        <scheme val="none"/>
      </font>
      <alignment horizontal="left"/>
    </dxf>
    <dxf>
      <font>
        <strike val="0"/>
        <u val="none"/>
        <sz val="14"/>
      </font>
      <alignment horizontal="left"/>
    </dxf>
    <dxf>
      <font>
        <strike val="0"/>
        <u val="none"/>
        <sz val="14"/>
      </font>
      <alignment horizontal="left"/>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9" defaultPivotStyle="PivotStyleLight16"/>
  <colors>
    <mruColors>
      <color rgb="FFE63ADE"/>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xmlMaps.xml><?xml version="1.0" encoding="utf-8"?>
<MapInfo xmlns="http://schemas.openxmlformats.org/spreadsheetml/2006/main" SelectionNamespaces="">
  <Schema ID="Schema2">
    <xsd:schema xmlns:xsd="http://www.w3.org/2001/XMLSchema" xmlns="">
      <xsd:element nillable="true" name="root">
        <xsd:complexType>
          <xsd:sequence minOccurs="0">
            <xsd:element minOccurs="0" maxOccurs="unbounded" nillable="true" name="data" form="unqualified">
              <xsd:complexType>
                <xsd:sequence minOccurs="0">
                  <xsd:element minOccurs="0" nillable="true" type="xsd:integer" name="id_i" form="unqualified"/>
                  <xsd:element minOccurs="0" nillable="true" type="xsd:integer" name="name_i" form="unqualified"/>
                  <xsd:element minOccurs="0" nillable="true" type="xsd:integer" name="dis_i" form="unqualified"/>
                  <xsd:element minOccurs="0" nillable="true" type="xsd:integer" name="dis2_i" form="unqualified"/>
                  <xsd:element minOccurs="0" nillable="true" type="xsd:string" name="book_descri_m" form="unqualified"/>
                  <xsd:element minOccurs="0" nillable="true" type="xsd:integer" name="book_icon_i" form="unqualified"/>
                  <xsd:element minOccurs="0" nillable="true" type="xsd:integer" name="quality_i" form="unqualified"/>
                  <xsd:element minOccurs="0" nillable="true" type="xsd:integer" name="icon_i" form="unqualified"/>
                  <xsd:element minOccurs="0" nillable="true" type="xsd:integer" name="invwidth_i" form="unqualified"/>
                  <xsd:element minOccurs="0" nillable="true" type="xsd:integer" name="invheight_i" form="unqualified"/>
                  <xsd:element minOccurs="0" nillable="true" type="xsd:integer" name="type_s" form="unqualified"/>
                  <xsd:element minOccurs="0" nillable="true" type="xsd:integer" name="type2_s" form="unqualified"/>
                  <xsd:element minOccurs="0" nillable="true" type="xsd:integer" name="type_name_i" form="unqualified"/>
                  <xsd:element minOccurs="0" nillable="true" type="xsd:integer" name="stackable_i" form="unqualified"/>
                  <xsd:element minOccurs="0" nillable="true" type="xsd:integer" name="minstack_i" form="unqualified"/>
                  <xsd:element minOccurs="0" nillable="true" type="xsd:integer" name="maxstack_i" form="unqualified"/>
                  <xsd:element minOccurs="0" nillable="true" type="xsd:integer" name="sale_i" form="unqualified"/>
                  <xsd:element minOccurs="0" nillable="true" type="xsd:integer" name="cost_i" form="unqualified"/>
                  <xsd:element minOccurs="0" nillable="true" type="xsd:integer" name="discard_i" form="unqualified"/>
                  <xsd:element minOccurs="0" nillable="true" type="xsd:integer" name="flippyfile_i" form="unqualified"/>
                  <xsd:element minOccurs="0" nillable="true" type="xsd:integer" name="map_show_i" form="unqualified"/>
                  <xsd:element minOccurs="0" nillable="true" type="xsd:integer" name="dropsound_i" form="unqualified"/>
                  <xsd:element minOccurs="0" nillable="true" type="xsd:integer" name="pickupsound_i" form="unqualified"/>
                  <xsd:element minOccurs="0" nillable="true" type="xsd:integer" name="dropsfxframe_i" form="unqualified"/>
                  <xsd:element minOccurs="0" nillable="true" type="xsd:integer" name="usesound_i" form="unqualified"/>
                  <xsd:element minOccurs="0" nillable="true" type="xsd:integer" name="pSpell_i" form="unqualified"/>
                  <xsd:element minOccurs="0" nillable="true" type="xsd:string" name="item_effect_n" form="unqualified"/>
                  <xsd:element minOccurs="0" nillable="true" type="xsd:integer" name="state_l" form="unqualified"/>
                  <xsd:element minOccurs="0" nillable="true" type="xsd:integer" name="auto_pickup_i" form="unqualified"/>
                  <xsd:element minOccurs="0" nillable="true" type="xsd:integer" name="pickup_buff_i" form="unqualified"/>
                  <xsd:element minOccurs="0" nillable="true" type="xsd:integer" name="task_item_i" form="unqualified"/>
                  <xsd:element minOccurs="0" nillable="true" type="xsd:integer" name="task_complete_i" form="unqualified"/>
                  <xsd:element minOccurs="0" nillable="true" type="xsd:integer" name="task_id_i" form="unqualified"/>
                  <xsd:element minOccurs="0" nillable="true" type="xsd:integer" name="discard_task_i" form="unqualified"/>
                </xsd:sequence>
              </xsd:complexType>
            </xsd:element>
          </xsd:sequence>
        </xsd:complexType>
      </xsd:element>
    </xsd:schema>
  </Schema>
  <Map ID="1085" Name="item" RootElement="root" SchemaID="Schema2" ShowImportExportValidationErrors="false" AutoFit="true" Append="false" PreserveSortAFLayout="true" PreserveFormat="true">
    <DataBinding FileBinding="true" ConnectionID="112" DataBindingLoadMode="1"/>
  </Map>
</MapInfo>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10" Type="http://schemas.openxmlformats.org/officeDocument/2006/relationships/xmlMaps" Target="xmlMaps.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D4:AK205" tableType="xml" totalsRowShown="0" connectionId="112">
  <autoFilter ref="D4:AK205" xr:uid="{00000000-0009-0000-0100-000002000000}"/>
  <tableColumns count="34">
    <tableColumn id="1" xr3:uid="{00000000-0010-0000-0000-000001000000}" uniqueName="id_i" name="id_i" dataDxfId="34">
      <xmlColumnPr mapId="1085" xpath="/root/data/id_i" xmlDataType="integer"/>
    </tableColumn>
    <tableColumn id="2" xr3:uid="{00000000-0010-0000-0000-000002000000}" uniqueName="name_i" name="name_i" dataDxfId="33">
      <xmlColumnPr mapId="1085" xpath="/root/data/name_i" xmlDataType="integer"/>
    </tableColumn>
    <tableColumn id="23" xr3:uid="{00000000-0010-0000-0000-000017000000}" uniqueName="dis_i" name="dis_i" dataDxfId="32">
      <xmlColumnPr mapId="1085" xpath="/root/data/dis_i" xmlDataType="integer"/>
    </tableColumn>
    <tableColumn id="5" xr3:uid="{00000000-0010-0000-0000-000005000000}" uniqueName="dis2_i" name="dis2_i" dataDxfId="31">
      <xmlColumnPr mapId="1085" xpath="/root/data/dis2_i" xmlDataType="integer"/>
    </tableColumn>
    <tableColumn id="6" xr3:uid="{00000000-0010-0000-0000-000006000000}" uniqueName="book_descri_m" name="book_descri_m" dataDxfId="30">
      <xmlColumnPr mapId="1085" xpath="/root/data/book_descri_m" xmlDataType="string"/>
    </tableColumn>
    <tableColumn id="7" xr3:uid="{00000000-0010-0000-0000-000007000000}" uniqueName="book_icon_i" name="book_icon_i" dataDxfId="29">
      <xmlColumnPr mapId="1085" xpath="/root/data/book_icon_i" xmlDataType="integer"/>
    </tableColumn>
    <tableColumn id="38" xr3:uid="{00000000-0010-0000-0000-000026000000}" uniqueName="quality_i" name="quality_i" dataDxfId="28">
      <xmlColumnPr mapId="1085" xpath="/root/data/quality_i" xmlDataType="integer"/>
    </tableColumn>
    <tableColumn id="4" xr3:uid="{00000000-0010-0000-0000-000004000000}" uniqueName="icon_i" name="icon_i" dataDxfId="27">
      <xmlColumnPr mapId="1085" xpath="/root/data/icon_i" xmlDataType="integer"/>
    </tableColumn>
    <tableColumn id="28" xr3:uid="{00000000-0010-0000-0000-00001C000000}" uniqueName="invwidth_i" name="invwidth_i" dataDxfId="26">
      <xmlColumnPr mapId="1085" xpath="/root/data/invwidth_i" xmlDataType="integer"/>
    </tableColumn>
    <tableColumn id="29" xr3:uid="{00000000-0010-0000-0000-00001D000000}" uniqueName="invheight_i" name="invheight_i" dataDxfId="25">
      <xmlColumnPr mapId="1085" xpath="/root/data/invheight_i" xmlDataType="integer"/>
    </tableColumn>
    <tableColumn id="52" xr3:uid="{00000000-0010-0000-0000-000034000000}" uniqueName="type_s" name="type_s" dataDxfId="24">
      <xmlColumnPr mapId="1085" xpath="/root/data/type_s" xmlDataType="integer"/>
    </tableColumn>
    <tableColumn id="53" xr3:uid="{00000000-0010-0000-0000-000035000000}" uniqueName="type2_s" name="type2_s" dataDxfId="23">
      <xmlColumnPr mapId="1085" xpath="/root/data/type2_s" xmlDataType="integer"/>
    </tableColumn>
    <tableColumn id="39" xr3:uid="{00000000-0010-0000-0000-000027000000}" uniqueName="type_name_i" name="type_name_i" dataDxfId="22">
      <xmlColumnPr mapId="1085" xpath="/root/data/type_name_i" xmlDataType="integer"/>
    </tableColumn>
    <tableColumn id="44" xr3:uid="{00000000-0010-0000-0000-00002C000000}" uniqueName="stackable_i" name="stackable_i" dataDxfId="21">
      <xmlColumnPr mapId="1085" xpath="/root/data/stackable_i" xmlDataType="integer"/>
    </tableColumn>
    <tableColumn id="45" xr3:uid="{00000000-0010-0000-0000-00002D000000}" uniqueName="minstack_i" name="minstack_i" dataDxfId="20">
      <xmlColumnPr mapId="1085" xpath="/root/data/minstack_i" xmlDataType="integer"/>
    </tableColumn>
    <tableColumn id="46" xr3:uid="{00000000-0010-0000-0000-00002E000000}" uniqueName="maxstack_i" name="maxstack_i" dataDxfId="19">
      <xmlColumnPr mapId="1085" xpath="/root/data/maxstack_i" xmlDataType="integer"/>
    </tableColumn>
    <tableColumn id="3" xr3:uid="{00000000-0010-0000-0000-000003000000}" uniqueName="sale_i" name="sale_i" dataDxfId="18">
      <xmlColumnPr mapId="1085" xpath="/root/data/sale_i" xmlDataType="integer"/>
    </tableColumn>
    <tableColumn id="17" xr3:uid="{00000000-0010-0000-0000-000011000000}" uniqueName="cost_i" name="cost_i" dataDxfId="17">
      <xmlColumnPr mapId="1085" xpath="/root/data/cost_i" xmlDataType="integer"/>
    </tableColumn>
    <tableColumn id="32" xr3:uid="{00000000-0010-0000-0000-000020000000}" uniqueName="discard_i" name="discard_i" dataDxfId="16">
      <xmlColumnPr mapId="1085" xpath="/root/data/discard_i" xmlDataType="integer"/>
    </tableColumn>
    <tableColumn id="33" xr3:uid="{00000000-0010-0000-0000-000021000000}" uniqueName="flippyfile_i" name="flippyfile_i" dataDxfId="15">
      <xmlColumnPr mapId="1085" xpath="/root/data/flippyfile_i" xmlDataType="integer"/>
    </tableColumn>
    <tableColumn id="14" xr3:uid="{534CD282-FC30-4AEA-9CB1-A50ABAEB0290}" uniqueName="map_show_i" name="map_show_i" dataDxfId="14">
      <xmlColumnPr mapId="1085" xpath="/root/data/map_show_i" xmlDataType="integer"/>
    </tableColumn>
    <tableColumn id="54" xr3:uid="{00000000-0010-0000-0000-000036000000}" uniqueName="dropsound_i" name="dropsound_i" dataDxfId="13">
      <xmlColumnPr mapId="1085" xpath="/root/data/dropsound_i" xmlDataType="integer"/>
    </tableColumn>
    <tableColumn id="72" xr3:uid="{00000000-0010-0000-0000-000048000000}" uniqueName="pickupsound_i" name="pickupsound_i" dataDxfId="12">
      <xmlColumnPr mapId="1085" xpath="/root/data/pickupsound_i" xmlDataType="integer"/>
    </tableColumn>
    <tableColumn id="55" xr3:uid="{00000000-0010-0000-0000-000037000000}" uniqueName="dropsfxframe_i" name="dropsfxframe_i" dataDxfId="11">
      <xmlColumnPr mapId="1085" xpath="/root/data/dropsfxframe_i" xmlDataType="integer"/>
    </tableColumn>
    <tableColumn id="56" xr3:uid="{00000000-0010-0000-0000-000038000000}" uniqueName="usesound_i" name="usesound_i" dataDxfId="10">
      <xmlColumnPr mapId="1085" xpath="/root/data/usesound_i" xmlDataType="integer"/>
    </tableColumn>
    <tableColumn id="24" xr3:uid="{00000000-0010-0000-0000-000018000000}" uniqueName="pSpell_i" name="pSpell_i" dataDxfId="9">
      <xmlColumnPr mapId="1085" xpath="/root/data/pSpell_i" xmlDataType="integer"/>
    </tableColumn>
    <tableColumn id="73" xr3:uid="{00000000-0010-0000-0000-000049000000}" uniqueName="item_effect_n" name="item_effect_n" dataDxfId="8">
      <xmlColumnPr mapId="1085" xpath="/root/data/item_effect_n" xmlDataType="string"/>
    </tableColumn>
    <tableColumn id="25" xr3:uid="{00000000-0010-0000-0000-000019000000}" uniqueName="state_l" name="state_l" dataDxfId="7">
      <xmlColumnPr mapId="1085" xpath="/root/data/state_l" xmlDataType="integer"/>
    </tableColumn>
    <tableColumn id="8" xr3:uid="{3E8B4997-960F-4C1A-B055-286195EB7D8D}" uniqueName="auto_pickup_i" name="auto_pickup_i" dataDxfId="6">
      <xmlColumnPr mapId="1085" xpath="/root/data/auto_pickup_i" xmlDataType="integer"/>
    </tableColumn>
    <tableColumn id="9" xr3:uid="{E62A0014-7EC8-4A74-9BA8-45A7607CC164}" uniqueName="pickup_buff_i" name="pickup_buff_i" dataDxfId="5">
      <xmlColumnPr mapId="1085" xpath="/root/data/pickup_buff_i" xmlDataType="integer"/>
    </tableColumn>
    <tableColumn id="11" xr3:uid="{6F9DC695-3D3F-43F0-BB39-B43E92591111}" uniqueName="task_item_i" name="task_item_i" dataDxfId="4">
      <xmlColumnPr mapId="1085" xpath="/root/data/task_item_i" xmlDataType="integer"/>
    </tableColumn>
    <tableColumn id="12" xr3:uid="{03B0C5E2-068D-498B-BC7B-FB44BA8BCDD6}" uniqueName="task_complete_i" name="task_complete_i" dataDxfId="3">
      <xmlColumnPr mapId="1085" xpath="/root/data/task_complete_i" xmlDataType="integer"/>
    </tableColumn>
    <tableColumn id="10" xr3:uid="{0BCE783B-69A8-402E-AF57-5A57901AC117}" uniqueName="task_id_i" name="task_id_i" dataDxfId="2">
      <xmlColumnPr mapId="1085" xpath="/root/data/task_id_i" xmlDataType="integer"/>
    </tableColumn>
    <tableColumn id="13" xr3:uid="{BD25696F-2F12-4734-B834-508CE700C525}" uniqueName="discard_task_i" name="discard_task_i" dataDxfId="1">
      <xmlColumnPr mapId="1085" xpath="/root/data/discard_task_i" xmlDataType="integer"/>
    </tableColumn>
  </tableColumns>
  <tableStyleInfo name="TableStyleMedium9"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Q205"/>
  <sheetViews>
    <sheetView tabSelected="1" zoomScale="85" zoomScaleNormal="85" workbookViewId="0">
      <pane xSplit="4" ySplit="4" topLeftCell="AG5" activePane="bottomRight" state="frozen"/>
      <selection pane="topRight"/>
      <selection pane="bottomLeft"/>
      <selection pane="bottomRight" activeCell="AJ13" sqref="AJ13"/>
    </sheetView>
  </sheetViews>
  <sheetFormatPr defaultColWidth="9" defaultRowHeight="18.75" x14ac:dyDescent="0.25"/>
  <cols>
    <col min="1" max="1" width="13.875" style="2" customWidth="1"/>
    <col min="2" max="2" width="24.25" style="2" customWidth="1"/>
    <col min="3" max="3" width="25.375" style="2" customWidth="1"/>
    <col min="4" max="7" width="15.625" style="3" customWidth="1"/>
    <col min="8" max="8" width="19.375" style="3" customWidth="1"/>
    <col min="9" max="9" width="15.625" style="3" customWidth="1"/>
    <col min="10" max="11" width="15.625" customWidth="1"/>
    <col min="12" max="16" width="15.625" style="3" customWidth="1"/>
    <col min="17" max="17" width="15.625" customWidth="1"/>
    <col min="18" max="18" width="15.625" style="3" customWidth="1"/>
    <col min="19" max="19" width="21.375" style="3" customWidth="1"/>
    <col min="20" max="21" width="15.625" style="3" customWidth="1"/>
    <col min="22" max="22" width="18.875" style="3" customWidth="1"/>
    <col min="23" max="28" width="15.625" customWidth="1"/>
    <col min="29" max="29" width="22.625" customWidth="1"/>
    <col min="30" max="30" width="20.375" customWidth="1"/>
    <col min="31" max="31" width="25.5" style="3" customWidth="1"/>
    <col min="32" max="32" width="25.375" style="3" bestFit="1" customWidth="1"/>
    <col min="33" max="33" width="29.875" style="3" customWidth="1"/>
    <col min="34" max="34" width="25.375" style="3" customWidth="1"/>
    <col min="35" max="35" width="24.5" style="3" customWidth="1"/>
    <col min="36" max="37" width="27.125" style="3" customWidth="1"/>
    <col min="39" max="39" width="21.25" style="3" customWidth="1"/>
    <col min="40" max="40" width="26.125" style="3" customWidth="1"/>
    <col min="41" max="41" width="30.375" style="3" customWidth="1"/>
    <col min="42" max="42" width="25.25" style="3" customWidth="1"/>
    <col min="43" max="43" width="19" style="4" customWidth="1"/>
    <col min="44" max="44" width="27.375" style="3" customWidth="1"/>
    <col min="45" max="45" width="22" style="3" customWidth="1"/>
    <col min="46" max="16384" width="9" style="3"/>
  </cols>
  <sheetData>
    <row r="1" spans="1:43" x14ac:dyDescent="0.25">
      <c r="A1" s="2" t="s">
        <v>78</v>
      </c>
      <c r="J1" s="3"/>
      <c r="K1" s="3"/>
      <c r="Q1" s="3"/>
      <c r="W1" s="3"/>
      <c r="X1" s="3"/>
      <c r="Y1" s="3"/>
      <c r="Z1" s="3"/>
      <c r="AA1" s="3"/>
      <c r="AB1" s="3"/>
      <c r="AC1" s="3"/>
      <c r="AD1" s="3"/>
      <c r="AE1" s="4"/>
      <c r="AL1" s="3"/>
      <c r="AQ1" s="3"/>
    </row>
    <row r="2" spans="1:43" ht="39.6" customHeight="1" x14ac:dyDescent="0.25">
      <c r="D2" s="141" t="s">
        <v>0</v>
      </c>
      <c r="E2" s="141"/>
      <c r="F2" s="141"/>
      <c r="G2" s="141"/>
      <c r="H2" s="141"/>
      <c r="I2" s="141"/>
      <c r="J2" s="141"/>
      <c r="K2" s="141"/>
      <c r="L2" s="141"/>
      <c r="M2" s="141"/>
      <c r="N2" s="142" t="s">
        <v>1</v>
      </c>
      <c r="O2" s="142"/>
      <c r="P2" s="142"/>
      <c r="Q2" s="146" t="s">
        <v>2</v>
      </c>
      <c r="R2" s="146"/>
      <c r="S2" s="146"/>
      <c r="T2" s="147" t="s">
        <v>3</v>
      </c>
      <c r="U2" s="148"/>
      <c r="V2" s="148"/>
      <c r="W2" s="149"/>
      <c r="X2" s="119"/>
      <c r="Y2" s="150" t="s">
        <v>4</v>
      </c>
      <c r="Z2" s="151"/>
      <c r="AA2" s="151"/>
      <c r="AB2" s="152"/>
      <c r="AC2" s="140" t="s">
        <v>5</v>
      </c>
      <c r="AD2" s="140"/>
      <c r="AE2" s="140"/>
      <c r="AF2" s="32"/>
      <c r="AG2" s="32"/>
      <c r="AH2" s="121"/>
      <c r="AI2" s="122"/>
      <c r="AJ2" s="123"/>
      <c r="AK2" s="115"/>
      <c r="AL2" s="3"/>
      <c r="AQ2" s="3"/>
    </row>
    <row r="3" spans="1:43" ht="150.75" customHeight="1" x14ac:dyDescent="0.25">
      <c r="D3" s="5" t="s">
        <v>6</v>
      </c>
      <c r="E3" s="6" t="s">
        <v>7</v>
      </c>
      <c r="F3" s="7" t="s">
        <v>87</v>
      </c>
      <c r="G3" s="7" t="s">
        <v>8</v>
      </c>
      <c r="H3" s="7" t="s">
        <v>350</v>
      </c>
      <c r="I3" s="7" t="s">
        <v>9</v>
      </c>
      <c r="J3" s="12" t="s">
        <v>347</v>
      </c>
      <c r="K3" s="13" t="s">
        <v>10</v>
      </c>
      <c r="L3" s="7" t="s">
        <v>11</v>
      </c>
      <c r="M3" s="7" t="s">
        <v>12</v>
      </c>
      <c r="N3" s="14" t="s">
        <v>13</v>
      </c>
      <c r="O3" s="14" t="s">
        <v>14</v>
      </c>
      <c r="P3" s="14" t="s">
        <v>15</v>
      </c>
      <c r="Q3" s="19" t="s">
        <v>16</v>
      </c>
      <c r="R3" s="20" t="s">
        <v>17</v>
      </c>
      <c r="S3" s="20" t="s">
        <v>442</v>
      </c>
      <c r="T3" s="21" t="s">
        <v>18</v>
      </c>
      <c r="U3" s="21" t="s">
        <v>19</v>
      </c>
      <c r="V3" s="22" t="s">
        <v>89</v>
      </c>
      <c r="W3" s="23" t="s">
        <v>20</v>
      </c>
      <c r="X3" s="23" t="s">
        <v>474</v>
      </c>
      <c r="Y3" s="24" t="s">
        <v>21</v>
      </c>
      <c r="Z3" s="24" t="s">
        <v>22</v>
      </c>
      <c r="AA3" s="24" t="s">
        <v>23</v>
      </c>
      <c r="AB3" s="24" t="s">
        <v>24</v>
      </c>
      <c r="AC3" s="26" t="s">
        <v>168</v>
      </c>
      <c r="AD3" s="27" t="s">
        <v>169</v>
      </c>
      <c r="AE3" s="28"/>
      <c r="AF3" s="33" t="s">
        <v>85</v>
      </c>
      <c r="AG3" s="33" t="s">
        <v>82</v>
      </c>
      <c r="AH3" s="33" t="s">
        <v>240</v>
      </c>
      <c r="AI3" s="33" t="s">
        <v>388</v>
      </c>
      <c r="AJ3" s="33" t="s">
        <v>387</v>
      </c>
      <c r="AK3" s="33" t="s">
        <v>444</v>
      </c>
      <c r="AL3" s="3"/>
      <c r="AQ3" s="3"/>
    </row>
    <row r="4" spans="1:43" x14ac:dyDescent="0.25">
      <c r="A4" s="37"/>
      <c r="B4" s="38"/>
      <c r="C4" s="37"/>
      <c r="D4" s="8" t="s">
        <v>25</v>
      </c>
      <c r="E4" s="9" t="s">
        <v>26</v>
      </c>
      <c r="F4" s="9" t="s">
        <v>27</v>
      </c>
      <c r="G4" s="9" t="s">
        <v>28</v>
      </c>
      <c r="H4" s="9" t="s">
        <v>157</v>
      </c>
      <c r="I4" s="9" t="s">
        <v>29</v>
      </c>
      <c r="J4" s="9" t="s">
        <v>30</v>
      </c>
      <c r="K4" s="9" t="s">
        <v>31</v>
      </c>
      <c r="L4" s="9" t="s">
        <v>32</v>
      </c>
      <c r="M4" s="9" t="s">
        <v>33</v>
      </c>
      <c r="N4" s="9" t="s">
        <v>446</v>
      </c>
      <c r="O4" s="9" t="s">
        <v>34</v>
      </c>
      <c r="P4" s="9" t="s">
        <v>35</v>
      </c>
      <c r="Q4" s="9" t="s">
        <v>36</v>
      </c>
      <c r="R4" s="9" t="s">
        <v>37</v>
      </c>
      <c r="S4" s="9" t="s">
        <v>38</v>
      </c>
      <c r="T4" s="9" t="s">
        <v>39</v>
      </c>
      <c r="U4" s="9" t="s">
        <v>40</v>
      </c>
      <c r="V4" s="9" t="s">
        <v>41</v>
      </c>
      <c r="W4" s="9" t="s">
        <v>42</v>
      </c>
      <c r="X4" s="9" t="s">
        <v>475</v>
      </c>
      <c r="Y4" s="9" t="s">
        <v>43</v>
      </c>
      <c r="Z4" s="9" t="s">
        <v>44</v>
      </c>
      <c r="AA4" s="9" t="s">
        <v>45</v>
      </c>
      <c r="AB4" s="9" t="s">
        <v>46</v>
      </c>
      <c r="AC4" s="9" t="s">
        <v>47</v>
      </c>
      <c r="AD4" s="9" t="s">
        <v>242</v>
      </c>
      <c r="AE4" s="29" t="s">
        <v>48</v>
      </c>
      <c r="AF4" s="15" t="s">
        <v>83</v>
      </c>
      <c r="AG4" s="15" t="s">
        <v>84</v>
      </c>
      <c r="AH4" s="15" t="s">
        <v>241</v>
      </c>
      <c r="AI4" s="15" t="s">
        <v>386</v>
      </c>
      <c r="AJ4" s="15" t="s">
        <v>158</v>
      </c>
      <c r="AK4" s="15" t="s">
        <v>445</v>
      </c>
      <c r="AL4" s="3"/>
      <c r="AQ4" s="3"/>
    </row>
    <row r="5" spans="1:43" x14ac:dyDescent="0.25">
      <c r="A5" s="36"/>
      <c r="B5" s="36"/>
      <c r="C5" s="36"/>
      <c r="D5" s="10">
        <v>0</v>
      </c>
      <c r="E5" s="10">
        <v>0</v>
      </c>
      <c r="F5" s="10">
        <v>0</v>
      </c>
      <c r="G5" s="10">
        <v>0</v>
      </c>
      <c r="H5" s="30" t="s">
        <v>49</v>
      </c>
      <c r="I5" s="10">
        <v>0</v>
      </c>
      <c r="J5" s="15">
        <v>0</v>
      </c>
      <c r="K5" s="15">
        <v>0</v>
      </c>
      <c r="L5" s="10">
        <v>0</v>
      </c>
      <c r="M5" s="10">
        <v>0</v>
      </c>
      <c r="N5" s="10">
        <v>0</v>
      </c>
      <c r="O5" s="10">
        <v>0</v>
      </c>
      <c r="P5" s="10">
        <v>0</v>
      </c>
      <c r="Q5" s="10">
        <v>0</v>
      </c>
      <c r="R5" s="10">
        <v>0</v>
      </c>
      <c r="S5" s="10">
        <v>0</v>
      </c>
      <c r="T5" s="10">
        <v>0</v>
      </c>
      <c r="U5" s="10">
        <v>0</v>
      </c>
      <c r="V5" s="10">
        <v>0</v>
      </c>
      <c r="W5" s="10">
        <v>0</v>
      </c>
      <c r="X5" s="10">
        <v>0</v>
      </c>
      <c r="Y5" s="10">
        <v>0</v>
      </c>
      <c r="Z5" s="10">
        <v>0</v>
      </c>
      <c r="AA5" s="10">
        <v>0</v>
      </c>
      <c r="AB5" s="10">
        <v>0</v>
      </c>
      <c r="AC5" s="10">
        <v>0</v>
      </c>
      <c r="AD5" s="30" t="s">
        <v>49</v>
      </c>
      <c r="AE5" s="10">
        <v>0</v>
      </c>
      <c r="AF5" s="15">
        <v>0</v>
      </c>
      <c r="AG5" s="15">
        <v>0</v>
      </c>
      <c r="AH5" s="15">
        <v>0</v>
      </c>
      <c r="AI5" s="15">
        <v>0</v>
      </c>
      <c r="AJ5" s="15">
        <v>0</v>
      </c>
      <c r="AK5" s="15">
        <v>0</v>
      </c>
      <c r="AL5" s="3"/>
      <c r="AQ5" s="3"/>
    </row>
    <row r="6" spans="1:43" x14ac:dyDescent="0.25">
      <c r="A6" s="41"/>
      <c r="B6" s="41" t="s">
        <v>50</v>
      </c>
      <c r="C6" s="42" t="s">
        <v>51</v>
      </c>
      <c r="D6" s="10">
        <v>1</v>
      </c>
      <c r="E6" s="10">
        <v>3015</v>
      </c>
      <c r="F6" s="10">
        <v>3624</v>
      </c>
      <c r="G6" s="10">
        <v>0</v>
      </c>
      <c r="H6" s="30"/>
      <c r="I6" s="10">
        <v>0</v>
      </c>
      <c r="J6" s="15">
        <v>1</v>
      </c>
      <c r="K6" s="15">
        <v>0</v>
      </c>
      <c r="L6" s="10">
        <v>1</v>
      </c>
      <c r="M6" s="10">
        <v>1</v>
      </c>
      <c r="N6" s="10" t="s">
        <v>52</v>
      </c>
      <c r="O6" s="10"/>
      <c r="P6" s="10">
        <v>30005</v>
      </c>
      <c r="Q6" s="10">
        <v>1</v>
      </c>
      <c r="R6" s="10">
        <v>0</v>
      </c>
      <c r="S6" s="10">
        <v>0</v>
      </c>
      <c r="T6" s="10">
        <v>0</v>
      </c>
      <c r="U6" s="10">
        <v>0</v>
      </c>
      <c r="V6" s="10">
        <v>0</v>
      </c>
      <c r="W6" s="10">
        <v>1</v>
      </c>
      <c r="X6" s="10">
        <v>0</v>
      </c>
      <c r="Y6" s="10">
        <v>3503</v>
      </c>
      <c r="Z6" s="10">
        <v>3503</v>
      </c>
      <c r="AA6" s="10">
        <v>12</v>
      </c>
      <c r="AB6" s="10">
        <v>0</v>
      </c>
      <c r="AC6" s="10">
        <v>0</v>
      </c>
      <c r="AD6" s="30"/>
      <c r="AE6" s="10"/>
      <c r="AF6" s="3">
        <v>0</v>
      </c>
      <c r="AG6" s="3">
        <v>0</v>
      </c>
      <c r="AH6" s="3">
        <v>0</v>
      </c>
      <c r="AI6" s="3">
        <v>0</v>
      </c>
      <c r="AJ6" s="3">
        <v>0</v>
      </c>
      <c r="AK6" s="3">
        <v>0</v>
      </c>
      <c r="AL6" s="3"/>
      <c r="AQ6" s="3"/>
    </row>
    <row r="7" spans="1:43" x14ac:dyDescent="0.25">
      <c r="A7" s="41"/>
      <c r="B7" s="41" t="s">
        <v>53</v>
      </c>
      <c r="C7" s="42" t="s">
        <v>54</v>
      </c>
      <c r="D7" s="10">
        <v>2</v>
      </c>
      <c r="E7" s="10">
        <v>30005</v>
      </c>
      <c r="F7" s="10">
        <v>33002</v>
      </c>
      <c r="G7" s="10">
        <v>0</v>
      </c>
      <c r="H7" s="30"/>
      <c r="I7" s="10">
        <v>0</v>
      </c>
      <c r="J7" s="15">
        <v>1</v>
      </c>
      <c r="K7" s="15">
        <v>80000</v>
      </c>
      <c r="L7" s="10">
        <v>1</v>
      </c>
      <c r="M7" s="10">
        <v>1</v>
      </c>
      <c r="N7" s="10" t="s">
        <v>52</v>
      </c>
      <c r="O7" s="10"/>
      <c r="P7" s="10">
        <v>30005</v>
      </c>
      <c r="Q7" s="10">
        <v>1</v>
      </c>
      <c r="R7" s="10">
        <v>0</v>
      </c>
      <c r="S7" s="10">
        <v>0</v>
      </c>
      <c r="T7" s="10">
        <v>0</v>
      </c>
      <c r="U7" s="10">
        <v>0</v>
      </c>
      <c r="V7" s="10">
        <v>0</v>
      </c>
      <c r="W7" s="10">
        <v>1</v>
      </c>
      <c r="X7" s="10">
        <v>0</v>
      </c>
      <c r="Y7" s="10">
        <v>3503</v>
      </c>
      <c r="Z7" s="10">
        <v>3503</v>
      </c>
      <c r="AA7" s="10">
        <v>12</v>
      </c>
      <c r="AB7" s="10">
        <v>0</v>
      </c>
      <c r="AC7" s="10">
        <v>0</v>
      </c>
      <c r="AD7" s="30"/>
      <c r="AE7" s="10"/>
      <c r="AF7" s="3">
        <v>0</v>
      </c>
      <c r="AG7" s="3">
        <v>0</v>
      </c>
      <c r="AH7" s="3">
        <v>0</v>
      </c>
      <c r="AI7" s="3">
        <v>0</v>
      </c>
      <c r="AJ7" s="3">
        <v>0</v>
      </c>
      <c r="AK7" s="3">
        <v>0</v>
      </c>
      <c r="AL7" s="3"/>
      <c r="AQ7" s="3"/>
    </row>
    <row r="8" spans="1:43" x14ac:dyDescent="0.25">
      <c r="A8" s="41"/>
      <c r="B8" s="41" t="s">
        <v>55</v>
      </c>
      <c r="C8" s="42" t="s">
        <v>56</v>
      </c>
      <c r="D8" s="10">
        <v>3</v>
      </c>
      <c r="E8" s="10">
        <v>30006</v>
      </c>
      <c r="F8" s="10">
        <v>3522</v>
      </c>
      <c r="G8" s="10">
        <v>0</v>
      </c>
      <c r="H8" s="30"/>
      <c r="I8" s="10">
        <v>0</v>
      </c>
      <c r="J8" s="16">
        <v>1</v>
      </c>
      <c r="K8" s="16">
        <v>80501</v>
      </c>
      <c r="L8" s="10">
        <v>1</v>
      </c>
      <c r="M8" s="10">
        <v>1</v>
      </c>
      <c r="N8" s="10" t="s">
        <v>57</v>
      </c>
      <c r="O8" s="10"/>
      <c r="P8" s="10">
        <v>30004</v>
      </c>
      <c r="Q8" s="10">
        <v>1</v>
      </c>
      <c r="R8" s="10">
        <v>1</v>
      </c>
      <c r="S8" s="10">
        <v>99</v>
      </c>
      <c r="T8" s="10">
        <v>0</v>
      </c>
      <c r="U8" s="10">
        <v>80</v>
      </c>
      <c r="V8" s="10">
        <v>0</v>
      </c>
      <c r="W8" s="10">
        <v>2006</v>
      </c>
      <c r="X8" s="10">
        <v>0</v>
      </c>
      <c r="Y8" s="25">
        <v>2011</v>
      </c>
      <c r="Z8" s="10">
        <v>2002</v>
      </c>
      <c r="AA8" s="10">
        <v>10</v>
      </c>
      <c r="AB8" s="10">
        <v>0</v>
      </c>
      <c r="AC8" s="10">
        <v>0</v>
      </c>
      <c r="AD8" s="30"/>
      <c r="AE8" s="10"/>
      <c r="AF8" s="3">
        <v>0</v>
      </c>
      <c r="AG8" s="3">
        <v>0</v>
      </c>
      <c r="AH8" s="3">
        <v>0</v>
      </c>
      <c r="AI8" s="3">
        <v>0</v>
      </c>
      <c r="AJ8" s="3">
        <v>0</v>
      </c>
      <c r="AK8" s="3">
        <v>0</v>
      </c>
      <c r="AL8" s="3"/>
      <c r="AQ8" s="3"/>
    </row>
    <row r="9" spans="1:43" x14ac:dyDescent="0.25">
      <c r="A9" s="42"/>
      <c r="B9" s="43" t="s">
        <v>58</v>
      </c>
      <c r="C9" s="42" t="s">
        <v>59</v>
      </c>
      <c r="D9" s="10">
        <v>4</v>
      </c>
      <c r="E9" s="10">
        <v>30001</v>
      </c>
      <c r="F9" s="11">
        <v>33001</v>
      </c>
      <c r="G9" s="10">
        <v>36001</v>
      </c>
      <c r="H9" s="30"/>
      <c r="I9" s="10">
        <v>0</v>
      </c>
      <c r="J9" s="17">
        <v>5</v>
      </c>
      <c r="K9" s="15">
        <v>0</v>
      </c>
      <c r="L9" s="10">
        <v>1</v>
      </c>
      <c r="M9" s="10">
        <v>1</v>
      </c>
      <c r="N9" s="10" t="s">
        <v>60</v>
      </c>
      <c r="O9" s="10"/>
      <c r="P9" s="11">
        <v>22001</v>
      </c>
      <c r="Q9" s="10">
        <v>0</v>
      </c>
      <c r="R9" s="10">
        <v>1</v>
      </c>
      <c r="S9" s="10">
        <v>1</v>
      </c>
      <c r="T9" s="10">
        <v>0</v>
      </c>
      <c r="U9" s="10">
        <v>0</v>
      </c>
      <c r="V9" s="10">
        <v>0</v>
      </c>
      <c r="W9" s="10">
        <v>4009</v>
      </c>
      <c r="X9" s="10">
        <v>0</v>
      </c>
      <c r="Y9" s="25">
        <v>3503</v>
      </c>
      <c r="Z9" s="11">
        <v>3503</v>
      </c>
      <c r="AA9" s="10">
        <v>12</v>
      </c>
      <c r="AB9" s="10">
        <v>0</v>
      </c>
      <c r="AC9" s="10">
        <v>4</v>
      </c>
      <c r="AD9" s="31"/>
      <c r="AE9" s="31"/>
      <c r="AF9" s="15">
        <v>1</v>
      </c>
      <c r="AG9" s="3">
        <v>0</v>
      </c>
      <c r="AH9" s="3">
        <v>0</v>
      </c>
      <c r="AI9" s="3">
        <v>0</v>
      </c>
      <c r="AJ9" s="3">
        <v>0</v>
      </c>
      <c r="AK9" s="3">
        <v>0</v>
      </c>
    </row>
    <row r="10" spans="1:43" x14ac:dyDescent="0.25">
      <c r="A10" s="42"/>
      <c r="B10" s="43" t="s">
        <v>90</v>
      </c>
      <c r="C10" s="42" t="s">
        <v>91</v>
      </c>
      <c r="D10" s="10">
        <v>5</v>
      </c>
      <c r="E10" s="10">
        <v>30001</v>
      </c>
      <c r="F10" s="11">
        <v>33001</v>
      </c>
      <c r="G10" s="11">
        <v>36001</v>
      </c>
      <c r="H10" s="31"/>
      <c r="I10" s="10">
        <v>0</v>
      </c>
      <c r="J10" s="17">
        <v>5</v>
      </c>
      <c r="K10" s="15">
        <v>0</v>
      </c>
      <c r="L10" s="10">
        <v>1</v>
      </c>
      <c r="M10" s="10">
        <v>1</v>
      </c>
      <c r="N10" s="10" t="s">
        <v>60</v>
      </c>
      <c r="O10" s="10"/>
      <c r="P10" s="11">
        <v>22001</v>
      </c>
      <c r="Q10" s="10">
        <v>0</v>
      </c>
      <c r="R10" s="10">
        <v>1</v>
      </c>
      <c r="S10" s="10">
        <v>1</v>
      </c>
      <c r="T10" s="11">
        <v>0</v>
      </c>
      <c r="U10" s="10">
        <v>0</v>
      </c>
      <c r="V10" s="10">
        <v>0</v>
      </c>
      <c r="W10" s="10">
        <v>4009</v>
      </c>
      <c r="X10" s="10">
        <v>0</v>
      </c>
      <c r="Y10" s="25">
        <v>3503</v>
      </c>
      <c r="Z10" s="11">
        <v>3503</v>
      </c>
      <c r="AA10" s="10">
        <v>12</v>
      </c>
      <c r="AB10" s="10">
        <v>0</v>
      </c>
      <c r="AC10" s="11">
        <v>2</v>
      </c>
      <c r="AD10" s="31"/>
      <c r="AE10" s="31"/>
      <c r="AF10" s="15">
        <v>1</v>
      </c>
      <c r="AG10" s="3">
        <v>0</v>
      </c>
      <c r="AH10" s="3">
        <v>0</v>
      </c>
      <c r="AI10" s="3">
        <v>0</v>
      </c>
      <c r="AJ10" s="3">
        <v>0</v>
      </c>
      <c r="AK10" s="3">
        <v>0</v>
      </c>
    </row>
    <row r="11" spans="1:43" x14ac:dyDescent="0.25">
      <c r="A11" s="42"/>
      <c r="B11" s="43" t="s">
        <v>98</v>
      </c>
      <c r="C11" s="42" t="s">
        <v>92</v>
      </c>
      <c r="D11" s="10">
        <v>6</v>
      </c>
      <c r="E11" s="10">
        <v>30001</v>
      </c>
      <c r="F11" s="11">
        <v>33001</v>
      </c>
      <c r="G11" s="11">
        <v>36001</v>
      </c>
      <c r="H11" s="31"/>
      <c r="I11" s="10">
        <v>0</v>
      </c>
      <c r="J11" s="17">
        <v>5</v>
      </c>
      <c r="K11" s="15">
        <v>0</v>
      </c>
      <c r="L11" s="10">
        <v>1</v>
      </c>
      <c r="M11" s="10">
        <v>1</v>
      </c>
      <c r="N11" s="10" t="s">
        <v>88</v>
      </c>
      <c r="O11" s="10"/>
      <c r="P11" s="11">
        <v>22001</v>
      </c>
      <c r="Q11" s="10">
        <v>0</v>
      </c>
      <c r="R11" s="10">
        <v>1</v>
      </c>
      <c r="S11" s="10">
        <v>1</v>
      </c>
      <c r="T11" s="10">
        <v>0</v>
      </c>
      <c r="U11" s="10">
        <v>0</v>
      </c>
      <c r="V11" s="10">
        <v>0</v>
      </c>
      <c r="W11" s="10">
        <v>2501</v>
      </c>
      <c r="X11" s="10">
        <v>1</v>
      </c>
      <c r="Y11" s="25">
        <v>3503</v>
      </c>
      <c r="Z11" s="11">
        <v>3503</v>
      </c>
      <c r="AA11" s="10">
        <v>12</v>
      </c>
      <c r="AB11" s="10">
        <v>0</v>
      </c>
      <c r="AC11" s="11">
        <v>0</v>
      </c>
      <c r="AD11" s="31"/>
      <c r="AE11" s="31"/>
      <c r="AF11" s="15">
        <v>1</v>
      </c>
      <c r="AG11" s="3">
        <v>5011</v>
      </c>
      <c r="AH11" s="3">
        <v>0</v>
      </c>
      <c r="AI11" s="3">
        <v>0</v>
      </c>
      <c r="AJ11" s="3">
        <v>0</v>
      </c>
      <c r="AK11" s="3">
        <v>0</v>
      </c>
    </row>
    <row r="12" spans="1:43" x14ac:dyDescent="0.25">
      <c r="A12" s="42"/>
      <c r="B12" s="43" t="s">
        <v>191</v>
      </c>
      <c r="C12" s="42"/>
      <c r="D12" s="10">
        <v>7</v>
      </c>
      <c r="E12" s="10">
        <v>30001</v>
      </c>
      <c r="F12" s="11">
        <v>33001</v>
      </c>
      <c r="G12" s="11">
        <v>36001</v>
      </c>
      <c r="H12" s="31"/>
      <c r="I12" s="10">
        <v>0</v>
      </c>
      <c r="J12" s="17">
        <v>4</v>
      </c>
      <c r="K12" s="15">
        <v>0</v>
      </c>
      <c r="L12" s="10">
        <v>1</v>
      </c>
      <c r="M12" s="10">
        <v>1</v>
      </c>
      <c r="N12" s="10" t="s">
        <v>88</v>
      </c>
      <c r="O12" s="10"/>
      <c r="P12" s="11">
        <v>22001</v>
      </c>
      <c r="Q12" s="10">
        <v>0</v>
      </c>
      <c r="R12" s="10">
        <v>1</v>
      </c>
      <c r="S12" s="10">
        <v>1</v>
      </c>
      <c r="T12" s="10">
        <v>0</v>
      </c>
      <c r="U12" s="10">
        <v>0</v>
      </c>
      <c r="V12" s="10">
        <v>0</v>
      </c>
      <c r="W12" s="10">
        <v>2502</v>
      </c>
      <c r="X12" s="10">
        <v>1</v>
      </c>
      <c r="Y12" s="25">
        <v>3503</v>
      </c>
      <c r="Z12" s="11">
        <v>3503</v>
      </c>
      <c r="AA12" s="10">
        <v>12</v>
      </c>
      <c r="AB12" s="10">
        <v>0</v>
      </c>
      <c r="AC12" s="11">
        <v>0</v>
      </c>
      <c r="AD12" s="31"/>
      <c r="AE12" s="31"/>
      <c r="AF12" s="15">
        <v>1</v>
      </c>
      <c r="AG12" s="3">
        <v>5012</v>
      </c>
      <c r="AH12" s="3">
        <v>0</v>
      </c>
      <c r="AI12" s="3">
        <v>0</v>
      </c>
      <c r="AJ12" s="3">
        <v>0</v>
      </c>
      <c r="AK12" s="3">
        <v>0</v>
      </c>
    </row>
    <row r="13" spans="1:43" x14ac:dyDescent="0.25">
      <c r="A13" s="42"/>
      <c r="B13" s="43" t="s">
        <v>237</v>
      </c>
      <c r="C13" s="42" t="s">
        <v>238</v>
      </c>
      <c r="D13" s="10">
        <v>8</v>
      </c>
      <c r="E13" s="10">
        <v>30001</v>
      </c>
      <c r="F13" s="11">
        <v>33001</v>
      </c>
      <c r="G13" s="11">
        <v>36001</v>
      </c>
      <c r="H13" s="31"/>
      <c r="I13" s="10">
        <v>0</v>
      </c>
      <c r="J13" s="17">
        <v>5</v>
      </c>
      <c r="K13" s="15">
        <v>0</v>
      </c>
      <c r="L13" s="10">
        <v>1</v>
      </c>
      <c r="M13" s="10">
        <v>1</v>
      </c>
      <c r="N13" s="10" t="s">
        <v>60</v>
      </c>
      <c r="O13" s="10"/>
      <c r="P13" s="11">
        <v>22001</v>
      </c>
      <c r="Q13" s="10">
        <v>0</v>
      </c>
      <c r="R13" s="10">
        <v>1</v>
      </c>
      <c r="S13" s="10">
        <v>1</v>
      </c>
      <c r="T13" s="11">
        <v>0</v>
      </c>
      <c r="U13" s="10">
        <v>0</v>
      </c>
      <c r="V13" s="10">
        <v>0</v>
      </c>
      <c r="W13" s="10">
        <v>4008</v>
      </c>
      <c r="X13" s="10">
        <v>0</v>
      </c>
      <c r="Y13" s="25">
        <v>3503</v>
      </c>
      <c r="Z13" s="11">
        <v>3503</v>
      </c>
      <c r="AA13" s="10">
        <v>12</v>
      </c>
      <c r="AB13" s="10">
        <v>0</v>
      </c>
      <c r="AC13" s="11">
        <v>6</v>
      </c>
      <c r="AD13" s="31"/>
      <c r="AE13" s="31"/>
      <c r="AF13" s="15">
        <v>1</v>
      </c>
      <c r="AG13" s="3">
        <v>0</v>
      </c>
      <c r="AH13" s="3">
        <v>0</v>
      </c>
      <c r="AI13" s="3">
        <v>0</v>
      </c>
      <c r="AJ13" s="3">
        <v>0</v>
      </c>
      <c r="AK13" s="3">
        <v>0</v>
      </c>
    </row>
    <row r="14" spans="1:43" x14ac:dyDescent="0.25">
      <c r="A14" s="42"/>
      <c r="B14" s="43" t="s">
        <v>400</v>
      </c>
      <c r="C14" s="42"/>
      <c r="D14" s="10">
        <v>9</v>
      </c>
      <c r="E14" s="10">
        <v>30001</v>
      </c>
      <c r="F14" s="11">
        <v>33001</v>
      </c>
      <c r="G14" s="10">
        <v>36001</v>
      </c>
      <c r="H14" s="30"/>
      <c r="I14" s="10">
        <v>0</v>
      </c>
      <c r="J14" s="17">
        <v>5</v>
      </c>
      <c r="K14" s="15">
        <v>0</v>
      </c>
      <c r="L14" s="10">
        <v>1</v>
      </c>
      <c r="M14" s="10">
        <v>1</v>
      </c>
      <c r="N14" s="10" t="s">
        <v>60</v>
      </c>
      <c r="O14" s="10"/>
      <c r="P14" s="11">
        <v>22001</v>
      </c>
      <c r="Q14" s="10">
        <v>0</v>
      </c>
      <c r="R14" s="10">
        <v>1</v>
      </c>
      <c r="S14" s="10">
        <v>1</v>
      </c>
      <c r="T14" s="10">
        <v>0</v>
      </c>
      <c r="U14" s="10">
        <v>0</v>
      </c>
      <c r="V14" s="10">
        <v>0</v>
      </c>
      <c r="W14" s="10">
        <v>4009</v>
      </c>
      <c r="X14" s="10">
        <v>0</v>
      </c>
      <c r="Y14" s="25">
        <v>3503</v>
      </c>
      <c r="Z14" s="11">
        <v>3503</v>
      </c>
      <c r="AA14" s="10">
        <v>12</v>
      </c>
      <c r="AB14" s="10">
        <v>0</v>
      </c>
      <c r="AC14" s="10">
        <v>3</v>
      </c>
      <c r="AD14" s="31"/>
      <c r="AE14" s="31"/>
      <c r="AF14" s="15">
        <v>1</v>
      </c>
      <c r="AG14" s="3">
        <v>0</v>
      </c>
      <c r="AH14" s="3">
        <v>0</v>
      </c>
      <c r="AI14" s="3">
        <v>0</v>
      </c>
      <c r="AJ14" s="3">
        <v>0</v>
      </c>
      <c r="AK14" s="3">
        <v>0</v>
      </c>
    </row>
    <row r="15" spans="1:43" x14ac:dyDescent="0.25">
      <c r="A15" s="39" t="s">
        <v>81</v>
      </c>
      <c r="B15" s="40" t="s">
        <v>79</v>
      </c>
      <c r="C15" s="39"/>
      <c r="D15" s="10">
        <v>11</v>
      </c>
      <c r="E15" s="10">
        <v>30002</v>
      </c>
      <c r="F15" s="11">
        <v>0</v>
      </c>
      <c r="G15" s="11">
        <v>0</v>
      </c>
      <c r="H15" s="31"/>
      <c r="I15" s="10">
        <v>0</v>
      </c>
      <c r="J15" s="17">
        <v>5</v>
      </c>
      <c r="K15" s="15">
        <v>0</v>
      </c>
      <c r="L15" s="10">
        <v>1</v>
      </c>
      <c r="M15" s="10">
        <v>1</v>
      </c>
      <c r="N15" s="10" t="s">
        <v>60</v>
      </c>
      <c r="O15" s="10"/>
      <c r="P15" s="11">
        <v>22001</v>
      </c>
      <c r="Q15" s="10">
        <v>0</v>
      </c>
      <c r="R15" s="10">
        <v>1</v>
      </c>
      <c r="S15" s="10">
        <v>1</v>
      </c>
      <c r="T15" s="10">
        <v>0</v>
      </c>
      <c r="U15" s="10">
        <v>0</v>
      </c>
      <c r="V15" s="10">
        <v>0</v>
      </c>
      <c r="W15" s="10">
        <v>3001</v>
      </c>
      <c r="X15" s="10">
        <v>0</v>
      </c>
      <c r="Y15" s="25">
        <v>3503</v>
      </c>
      <c r="Z15" s="11">
        <v>3503</v>
      </c>
      <c r="AA15" s="10">
        <v>12</v>
      </c>
      <c r="AB15" s="10">
        <v>0</v>
      </c>
      <c r="AC15" s="11">
        <v>4</v>
      </c>
      <c r="AD15" s="31"/>
      <c r="AE15" s="31"/>
      <c r="AF15" s="15">
        <v>1</v>
      </c>
      <c r="AG15" s="3">
        <v>0</v>
      </c>
      <c r="AH15" s="3">
        <v>0</v>
      </c>
      <c r="AI15" s="3">
        <v>0</v>
      </c>
      <c r="AJ15" s="3">
        <v>0</v>
      </c>
      <c r="AK15" s="3">
        <v>0</v>
      </c>
    </row>
    <row r="16" spans="1:43" x14ac:dyDescent="0.25">
      <c r="A16" s="39" t="s">
        <v>81</v>
      </c>
      <c r="B16" s="40" t="s">
        <v>401</v>
      </c>
      <c r="C16" s="39"/>
      <c r="D16" s="10">
        <v>12</v>
      </c>
      <c r="E16" s="10">
        <v>30003</v>
      </c>
      <c r="F16" s="11">
        <v>0</v>
      </c>
      <c r="G16" s="11">
        <v>0</v>
      </c>
      <c r="H16" s="31"/>
      <c r="I16" s="10">
        <v>0</v>
      </c>
      <c r="J16" s="17">
        <v>5</v>
      </c>
      <c r="K16" s="15">
        <v>0</v>
      </c>
      <c r="L16" s="10">
        <v>1</v>
      </c>
      <c r="M16" s="10">
        <v>1</v>
      </c>
      <c r="N16" s="10" t="s">
        <v>88</v>
      </c>
      <c r="O16" s="10"/>
      <c r="P16" s="11">
        <v>22001</v>
      </c>
      <c r="Q16" s="10">
        <v>0</v>
      </c>
      <c r="R16" s="10">
        <v>1</v>
      </c>
      <c r="S16" s="10">
        <v>1</v>
      </c>
      <c r="T16" s="10">
        <v>0</v>
      </c>
      <c r="U16" s="10">
        <v>0</v>
      </c>
      <c r="V16" s="10">
        <v>0</v>
      </c>
      <c r="W16" s="10">
        <v>3002</v>
      </c>
      <c r="X16" s="10">
        <v>0</v>
      </c>
      <c r="Y16" s="25">
        <v>3503</v>
      </c>
      <c r="Z16" s="11">
        <v>3503</v>
      </c>
      <c r="AA16" s="10">
        <v>12</v>
      </c>
      <c r="AB16" s="10">
        <v>0</v>
      </c>
      <c r="AC16" s="11">
        <v>0</v>
      </c>
      <c r="AD16" s="31"/>
      <c r="AE16" s="31"/>
      <c r="AF16" s="15">
        <v>1</v>
      </c>
      <c r="AG16" s="3">
        <v>5001</v>
      </c>
      <c r="AH16" s="3">
        <v>0</v>
      </c>
      <c r="AI16" s="3">
        <v>0</v>
      </c>
      <c r="AJ16" s="3">
        <v>0</v>
      </c>
      <c r="AK16" s="3">
        <v>0</v>
      </c>
    </row>
    <row r="17" spans="1:43" x14ac:dyDescent="0.25">
      <c r="A17" s="39" t="s">
        <v>81</v>
      </c>
      <c r="B17" s="40" t="s">
        <v>80</v>
      </c>
      <c r="C17" s="39"/>
      <c r="D17" s="10">
        <v>13</v>
      </c>
      <c r="E17" s="10">
        <v>30004</v>
      </c>
      <c r="F17" s="11">
        <v>0</v>
      </c>
      <c r="G17" s="11">
        <v>0</v>
      </c>
      <c r="H17" s="31"/>
      <c r="I17" s="10">
        <v>0</v>
      </c>
      <c r="J17" s="17">
        <v>5</v>
      </c>
      <c r="K17" s="15">
        <v>0</v>
      </c>
      <c r="L17" s="10">
        <v>1</v>
      </c>
      <c r="M17" s="10">
        <v>1</v>
      </c>
      <c r="N17" s="10" t="s">
        <v>88</v>
      </c>
      <c r="O17" s="10"/>
      <c r="P17" s="11">
        <v>22001</v>
      </c>
      <c r="Q17" s="10">
        <v>0</v>
      </c>
      <c r="R17" s="10">
        <v>1</v>
      </c>
      <c r="S17" s="10">
        <v>1</v>
      </c>
      <c r="T17" s="10">
        <v>0</v>
      </c>
      <c r="U17" s="10">
        <v>0</v>
      </c>
      <c r="V17" s="10">
        <v>0</v>
      </c>
      <c r="W17" s="10">
        <v>3003</v>
      </c>
      <c r="X17" s="10">
        <v>0</v>
      </c>
      <c r="Y17" s="25">
        <v>3503</v>
      </c>
      <c r="Z17" s="11">
        <v>3503</v>
      </c>
      <c r="AA17" s="10">
        <v>12</v>
      </c>
      <c r="AB17" s="10">
        <v>0</v>
      </c>
      <c r="AC17" s="11">
        <v>0</v>
      </c>
      <c r="AD17" s="31"/>
      <c r="AE17" s="31"/>
      <c r="AF17" s="15">
        <v>1</v>
      </c>
      <c r="AG17" s="3">
        <v>5002</v>
      </c>
      <c r="AH17" s="3">
        <v>0</v>
      </c>
      <c r="AI17" s="3">
        <v>0</v>
      </c>
      <c r="AJ17" s="3">
        <v>0</v>
      </c>
      <c r="AK17" s="3">
        <v>0</v>
      </c>
    </row>
    <row r="18" spans="1:43" x14ac:dyDescent="0.25">
      <c r="A18" s="42"/>
      <c r="B18" s="43"/>
      <c r="C18" s="42" t="s">
        <v>110</v>
      </c>
      <c r="D18" s="10">
        <v>14</v>
      </c>
      <c r="E18" s="10">
        <v>30007</v>
      </c>
      <c r="F18" s="11">
        <v>33003</v>
      </c>
      <c r="G18" s="11">
        <v>0</v>
      </c>
      <c r="H18" s="31"/>
      <c r="I18" s="10">
        <v>0</v>
      </c>
      <c r="J18" s="17">
        <v>5</v>
      </c>
      <c r="K18" s="18">
        <v>200</v>
      </c>
      <c r="L18" s="10">
        <v>1</v>
      </c>
      <c r="M18" s="10">
        <v>1</v>
      </c>
      <c r="N18" s="10" t="s">
        <v>116</v>
      </c>
      <c r="O18" s="10"/>
      <c r="P18" s="11">
        <v>22006</v>
      </c>
      <c r="Q18" s="10">
        <v>1</v>
      </c>
      <c r="R18" s="10">
        <v>1</v>
      </c>
      <c r="S18" s="10">
        <v>99</v>
      </c>
      <c r="T18" s="11">
        <v>1</v>
      </c>
      <c r="U18" s="10">
        <v>10</v>
      </c>
      <c r="V18" s="10">
        <v>0</v>
      </c>
      <c r="W18" s="10">
        <v>3005</v>
      </c>
      <c r="X18" s="10">
        <v>0</v>
      </c>
      <c r="Y18" s="25">
        <v>3503</v>
      </c>
      <c r="Z18" s="11">
        <v>3503</v>
      </c>
      <c r="AA18" s="10">
        <v>12</v>
      </c>
      <c r="AB18" s="10">
        <v>0</v>
      </c>
      <c r="AC18" s="11">
        <v>0</v>
      </c>
      <c r="AD18" s="31"/>
      <c r="AE18" s="31"/>
      <c r="AF18" s="3">
        <v>0</v>
      </c>
      <c r="AG18" s="3">
        <v>0</v>
      </c>
      <c r="AH18" s="3">
        <v>0</v>
      </c>
      <c r="AI18" s="3">
        <v>0</v>
      </c>
      <c r="AJ18" s="3">
        <v>0</v>
      </c>
      <c r="AK18" s="3">
        <v>0</v>
      </c>
    </row>
    <row r="19" spans="1:43" x14ac:dyDescent="0.25">
      <c r="A19" s="41"/>
      <c r="B19" s="41" t="s">
        <v>464</v>
      </c>
      <c r="C19" s="42" t="s">
        <v>465</v>
      </c>
      <c r="D19" s="10">
        <v>15</v>
      </c>
      <c r="E19" s="10">
        <v>30054</v>
      </c>
      <c r="F19" s="10">
        <v>3522</v>
      </c>
      <c r="G19" s="10">
        <v>0</v>
      </c>
      <c r="H19" s="30"/>
      <c r="I19" s="10">
        <v>0</v>
      </c>
      <c r="J19" s="16">
        <v>1</v>
      </c>
      <c r="K19" s="16">
        <v>80506</v>
      </c>
      <c r="L19" s="10">
        <v>1</v>
      </c>
      <c r="M19" s="10">
        <v>1</v>
      </c>
      <c r="N19" s="10" t="s">
        <v>57</v>
      </c>
      <c r="O19" s="10"/>
      <c r="P19" s="10">
        <v>30054</v>
      </c>
      <c r="Q19" s="10">
        <v>1</v>
      </c>
      <c r="R19" s="10">
        <v>1</v>
      </c>
      <c r="S19" s="10">
        <v>999</v>
      </c>
      <c r="T19" s="10">
        <v>0</v>
      </c>
      <c r="U19" s="10">
        <v>80</v>
      </c>
      <c r="V19" s="10">
        <v>0</v>
      </c>
      <c r="W19" s="10">
        <v>2006</v>
      </c>
      <c r="X19" s="10">
        <v>0</v>
      </c>
      <c r="Y19" s="25">
        <v>2011</v>
      </c>
      <c r="Z19" s="10">
        <v>2002</v>
      </c>
      <c r="AA19" s="10">
        <v>10</v>
      </c>
      <c r="AB19" s="10">
        <v>0</v>
      </c>
      <c r="AC19" s="10">
        <v>0</v>
      </c>
      <c r="AD19" s="30"/>
      <c r="AE19" s="10"/>
      <c r="AF19" s="3">
        <v>0</v>
      </c>
      <c r="AG19" s="3">
        <v>0</v>
      </c>
      <c r="AH19" s="3">
        <v>0</v>
      </c>
      <c r="AI19" s="3">
        <v>0</v>
      </c>
      <c r="AJ19" s="3">
        <v>0</v>
      </c>
      <c r="AK19" s="3">
        <v>0</v>
      </c>
      <c r="AL19" s="3"/>
      <c r="AQ19" s="3"/>
    </row>
    <row r="20" spans="1:43" x14ac:dyDescent="0.25">
      <c r="A20" s="87"/>
      <c r="B20" s="88"/>
      <c r="C20" s="89" t="s">
        <v>402</v>
      </c>
      <c r="D20" s="10">
        <v>21</v>
      </c>
      <c r="E20" s="10">
        <v>30465</v>
      </c>
      <c r="F20" s="10">
        <v>33465</v>
      </c>
      <c r="G20" s="10">
        <v>0</v>
      </c>
      <c r="H20" s="30"/>
      <c r="I20" s="10">
        <v>0</v>
      </c>
      <c r="J20" s="15">
        <v>5</v>
      </c>
      <c r="K20" s="15">
        <v>80503</v>
      </c>
      <c r="L20" s="10">
        <v>2</v>
      </c>
      <c r="M20" s="10">
        <v>2</v>
      </c>
      <c r="N20" s="10" t="s">
        <v>52</v>
      </c>
      <c r="O20" s="10"/>
      <c r="P20" s="10">
        <v>30005</v>
      </c>
      <c r="Q20" s="10">
        <v>1</v>
      </c>
      <c r="R20" s="10">
        <v>0</v>
      </c>
      <c r="S20" s="10">
        <v>0</v>
      </c>
      <c r="T20" s="10">
        <v>0</v>
      </c>
      <c r="U20" s="10">
        <v>0</v>
      </c>
      <c r="V20" s="10">
        <v>0</v>
      </c>
      <c r="W20" s="10">
        <v>3004</v>
      </c>
      <c r="X20" s="10">
        <v>0</v>
      </c>
      <c r="Y20" s="10">
        <v>3503</v>
      </c>
      <c r="Z20" s="10">
        <v>3503</v>
      </c>
      <c r="AA20" s="10">
        <v>12</v>
      </c>
      <c r="AB20" s="10">
        <v>0</v>
      </c>
      <c r="AC20" s="10">
        <v>0</v>
      </c>
      <c r="AD20" s="30"/>
      <c r="AE20" s="10"/>
      <c r="AF20" s="3">
        <v>0</v>
      </c>
      <c r="AG20" s="3">
        <v>0</v>
      </c>
      <c r="AH20" s="3">
        <v>0</v>
      </c>
      <c r="AI20" s="3">
        <v>0</v>
      </c>
      <c r="AJ20" s="3">
        <v>0</v>
      </c>
      <c r="AK20" s="3">
        <v>0</v>
      </c>
    </row>
    <row r="21" spans="1:43" x14ac:dyDescent="0.25">
      <c r="A21" s="153" t="s">
        <v>171</v>
      </c>
      <c r="B21" s="53" t="s">
        <v>172</v>
      </c>
      <c r="C21" s="54"/>
      <c r="D21" s="10">
        <v>101</v>
      </c>
      <c r="E21" s="10">
        <v>20001</v>
      </c>
      <c r="F21" s="11">
        <v>33011</v>
      </c>
      <c r="G21" s="11">
        <v>0</v>
      </c>
      <c r="H21" s="31"/>
      <c r="I21" s="10">
        <v>0</v>
      </c>
      <c r="J21" s="17">
        <v>5</v>
      </c>
      <c r="K21" s="18">
        <v>87051</v>
      </c>
      <c r="L21" s="10">
        <v>1</v>
      </c>
      <c r="M21" s="10">
        <v>1</v>
      </c>
      <c r="N21" s="10" t="s">
        <v>185</v>
      </c>
      <c r="O21" s="10"/>
      <c r="P21" s="11">
        <v>22004</v>
      </c>
      <c r="Q21" s="10">
        <v>0</v>
      </c>
      <c r="R21" s="10">
        <v>1</v>
      </c>
      <c r="S21" s="10">
        <v>1</v>
      </c>
      <c r="T21" s="11">
        <v>0</v>
      </c>
      <c r="U21" s="10">
        <v>0</v>
      </c>
      <c r="V21" s="10">
        <v>0</v>
      </c>
      <c r="W21" s="10">
        <v>3004</v>
      </c>
      <c r="X21" s="10">
        <v>0</v>
      </c>
      <c r="Y21" s="25">
        <v>3503</v>
      </c>
      <c r="Z21" s="11">
        <v>3503</v>
      </c>
      <c r="AA21" s="10">
        <v>12</v>
      </c>
      <c r="AB21" s="10">
        <v>0</v>
      </c>
      <c r="AC21" s="11">
        <v>0</v>
      </c>
      <c r="AD21" s="31"/>
      <c r="AE21" s="31"/>
      <c r="AF21" s="3">
        <v>0</v>
      </c>
      <c r="AG21" s="3">
        <v>0</v>
      </c>
      <c r="AH21" s="3">
        <v>0</v>
      </c>
      <c r="AI21" s="3">
        <v>0</v>
      </c>
      <c r="AJ21" s="3">
        <v>0</v>
      </c>
      <c r="AK21" s="3">
        <v>0</v>
      </c>
    </row>
    <row r="22" spans="1:43" x14ac:dyDescent="0.25">
      <c r="A22" s="154"/>
      <c r="B22" s="53" t="s">
        <v>173</v>
      </c>
      <c r="C22" s="54"/>
      <c r="D22" s="10">
        <v>102</v>
      </c>
      <c r="E22" s="10">
        <v>20002</v>
      </c>
      <c r="F22" s="11">
        <v>33012</v>
      </c>
      <c r="G22" s="11">
        <v>0</v>
      </c>
      <c r="H22" s="31"/>
      <c r="I22" s="10">
        <v>0</v>
      </c>
      <c r="J22" s="17">
        <v>5</v>
      </c>
      <c r="K22" s="18">
        <v>87052</v>
      </c>
      <c r="L22" s="10">
        <v>1</v>
      </c>
      <c r="M22" s="10">
        <v>1</v>
      </c>
      <c r="N22" s="10" t="s">
        <v>185</v>
      </c>
      <c r="O22" s="10"/>
      <c r="P22" s="11">
        <v>22004</v>
      </c>
      <c r="Q22" s="10">
        <v>0</v>
      </c>
      <c r="R22" s="10">
        <v>1</v>
      </c>
      <c r="S22" s="10">
        <v>1</v>
      </c>
      <c r="T22" s="11">
        <v>0</v>
      </c>
      <c r="U22" s="10">
        <v>0</v>
      </c>
      <c r="V22" s="10">
        <v>0</v>
      </c>
      <c r="W22" s="10">
        <v>3004</v>
      </c>
      <c r="X22" s="10">
        <v>0</v>
      </c>
      <c r="Y22" s="25">
        <v>3503</v>
      </c>
      <c r="Z22" s="11">
        <v>3503</v>
      </c>
      <c r="AA22" s="10">
        <v>12</v>
      </c>
      <c r="AB22" s="10">
        <v>0</v>
      </c>
      <c r="AC22" s="11">
        <v>0</v>
      </c>
      <c r="AD22" s="31"/>
      <c r="AE22" s="31"/>
      <c r="AF22" s="3">
        <v>0</v>
      </c>
      <c r="AG22" s="3">
        <v>0</v>
      </c>
      <c r="AH22" s="3">
        <v>0</v>
      </c>
      <c r="AI22" s="3">
        <v>0</v>
      </c>
      <c r="AJ22" s="3">
        <v>0</v>
      </c>
      <c r="AK22" s="3">
        <v>0</v>
      </c>
    </row>
    <row r="23" spans="1:43" x14ac:dyDescent="0.25">
      <c r="A23" s="154"/>
      <c r="B23" s="53" t="s">
        <v>174</v>
      </c>
      <c r="C23" s="54"/>
      <c r="D23" s="10">
        <v>103</v>
      </c>
      <c r="E23" s="10">
        <v>20003</v>
      </c>
      <c r="F23" s="11">
        <v>33013</v>
      </c>
      <c r="G23" s="11">
        <v>0</v>
      </c>
      <c r="H23" s="31"/>
      <c r="I23" s="10">
        <v>0</v>
      </c>
      <c r="J23" s="17">
        <v>5</v>
      </c>
      <c r="K23" s="18">
        <v>87053</v>
      </c>
      <c r="L23" s="10">
        <v>1</v>
      </c>
      <c r="M23" s="10">
        <v>1</v>
      </c>
      <c r="N23" s="10" t="s">
        <v>185</v>
      </c>
      <c r="O23" s="10"/>
      <c r="P23" s="11">
        <v>22004</v>
      </c>
      <c r="Q23" s="10">
        <v>0</v>
      </c>
      <c r="R23" s="10">
        <v>1</v>
      </c>
      <c r="S23" s="10">
        <v>1</v>
      </c>
      <c r="T23" s="11">
        <v>0</v>
      </c>
      <c r="U23" s="10">
        <v>0</v>
      </c>
      <c r="V23" s="10">
        <v>0</v>
      </c>
      <c r="W23" s="10">
        <v>3004</v>
      </c>
      <c r="X23" s="10">
        <v>0</v>
      </c>
      <c r="Y23" s="25">
        <v>3503</v>
      </c>
      <c r="Z23" s="11">
        <v>3503</v>
      </c>
      <c r="AA23" s="10">
        <v>12</v>
      </c>
      <c r="AB23" s="10">
        <v>0</v>
      </c>
      <c r="AC23" s="11">
        <v>0</v>
      </c>
      <c r="AD23" s="31"/>
      <c r="AE23" s="31"/>
      <c r="AF23" s="3">
        <v>0</v>
      </c>
      <c r="AG23" s="3">
        <v>0</v>
      </c>
      <c r="AH23" s="3">
        <v>0</v>
      </c>
      <c r="AI23" s="3">
        <v>0</v>
      </c>
      <c r="AJ23" s="3">
        <v>0</v>
      </c>
      <c r="AK23" s="3">
        <v>0</v>
      </c>
    </row>
    <row r="24" spans="1:43" x14ac:dyDescent="0.25">
      <c r="A24" s="154"/>
      <c r="B24" s="53" t="s">
        <v>175</v>
      </c>
      <c r="C24" s="54"/>
      <c r="D24" s="10">
        <v>104</v>
      </c>
      <c r="E24" s="10">
        <v>20004</v>
      </c>
      <c r="F24" s="11">
        <v>33014</v>
      </c>
      <c r="G24" s="11">
        <v>0</v>
      </c>
      <c r="H24" s="31"/>
      <c r="I24" s="10">
        <v>0</v>
      </c>
      <c r="J24" s="17">
        <v>5</v>
      </c>
      <c r="K24" s="18">
        <v>87054</v>
      </c>
      <c r="L24" s="10">
        <v>1</v>
      </c>
      <c r="M24" s="10">
        <v>1</v>
      </c>
      <c r="N24" s="10" t="s">
        <v>185</v>
      </c>
      <c r="O24" s="10"/>
      <c r="P24" s="11">
        <v>22004</v>
      </c>
      <c r="Q24" s="10">
        <v>0</v>
      </c>
      <c r="R24" s="10">
        <v>1</v>
      </c>
      <c r="S24" s="10">
        <v>1</v>
      </c>
      <c r="T24" s="11">
        <v>0</v>
      </c>
      <c r="U24" s="10">
        <v>0</v>
      </c>
      <c r="V24" s="10">
        <v>0</v>
      </c>
      <c r="W24" s="10">
        <v>3004</v>
      </c>
      <c r="X24" s="10">
        <v>0</v>
      </c>
      <c r="Y24" s="25">
        <v>3503</v>
      </c>
      <c r="Z24" s="11">
        <v>3503</v>
      </c>
      <c r="AA24" s="10">
        <v>12</v>
      </c>
      <c r="AB24" s="10">
        <v>0</v>
      </c>
      <c r="AC24" s="11">
        <v>0</v>
      </c>
      <c r="AD24" s="31"/>
      <c r="AE24" s="31"/>
      <c r="AF24" s="3">
        <v>0</v>
      </c>
      <c r="AG24" s="3">
        <v>0</v>
      </c>
      <c r="AH24" s="3">
        <v>0</v>
      </c>
      <c r="AI24" s="3">
        <v>0</v>
      </c>
      <c r="AJ24" s="3">
        <v>0</v>
      </c>
      <c r="AK24" s="3">
        <v>0</v>
      </c>
    </row>
    <row r="25" spans="1:43" x14ac:dyDescent="0.25">
      <c r="A25" s="154"/>
      <c r="B25" s="53" t="s">
        <v>176</v>
      </c>
      <c r="C25" s="54"/>
      <c r="D25" s="10">
        <v>105</v>
      </c>
      <c r="E25" s="10">
        <v>20005</v>
      </c>
      <c r="F25" s="11">
        <v>33015</v>
      </c>
      <c r="G25" s="11">
        <v>0</v>
      </c>
      <c r="H25" s="31"/>
      <c r="I25" s="10">
        <v>0</v>
      </c>
      <c r="J25" s="17">
        <v>5</v>
      </c>
      <c r="K25" s="18">
        <v>87055</v>
      </c>
      <c r="L25" s="10">
        <v>1</v>
      </c>
      <c r="M25" s="10">
        <v>1</v>
      </c>
      <c r="N25" s="10" t="s">
        <v>185</v>
      </c>
      <c r="O25" s="10"/>
      <c r="P25" s="11">
        <v>22004</v>
      </c>
      <c r="Q25" s="10">
        <v>0</v>
      </c>
      <c r="R25" s="10">
        <v>1</v>
      </c>
      <c r="S25" s="10">
        <v>1</v>
      </c>
      <c r="T25" s="11">
        <v>0</v>
      </c>
      <c r="U25" s="10">
        <v>0</v>
      </c>
      <c r="V25" s="10">
        <v>0</v>
      </c>
      <c r="W25" s="10">
        <v>3004</v>
      </c>
      <c r="X25" s="10">
        <v>0</v>
      </c>
      <c r="Y25" s="25">
        <v>3503</v>
      </c>
      <c r="Z25" s="11">
        <v>3503</v>
      </c>
      <c r="AA25" s="10">
        <v>12</v>
      </c>
      <c r="AB25" s="10">
        <v>0</v>
      </c>
      <c r="AC25" s="11">
        <v>0</v>
      </c>
      <c r="AD25" s="31"/>
      <c r="AE25" s="31"/>
      <c r="AF25" s="3">
        <v>0</v>
      </c>
      <c r="AG25" s="3">
        <v>0</v>
      </c>
      <c r="AH25" s="3">
        <v>0</v>
      </c>
      <c r="AI25" s="3">
        <v>0</v>
      </c>
      <c r="AJ25" s="3">
        <v>0</v>
      </c>
      <c r="AK25" s="3">
        <v>0</v>
      </c>
    </row>
    <row r="26" spans="1:43" x14ac:dyDescent="0.25">
      <c r="A26" s="154"/>
      <c r="B26" s="53" t="s">
        <v>177</v>
      </c>
      <c r="C26" s="54"/>
      <c r="D26" s="10">
        <v>106</v>
      </c>
      <c r="E26" s="10">
        <v>20006</v>
      </c>
      <c r="F26" s="11">
        <v>33016</v>
      </c>
      <c r="G26" s="11">
        <v>0</v>
      </c>
      <c r="H26" s="31"/>
      <c r="I26" s="10">
        <v>0</v>
      </c>
      <c r="J26" s="17">
        <v>5</v>
      </c>
      <c r="K26" s="18">
        <v>87056</v>
      </c>
      <c r="L26" s="10">
        <v>1</v>
      </c>
      <c r="M26" s="10">
        <v>1</v>
      </c>
      <c r="N26" s="10" t="s">
        <v>185</v>
      </c>
      <c r="O26" s="10"/>
      <c r="P26" s="11">
        <v>22004</v>
      </c>
      <c r="Q26" s="10">
        <v>0</v>
      </c>
      <c r="R26" s="10">
        <v>1</v>
      </c>
      <c r="S26" s="10">
        <v>1</v>
      </c>
      <c r="T26" s="11">
        <v>0</v>
      </c>
      <c r="U26" s="10">
        <v>0</v>
      </c>
      <c r="V26" s="10">
        <v>0</v>
      </c>
      <c r="W26" s="10">
        <v>3004</v>
      </c>
      <c r="X26" s="10">
        <v>0</v>
      </c>
      <c r="Y26" s="25">
        <v>3503</v>
      </c>
      <c r="Z26" s="11">
        <v>3503</v>
      </c>
      <c r="AA26" s="10">
        <v>12</v>
      </c>
      <c r="AB26" s="10">
        <v>0</v>
      </c>
      <c r="AC26" s="11">
        <v>0</v>
      </c>
      <c r="AD26" s="31"/>
      <c r="AE26" s="31"/>
      <c r="AF26" s="3">
        <v>0</v>
      </c>
      <c r="AG26" s="3">
        <v>0</v>
      </c>
      <c r="AH26" s="3">
        <v>0</v>
      </c>
      <c r="AI26" s="3">
        <v>0</v>
      </c>
      <c r="AJ26" s="3">
        <v>0</v>
      </c>
      <c r="AK26" s="3">
        <v>0</v>
      </c>
    </row>
    <row r="27" spans="1:43" x14ac:dyDescent="0.25">
      <c r="A27" s="154"/>
      <c r="B27" s="53" t="s">
        <v>178</v>
      </c>
      <c r="C27" s="54"/>
      <c r="D27" s="10">
        <v>107</v>
      </c>
      <c r="E27" s="10">
        <v>20007</v>
      </c>
      <c r="F27" s="11">
        <v>33017</v>
      </c>
      <c r="G27" s="11">
        <v>0</v>
      </c>
      <c r="H27" s="31"/>
      <c r="I27" s="10">
        <v>0</v>
      </c>
      <c r="J27" s="17">
        <v>5</v>
      </c>
      <c r="K27" s="18">
        <v>87057</v>
      </c>
      <c r="L27" s="10">
        <v>1</v>
      </c>
      <c r="M27" s="10">
        <v>1</v>
      </c>
      <c r="N27" s="10" t="s">
        <v>185</v>
      </c>
      <c r="O27" s="10"/>
      <c r="P27" s="11">
        <v>22004</v>
      </c>
      <c r="Q27" s="10">
        <v>0</v>
      </c>
      <c r="R27" s="10">
        <v>1</v>
      </c>
      <c r="S27" s="10">
        <v>1</v>
      </c>
      <c r="T27" s="11">
        <v>0</v>
      </c>
      <c r="U27" s="10">
        <v>0</v>
      </c>
      <c r="V27" s="10">
        <v>0</v>
      </c>
      <c r="W27" s="10">
        <v>3004</v>
      </c>
      <c r="X27" s="10">
        <v>0</v>
      </c>
      <c r="Y27" s="25">
        <v>3503</v>
      </c>
      <c r="Z27" s="11">
        <v>3503</v>
      </c>
      <c r="AA27" s="10">
        <v>12</v>
      </c>
      <c r="AB27" s="10">
        <v>0</v>
      </c>
      <c r="AC27" s="11">
        <v>0</v>
      </c>
      <c r="AD27" s="31"/>
      <c r="AE27" s="31"/>
      <c r="AF27" s="3">
        <v>0</v>
      </c>
      <c r="AG27" s="3">
        <v>0</v>
      </c>
      <c r="AH27" s="3">
        <v>0</v>
      </c>
      <c r="AI27" s="3">
        <v>0</v>
      </c>
      <c r="AJ27" s="3">
        <v>0</v>
      </c>
      <c r="AK27" s="3">
        <v>0</v>
      </c>
    </row>
    <row r="28" spans="1:43" x14ac:dyDescent="0.25">
      <c r="A28" s="154"/>
      <c r="B28" s="53" t="s">
        <v>179</v>
      </c>
      <c r="C28" s="54"/>
      <c r="D28" s="10">
        <v>108</v>
      </c>
      <c r="E28" s="10">
        <v>20008</v>
      </c>
      <c r="F28" s="11">
        <v>33018</v>
      </c>
      <c r="G28" s="11">
        <v>0</v>
      </c>
      <c r="H28" s="31"/>
      <c r="I28" s="10">
        <v>0</v>
      </c>
      <c r="J28" s="17">
        <v>5</v>
      </c>
      <c r="K28" s="18">
        <v>87058</v>
      </c>
      <c r="L28" s="10">
        <v>1</v>
      </c>
      <c r="M28" s="10">
        <v>1</v>
      </c>
      <c r="N28" s="10" t="s">
        <v>185</v>
      </c>
      <c r="O28" s="10"/>
      <c r="P28" s="11">
        <v>22004</v>
      </c>
      <c r="Q28" s="10">
        <v>0</v>
      </c>
      <c r="R28" s="10">
        <v>1</v>
      </c>
      <c r="S28" s="10">
        <v>1</v>
      </c>
      <c r="T28" s="11">
        <v>0</v>
      </c>
      <c r="U28" s="10">
        <v>0</v>
      </c>
      <c r="V28" s="10">
        <v>0</v>
      </c>
      <c r="W28" s="10">
        <v>3004</v>
      </c>
      <c r="X28" s="10">
        <v>0</v>
      </c>
      <c r="Y28" s="25">
        <v>3503</v>
      </c>
      <c r="Z28" s="11">
        <v>3503</v>
      </c>
      <c r="AA28" s="10">
        <v>12</v>
      </c>
      <c r="AB28" s="10">
        <v>0</v>
      </c>
      <c r="AC28" s="11">
        <v>0</v>
      </c>
      <c r="AD28" s="31"/>
      <c r="AE28" s="31"/>
      <c r="AF28" s="3">
        <v>0</v>
      </c>
      <c r="AG28" s="3">
        <v>0</v>
      </c>
      <c r="AH28" s="3">
        <v>0</v>
      </c>
      <c r="AI28" s="3">
        <v>0</v>
      </c>
      <c r="AJ28" s="3">
        <v>0</v>
      </c>
      <c r="AK28" s="3">
        <v>0</v>
      </c>
    </row>
    <row r="29" spans="1:43" x14ac:dyDescent="0.25">
      <c r="A29" s="154"/>
      <c r="B29" s="53" t="s">
        <v>180</v>
      </c>
      <c r="C29" s="54"/>
      <c r="D29" s="10">
        <v>109</v>
      </c>
      <c r="E29" s="10">
        <v>20009</v>
      </c>
      <c r="F29" s="11">
        <v>33019</v>
      </c>
      <c r="G29" s="11">
        <v>0</v>
      </c>
      <c r="H29" s="31"/>
      <c r="I29" s="10">
        <v>0</v>
      </c>
      <c r="J29" s="17">
        <v>5</v>
      </c>
      <c r="K29" s="18">
        <v>87059</v>
      </c>
      <c r="L29" s="10">
        <v>1</v>
      </c>
      <c r="M29" s="10">
        <v>1</v>
      </c>
      <c r="N29" s="10" t="s">
        <v>185</v>
      </c>
      <c r="O29" s="10"/>
      <c r="P29" s="11">
        <v>22004</v>
      </c>
      <c r="Q29" s="10">
        <v>0</v>
      </c>
      <c r="R29" s="10">
        <v>1</v>
      </c>
      <c r="S29" s="10">
        <v>1</v>
      </c>
      <c r="T29" s="11">
        <v>0</v>
      </c>
      <c r="U29" s="10">
        <v>0</v>
      </c>
      <c r="V29" s="10">
        <v>0</v>
      </c>
      <c r="W29" s="10">
        <v>3004</v>
      </c>
      <c r="X29" s="10">
        <v>0</v>
      </c>
      <c r="Y29" s="25">
        <v>3503</v>
      </c>
      <c r="Z29" s="11">
        <v>3503</v>
      </c>
      <c r="AA29" s="10">
        <v>12</v>
      </c>
      <c r="AB29" s="10">
        <v>0</v>
      </c>
      <c r="AC29" s="11">
        <v>0</v>
      </c>
      <c r="AD29" s="31"/>
      <c r="AE29" s="31"/>
      <c r="AF29" s="3">
        <v>0</v>
      </c>
      <c r="AG29" s="3">
        <v>0</v>
      </c>
      <c r="AH29" s="3">
        <v>0</v>
      </c>
      <c r="AI29" s="3">
        <v>0</v>
      </c>
      <c r="AJ29" s="3">
        <v>0</v>
      </c>
      <c r="AK29" s="3">
        <v>0</v>
      </c>
    </row>
    <row r="30" spans="1:43" x14ac:dyDescent="0.25">
      <c r="A30" s="154"/>
      <c r="B30" s="53" t="s">
        <v>181</v>
      </c>
      <c r="C30" s="54"/>
      <c r="D30" s="10">
        <v>110</v>
      </c>
      <c r="E30" s="10">
        <v>20010</v>
      </c>
      <c r="F30" s="11">
        <v>33020</v>
      </c>
      <c r="G30" s="11">
        <v>0</v>
      </c>
      <c r="H30" s="31"/>
      <c r="I30" s="10">
        <v>0</v>
      </c>
      <c r="J30" s="17">
        <v>5</v>
      </c>
      <c r="K30" s="18">
        <v>87060</v>
      </c>
      <c r="L30" s="10">
        <v>1</v>
      </c>
      <c r="M30" s="10">
        <v>1</v>
      </c>
      <c r="N30" s="10" t="s">
        <v>185</v>
      </c>
      <c r="O30" s="10"/>
      <c r="P30" s="11">
        <v>22004</v>
      </c>
      <c r="Q30" s="10">
        <v>0</v>
      </c>
      <c r="R30" s="10">
        <v>1</v>
      </c>
      <c r="S30" s="10">
        <v>1</v>
      </c>
      <c r="T30" s="11">
        <v>0</v>
      </c>
      <c r="U30" s="10">
        <v>0</v>
      </c>
      <c r="V30" s="10">
        <v>0</v>
      </c>
      <c r="W30" s="10">
        <v>3004</v>
      </c>
      <c r="X30" s="10">
        <v>0</v>
      </c>
      <c r="Y30" s="25">
        <v>3503</v>
      </c>
      <c r="Z30" s="11">
        <v>3503</v>
      </c>
      <c r="AA30" s="10">
        <v>12</v>
      </c>
      <c r="AB30" s="10">
        <v>0</v>
      </c>
      <c r="AC30" s="11">
        <v>0</v>
      </c>
      <c r="AD30" s="31"/>
      <c r="AE30" s="31"/>
      <c r="AF30" s="3">
        <v>0</v>
      </c>
      <c r="AG30" s="3">
        <v>0</v>
      </c>
      <c r="AH30" s="3">
        <v>0</v>
      </c>
      <c r="AI30" s="3">
        <v>0</v>
      </c>
      <c r="AJ30" s="3">
        <v>0</v>
      </c>
      <c r="AK30" s="3">
        <v>0</v>
      </c>
    </row>
    <row r="31" spans="1:43" x14ac:dyDescent="0.25">
      <c r="A31" s="154"/>
      <c r="B31" s="53" t="s">
        <v>182</v>
      </c>
      <c r="C31" s="54"/>
      <c r="D31" s="10">
        <v>111</v>
      </c>
      <c r="E31" s="10">
        <v>20011</v>
      </c>
      <c r="F31" s="11">
        <v>33021</v>
      </c>
      <c r="G31" s="11">
        <v>0</v>
      </c>
      <c r="H31" s="31"/>
      <c r="I31" s="10">
        <v>0</v>
      </c>
      <c r="J31" s="17">
        <v>5</v>
      </c>
      <c r="K31" s="18">
        <v>87061</v>
      </c>
      <c r="L31" s="10">
        <v>1</v>
      </c>
      <c r="M31" s="10">
        <v>1</v>
      </c>
      <c r="N31" s="10" t="s">
        <v>185</v>
      </c>
      <c r="O31" s="10"/>
      <c r="P31" s="11">
        <v>22004</v>
      </c>
      <c r="Q31" s="10">
        <v>0</v>
      </c>
      <c r="R31" s="10">
        <v>1</v>
      </c>
      <c r="S31" s="10">
        <v>1</v>
      </c>
      <c r="T31" s="11">
        <v>0</v>
      </c>
      <c r="U31" s="10">
        <v>0</v>
      </c>
      <c r="V31" s="10">
        <v>0</v>
      </c>
      <c r="W31" s="10">
        <v>3004</v>
      </c>
      <c r="X31" s="10">
        <v>0</v>
      </c>
      <c r="Y31" s="25">
        <v>3503</v>
      </c>
      <c r="Z31" s="11">
        <v>3503</v>
      </c>
      <c r="AA31" s="10">
        <v>12</v>
      </c>
      <c r="AB31" s="10">
        <v>0</v>
      </c>
      <c r="AC31" s="11">
        <v>0</v>
      </c>
      <c r="AD31" s="31"/>
      <c r="AE31" s="31"/>
      <c r="AF31" s="3">
        <v>0</v>
      </c>
      <c r="AG31" s="3">
        <v>0</v>
      </c>
      <c r="AH31" s="3">
        <v>0</v>
      </c>
      <c r="AI31" s="3">
        <v>0</v>
      </c>
      <c r="AJ31" s="3">
        <v>0</v>
      </c>
      <c r="AK31" s="3">
        <v>0</v>
      </c>
    </row>
    <row r="32" spans="1:43" x14ac:dyDescent="0.25">
      <c r="A32" s="154"/>
      <c r="B32" s="53" t="s">
        <v>183</v>
      </c>
      <c r="C32" s="54"/>
      <c r="D32" s="10">
        <v>112</v>
      </c>
      <c r="E32" s="10">
        <v>20012</v>
      </c>
      <c r="F32" s="11">
        <v>33022</v>
      </c>
      <c r="G32" s="11">
        <v>0</v>
      </c>
      <c r="H32" s="31"/>
      <c r="I32" s="10">
        <v>0</v>
      </c>
      <c r="J32" s="17">
        <v>5</v>
      </c>
      <c r="K32" s="18">
        <v>87062</v>
      </c>
      <c r="L32" s="10">
        <v>1</v>
      </c>
      <c r="M32" s="10">
        <v>1</v>
      </c>
      <c r="N32" s="10" t="s">
        <v>185</v>
      </c>
      <c r="O32" s="10"/>
      <c r="P32" s="11">
        <v>22004</v>
      </c>
      <c r="Q32" s="10">
        <v>0</v>
      </c>
      <c r="R32" s="10">
        <v>1</v>
      </c>
      <c r="S32" s="10">
        <v>1</v>
      </c>
      <c r="T32" s="11">
        <v>0</v>
      </c>
      <c r="U32" s="10">
        <v>0</v>
      </c>
      <c r="V32" s="10">
        <v>0</v>
      </c>
      <c r="W32" s="10">
        <v>3004</v>
      </c>
      <c r="X32" s="10">
        <v>0</v>
      </c>
      <c r="Y32" s="25">
        <v>3503</v>
      </c>
      <c r="Z32" s="11">
        <v>3503</v>
      </c>
      <c r="AA32" s="10">
        <v>12</v>
      </c>
      <c r="AB32" s="10">
        <v>0</v>
      </c>
      <c r="AC32" s="11">
        <v>0</v>
      </c>
      <c r="AD32" s="31"/>
      <c r="AE32" s="31"/>
      <c r="AF32" s="3">
        <v>0</v>
      </c>
      <c r="AG32" s="3">
        <v>0</v>
      </c>
      <c r="AH32" s="3">
        <v>0</v>
      </c>
      <c r="AI32" s="3">
        <v>0</v>
      </c>
      <c r="AJ32" s="3">
        <v>0</v>
      </c>
      <c r="AK32" s="3">
        <v>0</v>
      </c>
    </row>
    <row r="33" spans="1:37" x14ac:dyDescent="0.25">
      <c r="A33" s="155"/>
      <c r="B33" s="53" t="s">
        <v>184</v>
      </c>
      <c r="C33" s="54"/>
      <c r="D33" s="10">
        <v>113</v>
      </c>
      <c r="E33" s="10">
        <v>20013</v>
      </c>
      <c r="F33" s="11">
        <v>33023</v>
      </c>
      <c r="G33" s="11">
        <v>0</v>
      </c>
      <c r="H33" s="31"/>
      <c r="I33" s="10">
        <v>0</v>
      </c>
      <c r="J33" s="17">
        <v>5</v>
      </c>
      <c r="K33" s="18">
        <v>87063</v>
      </c>
      <c r="L33" s="10">
        <v>1</v>
      </c>
      <c r="M33" s="10">
        <v>1</v>
      </c>
      <c r="N33" s="10" t="s">
        <v>185</v>
      </c>
      <c r="O33" s="10"/>
      <c r="P33" s="11">
        <v>22004</v>
      </c>
      <c r="Q33" s="10">
        <v>0</v>
      </c>
      <c r="R33" s="10">
        <v>1</v>
      </c>
      <c r="S33" s="10">
        <v>1</v>
      </c>
      <c r="T33" s="11">
        <v>0</v>
      </c>
      <c r="U33" s="10">
        <v>0</v>
      </c>
      <c r="V33" s="10">
        <v>0</v>
      </c>
      <c r="W33" s="10">
        <v>3004</v>
      </c>
      <c r="X33" s="10">
        <v>0</v>
      </c>
      <c r="Y33" s="25">
        <v>3503</v>
      </c>
      <c r="Z33" s="11">
        <v>3503</v>
      </c>
      <c r="AA33" s="10">
        <v>12</v>
      </c>
      <c r="AB33" s="10">
        <v>0</v>
      </c>
      <c r="AC33" s="11">
        <v>0</v>
      </c>
      <c r="AD33" s="31"/>
      <c r="AE33" s="31"/>
      <c r="AF33" s="3">
        <v>0</v>
      </c>
      <c r="AG33" s="3">
        <v>0</v>
      </c>
      <c r="AH33" s="3">
        <v>0</v>
      </c>
      <c r="AI33" s="3">
        <v>0</v>
      </c>
      <c r="AJ33" s="3">
        <v>0</v>
      </c>
      <c r="AK33" s="3">
        <v>0</v>
      </c>
    </row>
    <row r="34" spans="1:37" x14ac:dyDescent="0.25">
      <c r="A34" s="118"/>
      <c r="B34" s="53" t="s">
        <v>466</v>
      </c>
      <c r="C34" s="54"/>
      <c r="D34" s="10">
        <v>114</v>
      </c>
      <c r="E34" s="10">
        <v>20014</v>
      </c>
      <c r="F34" s="11">
        <v>33081</v>
      </c>
      <c r="G34" s="11">
        <v>0</v>
      </c>
      <c r="H34" s="31"/>
      <c r="I34" s="10">
        <v>0</v>
      </c>
      <c r="J34" s="17">
        <v>5</v>
      </c>
      <c r="K34" s="18">
        <v>87064</v>
      </c>
      <c r="L34" s="10">
        <v>1</v>
      </c>
      <c r="M34" s="10">
        <v>1</v>
      </c>
      <c r="N34" s="10" t="s">
        <v>185</v>
      </c>
      <c r="O34" s="10"/>
      <c r="P34" s="11">
        <v>22004</v>
      </c>
      <c r="Q34" s="10">
        <v>0</v>
      </c>
      <c r="R34" s="10">
        <v>1</v>
      </c>
      <c r="S34" s="10">
        <v>1</v>
      </c>
      <c r="T34" s="11">
        <v>0</v>
      </c>
      <c r="U34" s="10">
        <v>0</v>
      </c>
      <c r="V34" s="10">
        <v>0</v>
      </c>
      <c r="W34" s="10">
        <v>3004</v>
      </c>
      <c r="X34" s="10">
        <v>0</v>
      </c>
      <c r="Y34" s="25">
        <v>3503</v>
      </c>
      <c r="Z34" s="11">
        <v>3503</v>
      </c>
      <c r="AA34" s="10">
        <v>12</v>
      </c>
      <c r="AB34" s="10">
        <v>0</v>
      </c>
      <c r="AC34" s="11"/>
      <c r="AD34" s="31"/>
      <c r="AE34" s="31"/>
      <c r="AF34" s="3">
        <v>0</v>
      </c>
      <c r="AG34" s="3">
        <v>0</v>
      </c>
      <c r="AH34" s="3">
        <v>0</v>
      </c>
      <c r="AI34" s="3">
        <v>0</v>
      </c>
      <c r="AJ34" s="3">
        <v>0</v>
      </c>
      <c r="AK34" s="3">
        <v>0</v>
      </c>
    </row>
    <row r="35" spans="1:37" x14ac:dyDescent="0.25">
      <c r="A35" s="118"/>
      <c r="B35" s="53" t="s">
        <v>467</v>
      </c>
      <c r="C35" s="54"/>
      <c r="D35" s="10">
        <v>115</v>
      </c>
      <c r="E35" s="10">
        <v>20015</v>
      </c>
      <c r="F35" s="11">
        <v>33082</v>
      </c>
      <c r="G35" s="11">
        <v>0</v>
      </c>
      <c r="H35" s="31"/>
      <c r="I35" s="10">
        <v>0</v>
      </c>
      <c r="J35" s="17">
        <v>5</v>
      </c>
      <c r="K35" s="18">
        <v>87065</v>
      </c>
      <c r="L35" s="10">
        <v>1</v>
      </c>
      <c r="M35" s="10">
        <v>1</v>
      </c>
      <c r="N35" s="10" t="s">
        <v>185</v>
      </c>
      <c r="O35" s="10"/>
      <c r="P35" s="11">
        <v>22004</v>
      </c>
      <c r="Q35" s="10">
        <v>0</v>
      </c>
      <c r="R35" s="10">
        <v>1</v>
      </c>
      <c r="S35" s="10">
        <v>1</v>
      </c>
      <c r="T35" s="11">
        <v>0</v>
      </c>
      <c r="U35" s="10">
        <v>0</v>
      </c>
      <c r="V35" s="10">
        <v>0</v>
      </c>
      <c r="W35" s="10">
        <v>3004</v>
      </c>
      <c r="X35" s="10">
        <v>0</v>
      </c>
      <c r="Y35" s="25">
        <v>3503</v>
      </c>
      <c r="Z35" s="11">
        <v>3503</v>
      </c>
      <c r="AA35" s="10">
        <v>12</v>
      </c>
      <c r="AB35" s="10">
        <v>0</v>
      </c>
      <c r="AC35" s="11"/>
      <c r="AD35" s="31"/>
      <c r="AE35" s="31"/>
      <c r="AF35" s="3">
        <v>0</v>
      </c>
      <c r="AG35" s="3">
        <v>0</v>
      </c>
      <c r="AH35" s="3">
        <v>0</v>
      </c>
      <c r="AI35" s="3">
        <v>0</v>
      </c>
      <c r="AJ35" s="3">
        <v>0</v>
      </c>
      <c r="AK35" s="3">
        <v>0</v>
      </c>
    </row>
    <row r="36" spans="1:37" x14ac:dyDescent="0.25">
      <c r="A36" s="118"/>
      <c r="B36" s="53" t="s">
        <v>468</v>
      </c>
      <c r="C36" s="54"/>
      <c r="D36" s="10">
        <v>116</v>
      </c>
      <c r="E36" s="10">
        <v>20016</v>
      </c>
      <c r="F36" s="11">
        <v>33083</v>
      </c>
      <c r="G36" s="11">
        <v>0</v>
      </c>
      <c r="H36" s="31"/>
      <c r="I36" s="10">
        <v>0</v>
      </c>
      <c r="J36" s="17">
        <v>5</v>
      </c>
      <c r="K36" s="18">
        <v>87066</v>
      </c>
      <c r="L36" s="10">
        <v>1</v>
      </c>
      <c r="M36" s="10">
        <v>1</v>
      </c>
      <c r="N36" s="10" t="s">
        <v>185</v>
      </c>
      <c r="O36" s="10"/>
      <c r="P36" s="11">
        <v>22004</v>
      </c>
      <c r="Q36" s="10">
        <v>0</v>
      </c>
      <c r="R36" s="10">
        <v>1</v>
      </c>
      <c r="S36" s="10">
        <v>1</v>
      </c>
      <c r="T36" s="11">
        <v>0</v>
      </c>
      <c r="U36" s="10">
        <v>0</v>
      </c>
      <c r="V36" s="10">
        <v>0</v>
      </c>
      <c r="W36" s="10">
        <v>3004</v>
      </c>
      <c r="X36" s="10">
        <v>0</v>
      </c>
      <c r="Y36" s="25">
        <v>3503</v>
      </c>
      <c r="Z36" s="11">
        <v>3503</v>
      </c>
      <c r="AA36" s="10">
        <v>12</v>
      </c>
      <c r="AB36" s="10">
        <v>0</v>
      </c>
      <c r="AC36" s="11"/>
      <c r="AD36" s="31"/>
      <c r="AE36" s="31"/>
      <c r="AF36" s="3">
        <v>0</v>
      </c>
      <c r="AG36" s="3">
        <v>0</v>
      </c>
      <c r="AH36" s="3">
        <v>0</v>
      </c>
      <c r="AI36" s="3">
        <v>0</v>
      </c>
      <c r="AJ36" s="3">
        <v>0</v>
      </c>
      <c r="AK36" s="3">
        <v>0</v>
      </c>
    </row>
    <row r="37" spans="1:37" x14ac:dyDescent="0.25">
      <c r="A37" s="118"/>
      <c r="B37" s="53" t="s">
        <v>469</v>
      </c>
      <c r="C37" s="54"/>
      <c r="D37" s="10">
        <v>117</v>
      </c>
      <c r="E37" s="10">
        <v>20017</v>
      </c>
      <c r="F37" s="11">
        <v>33084</v>
      </c>
      <c r="G37" s="11">
        <v>0</v>
      </c>
      <c r="H37" s="31"/>
      <c r="I37" s="10">
        <v>0</v>
      </c>
      <c r="J37" s="17">
        <v>5</v>
      </c>
      <c r="K37" s="18">
        <v>87067</v>
      </c>
      <c r="L37" s="10">
        <v>1</v>
      </c>
      <c r="M37" s="10">
        <v>1</v>
      </c>
      <c r="N37" s="10" t="s">
        <v>185</v>
      </c>
      <c r="O37" s="10"/>
      <c r="P37" s="11">
        <v>22004</v>
      </c>
      <c r="Q37" s="10">
        <v>0</v>
      </c>
      <c r="R37" s="10">
        <v>1</v>
      </c>
      <c r="S37" s="10">
        <v>1</v>
      </c>
      <c r="T37" s="11">
        <v>0</v>
      </c>
      <c r="U37" s="10">
        <v>0</v>
      </c>
      <c r="V37" s="10">
        <v>0</v>
      </c>
      <c r="W37" s="10">
        <v>3004</v>
      </c>
      <c r="X37" s="10">
        <v>0</v>
      </c>
      <c r="Y37" s="25">
        <v>3503</v>
      </c>
      <c r="Z37" s="11">
        <v>3503</v>
      </c>
      <c r="AA37" s="10">
        <v>12</v>
      </c>
      <c r="AB37" s="10">
        <v>0</v>
      </c>
      <c r="AC37" s="11"/>
      <c r="AD37" s="31"/>
      <c r="AE37" s="31"/>
      <c r="AF37" s="3">
        <v>0</v>
      </c>
      <c r="AG37" s="3">
        <v>0</v>
      </c>
      <c r="AH37" s="3">
        <v>0</v>
      </c>
      <c r="AI37" s="3">
        <v>0</v>
      </c>
      <c r="AJ37" s="3">
        <v>0</v>
      </c>
      <c r="AK37" s="3">
        <v>0</v>
      </c>
    </row>
    <row r="38" spans="1:37" x14ac:dyDescent="0.25">
      <c r="A38" s="118"/>
      <c r="B38" s="53" t="s">
        <v>470</v>
      </c>
      <c r="C38" s="54"/>
      <c r="D38" s="10">
        <v>118</v>
      </c>
      <c r="E38" s="10">
        <v>20018</v>
      </c>
      <c r="F38" s="11">
        <v>33085</v>
      </c>
      <c r="G38" s="11">
        <v>0</v>
      </c>
      <c r="H38" s="31"/>
      <c r="I38" s="10">
        <v>0</v>
      </c>
      <c r="J38" s="17">
        <v>5</v>
      </c>
      <c r="K38" s="18">
        <v>87068</v>
      </c>
      <c r="L38" s="10">
        <v>1</v>
      </c>
      <c r="M38" s="10">
        <v>1</v>
      </c>
      <c r="N38" s="10" t="s">
        <v>185</v>
      </c>
      <c r="O38" s="10"/>
      <c r="P38" s="11">
        <v>22004</v>
      </c>
      <c r="Q38" s="10">
        <v>0</v>
      </c>
      <c r="R38" s="10">
        <v>1</v>
      </c>
      <c r="S38" s="10">
        <v>1</v>
      </c>
      <c r="T38" s="11">
        <v>0</v>
      </c>
      <c r="U38" s="10">
        <v>0</v>
      </c>
      <c r="V38" s="10">
        <v>0</v>
      </c>
      <c r="W38" s="10">
        <v>3004</v>
      </c>
      <c r="X38" s="10">
        <v>0</v>
      </c>
      <c r="Y38" s="25">
        <v>3503</v>
      </c>
      <c r="Z38" s="11">
        <v>3503</v>
      </c>
      <c r="AA38" s="10">
        <v>12</v>
      </c>
      <c r="AB38" s="10">
        <v>0</v>
      </c>
      <c r="AC38" s="11"/>
      <c r="AD38" s="31"/>
      <c r="AE38" s="31"/>
      <c r="AF38" s="3">
        <v>0</v>
      </c>
      <c r="AG38" s="3">
        <v>0</v>
      </c>
      <c r="AH38" s="3">
        <v>0</v>
      </c>
      <c r="AI38" s="3">
        <v>0</v>
      </c>
      <c r="AJ38" s="3">
        <v>0</v>
      </c>
      <c r="AK38" s="3">
        <v>0</v>
      </c>
    </row>
    <row r="39" spans="1:37" x14ac:dyDescent="0.25">
      <c r="A39" s="118"/>
      <c r="B39" s="53" t="s">
        <v>471</v>
      </c>
      <c r="C39" s="54"/>
      <c r="D39" s="10">
        <v>119</v>
      </c>
      <c r="E39" s="10">
        <v>20019</v>
      </c>
      <c r="F39" s="11">
        <v>33086</v>
      </c>
      <c r="G39" s="11">
        <v>0</v>
      </c>
      <c r="H39" s="31"/>
      <c r="I39" s="10">
        <v>0</v>
      </c>
      <c r="J39" s="17">
        <v>5</v>
      </c>
      <c r="K39" s="18">
        <v>87069</v>
      </c>
      <c r="L39" s="10">
        <v>1</v>
      </c>
      <c r="M39" s="10">
        <v>1</v>
      </c>
      <c r="N39" s="10" t="s">
        <v>185</v>
      </c>
      <c r="O39" s="10"/>
      <c r="P39" s="11">
        <v>22004</v>
      </c>
      <c r="Q39" s="10">
        <v>0</v>
      </c>
      <c r="R39" s="10">
        <v>1</v>
      </c>
      <c r="S39" s="10">
        <v>1</v>
      </c>
      <c r="T39" s="11">
        <v>0</v>
      </c>
      <c r="U39" s="10">
        <v>0</v>
      </c>
      <c r="V39" s="10">
        <v>0</v>
      </c>
      <c r="W39" s="10">
        <v>3004</v>
      </c>
      <c r="X39" s="10">
        <v>0</v>
      </c>
      <c r="Y39" s="25">
        <v>3503</v>
      </c>
      <c r="Z39" s="11">
        <v>3503</v>
      </c>
      <c r="AA39" s="10">
        <v>12</v>
      </c>
      <c r="AB39" s="10">
        <v>0</v>
      </c>
      <c r="AC39" s="11"/>
      <c r="AD39" s="31"/>
      <c r="AE39" s="31"/>
      <c r="AF39" s="3">
        <v>0</v>
      </c>
      <c r="AG39" s="3">
        <v>0</v>
      </c>
      <c r="AH39" s="3">
        <v>0</v>
      </c>
      <c r="AI39" s="3">
        <v>0</v>
      </c>
      <c r="AJ39" s="3">
        <v>0</v>
      </c>
      <c r="AK39" s="3">
        <v>0</v>
      </c>
    </row>
    <row r="40" spans="1:37" x14ac:dyDescent="0.25">
      <c r="A40" s="118"/>
      <c r="B40" s="53" t="s">
        <v>472</v>
      </c>
      <c r="C40" s="54"/>
      <c r="D40" s="10">
        <v>120</v>
      </c>
      <c r="E40" s="10">
        <v>20020</v>
      </c>
      <c r="F40" s="11">
        <v>33087</v>
      </c>
      <c r="G40" s="11">
        <v>0</v>
      </c>
      <c r="H40" s="31"/>
      <c r="I40" s="10">
        <v>0</v>
      </c>
      <c r="J40" s="17">
        <v>5</v>
      </c>
      <c r="K40" s="18">
        <v>87070</v>
      </c>
      <c r="L40" s="10">
        <v>1</v>
      </c>
      <c r="M40" s="10">
        <v>1</v>
      </c>
      <c r="N40" s="10" t="s">
        <v>185</v>
      </c>
      <c r="O40" s="10"/>
      <c r="P40" s="11">
        <v>22004</v>
      </c>
      <c r="Q40" s="10">
        <v>0</v>
      </c>
      <c r="R40" s="10">
        <v>1</v>
      </c>
      <c r="S40" s="10">
        <v>1</v>
      </c>
      <c r="T40" s="11">
        <v>0</v>
      </c>
      <c r="U40" s="10">
        <v>0</v>
      </c>
      <c r="V40" s="10">
        <v>0</v>
      </c>
      <c r="W40" s="10">
        <v>3004</v>
      </c>
      <c r="X40" s="10">
        <v>0</v>
      </c>
      <c r="Y40" s="25">
        <v>3503</v>
      </c>
      <c r="Z40" s="11">
        <v>3503</v>
      </c>
      <c r="AA40" s="10">
        <v>12</v>
      </c>
      <c r="AB40" s="10">
        <v>0</v>
      </c>
      <c r="AC40" s="11"/>
      <c r="AD40" s="31"/>
      <c r="AE40" s="31"/>
      <c r="AF40" s="3">
        <v>0</v>
      </c>
      <c r="AG40" s="3">
        <v>0</v>
      </c>
      <c r="AH40" s="3">
        <v>0</v>
      </c>
      <c r="AI40" s="3">
        <v>0</v>
      </c>
      <c r="AJ40" s="3">
        <v>0</v>
      </c>
      <c r="AK40" s="3">
        <v>0</v>
      </c>
    </row>
    <row r="41" spans="1:37" x14ac:dyDescent="0.25">
      <c r="A41" s="118"/>
      <c r="B41" s="53" t="s">
        <v>473</v>
      </c>
      <c r="C41" s="54"/>
      <c r="D41" s="10">
        <v>121</v>
      </c>
      <c r="E41" s="10">
        <v>20021</v>
      </c>
      <c r="F41" s="11">
        <v>33088</v>
      </c>
      <c r="G41" s="11">
        <v>0</v>
      </c>
      <c r="H41" s="31"/>
      <c r="I41" s="10">
        <v>0</v>
      </c>
      <c r="J41" s="17">
        <v>5</v>
      </c>
      <c r="K41" s="18">
        <v>87071</v>
      </c>
      <c r="L41" s="10">
        <v>1</v>
      </c>
      <c r="M41" s="10">
        <v>1</v>
      </c>
      <c r="N41" s="10" t="s">
        <v>185</v>
      </c>
      <c r="O41" s="10"/>
      <c r="P41" s="11">
        <v>22004</v>
      </c>
      <c r="Q41" s="10">
        <v>0</v>
      </c>
      <c r="R41" s="10">
        <v>1</v>
      </c>
      <c r="S41" s="10">
        <v>1</v>
      </c>
      <c r="T41" s="11">
        <v>0</v>
      </c>
      <c r="U41" s="10">
        <v>0</v>
      </c>
      <c r="V41" s="10">
        <v>0</v>
      </c>
      <c r="W41" s="10">
        <v>3004</v>
      </c>
      <c r="X41" s="10">
        <v>0</v>
      </c>
      <c r="Y41" s="25">
        <v>3503</v>
      </c>
      <c r="Z41" s="11">
        <v>3503</v>
      </c>
      <c r="AA41" s="10">
        <v>12</v>
      </c>
      <c r="AB41" s="10">
        <v>0</v>
      </c>
      <c r="AC41" s="11"/>
      <c r="AD41" s="31"/>
      <c r="AE41" s="31"/>
      <c r="AF41" s="3">
        <v>0</v>
      </c>
      <c r="AG41" s="3">
        <v>0</v>
      </c>
      <c r="AH41" s="3">
        <v>0</v>
      </c>
      <c r="AI41" s="3">
        <v>0</v>
      </c>
      <c r="AJ41" s="3">
        <v>0</v>
      </c>
      <c r="AK41" s="3">
        <v>0</v>
      </c>
    </row>
    <row r="42" spans="1:37" x14ac:dyDescent="0.25">
      <c r="A42" s="55"/>
      <c r="B42" s="56" t="s">
        <v>187</v>
      </c>
      <c r="C42" s="57"/>
      <c r="D42" s="10">
        <v>201</v>
      </c>
      <c r="E42" s="10">
        <v>30011</v>
      </c>
      <c r="F42" s="11">
        <v>33031</v>
      </c>
      <c r="G42" s="11">
        <v>0</v>
      </c>
      <c r="H42" s="31"/>
      <c r="I42" s="10">
        <v>0</v>
      </c>
      <c r="J42" s="17">
        <v>7</v>
      </c>
      <c r="K42" s="18">
        <v>89901</v>
      </c>
      <c r="L42" s="10">
        <v>1</v>
      </c>
      <c r="M42" s="10">
        <v>1</v>
      </c>
      <c r="N42" s="10" t="s">
        <v>190</v>
      </c>
      <c r="O42" s="10"/>
      <c r="P42" s="11">
        <v>22005</v>
      </c>
      <c r="Q42" s="10">
        <v>0</v>
      </c>
      <c r="R42" s="10">
        <v>1</v>
      </c>
      <c r="S42" s="10">
        <v>1</v>
      </c>
      <c r="T42" s="11">
        <v>0</v>
      </c>
      <c r="U42" s="10">
        <v>0</v>
      </c>
      <c r="V42" s="10">
        <v>1</v>
      </c>
      <c r="W42" s="10">
        <v>3006</v>
      </c>
      <c r="X42" s="10">
        <v>0</v>
      </c>
      <c r="Y42" s="25">
        <v>3503</v>
      </c>
      <c r="Z42" s="11">
        <v>3503</v>
      </c>
      <c r="AA42" s="10">
        <v>12</v>
      </c>
      <c r="AB42" s="10">
        <v>0</v>
      </c>
      <c r="AC42" s="11">
        <v>0</v>
      </c>
      <c r="AD42" s="31"/>
      <c r="AE42" s="31"/>
      <c r="AF42" s="3">
        <v>0</v>
      </c>
      <c r="AG42" s="3">
        <v>0</v>
      </c>
      <c r="AH42" s="3">
        <v>0</v>
      </c>
      <c r="AI42" s="3">
        <v>0</v>
      </c>
      <c r="AJ42" s="3">
        <v>0</v>
      </c>
      <c r="AK42" s="3">
        <v>0</v>
      </c>
    </row>
    <row r="43" spans="1:37" x14ac:dyDescent="0.25">
      <c r="A43" s="55" t="s">
        <v>186</v>
      </c>
      <c r="B43" s="56" t="s">
        <v>188</v>
      </c>
      <c r="C43" s="57"/>
      <c r="D43" s="10">
        <v>202</v>
      </c>
      <c r="E43" s="10">
        <v>30012</v>
      </c>
      <c r="F43" s="11">
        <v>33032</v>
      </c>
      <c r="G43" s="11">
        <v>0</v>
      </c>
      <c r="H43" s="31"/>
      <c r="I43" s="10">
        <v>0</v>
      </c>
      <c r="J43" s="17">
        <v>7</v>
      </c>
      <c r="K43" s="18">
        <v>89902</v>
      </c>
      <c r="L43" s="10">
        <v>1</v>
      </c>
      <c r="M43" s="10">
        <v>1</v>
      </c>
      <c r="N43" s="10" t="s">
        <v>190</v>
      </c>
      <c r="O43" s="10"/>
      <c r="P43" s="11">
        <v>22005</v>
      </c>
      <c r="Q43" s="10">
        <v>0</v>
      </c>
      <c r="R43" s="10">
        <v>1</v>
      </c>
      <c r="S43" s="10">
        <v>1</v>
      </c>
      <c r="T43" s="11">
        <v>0</v>
      </c>
      <c r="U43" s="10">
        <v>0</v>
      </c>
      <c r="V43" s="10">
        <v>1</v>
      </c>
      <c r="W43" s="10">
        <v>3006</v>
      </c>
      <c r="X43" s="10">
        <v>0</v>
      </c>
      <c r="Y43" s="25">
        <v>3503</v>
      </c>
      <c r="Z43" s="11">
        <v>3503</v>
      </c>
      <c r="AA43" s="10">
        <v>12</v>
      </c>
      <c r="AB43" s="10">
        <v>0</v>
      </c>
      <c r="AC43" s="11">
        <v>0</v>
      </c>
      <c r="AD43" s="31"/>
      <c r="AE43" s="31"/>
      <c r="AF43" s="3">
        <v>0</v>
      </c>
      <c r="AG43" s="3">
        <v>0</v>
      </c>
      <c r="AH43" s="3">
        <v>0</v>
      </c>
      <c r="AI43" s="3">
        <v>0</v>
      </c>
      <c r="AJ43" s="3">
        <v>0</v>
      </c>
      <c r="AK43" s="3">
        <v>0</v>
      </c>
    </row>
    <row r="44" spans="1:37" x14ac:dyDescent="0.25">
      <c r="A44" s="55"/>
      <c r="B44" s="56" t="s">
        <v>189</v>
      </c>
      <c r="C44" s="57"/>
      <c r="D44" s="10">
        <v>203</v>
      </c>
      <c r="E44" s="10">
        <v>30013</v>
      </c>
      <c r="F44" s="11">
        <v>33033</v>
      </c>
      <c r="G44" s="11">
        <v>0</v>
      </c>
      <c r="H44" s="31"/>
      <c r="I44" s="10">
        <v>0</v>
      </c>
      <c r="J44" s="17">
        <v>7</v>
      </c>
      <c r="K44" s="18">
        <v>89903</v>
      </c>
      <c r="L44" s="10">
        <v>1</v>
      </c>
      <c r="M44" s="10">
        <v>1</v>
      </c>
      <c r="N44" s="10" t="s">
        <v>190</v>
      </c>
      <c r="O44" s="10"/>
      <c r="P44" s="11">
        <v>22005</v>
      </c>
      <c r="Q44" s="10">
        <v>0</v>
      </c>
      <c r="R44" s="10">
        <v>1</v>
      </c>
      <c r="S44" s="10">
        <v>1</v>
      </c>
      <c r="T44" s="11">
        <v>0</v>
      </c>
      <c r="U44" s="10">
        <v>0</v>
      </c>
      <c r="V44" s="10">
        <v>1</v>
      </c>
      <c r="W44" s="10">
        <v>3006</v>
      </c>
      <c r="X44" s="10">
        <v>0</v>
      </c>
      <c r="Y44" s="25">
        <v>3503</v>
      </c>
      <c r="Z44" s="11">
        <v>3503</v>
      </c>
      <c r="AA44" s="10">
        <v>12</v>
      </c>
      <c r="AB44" s="10">
        <v>0</v>
      </c>
      <c r="AC44" s="11">
        <v>0</v>
      </c>
      <c r="AD44" s="31"/>
      <c r="AE44" s="31"/>
      <c r="AF44" s="3">
        <v>0</v>
      </c>
      <c r="AG44" s="3">
        <v>0</v>
      </c>
      <c r="AH44" s="3">
        <v>0</v>
      </c>
      <c r="AI44" s="3">
        <v>0</v>
      </c>
      <c r="AJ44" s="3">
        <v>0</v>
      </c>
      <c r="AK44" s="3">
        <v>0</v>
      </c>
    </row>
    <row r="45" spans="1:37" x14ac:dyDescent="0.25">
      <c r="A45" s="93"/>
      <c r="B45" s="94" t="s">
        <v>404</v>
      </c>
      <c r="C45" s="95" t="s">
        <v>405</v>
      </c>
      <c r="D45" s="10">
        <v>301</v>
      </c>
      <c r="E45" s="10">
        <v>30021</v>
      </c>
      <c r="F45" s="11">
        <v>33041</v>
      </c>
      <c r="G45" s="11">
        <v>0</v>
      </c>
      <c r="H45" s="31"/>
      <c r="I45" s="10">
        <v>0</v>
      </c>
      <c r="J45" s="17">
        <v>3</v>
      </c>
      <c r="K45" s="67">
        <v>80511</v>
      </c>
      <c r="L45" s="10">
        <v>1</v>
      </c>
      <c r="M45" s="10">
        <v>1</v>
      </c>
      <c r="N45" s="10" t="s">
        <v>408</v>
      </c>
      <c r="O45" s="10"/>
      <c r="P45" s="11">
        <v>22008</v>
      </c>
      <c r="Q45" s="10">
        <v>0</v>
      </c>
      <c r="R45" s="10">
        <v>1</v>
      </c>
      <c r="S45" s="10">
        <v>1</v>
      </c>
      <c r="T45" s="11">
        <v>1</v>
      </c>
      <c r="U45" s="10">
        <v>10</v>
      </c>
      <c r="V45" s="10">
        <v>0</v>
      </c>
      <c r="W45" s="10">
        <v>3006</v>
      </c>
      <c r="X45" s="10">
        <v>1</v>
      </c>
      <c r="Y45" s="25">
        <v>3503</v>
      </c>
      <c r="Z45" s="11">
        <v>3503</v>
      </c>
      <c r="AA45" s="10">
        <v>12</v>
      </c>
      <c r="AB45" s="10">
        <v>0</v>
      </c>
      <c r="AC45" s="11">
        <v>0</v>
      </c>
      <c r="AD45" s="31"/>
      <c r="AE45" s="31"/>
      <c r="AF45" s="3">
        <v>0</v>
      </c>
      <c r="AG45" s="3">
        <v>0</v>
      </c>
      <c r="AH45" s="3">
        <v>0</v>
      </c>
      <c r="AI45" s="3">
        <v>0</v>
      </c>
      <c r="AJ45" s="3">
        <v>0</v>
      </c>
      <c r="AK45" s="3">
        <v>0</v>
      </c>
    </row>
    <row r="46" spans="1:37" x14ac:dyDescent="0.25">
      <c r="A46" s="93" t="s">
        <v>403</v>
      </c>
      <c r="B46" s="94" t="s">
        <v>404</v>
      </c>
      <c r="C46" s="96" t="s">
        <v>406</v>
      </c>
      <c r="D46" s="10">
        <v>302</v>
      </c>
      <c r="E46" s="10">
        <v>30022</v>
      </c>
      <c r="F46" s="11">
        <v>33042</v>
      </c>
      <c r="G46" s="11">
        <v>0</v>
      </c>
      <c r="H46" s="31"/>
      <c r="I46" s="10">
        <v>0</v>
      </c>
      <c r="J46" s="17">
        <v>4</v>
      </c>
      <c r="K46" s="67">
        <v>80511</v>
      </c>
      <c r="L46" s="10">
        <v>1</v>
      </c>
      <c r="M46" s="10">
        <v>1</v>
      </c>
      <c r="N46" s="10" t="s">
        <v>408</v>
      </c>
      <c r="O46" s="10"/>
      <c r="P46" s="11">
        <v>22008</v>
      </c>
      <c r="Q46" s="10">
        <v>0</v>
      </c>
      <c r="R46" s="10">
        <v>1</v>
      </c>
      <c r="S46" s="10">
        <v>1</v>
      </c>
      <c r="T46" s="11">
        <v>1</v>
      </c>
      <c r="U46" s="10">
        <v>10</v>
      </c>
      <c r="V46" s="10">
        <v>0</v>
      </c>
      <c r="W46" s="10">
        <v>3006</v>
      </c>
      <c r="X46" s="10">
        <v>1</v>
      </c>
      <c r="Y46" s="25">
        <v>3503</v>
      </c>
      <c r="Z46" s="11">
        <v>3503</v>
      </c>
      <c r="AA46" s="10">
        <v>12</v>
      </c>
      <c r="AB46" s="10">
        <v>0</v>
      </c>
      <c r="AC46" s="11">
        <v>0</v>
      </c>
      <c r="AD46" s="31"/>
      <c r="AE46" s="31"/>
      <c r="AF46" s="3">
        <v>0</v>
      </c>
      <c r="AG46" s="3">
        <v>0</v>
      </c>
      <c r="AH46" s="3">
        <v>0</v>
      </c>
      <c r="AI46" s="3">
        <v>0</v>
      </c>
      <c r="AJ46" s="3">
        <v>0</v>
      </c>
      <c r="AK46" s="3">
        <v>0</v>
      </c>
    </row>
    <row r="47" spans="1:37" x14ac:dyDescent="0.25">
      <c r="A47" s="93"/>
      <c r="B47" s="97" t="s">
        <v>404</v>
      </c>
      <c r="C47" s="98" t="s">
        <v>407</v>
      </c>
      <c r="D47" s="10">
        <v>303</v>
      </c>
      <c r="E47" s="10">
        <v>30023</v>
      </c>
      <c r="F47" s="11">
        <v>33043</v>
      </c>
      <c r="G47" s="11">
        <v>0</v>
      </c>
      <c r="H47" s="31"/>
      <c r="I47" s="10">
        <v>0</v>
      </c>
      <c r="J47" s="17">
        <v>5</v>
      </c>
      <c r="K47" s="67">
        <v>80511</v>
      </c>
      <c r="L47" s="10">
        <v>1</v>
      </c>
      <c r="M47" s="10">
        <v>1</v>
      </c>
      <c r="N47" s="10" t="s">
        <v>408</v>
      </c>
      <c r="O47" s="10"/>
      <c r="P47" s="11">
        <v>22008</v>
      </c>
      <c r="Q47" s="10">
        <v>0</v>
      </c>
      <c r="R47" s="10">
        <v>1</v>
      </c>
      <c r="S47" s="10">
        <v>1</v>
      </c>
      <c r="T47" s="11">
        <v>1</v>
      </c>
      <c r="U47" s="10">
        <v>10</v>
      </c>
      <c r="V47" s="10">
        <v>0</v>
      </c>
      <c r="W47" s="10">
        <v>3006</v>
      </c>
      <c r="X47" s="10">
        <v>0</v>
      </c>
      <c r="Y47" s="25">
        <v>3503</v>
      </c>
      <c r="Z47" s="11">
        <v>3503</v>
      </c>
      <c r="AA47" s="10">
        <v>12</v>
      </c>
      <c r="AB47" s="10">
        <v>0</v>
      </c>
      <c r="AC47" s="11">
        <v>0</v>
      </c>
      <c r="AD47" s="31"/>
      <c r="AE47" s="31"/>
      <c r="AF47" s="3">
        <v>0</v>
      </c>
      <c r="AG47" s="3">
        <v>0</v>
      </c>
      <c r="AH47" s="3">
        <v>0</v>
      </c>
      <c r="AI47" s="3">
        <v>0</v>
      </c>
      <c r="AJ47" s="3">
        <v>0</v>
      </c>
      <c r="AK47" s="3">
        <v>0</v>
      </c>
    </row>
    <row r="48" spans="1:37" x14ac:dyDescent="0.25">
      <c r="A48" s="99"/>
      <c r="B48" s="94" t="s">
        <v>409</v>
      </c>
      <c r="C48" s="101" t="s">
        <v>418</v>
      </c>
      <c r="D48" s="10">
        <v>401</v>
      </c>
      <c r="E48" s="10">
        <v>30031</v>
      </c>
      <c r="F48" s="11">
        <v>33051</v>
      </c>
      <c r="G48" s="11">
        <v>0</v>
      </c>
      <c r="H48" s="31"/>
      <c r="I48" s="10">
        <v>0</v>
      </c>
      <c r="J48" s="17">
        <v>1</v>
      </c>
      <c r="K48" s="67">
        <v>80701</v>
      </c>
      <c r="L48" s="10">
        <v>1</v>
      </c>
      <c r="M48" s="10">
        <v>1</v>
      </c>
      <c r="N48" s="10" t="s">
        <v>116</v>
      </c>
      <c r="O48" s="10"/>
      <c r="P48" s="11">
        <v>22008</v>
      </c>
      <c r="Q48" s="10">
        <v>1</v>
      </c>
      <c r="R48" s="10">
        <v>1</v>
      </c>
      <c r="S48" s="10">
        <v>99</v>
      </c>
      <c r="T48" s="11">
        <v>1</v>
      </c>
      <c r="U48" s="10">
        <v>10</v>
      </c>
      <c r="V48" s="10">
        <v>0</v>
      </c>
      <c r="W48" s="10">
        <v>3006</v>
      </c>
      <c r="X48" s="10">
        <v>1</v>
      </c>
      <c r="Y48" s="25">
        <v>3503</v>
      </c>
      <c r="Z48" s="11">
        <v>3503</v>
      </c>
      <c r="AA48" s="10">
        <v>12</v>
      </c>
      <c r="AB48" s="10">
        <v>0</v>
      </c>
      <c r="AC48" s="11">
        <v>0</v>
      </c>
      <c r="AD48" s="31"/>
      <c r="AE48" s="31"/>
      <c r="AF48" s="3">
        <v>0</v>
      </c>
      <c r="AG48" s="3">
        <v>0</v>
      </c>
      <c r="AH48" s="3">
        <v>0</v>
      </c>
      <c r="AI48" s="3">
        <v>0</v>
      </c>
      <c r="AJ48" s="3">
        <v>0</v>
      </c>
      <c r="AK48" s="3">
        <v>0</v>
      </c>
    </row>
    <row r="49" spans="1:37" x14ac:dyDescent="0.25">
      <c r="A49" s="93"/>
      <c r="B49" s="88" t="s">
        <v>410</v>
      </c>
      <c r="C49" s="102" t="s">
        <v>419</v>
      </c>
      <c r="D49" s="10">
        <v>402</v>
      </c>
      <c r="E49" s="10">
        <v>30032</v>
      </c>
      <c r="F49" s="11">
        <v>33052</v>
      </c>
      <c r="G49" s="11">
        <v>0</v>
      </c>
      <c r="H49" s="31"/>
      <c r="I49" s="10">
        <v>0</v>
      </c>
      <c r="J49" s="17">
        <v>2</v>
      </c>
      <c r="K49" s="67">
        <v>80702</v>
      </c>
      <c r="L49" s="10">
        <v>1</v>
      </c>
      <c r="M49" s="10">
        <v>1</v>
      </c>
      <c r="N49" s="10" t="s">
        <v>116</v>
      </c>
      <c r="O49" s="10"/>
      <c r="P49" s="11">
        <v>22008</v>
      </c>
      <c r="Q49" s="10">
        <v>1</v>
      </c>
      <c r="R49" s="10">
        <v>1</v>
      </c>
      <c r="S49" s="10">
        <v>99</v>
      </c>
      <c r="T49" s="11">
        <v>1</v>
      </c>
      <c r="U49" s="10">
        <v>10</v>
      </c>
      <c r="V49" s="10">
        <v>0</v>
      </c>
      <c r="W49" s="10">
        <v>3006</v>
      </c>
      <c r="X49" s="10">
        <v>1</v>
      </c>
      <c r="Y49" s="25">
        <v>3503</v>
      </c>
      <c r="Z49" s="11">
        <v>3503</v>
      </c>
      <c r="AA49" s="10">
        <v>12</v>
      </c>
      <c r="AB49" s="10">
        <v>0</v>
      </c>
      <c r="AC49" s="11">
        <v>0</v>
      </c>
      <c r="AD49" s="31"/>
      <c r="AE49" s="31"/>
      <c r="AF49" s="3">
        <v>0</v>
      </c>
      <c r="AG49" s="3">
        <v>0</v>
      </c>
      <c r="AH49" s="3">
        <v>0</v>
      </c>
      <c r="AI49" s="3">
        <v>0</v>
      </c>
      <c r="AJ49" s="3">
        <v>0</v>
      </c>
      <c r="AK49" s="3">
        <v>0</v>
      </c>
    </row>
    <row r="50" spans="1:37" x14ac:dyDescent="0.25">
      <c r="A50" s="93"/>
      <c r="B50" s="103" t="s">
        <v>411</v>
      </c>
      <c r="C50" s="104" t="s">
        <v>420</v>
      </c>
      <c r="D50" s="10">
        <v>403</v>
      </c>
      <c r="E50" s="10">
        <v>30033</v>
      </c>
      <c r="F50" s="11">
        <v>33053</v>
      </c>
      <c r="G50" s="11">
        <v>0</v>
      </c>
      <c r="H50" s="31"/>
      <c r="I50" s="10">
        <v>0</v>
      </c>
      <c r="J50" s="17">
        <v>3</v>
      </c>
      <c r="K50" s="67">
        <v>80703</v>
      </c>
      <c r="L50" s="10">
        <v>1</v>
      </c>
      <c r="M50" s="10">
        <v>1</v>
      </c>
      <c r="N50" s="10" t="s">
        <v>116</v>
      </c>
      <c r="O50" s="10"/>
      <c r="P50" s="11">
        <v>22008</v>
      </c>
      <c r="Q50" s="10">
        <v>1</v>
      </c>
      <c r="R50" s="10">
        <v>1</v>
      </c>
      <c r="S50" s="10">
        <v>99</v>
      </c>
      <c r="T50" s="11">
        <v>1</v>
      </c>
      <c r="U50" s="10">
        <v>10</v>
      </c>
      <c r="V50" s="10">
        <v>0</v>
      </c>
      <c r="W50" s="10">
        <v>3006</v>
      </c>
      <c r="X50" s="10">
        <v>1</v>
      </c>
      <c r="Y50" s="25">
        <v>3503</v>
      </c>
      <c r="Z50" s="11">
        <v>3503</v>
      </c>
      <c r="AA50" s="10">
        <v>12</v>
      </c>
      <c r="AB50" s="10">
        <v>0</v>
      </c>
      <c r="AC50" s="11">
        <v>0</v>
      </c>
      <c r="AD50" s="31"/>
      <c r="AE50" s="31"/>
      <c r="AF50" s="3">
        <v>0</v>
      </c>
      <c r="AG50" s="3">
        <v>0</v>
      </c>
      <c r="AH50" s="3">
        <v>0</v>
      </c>
      <c r="AI50" s="3">
        <v>0</v>
      </c>
      <c r="AJ50" s="3">
        <v>0</v>
      </c>
      <c r="AK50" s="3">
        <v>0</v>
      </c>
    </row>
    <row r="51" spans="1:37" x14ac:dyDescent="0.25">
      <c r="A51" s="93"/>
      <c r="B51" s="105" t="s">
        <v>413</v>
      </c>
      <c r="C51" s="106" t="s">
        <v>415</v>
      </c>
      <c r="D51" s="10">
        <v>404</v>
      </c>
      <c r="E51" s="10">
        <v>30034</v>
      </c>
      <c r="F51" s="11">
        <v>33054</v>
      </c>
      <c r="G51" s="11">
        <v>0</v>
      </c>
      <c r="H51" s="31"/>
      <c r="I51" s="10">
        <v>0</v>
      </c>
      <c r="J51" s="17">
        <v>4</v>
      </c>
      <c r="K51" s="67">
        <v>80704</v>
      </c>
      <c r="L51" s="10">
        <v>1</v>
      </c>
      <c r="M51" s="10">
        <v>1</v>
      </c>
      <c r="N51" s="10" t="s">
        <v>116</v>
      </c>
      <c r="O51" s="10"/>
      <c r="P51" s="11">
        <v>22008</v>
      </c>
      <c r="Q51" s="10">
        <v>1</v>
      </c>
      <c r="R51" s="10">
        <v>1</v>
      </c>
      <c r="S51" s="10">
        <v>99</v>
      </c>
      <c r="T51" s="11">
        <v>1</v>
      </c>
      <c r="U51" s="10">
        <v>10</v>
      </c>
      <c r="V51" s="10">
        <v>0</v>
      </c>
      <c r="W51" s="10">
        <v>3006</v>
      </c>
      <c r="X51" s="10">
        <v>1</v>
      </c>
      <c r="Y51" s="25">
        <v>3503</v>
      </c>
      <c r="Z51" s="11">
        <v>3503</v>
      </c>
      <c r="AA51" s="10">
        <v>12</v>
      </c>
      <c r="AB51" s="10">
        <v>0</v>
      </c>
      <c r="AC51" s="11">
        <v>0</v>
      </c>
      <c r="AD51" s="31"/>
      <c r="AE51" s="31"/>
      <c r="AF51" s="3">
        <v>0</v>
      </c>
      <c r="AG51" s="3">
        <v>0</v>
      </c>
      <c r="AH51" s="3">
        <v>0</v>
      </c>
      <c r="AI51" s="3">
        <v>0</v>
      </c>
      <c r="AJ51" s="3">
        <v>0</v>
      </c>
      <c r="AK51" s="3">
        <v>0</v>
      </c>
    </row>
    <row r="52" spans="1:37" x14ac:dyDescent="0.25">
      <c r="A52" s="93"/>
      <c r="B52" s="107" t="s">
        <v>412</v>
      </c>
      <c r="C52" s="108" t="s">
        <v>416</v>
      </c>
      <c r="D52" s="10">
        <v>405</v>
      </c>
      <c r="E52" s="10">
        <v>30035</v>
      </c>
      <c r="F52" s="11">
        <v>33055</v>
      </c>
      <c r="G52" s="11">
        <v>0</v>
      </c>
      <c r="H52" s="31"/>
      <c r="I52" s="10">
        <v>0</v>
      </c>
      <c r="J52" s="17">
        <v>5</v>
      </c>
      <c r="K52" s="67">
        <v>80705</v>
      </c>
      <c r="L52" s="10">
        <v>1</v>
      </c>
      <c r="M52" s="10">
        <v>1</v>
      </c>
      <c r="N52" s="10" t="s">
        <v>116</v>
      </c>
      <c r="O52" s="10"/>
      <c r="P52" s="11">
        <v>22008</v>
      </c>
      <c r="Q52" s="10">
        <v>1</v>
      </c>
      <c r="R52" s="10">
        <v>1</v>
      </c>
      <c r="S52" s="10">
        <v>99</v>
      </c>
      <c r="T52" s="11">
        <v>1</v>
      </c>
      <c r="U52" s="10">
        <v>10</v>
      </c>
      <c r="V52" s="10">
        <v>0</v>
      </c>
      <c r="W52" s="10">
        <v>3006</v>
      </c>
      <c r="X52" s="10">
        <v>0</v>
      </c>
      <c r="Y52" s="25">
        <v>3503</v>
      </c>
      <c r="Z52" s="11">
        <v>3503</v>
      </c>
      <c r="AA52" s="10">
        <v>12</v>
      </c>
      <c r="AB52" s="10">
        <v>0</v>
      </c>
      <c r="AC52" s="11">
        <v>0</v>
      </c>
      <c r="AD52" s="31"/>
      <c r="AE52" s="31"/>
      <c r="AF52" s="3">
        <v>0</v>
      </c>
      <c r="AG52" s="3">
        <v>0</v>
      </c>
      <c r="AH52" s="3">
        <v>0</v>
      </c>
      <c r="AI52" s="3">
        <v>0</v>
      </c>
      <c r="AJ52" s="3">
        <v>0</v>
      </c>
      <c r="AK52" s="3">
        <v>0</v>
      </c>
    </row>
    <row r="53" spans="1:37" x14ac:dyDescent="0.25">
      <c r="A53" s="100"/>
      <c r="B53" s="109" t="s">
        <v>414</v>
      </c>
      <c r="C53" s="110" t="s">
        <v>417</v>
      </c>
      <c r="D53" s="10">
        <v>406</v>
      </c>
      <c r="E53" s="10">
        <v>30036</v>
      </c>
      <c r="F53" s="11">
        <v>33056</v>
      </c>
      <c r="G53" s="11">
        <v>0</v>
      </c>
      <c r="H53" s="31"/>
      <c r="I53" s="10">
        <v>0</v>
      </c>
      <c r="J53" s="17">
        <v>6</v>
      </c>
      <c r="K53" s="67">
        <v>80706</v>
      </c>
      <c r="L53" s="10">
        <v>1</v>
      </c>
      <c r="M53" s="10">
        <v>1</v>
      </c>
      <c r="N53" s="10" t="s">
        <v>116</v>
      </c>
      <c r="O53" s="10"/>
      <c r="P53" s="11">
        <v>22008</v>
      </c>
      <c r="Q53" s="10">
        <v>1</v>
      </c>
      <c r="R53" s="10">
        <v>1</v>
      </c>
      <c r="S53" s="10">
        <v>99</v>
      </c>
      <c r="T53" s="11">
        <v>1</v>
      </c>
      <c r="U53" s="10">
        <v>10</v>
      </c>
      <c r="V53" s="10">
        <v>0</v>
      </c>
      <c r="W53" s="10">
        <v>3006</v>
      </c>
      <c r="X53" s="10">
        <v>0</v>
      </c>
      <c r="Y53" s="25">
        <v>3503</v>
      </c>
      <c r="Z53" s="11">
        <v>3503</v>
      </c>
      <c r="AA53" s="10">
        <v>12</v>
      </c>
      <c r="AB53" s="10">
        <v>0</v>
      </c>
      <c r="AC53" s="11">
        <v>0</v>
      </c>
      <c r="AD53" s="31"/>
      <c r="AE53" s="31"/>
      <c r="AF53" s="3">
        <v>0</v>
      </c>
      <c r="AG53" s="3">
        <v>0</v>
      </c>
      <c r="AH53" s="3">
        <v>0</v>
      </c>
      <c r="AI53" s="3">
        <v>0</v>
      </c>
      <c r="AJ53" s="3">
        <v>0</v>
      </c>
      <c r="AK53" s="3">
        <v>0</v>
      </c>
    </row>
    <row r="54" spans="1:37" x14ac:dyDescent="0.25">
      <c r="A54" s="93"/>
      <c r="B54" s="116" t="s">
        <v>447</v>
      </c>
      <c r="C54" s="117" t="s">
        <v>448</v>
      </c>
      <c r="D54" s="10">
        <v>411</v>
      </c>
      <c r="E54" s="10">
        <v>30037</v>
      </c>
      <c r="F54" s="11">
        <v>33057</v>
      </c>
      <c r="G54" s="11">
        <v>0</v>
      </c>
      <c r="H54" s="31"/>
      <c r="I54" s="10">
        <v>0</v>
      </c>
      <c r="J54" s="17">
        <v>5</v>
      </c>
      <c r="K54" s="18">
        <v>80505</v>
      </c>
      <c r="L54" s="10">
        <v>1</v>
      </c>
      <c r="M54" s="10">
        <v>1</v>
      </c>
      <c r="N54" s="10" t="s">
        <v>116</v>
      </c>
      <c r="O54" s="10"/>
      <c r="P54" s="11">
        <v>22008</v>
      </c>
      <c r="Q54" s="10">
        <v>1</v>
      </c>
      <c r="R54" s="10">
        <v>1</v>
      </c>
      <c r="S54" s="10">
        <v>99</v>
      </c>
      <c r="T54" s="11">
        <v>1</v>
      </c>
      <c r="U54" s="10">
        <v>10</v>
      </c>
      <c r="V54" s="10">
        <v>0</v>
      </c>
      <c r="W54" s="10">
        <v>3006</v>
      </c>
      <c r="X54" s="10">
        <v>0</v>
      </c>
      <c r="Y54" s="25">
        <v>3503</v>
      </c>
      <c r="Z54" s="11">
        <v>3503</v>
      </c>
      <c r="AA54" s="10">
        <v>12</v>
      </c>
      <c r="AB54" s="10">
        <v>0</v>
      </c>
      <c r="AC54" s="11">
        <v>0</v>
      </c>
      <c r="AD54" s="31"/>
      <c r="AE54" s="31"/>
      <c r="AF54" s="3">
        <v>0</v>
      </c>
      <c r="AG54" s="3">
        <v>0</v>
      </c>
      <c r="AH54" s="3">
        <v>0</v>
      </c>
      <c r="AI54" s="3">
        <v>0</v>
      </c>
      <c r="AJ54" s="3">
        <v>0</v>
      </c>
      <c r="AK54" s="3">
        <v>0</v>
      </c>
    </row>
    <row r="55" spans="1:37" x14ac:dyDescent="0.25">
      <c r="A55" s="93"/>
      <c r="B55" s="94" t="s">
        <v>449</v>
      </c>
      <c r="C55" s="101"/>
      <c r="D55" s="10">
        <v>501</v>
      </c>
      <c r="E55" s="10">
        <v>30039</v>
      </c>
      <c r="F55" s="11">
        <v>33059</v>
      </c>
      <c r="G55" s="11">
        <v>0</v>
      </c>
      <c r="H55" s="31"/>
      <c r="I55" s="10">
        <v>0</v>
      </c>
      <c r="J55" s="17">
        <v>5</v>
      </c>
      <c r="K55" s="18">
        <v>80711</v>
      </c>
      <c r="L55" s="10">
        <v>1</v>
      </c>
      <c r="M55" s="10">
        <v>1</v>
      </c>
      <c r="N55" s="10" t="s">
        <v>116</v>
      </c>
      <c r="O55" s="10"/>
      <c r="P55" s="120">
        <v>22009</v>
      </c>
      <c r="Q55" s="10">
        <v>1</v>
      </c>
      <c r="R55" s="10">
        <v>1</v>
      </c>
      <c r="S55" s="10">
        <v>99</v>
      </c>
      <c r="T55" s="11">
        <v>0</v>
      </c>
      <c r="U55" s="10">
        <v>10</v>
      </c>
      <c r="V55" s="10">
        <v>1</v>
      </c>
      <c r="W55" s="10">
        <v>3006</v>
      </c>
      <c r="X55" s="10">
        <v>0</v>
      </c>
      <c r="Y55" s="25">
        <v>3503</v>
      </c>
      <c r="Z55" s="11">
        <v>3503</v>
      </c>
      <c r="AA55" s="10">
        <v>12</v>
      </c>
      <c r="AB55" s="10">
        <v>0</v>
      </c>
      <c r="AC55" s="11">
        <v>0</v>
      </c>
      <c r="AD55" s="31"/>
      <c r="AE55" s="31"/>
      <c r="AF55" s="3">
        <v>0</v>
      </c>
      <c r="AG55" s="3">
        <v>0</v>
      </c>
      <c r="AH55" s="3">
        <v>0</v>
      </c>
      <c r="AI55" s="3">
        <v>0</v>
      </c>
      <c r="AJ55" s="3">
        <v>0</v>
      </c>
      <c r="AK55" s="3">
        <v>0</v>
      </c>
    </row>
    <row r="56" spans="1:37" x14ac:dyDescent="0.25">
      <c r="A56" s="93"/>
      <c r="B56" s="94" t="s">
        <v>450</v>
      </c>
      <c r="C56" s="101"/>
      <c r="D56" s="10">
        <v>502</v>
      </c>
      <c r="E56" s="10">
        <v>30040</v>
      </c>
      <c r="F56" s="11">
        <v>33060</v>
      </c>
      <c r="G56" s="11">
        <v>0</v>
      </c>
      <c r="H56" s="31"/>
      <c r="I56" s="10">
        <v>0</v>
      </c>
      <c r="J56" s="17">
        <v>5</v>
      </c>
      <c r="K56" s="18">
        <v>80712</v>
      </c>
      <c r="L56" s="10">
        <v>1</v>
      </c>
      <c r="M56" s="10">
        <v>1</v>
      </c>
      <c r="N56" s="10" t="s">
        <v>116</v>
      </c>
      <c r="O56" s="10"/>
      <c r="P56" s="120">
        <v>22009</v>
      </c>
      <c r="Q56" s="10">
        <v>1</v>
      </c>
      <c r="R56" s="10">
        <v>1</v>
      </c>
      <c r="S56" s="10">
        <v>99</v>
      </c>
      <c r="T56" s="11">
        <v>0</v>
      </c>
      <c r="U56" s="10">
        <v>10</v>
      </c>
      <c r="V56" s="10">
        <v>1</v>
      </c>
      <c r="W56" s="10">
        <v>3006</v>
      </c>
      <c r="X56" s="10">
        <v>0</v>
      </c>
      <c r="Y56" s="25">
        <v>3503</v>
      </c>
      <c r="Z56" s="11">
        <v>3503</v>
      </c>
      <c r="AA56" s="10">
        <v>12</v>
      </c>
      <c r="AB56" s="10">
        <v>0</v>
      </c>
      <c r="AC56" s="11">
        <v>0</v>
      </c>
      <c r="AD56" s="31"/>
      <c r="AE56" s="31"/>
      <c r="AF56" s="3">
        <v>0</v>
      </c>
      <c r="AG56" s="3">
        <v>0</v>
      </c>
      <c r="AH56" s="3">
        <v>0</v>
      </c>
      <c r="AI56" s="3">
        <v>0</v>
      </c>
      <c r="AJ56" s="3">
        <v>0</v>
      </c>
      <c r="AK56" s="3">
        <v>0</v>
      </c>
    </row>
    <row r="57" spans="1:37" x14ac:dyDescent="0.25">
      <c r="A57" s="93"/>
      <c r="B57" s="94" t="s">
        <v>451</v>
      </c>
      <c r="C57" s="101"/>
      <c r="D57" s="10">
        <v>503</v>
      </c>
      <c r="E57" s="10">
        <v>30041</v>
      </c>
      <c r="F57" s="11">
        <v>33061</v>
      </c>
      <c r="G57" s="11">
        <v>0</v>
      </c>
      <c r="H57" s="31"/>
      <c r="I57" s="10">
        <v>0</v>
      </c>
      <c r="J57" s="17">
        <v>5</v>
      </c>
      <c r="K57" s="18">
        <v>80713</v>
      </c>
      <c r="L57" s="10">
        <v>1</v>
      </c>
      <c r="M57" s="10">
        <v>1</v>
      </c>
      <c r="N57" s="10" t="s">
        <v>116</v>
      </c>
      <c r="O57" s="10"/>
      <c r="P57" s="120">
        <v>22009</v>
      </c>
      <c r="Q57" s="10">
        <v>1</v>
      </c>
      <c r="R57" s="10">
        <v>1</v>
      </c>
      <c r="S57" s="10">
        <v>99</v>
      </c>
      <c r="T57" s="11">
        <v>0</v>
      </c>
      <c r="U57" s="10">
        <v>10</v>
      </c>
      <c r="V57" s="10">
        <v>1</v>
      </c>
      <c r="W57" s="10">
        <v>3006</v>
      </c>
      <c r="X57" s="10">
        <v>0</v>
      </c>
      <c r="Y57" s="25">
        <v>3503</v>
      </c>
      <c r="Z57" s="11">
        <v>3503</v>
      </c>
      <c r="AA57" s="10">
        <v>12</v>
      </c>
      <c r="AB57" s="10">
        <v>0</v>
      </c>
      <c r="AC57" s="11">
        <v>0</v>
      </c>
      <c r="AD57" s="31"/>
      <c r="AE57" s="31"/>
      <c r="AF57" s="3">
        <v>0</v>
      </c>
      <c r="AG57" s="3">
        <v>0</v>
      </c>
      <c r="AH57" s="3">
        <v>0</v>
      </c>
      <c r="AI57" s="3">
        <v>0</v>
      </c>
      <c r="AJ57" s="3">
        <v>0</v>
      </c>
      <c r="AK57" s="3">
        <v>0</v>
      </c>
    </row>
    <row r="58" spans="1:37" x14ac:dyDescent="0.25">
      <c r="A58" s="93"/>
      <c r="B58" s="94" t="s">
        <v>452</v>
      </c>
      <c r="C58" s="101"/>
      <c r="D58" s="10">
        <v>504</v>
      </c>
      <c r="E58" s="10">
        <v>30042</v>
      </c>
      <c r="F58" s="11">
        <v>33062</v>
      </c>
      <c r="G58" s="11">
        <v>0</v>
      </c>
      <c r="H58" s="31"/>
      <c r="I58" s="10">
        <v>0</v>
      </c>
      <c r="J58" s="17">
        <v>5</v>
      </c>
      <c r="K58" s="18">
        <v>80714</v>
      </c>
      <c r="L58" s="10">
        <v>1</v>
      </c>
      <c r="M58" s="10">
        <v>1</v>
      </c>
      <c r="N58" s="10" t="s">
        <v>116</v>
      </c>
      <c r="O58" s="10"/>
      <c r="P58" s="120">
        <v>22009</v>
      </c>
      <c r="Q58" s="10">
        <v>1</v>
      </c>
      <c r="R58" s="10">
        <v>1</v>
      </c>
      <c r="S58" s="10">
        <v>99</v>
      </c>
      <c r="T58" s="11">
        <v>0</v>
      </c>
      <c r="U58" s="10">
        <v>10</v>
      </c>
      <c r="V58" s="10">
        <v>1</v>
      </c>
      <c r="W58" s="10">
        <v>3006</v>
      </c>
      <c r="X58" s="10">
        <v>0</v>
      </c>
      <c r="Y58" s="25">
        <v>3503</v>
      </c>
      <c r="Z58" s="11">
        <v>3503</v>
      </c>
      <c r="AA58" s="10">
        <v>12</v>
      </c>
      <c r="AB58" s="10">
        <v>0</v>
      </c>
      <c r="AC58" s="11">
        <v>0</v>
      </c>
      <c r="AD58" s="31"/>
      <c r="AE58" s="31"/>
      <c r="AF58" s="3">
        <v>0</v>
      </c>
      <c r="AG58" s="3">
        <v>0</v>
      </c>
      <c r="AH58" s="3">
        <v>0</v>
      </c>
      <c r="AI58" s="3">
        <v>0</v>
      </c>
      <c r="AJ58" s="3">
        <v>0</v>
      </c>
      <c r="AK58" s="3">
        <v>0</v>
      </c>
    </row>
    <row r="59" spans="1:37" x14ac:dyDescent="0.25">
      <c r="A59" s="93"/>
      <c r="B59" s="94" t="s">
        <v>453</v>
      </c>
      <c r="C59" s="101"/>
      <c r="D59" s="10">
        <v>505</v>
      </c>
      <c r="E59" s="10">
        <v>30043</v>
      </c>
      <c r="F59" s="11">
        <v>33063</v>
      </c>
      <c r="G59" s="11">
        <v>0</v>
      </c>
      <c r="H59" s="31"/>
      <c r="I59" s="10">
        <v>0</v>
      </c>
      <c r="J59" s="17">
        <v>5</v>
      </c>
      <c r="K59" s="18">
        <v>80715</v>
      </c>
      <c r="L59" s="10">
        <v>1</v>
      </c>
      <c r="M59" s="10">
        <v>1</v>
      </c>
      <c r="N59" s="10" t="s">
        <v>116</v>
      </c>
      <c r="O59" s="10"/>
      <c r="P59" s="120">
        <v>22009</v>
      </c>
      <c r="Q59" s="10">
        <v>1</v>
      </c>
      <c r="R59" s="10">
        <v>1</v>
      </c>
      <c r="S59" s="10">
        <v>99</v>
      </c>
      <c r="T59" s="11">
        <v>0</v>
      </c>
      <c r="U59" s="10">
        <v>10</v>
      </c>
      <c r="V59" s="10">
        <v>1</v>
      </c>
      <c r="W59" s="10">
        <v>3006</v>
      </c>
      <c r="X59" s="10">
        <v>0</v>
      </c>
      <c r="Y59" s="25">
        <v>3503</v>
      </c>
      <c r="Z59" s="11">
        <v>3503</v>
      </c>
      <c r="AA59" s="10">
        <v>12</v>
      </c>
      <c r="AB59" s="10">
        <v>0</v>
      </c>
      <c r="AC59" s="11">
        <v>0</v>
      </c>
      <c r="AD59" s="31"/>
      <c r="AE59" s="31"/>
      <c r="AF59" s="3">
        <v>0</v>
      </c>
      <c r="AG59" s="3">
        <v>0</v>
      </c>
      <c r="AH59" s="3">
        <v>0</v>
      </c>
      <c r="AI59" s="3">
        <v>0</v>
      </c>
      <c r="AJ59" s="3">
        <v>0</v>
      </c>
      <c r="AK59" s="3">
        <v>0</v>
      </c>
    </row>
    <row r="60" spans="1:37" x14ac:dyDescent="0.25">
      <c r="A60" s="93"/>
      <c r="B60" s="94" t="s">
        <v>454</v>
      </c>
      <c r="C60" s="101"/>
      <c r="D60" s="10">
        <v>506</v>
      </c>
      <c r="E60" s="10">
        <v>30044</v>
      </c>
      <c r="F60" s="11">
        <v>33064</v>
      </c>
      <c r="G60" s="11">
        <v>0</v>
      </c>
      <c r="H60" s="31"/>
      <c r="I60" s="10">
        <v>0</v>
      </c>
      <c r="J60" s="17">
        <v>5</v>
      </c>
      <c r="K60" s="18">
        <v>80716</v>
      </c>
      <c r="L60" s="10">
        <v>1</v>
      </c>
      <c r="M60" s="10">
        <v>1</v>
      </c>
      <c r="N60" s="10" t="s">
        <v>116</v>
      </c>
      <c r="O60" s="10"/>
      <c r="P60" s="120">
        <v>22009</v>
      </c>
      <c r="Q60" s="10">
        <v>1</v>
      </c>
      <c r="R60" s="10">
        <v>1</v>
      </c>
      <c r="S60" s="10">
        <v>99</v>
      </c>
      <c r="T60" s="11">
        <v>0</v>
      </c>
      <c r="U60" s="10">
        <v>10</v>
      </c>
      <c r="V60" s="10">
        <v>1</v>
      </c>
      <c r="W60" s="10">
        <v>3006</v>
      </c>
      <c r="X60" s="10">
        <v>0</v>
      </c>
      <c r="Y60" s="25">
        <v>3503</v>
      </c>
      <c r="Z60" s="11">
        <v>3503</v>
      </c>
      <c r="AA60" s="10">
        <v>12</v>
      </c>
      <c r="AB60" s="10">
        <v>0</v>
      </c>
      <c r="AC60" s="11">
        <v>0</v>
      </c>
      <c r="AD60" s="31"/>
      <c r="AE60" s="31"/>
      <c r="AF60" s="3">
        <v>0</v>
      </c>
      <c r="AG60" s="3">
        <v>0</v>
      </c>
      <c r="AH60" s="3">
        <v>0</v>
      </c>
      <c r="AI60" s="3">
        <v>0</v>
      </c>
      <c r="AJ60" s="3">
        <v>0</v>
      </c>
      <c r="AK60" s="3">
        <v>0</v>
      </c>
    </row>
    <row r="61" spans="1:37" x14ac:dyDescent="0.25">
      <c r="A61" s="93"/>
      <c r="B61" s="94" t="s">
        <v>455</v>
      </c>
      <c r="C61" s="101"/>
      <c r="D61" s="10">
        <v>507</v>
      </c>
      <c r="E61" s="10">
        <v>30045</v>
      </c>
      <c r="F61" s="11">
        <v>33065</v>
      </c>
      <c r="G61" s="11">
        <v>0</v>
      </c>
      <c r="H61" s="31"/>
      <c r="I61" s="10">
        <v>0</v>
      </c>
      <c r="J61" s="17">
        <v>5</v>
      </c>
      <c r="K61" s="18">
        <v>80717</v>
      </c>
      <c r="L61" s="10">
        <v>1</v>
      </c>
      <c r="M61" s="10">
        <v>1</v>
      </c>
      <c r="N61" s="10" t="s">
        <v>116</v>
      </c>
      <c r="O61" s="10"/>
      <c r="P61" s="120">
        <v>22009</v>
      </c>
      <c r="Q61" s="10">
        <v>1</v>
      </c>
      <c r="R61" s="10">
        <v>1</v>
      </c>
      <c r="S61" s="10">
        <v>99</v>
      </c>
      <c r="T61" s="11">
        <v>0</v>
      </c>
      <c r="U61" s="10">
        <v>10</v>
      </c>
      <c r="V61" s="10">
        <v>1</v>
      </c>
      <c r="W61" s="10">
        <v>3006</v>
      </c>
      <c r="X61" s="10">
        <v>0</v>
      </c>
      <c r="Y61" s="25">
        <v>3503</v>
      </c>
      <c r="Z61" s="11">
        <v>3503</v>
      </c>
      <c r="AA61" s="10">
        <v>12</v>
      </c>
      <c r="AB61" s="10">
        <v>0</v>
      </c>
      <c r="AC61" s="11">
        <v>0</v>
      </c>
      <c r="AD61" s="31"/>
      <c r="AE61" s="31"/>
      <c r="AF61" s="3">
        <v>0</v>
      </c>
      <c r="AG61" s="3">
        <v>0</v>
      </c>
      <c r="AH61" s="3">
        <v>0</v>
      </c>
      <c r="AI61" s="3">
        <v>0</v>
      </c>
      <c r="AJ61" s="3">
        <v>0</v>
      </c>
      <c r="AK61" s="3">
        <v>0</v>
      </c>
    </row>
    <row r="62" spans="1:37" x14ac:dyDescent="0.25">
      <c r="A62" s="93"/>
      <c r="B62" s="94" t="s">
        <v>456</v>
      </c>
      <c r="C62" s="101"/>
      <c r="D62" s="10">
        <v>508</v>
      </c>
      <c r="E62" s="10">
        <v>30046</v>
      </c>
      <c r="F62" s="11">
        <v>33066</v>
      </c>
      <c r="G62" s="11">
        <v>0</v>
      </c>
      <c r="H62" s="31"/>
      <c r="I62" s="10">
        <v>0</v>
      </c>
      <c r="J62" s="17">
        <v>5</v>
      </c>
      <c r="K62" s="18">
        <v>80718</v>
      </c>
      <c r="L62" s="10">
        <v>1</v>
      </c>
      <c r="M62" s="10">
        <v>1</v>
      </c>
      <c r="N62" s="10" t="s">
        <v>116</v>
      </c>
      <c r="O62" s="10"/>
      <c r="P62" s="120">
        <v>22009</v>
      </c>
      <c r="Q62" s="10">
        <v>1</v>
      </c>
      <c r="R62" s="10">
        <v>1</v>
      </c>
      <c r="S62" s="10">
        <v>99</v>
      </c>
      <c r="T62" s="11">
        <v>0</v>
      </c>
      <c r="U62" s="10">
        <v>10</v>
      </c>
      <c r="V62" s="10">
        <v>1</v>
      </c>
      <c r="W62" s="10">
        <v>3006</v>
      </c>
      <c r="X62" s="10">
        <v>0</v>
      </c>
      <c r="Y62" s="25">
        <v>3503</v>
      </c>
      <c r="Z62" s="11">
        <v>3503</v>
      </c>
      <c r="AA62" s="10">
        <v>12</v>
      </c>
      <c r="AB62" s="10">
        <v>0</v>
      </c>
      <c r="AC62" s="11">
        <v>0</v>
      </c>
      <c r="AD62" s="31"/>
      <c r="AE62" s="31"/>
      <c r="AF62" s="3">
        <v>0</v>
      </c>
      <c r="AG62" s="3">
        <v>0</v>
      </c>
      <c r="AH62" s="3">
        <v>0</v>
      </c>
      <c r="AI62" s="3">
        <v>0</v>
      </c>
      <c r="AJ62" s="3">
        <v>0</v>
      </c>
      <c r="AK62" s="3">
        <v>0</v>
      </c>
    </row>
    <row r="63" spans="1:37" x14ac:dyDescent="0.25">
      <c r="A63" s="93"/>
      <c r="B63" s="94" t="s">
        <v>457</v>
      </c>
      <c r="C63" s="101"/>
      <c r="D63" s="10">
        <v>509</v>
      </c>
      <c r="E63" s="10">
        <v>30047</v>
      </c>
      <c r="F63" s="11">
        <v>33067</v>
      </c>
      <c r="G63" s="11">
        <v>0</v>
      </c>
      <c r="H63" s="31"/>
      <c r="I63" s="10">
        <v>0</v>
      </c>
      <c r="J63" s="17">
        <v>5</v>
      </c>
      <c r="K63" s="18">
        <v>80719</v>
      </c>
      <c r="L63" s="10">
        <v>1</v>
      </c>
      <c r="M63" s="10">
        <v>1</v>
      </c>
      <c r="N63" s="10" t="s">
        <v>116</v>
      </c>
      <c r="O63" s="10"/>
      <c r="P63" s="120">
        <v>22009</v>
      </c>
      <c r="Q63" s="10">
        <v>1</v>
      </c>
      <c r="R63" s="10">
        <v>1</v>
      </c>
      <c r="S63" s="10">
        <v>99</v>
      </c>
      <c r="T63" s="11">
        <v>0</v>
      </c>
      <c r="U63" s="10">
        <v>10</v>
      </c>
      <c r="V63" s="10">
        <v>1</v>
      </c>
      <c r="W63" s="10">
        <v>3006</v>
      </c>
      <c r="X63" s="10">
        <v>0</v>
      </c>
      <c r="Y63" s="25">
        <v>3503</v>
      </c>
      <c r="Z63" s="11">
        <v>3503</v>
      </c>
      <c r="AA63" s="10">
        <v>12</v>
      </c>
      <c r="AB63" s="10">
        <v>0</v>
      </c>
      <c r="AC63" s="11">
        <v>0</v>
      </c>
      <c r="AD63" s="31"/>
      <c r="AE63" s="31"/>
      <c r="AF63" s="3">
        <v>0</v>
      </c>
      <c r="AG63" s="3">
        <v>0</v>
      </c>
      <c r="AH63" s="3">
        <v>0</v>
      </c>
      <c r="AI63" s="3">
        <v>0</v>
      </c>
      <c r="AJ63" s="3">
        <v>0</v>
      </c>
      <c r="AK63" s="3">
        <v>0</v>
      </c>
    </row>
    <row r="64" spans="1:37" x14ac:dyDescent="0.25">
      <c r="A64" s="93"/>
      <c r="B64" s="94" t="s">
        <v>458</v>
      </c>
      <c r="C64" s="101"/>
      <c r="D64" s="10">
        <v>510</v>
      </c>
      <c r="E64" s="10">
        <v>30048</v>
      </c>
      <c r="F64" s="11">
        <v>33068</v>
      </c>
      <c r="G64" s="11">
        <v>0</v>
      </c>
      <c r="H64" s="31"/>
      <c r="I64" s="10">
        <v>0</v>
      </c>
      <c r="J64" s="17">
        <v>5</v>
      </c>
      <c r="K64" s="18">
        <v>80720</v>
      </c>
      <c r="L64" s="10">
        <v>1</v>
      </c>
      <c r="M64" s="10">
        <v>1</v>
      </c>
      <c r="N64" s="10" t="s">
        <v>116</v>
      </c>
      <c r="O64" s="10"/>
      <c r="P64" s="120">
        <v>22009</v>
      </c>
      <c r="Q64" s="10">
        <v>1</v>
      </c>
      <c r="R64" s="10">
        <v>1</v>
      </c>
      <c r="S64" s="10">
        <v>99</v>
      </c>
      <c r="T64" s="11">
        <v>0</v>
      </c>
      <c r="U64" s="10">
        <v>10</v>
      </c>
      <c r="V64" s="10">
        <v>1</v>
      </c>
      <c r="W64" s="10">
        <v>3006</v>
      </c>
      <c r="X64" s="10">
        <v>0</v>
      </c>
      <c r="Y64" s="25">
        <v>3503</v>
      </c>
      <c r="Z64" s="11">
        <v>3503</v>
      </c>
      <c r="AA64" s="10">
        <v>12</v>
      </c>
      <c r="AB64" s="10">
        <v>0</v>
      </c>
      <c r="AC64" s="11">
        <v>0</v>
      </c>
      <c r="AD64" s="31"/>
      <c r="AE64" s="31"/>
      <c r="AF64" s="3">
        <v>0</v>
      </c>
      <c r="AG64" s="3">
        <v>0</v>
      </c>
      <c r="AH64" s="3">
        <v>0</v>
      </c>
      <c r="AI64" s="3">
        <v>0</v>
      </c>
      <c r="AJ64" s="3">
        <v>0</v>
      </c>
      <c r="AK64" s="3">
        <v>0</v>
      </c>
    </row>
    <row r="65" spans="1:39" x14ac:dyDescent="0.25">
      <c r="A65" s="93"/>
      <c r="B65" s="94" t="s">
        <v>459</v>
      </c>
      <c r="C65" s="101"/>
      <c r="D65" s="10">
        <v>511</v>
      </c>
      <c r="E65" s="10">
        <v>30049</v>
      </c>
      <c r="F65" s="11">
        <v>33069</v>
      </c>
      <c r="G65" s="11">
        <v>0</v>
      </c>
      <c r="H65" s="31"/>
      <c r="I65" s="10">
        <v>0</v>
      </c>
      <c r="J65" s="17">
        <v>5</v>
      </c>
      <c r="K65" s="18">
        <v>80721</v>
      </c>
      <c r="L65" s="10">
        <v>1</v>
      </c>
      <c r="M65" s="10">
        <v>1</v>
      </c>
      <c r="N65" s="10" t="s">
        <v>116</v>
      </c>
      <c r="O65" s="10"/>
      <c r="P65" s="120">
        <v>22009</v>
      </c>
      <c r="Q65" s="10">
        <v>1</v>
      </c>
      <c r="R65" s="10">
        <v>1</v>
      </c>
      <c r="S65" s="10">
        <v>99</v>
      </c>
      <c r="T65" s="11">
        <v>0</v>
      </c>
      <c r="U65" s="10">
        <v>10</v>
      </c>
      <c r="V65" s="10">
        <v>1</v>
      </c>
      <c r="W65" s="10">
        <v>3006</v>
      </c>
      <c r="X65" s="10">
        <v>0</v>
      </c>
      <c r="Y65" s="25">
        <v>3503</v>
      </c>
      <c r="Z65" s="11">
        <v>3503</v>
      </c>
      <c r="AA65" s="10">
        <v>12</v>
      </c>
      <c r="AB65" s="10">
        <v>0</v>
      </c>
      <c r="AC65" s="11">
        <v>0</v>
      </c>
      <c r="AD65" s="31"/>
      <c r="AE65" s="31"/>
      <c r="AF65" s="3">
        <v>0</v>
      </c>
      <c r="AG65" s="3">
        <v>0</v>
      </c>
      <c r="AH65" s="3">
        <v>0</v>
      </c>
      <c r="AI65" s="3">
        <v>0</v>
      </c>
      <c r="AJ65" s="3">
        <v>0</v>
      </c>
      <c r="AK65" s="3">
        <v>0</v>
      </c>
    </row>
    <row r="66" spans="1:39" x14ac:dyDescent="0.25">
      <c r="A66" s="93"/>
      <c r="B66" s="94" t="s">
        <v>460</v>
      </c>
      <c r="C66" s="101"/>
      <c r="D66" s="10">
        <v>512</v>
      </c>
      <c r="E66" s="10">
        <v>30050</v>
      </c>
      <c r="F66" s="11">
        <v>33070</v>
      </c>
      <c r="G66" s="11">
        <v>0</v>
      </c>
      <c r="H66" s="31"/>
      <c r="I66" s="10">
        <v>0</v>
      </c>
      <c r="J66" s="17">
        <v>5</v>
      </c>
      <c r="K66" s="18">
        <v>80722</v>
      </c>
      <c r="L66" s="10">
        <v>1</v>
      </c>
      <c r="M66" s="10">
        <v>1</v>
      </c>
      <c r="N66" s="10" t="s">
        <v>116</v>
      </c>
      <c r="O66" s="10"/>
      <c r="P66" s="120">
        <v>22009</v>
      </c>
      <c r="Q66" s="10">
        <v>1</v>
      </c>
      <c r="R66" s="10">
        <v>1</v>
      </c>
      <c r="S66" s="10">
        <v>99</v>
      </c>
      <c r="T66" s="11">
        <v>0</v>
      </c>
      <c r="U66" s="10">
        <v>10</v>
      </c>
      <c r="V66" s="10">
        <v>1</v>
      </c>
      <c r="W66" s="10">
        <v>3006</v>
      </c>
      <c r="X66" s="10">
        <v>0</v>
      </c>
      <c r="Y66" s="25">
        <v>3503</v>
      </c>
      <c r="Z66" s="11">
        <v>3503</v>
      </c>
      <c r="AA66" s="10">
        <v>12</v>
      </c>
      <c r="AB66" s="10">
        <v>0</v>
      </c>
      <c r="AC66" s="11">
        <v>0</v>
      </c>
      <c r="AD66" s="31"/>
      <c r="AE66" s="31"/>
      <c r="AF66" s="3">
        <v>0</v>
      </c>
      <c r="AG66" s="3">
        <v>0</v>
      </c>
      <c r="AH66" s="3">
        <v>0</v>
      </c>
      <c r="AI66" s="3">
        <v>0</v>
      </c>
      <c r="AJ66" s="3">
        <v>0</v>
      </c>
      <c r="AK66" s="3">
        <v>0</v>
      </c>
    </row>
    <row r="67" spans="1:39" x14ac:dyDescent="0.25">
      <c r="A67" s="93"/>
      <c r="B67" s="94" t="s">
        <v>461</v>
      </c>
      <c r="C67" s="101"/>
      <c r="D67" s="10">
        <v>513</v>
      </c>
      <c r="E67" s="10">
        <v>30051</v>
      </c>
      <c r="F67" s="11">
        <v>33071</v>
      </c>
      <c r="G67" s="11">
        <v>0</v>
      </c>
      <c r="H67" s="31"/>
      <c r="I67" s="10">
        <v>0</v>
      </c>
      <c r="J67" s="17">
        <v>5</v>
      </c>
      <c r="K67" s="18">
        <v>80723</v>
      </c>
      <c r="L67" s="10">
        <v>1</v>
      </c>
      <c r="M67" s="10">
        <v>1</v>
      </c>
      <c r="N67" s="10" t="s">
        <v>116</v>
      </c>
      <c r="O67" s="10"/>
      <c r="P67" s="120">
        <v>22009</v>
      </c>
      <c r="Q67" s="10">
        <v>1</v>
      </c>
      <c r="R67" s="10">
        <v>1</v>
      </c>
      <c r="S67" s="10">
        <v>99</v>
      </c>
      <c r="T67" s="11">
        <v>0</v>
      </c>
      <c r="U67" s="10">
        <v>10</v>
      </c>
      <c r="V67" s="10">
        <v>1</v>
      </c>
      <c r="W67" s="10">
        <v>3006</v>
      </c>
      <c r="X67" s="10">
        <v>0</v>
      </c>
      <c r="Y67" s="25">
        <v>3503</v>
      </c>
      <c r="Z67" s="11">
        <v>3503</v>
      </c>
      <c r="AA67" s="10">
        <v>12</v>
      </c>
      <c r="AB67" s="10">
        <v>0</v>
      </c>
      <c r="AC67" s="11">
        <v>0</v>
      </c>
      <c r="AD67" s="31"/>
      <c r="AE67" s="31"/>
      <c r="AF67" s="3">
        <v>0</v>
      </c>
      <c r="AG67" s="3">
        <v>0</v>
      </c>
      <c r="AH67" s="3">
        <v>0</v>
      </c>
      <c r="AI67" s="3">
        <v>0</v>
      </c>
      <c r="AJ67" s="3">
        <v>0</v>
      </c>
      <c r="AK67" s="3">
        <v>0</v>
      </c>
    </row>
    <row r="68" spans="1:39" x14ac:dyDescent="0.25">
      <c r="A68" s="93"/>
      <c r="B68" s="94" t="s">
        <v>462</v>
      </c>
      <c r="C68" s="101"/>
      <c r="D68" s="10">
        <v>514</v>
      </c>
      <c r="E68" s="10">
        <v>30052</v>
      </c>
      <c r="F68" s="11">
        <v>33072</v>
      </c>
      <c r="G68" s="11">
        <v>0</v>
      </c>
      <c r="H68" s="31"/>
      <c r="I68" s="10">
        <v>0</v>
      </c>
      <c r="J68" s="17">
        <v>5</v>
      </c>
      <c r="K68" s="18">
        <v>80724</v>
      </c>
      <c r="L68" s="10">
        <v>1</v>
      </c>
      <c r="M68" s="10">
        <v>1</v>
      </c>
      <c r="N68" s="10" t="s">
        <v>116</v>
      </c>
      <c r="O68" s="10"/>
      <c r="P68" s="120">
        <v>22009</v>
      </c>
      <c r="Q68" s="10">
        <v>1</v>
      </c>
      <c r="R68" s="10">
        <v>1</v>
      </c>
      <c r="S68" s="10">
        <v>99</v>
      </c>
      <c r="T68" s="11">
        <v>0</v>
      </c>
      <c r="U68" s="10">
        <v>10</v>
      </c>
      <c r="V68" s="10">
        <v>1</v>
      </c>
      <c r="W68" s="10">
        <v>3006</v>
      </c>
      <c r="X68" s="10">
        <v>0</v>
      </c>
      <c r="Y68" s="25">
        <v>3503</v>
      </c>
      <c r="Z68" s="11">
        <v>3503</v>
      </c>
      <c r="AA68" s="10">
        <v>12</v>
      </c>
      <c r="AB68" s="10">
        <v>0</v>
      </c>
      <c r="AC68" s="11">
        <v>0</v>
      </c>
      <c r="AD68" s="31"/>
      <c r="AE68" s="31"/>
      <c r="AF68" s="3">
        <v>0</v>
      </c>
      <c r="AG68" s="3">
        <v>0</v>
      </c>
      <c r="AH68" s="3">
        <v>0</v>
      </c>
      <c r="AI68" s="3">
        <v>0</v>
      </c>
      <c r="AJ68" s="3">
        <v>0</v>
      </c>
      <c r="AK68" s="3">
        <v>0</v>
      </c>
    </row>
    <row r="69" spans="1:39" x14ac:dyDescent="0.25">
      <c r="A69" s="93"/>
      <c r="B69" s="94" t="s">
        <v>463</v>
      </c>
      <c r="C69" s="101"/>
      <c r="D69" s="10">
        <v>515</v>
      </c>
      <c r="E69" s="10">
        <v>30053</v>
      </c>
      <c r="F69" s="11">
        <v>33073</v>
      </c>
      <c r="G69" s="11">
        <v>0</v>
      </c>
      <c r="H69" s="31"/>
      <c r="I69" s="10">
        <v>0</v>
      </c>
      <c r="J69" s="17">
        <v>5</v>
      </c>
      <c r="K69" s="18">
        <v>80725</v>
      </c>
      <c r="L69" s="10">
        <v>1</v>
      </c>
      <c r="M69" s="10">
        <v>1</v>
      </c>
      <c r="N69" s="10" t="s">
        <v>116</v>
      </c>
      <c r="O69" s="10"/>
      <c r="P69" s="120">
        <v>22009</v>
      </c>
      <c r="Q69" s="10">
        <v>1</v>
      </c>
      <c r="R69" s="10">
        <v>1</v>
      </c>
      <c r="S69" s="10">
        <v>99</v>
      </c>
      <c r="T69" s="11">
        <v>0</v>
      </c>
      <c r="U69" s="10">
        <v>10</v>
      </c>
      <c r="V69" s="10">
        <v>1</v>
      </c>
      <c r="W69" s="10">
        <v>3006</v>
      </c>
      <c r="X69" s="10">
        <v>0</v>
      </c>
      <c r="Y69" s="25">
        <v>3503</v>
      </c>
      <c r="Z69" s="11">
        <v>3503</v>
      </c>
      <c r="AA69" s="10">
        <v>12</v>
      </c>
      <c r="AB69" s="10">
        <v>0</v>
      </c>
      <c r="AC69" s="11">
        <v>0</v>
      </c>
      <c r="AD69" s="31"/>
      <c r="AE69" s="31"/>
      <c r="AF69" s="3">
        <v>0</v>
      </c>
      <c r="AG69" s="3">
        <v>0</v>
      </c>
      <c r="AH69" s="3">
        <v>0</v>
      </c>
      <c r="AI69" s="3">
        <v>0</v>
      </c>
      <c r="AJ69" s="3">
        <v>0</v>
      </c>
      <c r="AK69" s="3">
        <v>0</v>
      </c>
    </row>
    <row r="70" spans="1:39" ht="18.75" customHeight="1" x14ac:dyDescent="0.25">
      <c r="A70" s="143" t="s">
        <v>97</v>
      </c>
      <c r="B70" s="48" t="s">
        <v>366</v>
      </c>
      <c r="C70" s="34"/>
      <c r="D70" s="10">
        <v>1001</v>
      </c>
      <c r="E70" s="10">
        <v>30101</v>
      </c>
      <c r="F70" s="11">
        <v>33101</v>
      </c>
      <c r="G70" s="11">
        <v>0</v>
      </c>
      <c r="H70" s="31"/>
      <c r="I70" s="10">
        <v>0</v>
      </c>
      <c r="J70" s="17">
        <v>7</v>
      </c>
      <c r="K70" s="18">
        <v>81001</v>
      </c>
      <c r="L70" s="10">
        <v>2</v>
      </c>
      <c r="M70" s="10">
        <v>2</v>
      </c>
      <c r="N70" s="10" t="s">
        <v>99</v>
      </c>
      <c r="O70" s="10"/>
      <c r="P70" s="11">
        <v>22003</v>
      </c>
      <c r="Q70" s="10">
        <v>0</v>
      </c>
      <c r="R70" s="10">
        <v>1</v>
      </c>
      <c r="S70" s="10">
        <v>1</v>
      </c>
      <c r="T70" s="11">
        <v>0</v>
      </c>
      <c r="U70" s="10">
        <v>10</v>
      </c>
      <c r="V70" s="10">
        <v>1</v>
      </c>
      <c r="W70" s="58">
        <v>6001</v>
      </c>
      <c r="X70" s="10">
        <v>0</v>
      </c>
      <c r="Y70" s="25">
        <v>3503</v>
      </c>
      <c r="Z70" s="11">
        <v>3503</v>
      </c>
      <c r="AA70" s="10">
        <v>12</v>
      </c>
      <c r="AB70" s="10">
        <v>0</v>
      </c>
      <c r="AC70" s="11">
        <v>0</v>
      </c>
      <c r="AD70" s="31"/>
      <c r="AE70" s="31"/>
      <c r="AF70" s="3">
        <v>0</v>
      </c>
      <c r="AG70" s="3">
        <v>0</v>
      </c>
      <c r="AH70" s="3">
        <v>1</v>
      </c>
      <c r="AI70" s="3">
        <v>0</v>
      </c>
      <c r="AJ70" s="3">
        <v>90041</v>
      </c>
      <c r="AK70" s="3">
        <v>90041</v>
      </c>
    </row>
    <row r="71" spans="1:39" x14ac:dyDescent="0.25">
      <c r="A71" s="144"/>
      <c r="B71" s="35" t="s">
        <v>93</v>
      </c>
      <c r="C71" s="34"/>
      <c r="D71" s="10">
        <v>1002</v>
      </c>
      <c r="E71" s="10">
        <v>30102</v>
      </c>
      <c r="F71" s="11">
        <v>33102</v>
      </c>
      <c r="G71" s="11">
        <v>0</v>
      </c>
      <c r="H71" s="31"/>
      <c r="I71" s="10">
        <v>0</v>
      </c>
      <c r="J71" s="52">
        <v>7</v>
      </c>
      <c r="K71" s="18">
        <v>81002</v>
      </c>
      <c r="L71" s="10">
        <v>1</v>
      </c>
      <c r="M71" s="10">
        <v>1</v>
      </c>
      <c r="N71" s="10" t="s">
        <v>99</v>
      </c>
      <c r="O71" s="10"/>
      <c r="P71" s="11">
        <v>22003</v>
      </c>
      <c r="Q71" s="10">
        <v>0</v>
      </c>
      <c r="R71" s="10">
        <v>1</v>
      </c>
      <c r="S71" s="10">
        <v>1</v>
      </c>
      <c r="T71" s="11">
        <v>0</v>
      </c>
      <c r="U71" s="10">
        <v>10</v>
      </c>
      <c r="V71" s="10">
        <v>1</v>
      </c>
      <c r="W71" s="58">
        <v>6002</v>
      </c>
      <c r="X71" s="10">
        <v>0</v>
      </c>
      <c r="Y71" s="25">
        <v>3503</v>
      </c>
      <c r="Z71" s="11">
        <v>3503</v>
      </c>
      <c r="AA71" s="10">
        <v>12</v>
      </c>
      <c r="AB71" s="10">
        <v>0</v>
      </c>
      <c r="AC71" s="11">
        <v>0</v>
      </c>
      <c r="AD71" s="31"/>
      <c r="AE71" s="31"/>
      <c r="AF71" s="3">
        <v>0</v>
      </c>
      <c r="AG71" s="3">
        <v>0</v>
      </c>
      <c r="AH71" s="3">
        <v>1</v>
      </c>
      <c r="AI71" s="3">
        <v>0</v>
      </c>
      <c r="AJ71" s="3">
        <v>10153</v>
      </c>
      <c r="AK71" s="3">
        <v>10153</v>
      </c>
    </row>
    <row r="72" spans="1:39" x14ac:dyDescent="0.25">
      <c r="A72" s="144"/>
      <c r="B72" s="35" t="s">
        <v>94</v>
      </c>
      <c r="C72" s="34"/>
      <c r="D72" s="10">
        <v>1003</v>
      </c>
      <c r="E72" s="10">
        <v>30103</v>
      </c>
      <c r="F72" s="11">
        <v>33103</v>
      </c>
      <c r="G72" s="11">
        <v>0</v>
      </c>
      <c r="H72" s="31"/>
      <c r="I72" s="10">
        <v>0</v>
      </c>
      <c r="J72" s="52">
        <v>7</v>
      </c>
      <c r="K72" s="18">
        <v>81003</v>
      </c>
      <c r="L72" s="10">
        <v>1</v>
      </c>
      <c r="M72" s="10">
        <v>1</v>
      </c>
      <c r="N72" s="10" t="s">
        <v>99</v>
      </c>
      <c r="O72" s="10"/>
      <c r="P72" s="11">
        <v>22003</v>
      </c>
      <c r="Q72" s="10">
        <v>0</v>
      </c>
      <c r="R72" s="10">
        <v>1</v>
      </c>
      <c r="S72" s="10">
        <v>1</v>
      </c>
      <c r="T72" s="11">
        <v>0</v>
      </c>
      <c r="U72" s="10">
        <v>10</v>
      </c>
      <c r="V72" s="10">
        <v>1</v>
      </c>
      <c r="W72" s="58">
        <v>6003</v>
      </c>
      <c r="X72" s="10">
        <v>0</v>
      </c>
      <c r="Y72" s="25">
        <v>3503</v>
      </c>
      <c r="Z72" s="11">
        <v>3503</v>
      </c>
      <c r="AA72" s="10">
        <v>12</v>
      </c>
      <c r="AB72" s="10">
        <v>0</v>
      </c>
      <c r="AC72" s="11">
        <v>0</v>
      </c>
      <c r="AD72" s="31"/>
      <c r="AE72" s="31"/>
      <c r="AF72" s="3">
        <v>0</v>
      </c>
      <c r="AG72" s="3">
        <v>0</v>
      </c>
      <c r="AH72" s="3">
        <v>1</v>
      </c>
      <c r="AI72" s="3">
        <v>0</v>
      </c>
      <c r="AJ72" s="3">
        <v>0</v>
      </c>
      <c r="AK72" s="3">
        <v>10256</v>
      </c>
    </row>
    <row r="73" spans="1:39" x14ac:dyDescent="0.25">
      <c r="A73" s="144"/>
      <c r="B73" s="35" t="s">
        <v>95</v>
      </c>
      <c r="C73" s="34"/>
      <c r="D73" s="10">
        <v>1004</v>
      </c>
      <c r="E73" s="10">
        <v>30104</v>
      </c>
      <c r="F73" s="11">
        <v>33104</v>
      </c>
      <c r="G73" s="11">
        <v>0</v>
      </c>
      <c r="H73" s="31"/>
      <c r="I73" s="10">
        <v>0</v>
      </c>
      <c r="J73" s="52">
        <v>7</v>
      </c>
      <c r="K73" s="18">
        <v>81004</v>
      </c>
      <c r="L73" s="10">
        <v>1</v>
      </c>
      <c r="M73" s="10">
        <v>1</v>
      </c>
      <c r="N73" s="10" t="s">
        <v>99</v>
      </c>
      <c r="O73" s="10"/>
      <c r="P73" s="120">
        <v>22009</v>
      </c>
      <c r="Q73" s="10">
        <v>0</v>
      </c>
      <c r="R73" s="10">
        <v>1</v>
      </c>
      <c r="S73" s="10">
        <v>1</v>
      </c>
      <c r="T73" s="11">
        <v>1</v>
      </c>
      <c r="U73" s="10">
        <v>10</v>
      </c>
      <c r="V73" s="10">
        <v>0</v>
      </c>
      <c r="W73" s="58">
        <v>6004</v>
      </c>
      <c r="X73" s="10">
        <v>0</v>
      </c>
      <c r="Y73" s="25">
        <v>3503</v>
      </c>
      <c r="Z73" s="11">
        <v>3503</v>
      </c>
      <c r="AA73" s="10">
        <v>12</v>
      </c>
      <c r="AB73" s="10">
        <v>0</v>
      </c>
      <c r="AC73" s="11">
        <v>0</v>
      </c>
      <c r="AD73" s="31"/>
      <c r="AE73" s="31"/>
      <c r="AF73" s="3">
        <v>0</v>
      </c>
      <c r="AG73" s="3">
        <v>0</v>
      </c>
      <c r="AH73" s="3">
        <v>0</v>
      </c>
      <c r="AI73" s="3">
        <v>0</v>
      </c>
      <c r="AJ73" s="3">
        <v>0</v>
      </c>
      <c r="AK73" s="3">
        <v>0</v>
      </c>
      <c r="AM73" s="90">
        <v>90009</v>
      </c>
    </row>
    <row r="74" spans="1:39" x14ac:dyDescent="0.25">
      <c r="A74" s="144"/>
      <c r="B74" s="44" t="s">
        <v>96</v>
      </c>
      <c r="C74" s="45"/>
      <c r="D74" s="10">
        <v>1005</v>
      </c>
      <c r="E74" s="10">
        <v>30105</v>
      </c>
      <c r="F74" s="11">
        <v>33105</v>
      </c>
      <c r="G74" s="11">
        <v>0</v>
      </c>
      <c r="H74" s="31"/>
      <c r="I74" s="10">
        <v>0</v>
      </c>
      <c r="J74" s="52">
        <v>7</v>
      </c>
      <c r="K74" s="18">
        <v>81005</v>
      </c>
      <c r="L74" s="10">
        <v>1</v>
      </c>
      <c r="M74" s="10">
        <v>1</v>
      </c>
      <c r="N74" s="10" t="s">
        <v>99</v>
      </c>
      <c r="O74" s="10"/>
      <c r="P74" s="11">
        <v>22003</v>
      </c>
      <c r="Q74" s="10">
        <v>0</v>
      </c>
      <c r="R74" s="10">
        <v>1</v>
      </c>
      <c r="S74" s="10">
        <v>1</v>
      </c>
      <c r="T74" s="11">
        <v>0</v>
      </c>
      <c r="U74" s="10">
        <v>10</v>
      </c>
      <c r="V74" s="10">
        <v>1</v>
      </c>
      <c r="W74" s="58">
        <v>6005</v>
      </c>
      <c r="X74" s="10">
        <v>0</v>
      </c>
      <c r="Y74" s="25">
        <v>3503</v>
      </c>
      <c r="Z74" s="11">
        <v>3503</v>
      </c>
      <c r="AA74" s="10">
        <v>12</v>
      </c>
      <c r="AB74" s="10">
        <v>0</v>
      </c>
      <c r="AC74" s="11">
        <v>0</v>
      </c>
      <c r="AD74" s="31"/>
      <c r="AE74" s="31"/>
      <c r="AF74" s="3">
        <v>0</v>
      </c>
      <c r="AG74" s="3">
        <v>0</v>
      </c>
      <c r="AH74" s="3">
        <v>1</v>
      </c>
      <c r="AI74" s="3">
        <v>0</v>
      </c>
      <c r="AJ74" s="86">
        <v>10157</v>
      </c>
      <c r="AK74" s="3">
        <v>10157</v>
      </c>
    </row>
    <row r="75" spans="1:39" x14ac:dyDescent="0.25">
      <c r="A75" s="61"/>
      <c r="B75" s="44" t="s">
        <v>200</v>
      </c>
      <c r="C75" s="45"/>
      <c r="D75" s="10">
        <v>1006</v>
      </c>
      <c r="E75" s="10">
        <v>30106</v>
      </c>
      <c r="F75" s="11">
        <v>33106</v>
      </c>
      <c r="G75" s="11">
        <v>0</v>
      </c>
      <c r="H75" s="31"/>
      <c r="I75" s="10">
        <v>0</v>
      </c>
      <c r="J75" s="52">
        <v>7</v>
      </c>
      <c r="K75" s="18">
        <v>81205</v>
      </c>
      <c r="L75" s="10">
        <v>1</v>
      </c>
      <c r="M75" s="10">
        <v>1</v>
      </c>
      <c r="N75" s="10" t="s">
        <v>99</v>
      </c>
      <c r="O75" s="10"/>
      <c r="P75" s="120">
        <v>22009</v>
      </c>
      <c r="Q75" s="10">
        <v>0</v>
      </c>
      <c r="R75" s="10">
        <v>1</v>
      </c>
      <c r="S75" s="10">
        <v>1</v>
      </c>
      <c r="T75" s="11">
        <v>0</v>
      </c>
      <c r="U75" s="10">
        <v>10</v>
      </c>
      <c r="V75" s="10">
        <v>1</v>
      </c>
      <c r="W75" s="58">
        <v>6006</v>
      </c>
      <c r="X75" s="10">
        <v>0</v>
      </c>
      <c r="Y75" s="25">
        <v>3503</v>
      </c>
      <c r="Z75" s="11">
        <v>3503</v>
      </c>
      <c r="AA75" s="10">
        <v>12</v>
      </c>
      <c r="AB75" s="10">
        <v>0</v>
      </c>
      <c r="AC75" s="11">
        <v>0</v>
      </c>
      <c r="AD75" s="31"/>
      <c r="AE75" s="31"/>
      <c r="AF75" s="3">
        <v>0</v>
      </c>
      <c r="AG75" s="3">
        <v>0</v>
      </c>
      <c r="AH75" s="3">
        <v>1</v>
      </c>
      <c r="AI75" s="3">
        <v>0</v>
      </c>
      <c r="AJ75" s="3">
        <v>0</v>
      </c>
      <c r="AK75" s="3">
        <v>0</v>
      </c>
    </row>
    <row r="76" spans="1:39" x14ac:dyDescent="0.25">
      <c r="A76" s="143" t="s">
        <v>104</v>
      </c>
      <c r="B76" s="35" t="s">
        <v>100</v>
      </c>
      <c r="C76" s="34"/>
      <c r="D76" s="10">
        <v>1101</v>
      </c>
      <c r="E76" s="10">
        <v>30111</v>
      </c>
      <c r="F76" s="11">
        <v>33111</v>
      </c>
      <c r="G76" s="11">
        <v>0</v>
      </c>
      <c r="H76" s="31"/>
      <c r="I76" s="10">
        <v>0</v>
      </c>
      <c r="J76" s="52">
        <v>7</v>
      </c>
      <c r="K76" s="18">
        <v>81011</v>
      </c>
      <c r="L76" s="10">
        <v>1</v>
      </c>
      <c r="M76" s="10">
        <v>1</v>
      </c>
      <c r="N76" s="10" t="s">
        <v>99</v>
      </c>
      <c r="O76" s="10"/>
      <c r="P76" s="11">
        <v>22003</v>
      </c>
      <c r="Q76" s="10">
        <v>0</v>
      </c>
      <c r="R76" s="10">
        <v>1</v>
      </c>
      <c r="S76" s="10">
        <v>1</v>
      </c>
      <c r="T76" s="11">
        <v>0</v>
      </c>
      <c r="U76" s="10">
        <v>10</v>
      </c>
      <c r="V76" s="10">
        <v>1</v>
      </c>
      <c r="W76" s="58">
        <v>6006</v>
      </c>
      <c r="X76" s="10">
        <v>0</v>
      </c>
      <c r="Y76" s="25">
        <v>3503</v>
      </c>
      <c r="Z76" s="11">
        <v>3503</v>
      </c>
      <c r="AA76" s="10">
        <v>12</v>
      </c>
      <c r="AB76" s="10">
        <v>0</v>
      </c>
      <c r="AC76" s="11">
        <v>0</v>
      </c>
      <c r="AD76" s="31"/>
      <c r="AE76" s="31"/>
      <c r="AF76" s="3">
        <v>0</v>
      </c>
      <c r="AG76" s="3">
        <v>0</v>
      </c>
      <c r="AH76" s="3">
        <v>1</v>
      </c>
      <c r="AI76" s="3">
        <v>0</v>
      </c>
      <c r="AJ76" s="3">
        <v>10252</v>
      </c>
      <c r="AK76" s="3">
        <v>10252</v>
      </c>
    </row>
    <row r="77" spans="1:39" x14ac:dyDescent="0.25">
      <c r="A77" s="144"/>
      <c r="B77" s="35" t="s">
        <v>101</v>
      </c>
      <c r="C77" s="34"/>
      <c r="D77" s="10">
        <v>1102</v>
      </c>
      <c r="E77" s="10">
        <v>30112</v>
      </c>
      <c r="F77" s="11">
        <v>33112</v>
      </c>
      <c r="G77" s="11">
        <v>0</v>
      </c>
      <c r="H77" s="31"/>
      <c r="I77" s="10">
        <v>0</v>
      </c>
      <c r="J77" s="52">
        <v>7</v>
      </c>
      <c r="K77" s="18">
        <v>81012</v>
      </c>
      <c r="L77" s="10">
        <v>1</v>
      </c>
      <c r="M77" s="10">
        <v>1</v>
      </c>
      <c r="N77" s="10" t="s">
        <v>99</v>
      </c>
      <c r="O77" s="10"/>
      <c r="P77" s="11">
        <v>22003</v>
      </c>
      <c r="Q77" s="10">
        <v>0</v>
      </c>
      <c r="R77" s="10">
        <v>1</v>
      </c>
      <c r="S77" s="10">
        <v>1</v>
      </c>
      <c r="T77" s="11">
        <v>0</v>
      </c>
      <c r="U77" s="10">
        <v>10</v>
      </c>
      <c r="V77" s="10">
        <v>1</v>
      </c>
      <c r="W77" s="58">
        <v>6007</v>
      </c>
      <c r="X77" s="10">
        <v>0</v>
      </c>
      <c r="Y77" s="25">
        <v>3503</v>
      </c>
      <c r="Z77" s="11">
        <v>3503</v>
      </c>
      <c r="AA77" s="10">
        <v>12</v>
      </c>
      <c r="AB77" s="10">
        <v>0</v>
      </c>
      <c r="AC77" s="11">
        <v>0</v>
      </c>
      <c r="AD77" s="31"/>
      <c r="AE77" s="31"/>
      <c r="AF77" s="3">
        <v>0</v>
      </c>
      <c r="AG77" s="3">
        <v>0</v>
      </c>
      <c r="AH77" s="3">
        <v>1</v>
      </c>
      <c r="AI77" s="3">
        <v>0</v>
      </c>
      <c r="AJ77" s="3">
        <v>10252</v>
      </c>
      <c r="AK77" s="3">
        <v>10252</v>
      </c>
    </row>
    <row r="78" spans="1:39" x14ac:dyDescent="0.25">
      <c r="A78" s="144"/>
      <c r="B78" s="35" t="s">
        <v>102</v>
      </c>
      <c r="C78" s="34" t="s">
        <v>119</v>
      </c>
      <c r="D78" s="10">
        <v>1103</v>
      </c>
      <c r="E78" s="10">
        <v>30113</v>
      </c>
      <c r="F78" s="11">
        <v>33113</v>
      </c>
      <c r="G78" s="11">
        <v>0</v>
      </c>
      <c r="H78" s="31" t="s">
        <v>194</v>
      </c>
      <c r="I78" s="49">
        <v>80101</v>
      </c>
      <c r="J78" s="52">
        <v>7</v>
      </c>
      <c r="K78" s="49">
        <v>80001</v>
      </c>
      <c r="L78" s="10">
        <v>2</v>
      </c>
      <c r="M78" s="10">
        <v>2</v>
      </c>
      <c r="N78" s="10" t="s">
        <v>129</v>
      </c>
      <c r="O78" s="10"/>
      <c r="P78" s="11">
        <v>22002</v>
      </c>
      <c r="Q78" s="10">
        <v>0</v>
      </c>
      <c r="R78" s="10">
        <v>1</v>
      </c>
      <c r="S78" s="10">
        <v>1</v>
      </c>
      <c r="T78" s="11">
        <v>1</v>
      </c>
      <c r="U78" s="10">
        <v>100</v>
      </c>
      <c r="V78" s="10">
        <v>0</v>
      </c>
      <c r="W78" s="58">
        <v>6008</v>
      </c>
      <c r="X78" s="10">
        <v>0</v>
      </c>
      <c r="Y78" s="25">
        <v>3503</v>
      </c>
      <c r="Z78" s="11">
        <v>3503</v>
      </c>
      <c r="AA78" s="10">
        <v>12</v>
      </c>
      <c r="AB78" s="10">
        <v>0</v>
      </c>
      <c r="AC78" s="10">
        <v>1</v>
      </c>
      <c r="AD78" s="31"/>
      <c r="AE78" s="31"/>
      <c r="AF78" s="3">
        <v>0</v>
      </c>
      <c r="AG78" s="3">
        <v>0</v>
      </c>
      <c r="AH78" s="3">
        <v>0</v>
      </c>
      <c r="AI78" s="3">
        <v>0</v>
      </c>
      <c r="AJ78" s="3">
        <v>0</v>
      </c>
      <c r="AK78" s="3">
        <v>0</v>
      </c>
    </row>
    <row r="79" spans="1:39" x14ac:dyDescent="0.25">
      <c r="A79" s="144"/>
      <c r="B79" s="35" t="s">
        <v>103</v>
      </c>
      <c r="C79" s="34"/>
      <c r="D79" s="10">
        <v>1104</v>
      </c>
      <c r="E79" s="10">
        <v>30114</v>
      </c>
      <c r="F79" s="11">
        <v>33114</v>
      </c>
      <c r="G79" s="11">
        <v>0</v>
      </c>
      <c r="H79" s="31"/>
      <c r="I79" s="10">
        <v>0</v>
      </c>
      <c r="J79" s="52">
        <v>7</v>
      </c>
      <c r="K79" s="18">
        <v>81014</v>
      </c>
      <c r="L79" s="10">
        <v>1</v>
      </c>
      <c r="M79" s="10">
        <v>1</v>
      </c>
      <c r="N79" s="10" t="s">
        <v>99</v>
      </c>
      <c r="O79" s="10"/>
      <c r="P79" s="120">
        <v>22009</v>
      </c>
      <c r="Q79" s="10">
        <v>0</v>
      </c>
      <c r="R79" s="10">
        <v>1</v>
      </c>
      <c r="S79" s="10">
        <v>1</v>
      </c>
      <c r="T79" s="11">
        <v>1</v>
      </c>
      <c r="U79" s="10">
        <v>10</v>
      </c>
      <c r="V79" s="10">
        <v>0</v>
      </c>
      <c r="W79" s="58">
        <v>6009</v>
      </c>
      <c r="X79" s="10">
        <v>0</v>
      </c>
      <c r="Y79" s="25">
        <v>3503</v>
      </c>
      <c r="Z79" s="11">
        <v>3503</v>
      </c>
      <c r="AA79" s="10">
        <v>12</v>
      </c>
      <c r="AB79" s="10">
        <v>0</v>
      </c>
      <c r="AC79" s="11">
        <v>0</v>
      </c>
      <c r="AD79" s="31"/>
      <c r="AE79" s="31"/>
      <c r="AF79" s="3">
        <v>0</v>
      </c>
      <c r="AG79" s="3">
        <v>0</v>
      </c>
      <c r="AH79" s="3">
        <v>0</v>
      </c>
      <c r="AI79" s="3">
        <v>0</v>
      </c>
      <c r="AJ79" s="3">
        <v>0</v>
      </c>
      <c r="AK79" s="3">
        <v>0</v>
      </c>
      <c r="AM79" s="91">
        <v>10255</v>
      </c>
    </row>
    <row r="80" spans="1:39" x14ac:dyDescent="0.25">
      <c r="A80" s="144"/>
      <c r="B80" s="48" t="s">
        <v>105</v>
      </c>
      <c r="C80" s="34"/>
      <c r="D80" s="10">
        <v>1105</v>
      </c>
      <c r="E80" s="10">
        <v>30115</v>
      </c>
      <c r="F80" s="11">
        <v>33115</v>
      </c>
      <c r="G80" s="11">
        <v>0</v>
      </c>
      <c r="H80" s="31"/>
      <c r="I80" s="10">
        <v>0</v>
      </c>
      <c r="J80" s="52">
        <v>7</v>
      </c>
      <c r="K80" s="18">
        <v>81015</v>
      </c>
      <c r="L80" s="10">
        <v>2</v>
      </c>
      <c r="M80" s="10">
        <v>2</v>
      </c>
      <c r="N80" s="10" t="s">
        <v>99</v>
      </c>
      <c r="O80" s="10"/>
      <c r="P80" s="11">
        <v>22003</v>
      </c>
      <c r="Q80" s="10">
        <v>0</v>
      </c>
      <c r="R80" s="10">
        <v>1</v>
      </c>
      <c r="S80" s="10">
        <v>1</v>
      </c>
      <c r="T80" s="11">
        <v>0</v>
      </c>
      <c r="U80" s="10">
        <v>10</v>
      </c>
      <c r="V80" s="10">
        <v>1</v>
      </c>
      <c r="W80" s="58">
        <v>6010</v>
      </c>
      <c r="X80" s="10">
        <v>0</v>
      </c>
      <c r="Y80" s="25">
        <v>3503</v>
      </c>
      <c r="Z80" s="11">
        <v>3503</v>
      </c>
      <c r="AA80" s="10">
        <v>12</v>
      </c>
      <c r="AB80" s="10">
        <v>0</v>
      </c>
      <c r="AC80" s="11">
        <v>0</v>
      </c>
      <c r="AD80" s="31"/>
      <c r="AE80" s="31"/>
      <c r="AF80" s="3">
        <v>0</v>
      </c>
      <c r="AG80" s="3">
        <v>0</v>
      </c>
      <c r="AH80" s="3">
        <v>1</v>
      </c>
      <c r="AI80" s="3">
        <v>0</v>
      </c>
      <c r="AJ80" s="3">
        <v>90042</v>
      </c>
      <c r="AK80" s="3">
        <v>90042</v>
      </c>
    </row>
    <row r="81" spans="1:39" x14ac:dyDescent="0.25">
      <c r="A81" s="145"/>
      <c r="B81" s="35" t="s">
        <v>106</v>
      </c>
      <c r="C81" s="34" t="s">
        <v>119</v>
      </c>
      <c r="D81" s="10">
        <v>1106</v>
      </c>
      <c r="E81" s="10">
        <v>30116</v>
      </c>
      <c r="F81" s="11">
        <v>33116</v>
      </c>
      <c r="G81" s="11">
        <v>0</v>
      </c>
      <c r="H81" s="31" t="s">
        <v>195</v>
      </c>
      <c r="I81" s="49">
        <v>80103</v>
      </c>
      <c r="J81" s="52">
        <v>7</v>
      </c>
      <c r="K81" s="49">
        <v>80003</v>
      </c>
      <c r="L81" s="10">
        <v>2</v>
      </c>
      <c r="M81" s="10">
        <v>2</v>
      </c>
      <c r="N81" s="10" t="s">
        <v>129</v>
      </c>
      <c r="O81" s="10"/>
      <c r="P81" s="11">
        <v>22002</v>
      </c>
      <c r="Q81" s="10">
        <v>0</v>
      </c>
      <c r="R81" s="10">
        <v>1</v>
      </c>
      <c r="S81" s="10">
        <v>1</v>
      </c>
      <c r="T81" s="11">
        <v>1</v>
      </c>
      <c r="U81" s="10">
        <v>100</v>
      </c>
      <c r="V81" s="10">
        <v>0</v>
      </c>
      <c r="W81" s="58">
        <v>6011</v>
      </c>
      <c r="X81" s="10">
        <v>0</v>
      </c>
      <c r="Y81" s="25">
        <v>3503</v>
      </c>
      <c r="Z81" s="11">
        <v>3503</v>
      </c>
      <c r="AA81" s="10">
        <v>12</v>
      </c>
      <c r="AB81" s="10">
        <v>0</v>
      </c>
      <c r="AC81" s="11">
        <v>1</v>
      </c>
      <c r="AD81" s="31"/>
      <c r="AE81" s="31"/>
      <c r="AF81" s="3">
        <v>0</v>
      </c>
      <c r="AG81" s="3">
        <v>0</v>
      </c>
      <c r="AH81" s="3">
        <v>0</v>
      </c>
      <c r="AI81" s="3">
        <v>0</v>
      </c>
      <c r="AJ81" s="3">
        <v>0</v>
      </c>
      <c r="AK81" s="3">
        <v>0</v>
      </c>
    </row>
    <row r="82" spans="1:39" x14ac:dyDescent="0.25">
      <c r="A82" s="143" t="s">
        <v>107</v>
      </c>
      <c r="B82" s="35" t="s">
        <v>108</v>
      </c>
      <c r="C82" s="34"/>
      <c r="D82" s="10">
        <v>1201</v>
      </c>
      <c r="E82" s="10">
        <v>30121</v>
      </c>
      <c r="F82" s="11">
        <v>33121</v>
      </c>
      <c r="G82" s="11">
        <v>0</v>
      </c>
      <c r="H82" s="31"/>
      <c r="I82" s="10">
        <v>0</v>
      </c>
      <c r="J82" s="52">
        <v>7</v>
      </c>
      <c r="K82" s="18">
        <v>81021</v>
      </c>
      <c r="L82" s="10">
        <v>1</v>
      </c>
      <c r="M82" s="10">
        <v>1</v>
      </c>
      <c r="N82" s="10" t="s">
        <v>99</v>
      </c>
      <c r="O82" s="10"/>
      <c r="P82" s="11">
        <v>22003</v>
      </c>
      <c r="Q82" s="10">
        <v>0</v>
      </c>
      <c r="R82" s="10">
        <v>1</v>
      </c>
      <c r="S82" s="10">
        <v>1</v>
      </c>
      <c r="T82" s="11">
        <v>0</v>
      </c>
      <c r="U82" s="10">
        <v>10</v>
      </c>
      <c r="V82" s="10">
        <v>1</v>
      </c>
      <c r="W82" s="58">
        <v>6012</v>
      </c>
      <c r="X82" s="10">
        <v>0</v>
      </c>
      <c r="Y82" s="25">
        <v>3503</v>
      </c>
      <c r="Z82" s="11">
        <v>3503</v>
      </c>
      <c r="AA82" s="10">
        <v>12</v>
      </c>
      <c r="AB82" s="10">
        <v>0</v>
      </c>
      <c r="AC82" s="11">
        <v>0</v>
      </c>
      <c r="AD82" s="31"/>
      <c r="AE82" s="31"/>
      <c r="AF82" s="3">
        <v>0</v>
      </c>
      <c r="AG82" s="3">
        <v>0</v>
      </c>
      <c r="AH82" s="3">
        <v>1</v>
      </c>
      <c r="AI82" s="3">
        <v>0</v>
      </c>
      <c r="AJ82" s="3">
        <v>10352</v>
      </c>
      <c r="AK82" s="3">
        <v>10352</v>
      </c>
    </row>
    <row r="83" spans="1:39" x14ac:dyDescent="0.25">
      <c r="A83" s="144"/>
      <c r="B83" s="35" t="s">
        <v>109</v>
      </c>
      <c r="C83" s="34"/>
      <c r="D83" s="10">
        <v>1202</v>
      </c>
      <c r="E83" s="10">
        <v>30122</v>
      </c>
      <c r="F83" s="11">
        <v>33122</v>
      </c>
      <c r="G83" s="11">
        <v>0</v>
      </c>
      <c r="H83" s="31"/>
      <c r="I83" s="10">
        <v>0</v>
      </c>
      <c r="J83" s="52">
        <v>7</v>
      </c>
      <c r="K83" s="18">
        <v>81022</v>
      </c>
      <c r="L83" s="10">
        <v>1</v>
      </c>
      <c r="M83" s="10">
        <v>1</v>
      </c>
      <c r="N83" s="10" t="s">
        <v>99</v>
      </c>
      <c r="O83" s="10"/>
      <c r="P83" s="11">
        <v>22003</v>
      </c>
      <c r="Q83" s="10">
        <v>0</v>
      </c>
      <c r="R83" s="10">
        <v>1</v>
      </c>
      <c r="S83" s="10">
        <v>1</v>
      </c>
      <c r="T83" s="11">
        <v>0</v>
      </c>
      <c r="U83" s="10">
        <v>10</v>
      </c>
      <c r="V83" s="10">
        <v>1</v>
      </c>
      <c r="W83" s="58">
        <v>6013</v>
      </c>
      <c r="X83" s="10">
        <v>0</v>
      </c>
      <c r="Y83" s="25">
        <v>3503</v>
      </c>
      <c r="Z83" s="11">
        <v>3503</v>
      </c>
      <c r="AA83" s="10">
        <v>12</v>
      </c>
      <c r="AB83" s="10">
        <v>0</v>
      </c>
      <c r="AC83" s="11">
        <v>0</v>
      </c>
      <c r="AD83" s="31"/>
      <c r="AE83" s="31"/>
      <c r="AF83" s="3">
        <v>0</v>
      </c>
      <c r="AG83" s="3">
        <v>0</v>
      </c>
      <c r="AH83" s="3">
        <v>1</v>
      </c>
      <c r="AI83" s="3">
        <v>0</v>
      </c>
      <c r="AJ83" s="3">
        <v>10352</v>
      </c>
      <c r="AK83" s="3">
        <v>10352</v>
      </c>
    </row>
    <row r="84" spans="1:39" x14ac:dyDescent="0.25">
      <c r="A84" s="144"/>
      <c r="B84" s="35" t="s">
        <v>111</v>
      </c>
      <c r="C84" s="34" t="s">
        <v>119</v>
      </c>
      <c r="D84" s="10">
        <v>1203</v>
      </c>
      <c r="E84" s="10">
        <v>30123</v>
      </c>
      <c r="F84" s="11">
        <v>33123</v>
      </c>
      <c r="G84" s="11">
        <v>0</v>
      </c>
      <c r="H84" s="31" t="s">
        <v>196</v>
      </c>
      <c r="I84" s="49">
        <v>80102</v>
      </c>
      <c r="J84" s="52">
        <v>7</v>
      </c>
      <c r="K84" s="49">
        <v>80002</v>
      </c>
      <c r="L84" s="10">
        <v>2</v>
      </c>
      <c r="M84" s="10">
        <v>2</v>
      </c>
      <c r="N84" s="10" t="s">
        <v>129</v>
      </c>
      <c r="O84" s="10"/>
      <c r="P84" s="11">
        <v>22002</v>
      </c>
      <c r="Q84" s="10">
        <v>0</v>
      </c>
      <c r="R84" s="10">
        <v>1</v>
      </c>
      <c r="S84" s="10">
        <v>1</v>
      </c>
      <c r="T84" s="11">
        <v>1</v>
      </c>
      <c r="U84" s="10">
        <v>100</v>
      </c>
      <c r="V84" s="10">
        <v>0</v>
      </c>
      <c r="W84" s="58">
        <v>6014</v>
      </c>
      <c r="X84" s="10">
        <v>0</v>
      </c>
      <c r="Y84" s="25">
        <v>3503</v>
      </c>
      <c r="Z84" s="11">
        <v>3503</v>
      </c>
      <c r="AA84" s="10">
        <v>12</v>
      </c>
      <c r="AB84" s="10">
        <v>0</v>
      </c>
      <c r="AC84" s="10">
        <v>1</v>
      </c>
      <c r="AD84" s="31"/>
      <c r="AE84" s="31"/>
      <c r="AF84" s="3">
        <v>0</v>
      </c>
      <c r="AG84" s="3">
        <v>0</v>
      </c>
      <c r="AH84" s="3">
        <v>0</v>
      </c>
      <c r="AI84" s="3">
        <v>0</v>
      </c>
      <c r="AJ84" s="3">
        <v>0</v>
      </c>
      <c r="AK84" s="3">
        <v>0</v>
      </c>
    </row>
    <row r="85" spans="1:39" x14ac:dyDescent="0.25">
      <c r="A85" s="144"/>
      <c r="B85" s="59" t="s">
        <v>112</v>
      </c>
      <c r="C85" s="47" t="s">
        <v>193</v>
      </c>
      <c r="D85" s="25">
        <v>1204</v>
      </c>
      <c r="E85" s="10">
        <v>30124</v>
      </c>
      <c r="F85" s="11">
        <v>33124</v>
      </c>
      <c r="G85" s="11">
        <v>0</v>
      </c>
      <c r="H85" s="31"/>
      <c r="I85" s="10">
        <v>0</v>
      </c>
      <c r="J85" s="52">
        <v>7</v>
      </c>
      <c r="K85" s="18">
        <v>81024</v>
      </c>
      <c r="L85" s="10">
        <v>1</v>
      </c>
      <c r="M85" s="10">
        <v>1</v>
      </c>
      <c r="N85" s="10" t="s">
        <v>99</v>
      </c>
      <c r="O85" s="10"/>
      <c r="P85" s="11">
        <v>22003</v>
      </c>
      <c r="Q85" s="10">
        <v>0</v>
      </c>
      <c r="R85" s="10">
        <v>1</v>
      </c>
      <c r="S85" s="10">
        <v>1</v>
      </c>
      <c r="T85" s="11">
        <v>0</v>
      </c>
      <c r="U85" s="10">
        <v>10</v>
      </c>
      <c r="V85" s="10">
        <v>1</v>
      </c>
      <c r="W85" s="58">
        <v>6015</v>
      </c>
      <c r="X85" s="10">
        <v>0</v>
      </c>
      <c r="Y85" s="25">
        <v>3503</v>
      </c>
      <c r="Z85" s="11">
        <v>3503</v>
      </c>
      <c r="AA85" s="10">
        <v>12</v>
      </c>
      <c r="AB85" s="10">
        <v>0</v>
      </c>
      <c r="AC85" s="11">
        <v>0</v>
      </c>
      <c r="AD85" s="31"/>
      <c r="AE85" s="31"/>
      <c r="AF85" s="3">
        <v>0</v>
      </c>
      <c r="AG85" s="3">
        <v>0</v>
      </c>
      <c r="AH85" s="3">
        <v>1</v>
      </c>
      <c r="AI85" s="3">
        <v>0</v>
      </c>
      <c r="AJ85" s="3">
        <v>0</v>
      </c>
      <c r="AK85" s="3">
        <v>0</v>
      </c>
    </row>
    <row r="86" spans="1:39" x14ac:dyDescent="0.25">
      <c r="A86" s="144"/>
      <c r="B86" s="35" t="s">
        <v>113</v>
      </c>
      <c r="C86" s="34"/>
      <c r="D86" s="10">
        <v>1205</v>
      </c>
      <c r="E86" s="10">
        <v>30125</v>
      </c>
      <c r="F86" s="11">
        <v>33125</v>
      </c>
      <c r="G86" s="11">
        <v>0</v>
      </c>
      <c r="H86" s="31"/>
      <c r="I86" s="10">
        <v>0</v>
      </c>
      <c r="J86" s="52">
        <v>7</v>
      </c>
      <c r="K86" s="18">
        <v>81025</v>
      </c>
      <c r="L86" s="10">
        <v>1</v>
      </c>
      <c r="M86" s="10">
        <v>1</v>
      </c>
      <c r="N86" s="10" t="s">
        <v>99</v>
      </c>
      <c r="O86" s="10"/>
      <c r="P86" s="120">
        <v>22009</v>
      </c>
      <c r="Q86" s="10">
        <v>0</v>
      </c>
      <c r="R86" s="10">
        <v>1</v>
      </c>
      <c r="S86" s="10">
        <v>1</v>
      </c>
      <c r="T86" s="11">
        <v>1</v>
      </c>
      <c r="U86" s="10">
        <v>10</v>
      </c>
      <c r="V86" s="10">
        <v>0</v>
      </c>
      <c r="W86" s="58">
        <v>6016</v>
      </c>
      <c r="X86" s="10">
        <v>0</v>
      </c>
      <c r="Y86" s="25">
        <v>3503</v>
      </c>
      <c r="Z86" s="11">
        <v>3503</v>
      </c>
      <c r="AA86" s="10">
        <v>12</v>
      </c>
      <c r="AB86" s="10">
        <v>0</v>
      </c>
      <c r="AC86" s="11">
        <v>0</v>
      </c>
      <c r="AD86" s="31"/>
      <c r="AE86" s="31"/>
      <c r="AF86" s="3">
        <v>0</v>
      </c>
      <c r="AG86" s="3">
        <v>0</v>
      </c>
      <c r="AH86" s="3">
        <v>0</v>
      </c>
      <c r="AI86" s="3">
        <v>0</v>
      </c>
      <c r="AJ86" s="3">
        <v>0</v>
      </c>
      <c r="AK86" s="3">
        <v>0</v>
      </c>
      <c r="AM86" s="92">
        <v>10355</v>
      </c>
    </row>
    <row r="87" spans="1:39" x14ac:dyDescent="0.25">
      <c r="A87" s="144"/>
      <c r="B87" s="48" t="s">
        <v>114</v>
      </c>
      <c r="C87" s="34"/>
      <c r="D87" s="10">
        <v>1206</v>
      </c>
      <c r="E87" s="10">
        <v>30126</v>
      </c>
      <c r="F87" s="11">
        <v>33126</v>
      </c>
      <c r="G87" s="11">
        <v>0</v>
      </c>
      <c r="H87" s="31"/>
      <c r="I87" s="10">
        <v>0</v>
      </c>
      <c r="J87" s="52">
        <v>7</v>
      </c>
      <c r="K87" s="18">
        <v>81026</v>
      </c>
      <c r="L87" s="10">
        <v>2</v>
      </c>
      <c r="M87" s="10">
        <v>2</v>
      </c>
      <c r="N87" s="10" t="s">
        <v>99</v>
      </c>
      <c r="O87" s="10"/>
      <c r="P87" s="11">
        <v>22003</v>
      </c>
      <c r="Q87" s="10">
        <v>0</v>
      </c>
      <c r="R87" s="10">
        <v>1</v>
      </c>
      <c r="S87" s="10">
        <v>1</v>
      </c>
      <c r="T87" s="11">
        <v>0</v>
      </c>
      <c r="U87" s="10">
        <v>10</v>
      </c>
      <c r="V87" s="10">
        <v>1</v>
      </c>
      <c r="W87" s="58">
        <v>6017</v>
      </c>
      <c r="X87" s="10">
        <v>0</v>
      </c>
      <c r="Y87" s="25">
        <v>3503</v>
      </c>
      <c r="Z87" s="11">
        <v>3503</v>
      </c>
      <c r="AA87" s="10">
        <v>12</v>
      </c>
      <c r="AB87" s="10">
        <v>0</v>
      </c>
      <c r="AC87" s="11">
        <v>0</v>
      </c>
      <c r="AD87" s="31"/>
      <c r="AE87" s="31"/>
      <c r="AF87" s="3">
        <v>0</v>
      </c>
      <c r="AG87" s="3">
        <v>0</v>
      </c>
      <c r="AH87" s="3">
        <v>1</v>
      </c>
      <c r="AI87" s="3">
        <v>0</v>
      </c>
      <c r="AJ87" s="3">
        <v>90043</v>
      </c>
      <c r="AK87" s="3">
        <v>90043</v>
      </c>
    </row>
    <row r="88" spans="1:39" x14ac:dyDescent="0.25">
      <c r="A88" s="145"/>
      <c r="B88" s="35" t="s">
        <v>115</v>
      </c>
      <c r="C88" s="34"/>
      <c r="D88" s="10">
        <v>1207</v>
      </c>
      <c r="E88" s="10">
        <v>30127</v>
      </c>
      <c r="F88" s="11">
        <v>33127</v>
      </c>
      <c r="G88" s="11">
        <v>0</v>
      </c>
      <c r="H88" s="31"/>
      <c r="I88" s="10">
        <v>0</v>
      </c>
      <c r="J88" s="52">
        <v>7</v>
      </c>
      <c r="K88" s="18">
        <v>81027</v>
      </c>
      <c r="L88" s="10">
        <v>1</v>
      </c>
      <c r="M88" s="10">
        <v>1</v>
      </c>
      <c r="N88" s="10" t="s">
        <v>99</v>
      </c>
      <c r="O88" s="10"/>
      <c r="P88" s="120">
        <v>22009</v>
      </c>
      <c r="Q88" s="10">
        <v>0</v>
      </c>
      <c r="R88" s="10">
        <v>1</v>
      </c>
      <c r="S88" s="10">
        <v>1</v>
      </c>
      <c r="T88" s="11">
        <v>1</v>
      </c>
      <c r="U88" s="10">
        <v>10</v>
      </c>
      <c r="V88" s="10">
        <v>0</v>
      </c>
      <c r="W88" s="58">
        <v>6018</v>
      </c>
      <c r="X88" s="10">
        <v>0</v>
      </c>
      <c r="Y88" s="25">
        <v>3503</v>
      </c>
      <c r="Z88" s="11">
        <v>3503</v>
      </c>
      <c r="AA88" s="10">
        <v>12</v>
      </c>
      <c r="AB88" s="10">
        <v>0</v>
      </c>
      <c r="AC88" s="11">
        <v>0</v>
      </c>
      <c r="AD88" s="31"/>
      <c r="AE88" s="31"/>
      <c r="AF88" s="3">
        <v>0</v>
      </c>
      <c r="AG88" s="3">
        <v>0</v>
      </c>
      <c r="AH88" s="3">
        <v>0</v>
      </c>
      <c r="AI88" s="3">
        <v>0</v>
      </c>
      <c r="AJ88" s="3">
        <v>0</v>
      </c>
      <c r="AK88" s="3">
        <v>0</v>
      </c>
      <c r="AM88" s="92">
        <v>10355</v>
      </c>
    </row>
    <row r="89" spans="1:39" x14ac:dyDescent="0.25">
      <c r="A89" s="143" t="s">
        <v>117</v>
      </c>
      <c r="B89" s="35" t="s">
        <v>126</v>
      </c>
      <c r="C89" s="34"/>
      <c r="D89" s="10">
        <v>1301</v>
      </c>
      <c r="E89" s="10">
        <v>30128</v>
      </c>
      <c r="F89" s="11">
        <v>33128</v>
      </c>
      <c r="G89" s="11">
        <v>0</v>
      </c>
      <c r="H89" s="31"/>
      <c r="I89" s="10">
        <v>0</v>
      </c>
      <c r="J89" s="52">
        <v>7</v>
      </c>
      <c r="K89" s="18">
        <v>81031</v>
      </c>
      <c r="L89" s="10">
        <v>1</v>
      </c>
      <c r="M89" s="10">
        <v>1</v>
      </c>
      <c r="N89" s="10" t="s">
        <v>99</v>
      </c>
      <c r="O89" s="10"/>
      <c r="P89" s="120">
        <v>22009</v>
      </c>
      <c r="Q89" s="10">
        <v>0</v>
      </c>
      <c r="R89" s="10">
        <v>1</v>
      </c>
      <c r="S89" s="10">
        <v>1</v>
      </c>
      <c r="T89" s="11">
        <v>1</v>
      </c>
      <c r="U89" s="10">
        <v>10</v>
      </c>
      <c r="V89" s="10">
        <v>0</v>
      </c>
      <c r="W89" s="58">
        <v>6019</v>
      </c>
      <c r="X89" s="10">
        <v>0</v>
      </c>
      <c r="Y89" s="25">
        <v>3503</v>
      </c>
      <c r="Z89" s="11">
        <v>3503</v>
      </c>
      <c r="AA89" s="10">
        <v>12</v>
      </c>
      <c r="AB89" s="10">
        <v>0</v>
      </c>
      <c r="AC89" s="11">
        <v>0</v>
      </c>
      <c r="AD89" s="31"/>
      <c r="AE89" s="31"/>
      <c r="AF89" s="3">
        <v>0</v>
      </c>
      <c r="AG89" s="3">
        <v>0</v>
      </c>
      <c r="AH89" s="3">
        <v>1</v>
      </c>
      <c r="AI89" s="3">
        <v>0</v>
      </c>
      <c r="AJ89" s="3">
        <v>0</v>
      </c>
      <c r="AK89" s="3">
        <v>0</v>
      </c>
      <c r="AM89" s="91">
        <v>10451</v>
      </c>
    </row>
    <row r="90" spans="1:39" x14ac:dyDescent="0.25">
      <c r="A90" s="144"/>
      <c r="B90" s="35" t="s">
        <v>127</v>
      </c>
      <c r="C90" s="34"/>
      <c r="D90" s="10">
        <v>1302</v>
      </c>
      <c r="E90" s="10">
        <v>30129</v>
      </c>
      <c r="F90" s="11">
        <v>33129</v>
      </c>
      <c r="G90" s="11">
        <v>0</v>
      </c>
      <c r="H90" s="31"/>
      <c r="I90" s="10">
        <v>0</v>
      </c>
      <c r="J90" s="52">
        <v>7</v>
      </c>
      <c r="K90" s="18">
        <v>81032</v>
      </c>
      <c r="L90" s="10">
        <v>1</v>
      </c>
      <c r="M90" s="10">
        <v>1</v>
      </c>
      <c r="N90" s="10" t="s">
        <v>99</v>
      </c>
      <c r="O90" s="10"/>
      <c r="P90" s="120">
        <v>22009</v>
      </c>
      <c r="Q90" s="10">
        <v>0</v>
      </c>
      <c r="R90" s="10">
        <v>1</v>
      </c>
      <c r="S90" s="10">
        <v>1</v>
      </c>
      <c r="T90" s="11">
        <v>1</v>
      </c>
      <c r="U90" s="10">
        <v>10</v>
      </c>
      <c r="V90" s="10">
        <v>0</v>
      </c>
      <c r="W90" s="58">
        <v>6020</v>
      </c>
      <c r="X90" s="10">
        <v>0</v>
      </c>
      <c r="Y90" s="25">
        <v>3503</v>
      </c>
      <c r="Z90" s="11">
        <v>3503</v>
      </c>
      <c r="AA90" s="10">
        <v>12</v>
      </c>
      <c r="AB90" s="10">
        <v>0</v>
      </c>
      <c r="AC90" s="11">
        <v>0</v>
      </c>
      <c r="AD90" s="31"/>
      <c r="AE90" s="31"/>
      <c r="AF90" s="3">
        <v>0</v>
      </c>
      <c r="AG90" s="3">
        <v>0</v>
      </c>
      <c r="AH90" s="3">
        <v>1</v>
      </c>
      <c r="AI90" s="3">
        <v>0</v>
      </c>
      <c r="AJ90" s="3">
        <v>0</v>
      </c>
      <c r="AK90" s="3">
        <v>0</v>
      </c>
      <c r="AM90" s="92">
        <v>10451</v>
      </c>
    </row>
    <row r="91" spans="1:39" x14ac:dyDescent="0.25">
      <c r="A91" s="144"/>
      <c r="B91" s="35" t="s">
        <v>128</v>
      </c>
      <c r="C91" s="34"/>
      <c r="D91" s="10">
        <v>1303</v>
      </c>
      <c r="E91" s="10">
        <v>30130</v>
      </c>
      <c r="F91" s="11">
        <v>33130</v>
      </c>
      <c r="G91" s="11">
        <v>0</v>
      </c>
      <c r="H91" s="31"/>
      <c r="I91" s="10">
        <v>0</v>
      </c>
      <c r="J91" s="52">
        <v>7</v>
      </c>
      <c r="K91" s="18">
        <v>81033</v>
      </c>
      <c r="L91" s="10">
        <v>1</v>
      </c>
      <c r="M91" s="10">
        <v>1</v>
      </c>
      <c r="N91" s="10" t="s">
        <v>99</v>
      </c>
      <c r="O91" s="10"/>
      <c r="P91" s="120">
        <v>22009</v>
      </c>
      <c r="Q91" s="10">
        <v>0</v>
      </c>
      <c r="R91" s="10">
        <v>1</v>
      </c>
      <c r="S91" s="10">
        <v>1</v>
      </c>
      <c r="T91" s="11">
        <v>1</v>
      </c>
      <c r="U91" s="10">
        <v>10</v>
      </c>
      <c r="V91" s="10">
        <v>0</v>
      </c>
      <c r="W91" s="58">
        <v>6021</v>
      </c>
      <c r="X91" s="10">
        <v>0</v>
      </c>
      <c r="Y91" s="25">
        <v>3503</v>
      </c>
      <c r="Z91" s="11">
        <v>3503</v>
      </c>
      <c r="AA91" s="10">
        <v>12</v>
      </c>
      <c r="AB91" s="10">
        <v>0</v>
      </c>
      <c r="AC91" s="11">
        <v>0</v>
      </c>
      <c r="AD91" s="31"/>
      <c r="AE91" s="31"/>
      <c r="AF91" s="3">
        <v>0</v>
      </c>
      <c r="AG91" s="3">
        <v>0</v>
      </c>
      <c r="AH91" s="3">
        <v>1</v>
      </c>
      <c r="AI91" s="3">
        <v>0</v>
      </c>
      <c r="AJ91" s="3">
        <v>0</v>
      </c>
      <c r="AK91" s="3">
        <v>0</v>
      </c>
      <c r="AM91" s="91">
        <v>10451</v>
      </c>
    </row>
    <row r="92" spans="1:39" x14ac:dyDescent="0.25">
      <c r="A92" s="144"/>
      <c r="B92" s="35" t="s">
        <v>118</v>
      </c>
      <c r="C92" s="34" t="s">
        <v>119</v>
      </c>
      <c r="D92" s="10">
        <v>1304</v>
      </c>
      <c r="E92" s="10">
        <v>30131</v>
      </c>
      <c r="F92" s="11">
        <v>33131</v>
      </c>
      <c r="G92" s="11">
        <v>0</v>
      </c>
      <c r="H92" s="31" t="s">
        <v>197</v>
      </c>
      <c r="I92" s="49">
        <v>80105</v>
      </c>
      <c r="J92" s="52">
        <v>7</v>
      </c>
      <c r="K92" s="49">
        <v>80005</v>
      </c>
      <c r="L92" s="10">
        <v>2</v>
      </c>
      <c r="M92" s="10">
        <v>2</v>
      </c>
      <c r="N92" s="10" t="s">
        <v>129</v>
      </c>
      <c r="O92" s="10"/>
      <c r="P92" s="11">
        <v>22002</v>
      </c>
      <c r="Q92" s="10">
        <v>0</v>
      </c>
      <c r="R92" s="10">
        <v>1</v>
      </c>
      <c r="S92" s="10">
        <v>1</v>
      </c>
      <c r="T92" s="11">
        <v>1</v>
      </c>
      <c r="U92" s="10">
        <v>100</v>
      </c>
      <c r="V92" s="10">
        <v>0</v>
      </c>
      <c r="W92" s="58">
        <v>6022</v>
      </c>
      <c r="X92" s="10">
        <v>0</v>
      </c>
      <c r="Y92" s="25">
        <v>3503</v>
      </c>
      <c r="Z92" s="11">
        <v>3503</v>
      </c>
      <c r="AA92" s="10">
        <v>12</v>
      </c>
      <c r="AB92" s="10">
        <v>0</v>
      </c>
      <c r="AC92" s="11">
        <v>1</v>
      </c>
      <c r="AD92" s="31"/>
      <c r="AE92" s="31"/>
      <c r="AF92" s="3">
        <v>0</v>
      </c>
      <c r="AG92" s="3">
        <v>0</v>
      </c>
      <c r="AH92" s="3">
        <v>0</v>
      </c>
      <c r="AI92" s="3">
        <v>0</v>
      </c>
      <c r="AJ92" s="3">
        <v>0</v>
      </c>
      <c r="AK92" s="3">
        <v>0</v>
      </c>
    </row>
    <row r="93" spans="1:39" x14ac:dyDescent="0.25">
      <c r="A93" s="144"/>
      <c r="B93" s="35" t="s">
        <v>120</v>
      </c>
      <c r="C93" s="34"/>
      <c r="D93" s="10">
        <v>1311</v>
      </c>
      <c r="E93" s="10">
        <v>30132</v>
      </c>
      <c r="F93" s="11">
        <v>33132</v>
      </c>
      <c r="G93" s="11">
        <v>0</v>
      </c>
      <c r="H93" s="31"/>
      <c r="I93" s="10">
        <v>0</v>
      </c>
      <c r="J93" s="52">
        <v>7</v>
      </c>
      <c r="K93" s="18">
        <v>81035</v>
      </c>
      <c r="L93" s="10">
        <v>1</v>
      </c>
      <c r="M93" s="10">
        <v>1</v>
      </c>
      <c r="N93" s="10" t="s">
        <v>99</v>
      </c>
      <c r="O93" s="10"/>
      <c r="P93" s="11">
        <v>22003</v>
      </c>
      <c r="Q93" s="10">
        <v>0</v>
      </c>
      <c r="R93" s="10">
        <v>1</v>
      </c>
      <c r="S93" s="10">
        <v>1</v>
      </c>
      <c r="T93" s="11">
        <v>0</v>
      </c>
      <c r="U93" s="10">
        <v>10</v>
      </c>
      <c r="V93" s="10">
        <v>1</v>
      </c>
      <c r="W93" s="58">
        <v>6023</v>
      </c>
      <c r="X93" s="10">
        <v>0</v>
      </c>
      <c r="Y93" s="25">
        <v>3503</v>
      </c>
      <c r="Z93" s="11">
        <v>3503</v>
      </c>
      <c r="AA93" s="10">
        <v>12</v>
      </c>
      <c r="AB93" s="10">
        <v>0</v>
      </c>
      <c r="AC93" s="11">
        <v>0</v>
      </c>
      <c r="AD93" s="31"/>
      <c r="AE93" s="31"/>
      <c r="AF93" s="3">
        <v>0</v>
      </c>
      <c r="AG93" s="3">
        <v>0</v>
      </c>
      <c r="AH93" s="3">
        <v>1</v>
      </c>
      <c r="AI93" s="3">
        <v>0</v>
      </c>
      <c r="AJ93" s="3">
        <v>10452</v>
      </c>
      <c r="AK93" s="3">
        <v>10452</v>
      </c>
    </row>
    <row r="94" spans="1:39" x14ac:dyDescent="0.25">
      <c r="A94" s="144"/>
      <c r="B94" s="35" t="s">
        <v>121</v>
      </c>
      <c r="C94" s="34"/>
      <c r="D94" s="10">
        <v>1312</v>
      </c>
      <c r="E94" s="10">
        <v>30133</v>
      </c>
      <c r="F94" s="11">
        <v>33133</v>
      </c>
      <c r="G94" s="11">
        <v>0</v>
      </c>
      <c r="H94" s="31"/>
      <c r="I94" s="10">
        <v>0</v>
      </c>
      <c r="J94" s="52">
        <v>7</v>
      </c>
      <c r="K94" s="18">
        <v>81036</v>
      </c>
      <c r="L94" s="10">
        <v>1</v>
      </c>
      <c r="M94" s="10">
        <v>1</v>
      </c>
      <c r="N94" s="10" t="s">
        <v>99</v>
      </c>
      <c r="O94" s="10"/>
      <c r="P94" s="11">
        <v>22003</v>
      </c>
      <c r="Q94" s="10">
        <v>0</v>
      </c>
      <c r="R94" s="10">
        <v>1</v>
      </c>
      <c r="S94" s="10">
        <v>1</v>
      </c>
      <c r="T94" s="11">
        <v>0</v>
      </c>
      <c r="U94" s="10">
        <v>10</v>
      </c>
      <c r="V94" s="10">
        <v>1</v>
      </c>
      <c r="W94" s="58">
        <v>6024</v>
      </c>
      <c r="X94" s="10">
        <v>0</v>
      </c>
      <c r="Y94" s="25">
        <v>3503</v>
      </c>
      <c r="Z94" s="11">
        <v>3503</v>
      </c>
      <c r="AA94" s="10">
        <v>12</v>
      </c>
      <c r="AB94" s="10">
        <v>0</v>
      </c>
      <c r="AC94" s="11">
        <v>0</v>
      </c>
      <c r="AD94" s="31"/>
      <c r="AE94" s="31"/>
      <c r="AF94" s="3">
        <v>0</v>
      </c>
      <c r="AG94" s="3">
        <v>0</v>
      </c>
      <c r="AH94" s="3">
        <v>1</v>
      </c>
      <c r="AI94" s="3">
        <v>0</v>
      </c>
      <c r="AJ94" s="3">
        <v>10452</v>
      </c>
      <c r="AK94" s="3">
        <v>10452</v>
      </c>
    </row>
    <row r="95" spans="1:39" x14ac:dyDescent="0.25">
      <c r="A95" s="144"/>
      <c r="B95" s="35" t="s">
        <v>122</v>
      </c>
      <c r="C95" s="34"/>
      <c r="D95" s="10">
        <v>1313</v>
      </c>
      <c r="E95" s="10">
        <v>30134</v>
      </c>
      <c r="F95" s="11">
        <v>33134</v>
      </c>
      <c r="G95" s="11">
        <v>0</v>
      </c>
      <c r="H95" s="31"/>
      <c r="I95" s="10">
        <v>0</v>
      </c>
      <c r="J95" s="52">
        <v>7</v>
      </c>
      <c r="K95" s="18">
        <v>81037</v>
      </c>
      <c r="L95" s="10">
        <v>1</v>
      </c>
      <c r="M95" s="10">
        <v>1</v>
      </c>
      <c r="N95" s="10" t="s">
        <v>99</v>
      </c>
      <c r="O95" s="10"/>
      <c r="P95" s="11">
        <v>22003</v>
      </c>
      <c r="Q95" s="10">
        <v>0</v>
      </c>
      <c r="R95" s="10">
        <v>1</v>
      </c>
      <c r="S95" s="10">
        <v>1</v>
      </c>
      <c r="T95" s="11">
        <v>0</v>
      </c>
      <c r="U95" s="10">
        <v>10</v>
      </c>
      <c r="V95" s="10">
        <v>1</v>
      </c>
      <c r="W95" s="58">
        <v>6025</v>
      </c>
      <c r="X95" s="10">
        <v>0</v>
      </c>
      <c r="Y95" s="25">
        <v>3503</v>
      </c>
      <c r="Z95" s="11">
        <v>3503</v>
      </c>
      <c r="AA95" s="10">
        <v>12</v>
      </c>
      <c r="AB95" s="10">
        <v>0</v>
      </c>
      <c r="AC95" s="11">
        <v>0</v>
      </c>
      <c r="AD95" s="31"/>
      <c r="AE95" s="31"/>
      <c r="AF95" s="3">
        <v>0</v>
      </c>
      <c r="AG95" s="3">
        <v>0</v>
      </c>
      <c r="AH95" s="3">
        <v>1</v>
      </c>
      <c r="AI95" s="3">
        <v>0</v>
      </c>
      <c r="AJ95" s="3">
        <v>10455</v>
      </c>
      <c r="AK95" s="3">
        <v>10455</v>
      </c>
    </row>
    <row r="96" spans="1:39" x14ac:dyDescent="0.25">
      <c r="A96" s="144"/>
      <c r="B96" s="35" t="s">
        <v>123</v>
      </c>
      <c r="C96" s="34"/>
      <c r="D96" s="10">
        <v>1314</v>
      </c>
      <c r="E96" s="10">
        <v>30135</v>
      </c>
      <c r="F96" s="11">
        <v>33135</v>
      </c>
      <c r="G96" s="11">
        <v>0</v>
      </c>
      <c r="H96" s="31"/>
      <c r="I96" s="10">
        <v>0</v>
      </c>
      <c r="J96" s="52">
        <v>7</v>
      </c>
      <c r="K96" s="18">
        <v>81038</v>
      </c>
      <c r="L96" s="10">
        <v>1</v>
      </c>
      <c r="M96" s="10">
        <v>1</v>
      </c>
      <c r="N96" s="10" t="s">
        <v>99</v>
      </c>
      <c r="O96" s="10"/>
      <c r="P96" s="120">
        <v>22009</v>
      </c>
      <c r="Q96" s="10">
        <v>0</v>
      </c>
      <c r="R96" s="10">
        <v>1</v>
      </c>
      <c r="S96" s="10">
        <v>1</v>
      </c>
      <c r="T96" s="11">
        <v>1</v>
      </c>
      <c r="U96" s="10">
        <v>10</v>
      </c>
      <c r="V96" s="10">
        <v>0</v>
      </c>
      <c r="W96" s="58">
        <v>6026</v>
      </c>
      <c r="X96" s="10">
        <v>0</v>
      </c>
      <c r="Y96" s="25">
        <v>3503</v>
      </c>
      <c r="Z96" s="11">
        <v>3503</v>
      </c>
      <c r="AA96" s="10">
        <v>12</v>
      </c>
      <c r="AB96" s="10">
        <v>0</v>
      </c>
      <c r="AC96" s="11">
        <v>0</v>
      </c>
      <c r="AD96" s="31"/>
      <c r="AE96" s="31"/>
      <c r="AF96" s="3">
        <v>0</v>
      </c>
      <c r="AG96" s="3">
        <v>0</v>
      </c>
      <c r="AH96" s="3">
        <v>1</v>
      </c>
      <c r="AI96" s="3">
        <v>0</v>
      </c>
      <c r="AJ96" s="3">
        <v>0</v>
      </c>
      <c r="AK96" s="3">
        <v>0</v>
      </c>
      <c r="AM96" s="92">
        <v>10456</v>
      </c>
    </row>
    <row r="97" spans="1:39" x14ac:dyDescent="0.25">
      <c r="A97" s="144"/>
      <c r="B97" s="35" t="s">
        <v>124</v>
      </c>
      <c r="C97" s="34"/>
      <c r="D97" s="10">
        <v>1315</v>
      </c>
      <c r="E97" s="10">
        <v>30136</v>
      </c>
      <c r="F97" s="11">
        <v>33136</v>
      </c>
      <c r="G97" s="11">
        <v>0</v>
      </c>
      <c r="H97" s="31"/>
      <c r="I97" s="10">
        <v>0</v>
      </c>
      <c r="J97" s="52">
        <v>7</v>
      </c>
      <c r="K97" s="18">
        <v>81039</v>
      </c>
      <c r="L97" s="10">
        <v>1</v>
      </c>
      <c r="M97" s="10">
        <v>1</v>
      </c>
      <c r="N97" s="10" t="s">
        <v>99</v>
      </c>
      <c r="O97" s="10"/>
      <c r="P97" s="11">
        <v>22003</v>
      </c>
      <c r="Q97" s="10">
        <v>0</v>
      </c>
      <c r="R97" s="10">
        <v>1</v>
      </c>
      <c r="S97" s="10">
        <v>1</v>
      </c>
      <c r="T97" s="11">
        <v>0</v>
      </c>
      <c r="U97" s="10">
        <v>10</v>
      </c>
      <c r="V97" s="10">
        <v>1</v>
      </c>
      <c r="W97" s="58">
        <v>6027</v>
      </c>
      <c r="X97" s="10">
        <v>0</v>
      </c>
      <c r="Y97" s="25">
        <v>3503</v>
      </c>
      <c r="Z97" s="11">
        <v>3503</v>
      </c>
      <c r="AA97" s="10">
        <v>12</v>
      </c>
      <c r="AB97" s="10">
        <v>0</v>
      </c>
      <c r="AC97" s="11">
        <v>0</v>
      </c>
      <c r="AD97" s="31"/>
      <c r="AE97" s="31"/>
      <c r="AF97" s="3">
        <v>0</v>
      </c>
      <c r="AG97" s="3">
        <v>0</v>
      </c>
      <c r="AH97" s="3">
        <v>1</v>
      </c>
      <c r="AI97" s="3">
        <v>0</v>
      </c>
      <c r="AJ97" s="3">
        <v>10456</v>
      </c>
      <c r="AK97" s="3">
        <v>10456</v>
      </c>
    </row>
    <row r="98" spans="1:39" x14ac:dyDescent="0.25">
      <c r="A98" s="46"/>
      <c r="B98" s="48" t="s">
        <v>125</v>
      </c>
      <c r="C98" s="34"/>
      <c r="D98" s="10">
        <v>1316</v>
      </c>
      <c r="E98" s="10">
        <v>30137</v>
      </c>
      <c r="F98" s="11">
        <v>33137</v>
      </c>
      <c r="G98" s="11">
        <v>0</v>
      </c>
      <c r="H98" s="31"/>
      <c r="I98" s="10">
        <v>0</v>
      </c>
      <c r="J98" s="52">
        <v>7</v>
      </c>
      <c r="K98" s="18">
        <v>81040</v>
      </c>
      <c r="L98" s="10">
        <v>2</v>
      </c>
      <c r="M98" s="10">
        <v>2</v>
      </c>
      <c r="N98" s="10" t="s">
        <v>99</v>
      </c>
      <c r="O98" s="10"/>
      <c r="P98" s="11">
        <v>22003</v>
      </c>
      <c r="Q98" s="10">
        <v>0</v>
      </c>
      <c r="R98" s="10">
        <v>1</v>
      </c>
      <c r="S98" s="10">
        <v>1</v>
      </c>
      <c r="T98" s="11">
        <v>0</v>
      </c>
      <c r="U98" s="10">
        <v>10</v>
      </c>
      <c r="V98" s="10">
        <v>1</v>
      </c>
      <c r="W98" s="58">
        <v>6028</v>
      </c>
      <c r="X98" s="10">
        <v>0</v>
      </c>
      <c r="Y98" s="25">
        <v>3503</v>
      </c>
      <c r="Z98" s="11">
        <v>3503</v>
      </c>
      <c r="AA98" s="10">
        <v>12</v>
      </c>
      <c r="AB98" s="10">
        <v>0</v>
      </c>
      <c r="AC98" s="11">
        <v>0</v>
      </c>
      <c r="AD98" s="31"/>
      <c r="AE98" s="31"/>
      <c r="AF98" s="3">
        <v>0</v>
      </c>
      <c r="AG98" s="3">
        <v>0</v>
      </c>
      <c r="AH98" s="3">
        <v>1</v>
      </c>
      <c r="AI98" s="3">
        <v>0</v>
      </c>
      <c r="AJ98" s="3">
        <v>90044</v>
      </c>
      <c r="AK98" s="3">
        <v>90044</v>
      </c>
    </row>
    <row r="99" spans="1:39" x14ac:dyDescent="0.25">
      <c r="A99" s="143" t="s">
        <v>136</v>
      </c>
      <c r="B99" s="35" t="s">
        <v>130</v>
      </c>
      <c r="C99" s="34"/>
      <c r="D99" s="10">
        <v>1401</v>
      </c>
      <c r="E99" s="10">
        <v>30138</v>
      </c>
      <c r="F99" s="11">
        <v>33138</v>
      </c>
      <c r="G99" s="11">
        <v>0</v>
      </c>
      <c r="H99" s="31"/>
      <c r="I99" s="10">
        <v>0</v>
      </c>
      <c r="J99" s="52">
        <v>7</v>
      </c>
      <c r="K99" s="18">
        <v>81041</v>
      </c>
      <c r="L99" s="10">
        <v>1</v>
      </c>
      <c r="M99" s="10">
        <v>1</v>
      </c>
      <c r="N99" s="10" t="s">
        <v>99</v>
      </c>
      <c r="O99" s="10"/>
      <c r="P99" s="11">
        <v>22003</v>
      </c>
      <c r="Q99" s="10">
        <v>0</v>
      </c>
      <c r="R99" s="10">
        <v>1</v>
      </c>
      <c r="S99" s="10">
        <v>1</v>
      </c>
      <c r="T99" s="11">
        <v>0</v>
      </c>
      <c r="U99" s="10">
        <v>10</v>
      </c>
      <c r="V99" s="10">
        <v>1</v>
      </c>
      <c r="W99" s="58">
        <v>6029</v>
      </c>
      <c r="X99" s="10">
        <v>0</v>
      </c>
      <c r="Y99" s="25">
        <v>3503</v>
      </c>
      <c r="Z99" s="11">
        <v>3503</v>
      </c>
      <c r="AA99" s="10">
        <v>12</v>
      </c>
      <c r="AB99" s="10">
        <v>0</v>
      </c>
      <c r="AC99" s="11">
        <v>0</v>
      </c>
      <c r="AD99" s="31"/>
      <c r="AE99" s="31"/>
      <c r="AF99" s="3">
        <v>0</v>
      </c>
      <c r="AG99" s="3">
        <v>0</v>
      </c>
      <c r="AH99" s="3">
        <v>1</v>
      </c>
      <c r="AI99" s="3">
        <v>0</v>
      </c>
      <c r="AJ99" s="3">
        <v>10552</v>
      </c>
      <c r="AK99" s="3">
        <v>10552</v>
      </c>
    </row>
    <row r="100" spans="1:39" x14ac:dyDescent="0.25">
      <c r="A100" s="144"/>
      <c r="B100" s="35" t="s">
        <v>131</v>
      </c>
      <c r="C100" s="34"/>
      <c r="D100" s="10">
        <v>1402</v>
      </c>
      <c r="E100" s="10">
        <v>30139</v>
      </c>
      <c r="F100" s="11">
        <v>33139</v>
      </c>
      <c r="G100" s="11">
        <v>0</v>
      </c>
      <c r="H100" s="31"/>
      <c r="I100" s="10">
        <v>0</v>
      </c>
      <c r="J100" s="52">
        <v>7</v>
      </c>
      <c r="K100" s="18">
        <v>81042</v>
      </c>
      <c r="L100" s="10">
        <v>1</v>
      </c>
      <c r="M100" s="10">
        <v>1</v>
      </c>
      <c r="N100" s="10" t="s">
        <v>99</v>
      </c>
      <c r="O100" s="10"/>
      <c r="P100" s="11">
        <v>22003</v>
      </c>
      <c r="Q100" s="10">
        <v>0</v>
      </c>
      <c r="R100" s="10">
        <v>1</v>
      </c>
      <c r="S100" s="10">
        <v>1</v>
      </c>
      <c r="T100" s="11">
        <v>0</v>
      </c>
      <c r="U100" s="10">
        <v>10</v>
      </c>
      <c r="V100" s="10">
        <v>1</v>
      </c>
      <c r="W100" s="58">
        <v>6030</v>
      </c>
      <c r="X100" s="10">
        <v>0</v>
      </c>
      <c r="Y100" s="25">
        <v>3503</v>
      </c>
      <c r="Z100" s="11">
        <v>3503</v>
      </c>
      <c r="AA100" s="10">
        <v>12</v>
      </c>
      <c r="AB100" s="10">
        <v>0</v>
      </c>
      <c r="AC100" s="11">
        <v>0</v>
      </c>
      <c r="AD100" s="31"/>
      <c r="AE100" s="31"/>
      <c r="AF100" s="3">
        <v>0</v>
      </c>
      <c r="AG100" s="3">
        <v>0</v>
      </c>
      <c r="AH100" s="3">
        <v>1</v>
      </c>
      <c r="AI100" s="3">
        <v>0</v>
      </c>
      <c r="AJ100" s="3">
        <v>10552</v>
      </c>
      <c r="AK100" s="3">
        <v>10552</v>
      </c>
    </row>
    <row r="101" spans="1:39" x14ac:dyDescent="0.25">
      <c r="A101" s="144"/>
      <c r="B101" s="35" t="s">
        <v>132</v>
      </c>
      <c r="C101" s="34"/>
      <c r="D101" s="10">
        <v>1403</v>
      </c>
      <c r="E101" s="10">
        <v>30140</v>
      </c>
      <c r="F101" s="11">
        <v>33140</v>
      </c>
      <c r="G101" s="11">
        <v>0</v>
      </c>
      <c r="H101" s="31"/>
      <c r="I101" s="10">
        <v>0</v>
      </c>
      <c r="J101" s="52">
        <v>7</v>
      </c>
      <c r="K101" s="18">
        <v>81043</v>
      </c>
      <c r="L101" s="10">
        <v>1</v>
      </c>
      <c r="M101" s="10">
        <v>1</v>
      </c>
      <c r="N101" s="10" t="s">
        <v>99</v>
      </c>
      <c r="O101" s="10"/>
      <c r="P101" s="120">
        <v>22009</v>
      </c>
      <c r="Q101" s="10">
        <v>0</v>
      </c>
      <c r="R101" s="10">
        <v>1</v>
      </c>
      <c r="S101" s="10">
        <v>1</v>
      </c>
      <c r="T101" s="11">
        <v>1</v>
      </c>
      <c r="U101" s="10">
        <v>10</v>
      </c>
      <c r="V101" s="10">
        <v>0</v>
      </c>
      <c r="W101" s="58">
        <v>6031</v>
      </c>
      <c r="X101" s="10">
        <v>0</v>
      </c>
      <c r="Y101" s="25">
        <v>3503</v>
      </c>
      <c r="Z101" s="11">
        <v>3503</v>
      </c>
      <c r="AA101" s="10">
        <v>12</v>
      </c>
      <c r="AB101" s="10">
        <v>0</v>
      </c>
      <c r="AC101" s="11">
        <v>0</v>
      </c>
      <c r="AD101" s="31"/>
      <c r="AE101" s="31"/>
      <c r="AF101" s="3">
        <v>0</v>
      </c>
      <c r="AG101" s="3">
        <v>0</v>
      </c>
      <c r="AH101" s="3">
        <v>0</v>
      </c>
      <c r="AI101" s="3">
        <v>0</v>
      </c>
      <c r="AJ101" s="3">
        <v>0</v>
      </c>
      <c r="AK101" s="3">
        <v>0</v>
      </c>
      <c r="AM101" s="91">
        <v>10554</v>
      </c>
    </row>
    <row r="102" spans="1:39" x14ac:dyDescent="0.25">
      <c r="A102" s="144"/>
      <c r="B102" s="35" t="s">
        <v>133</v>
      </c>
      <c r="C102" s="34"/>
      <c r="D102" s="10">
        <v>1404</v>
      </c>
      <c r="E102" s="10">
        <v>30141</v>
      </c>
      <c r="F102" s="11">
        <v>33141</v>
      </c>
      <c r="G102" s="11">
        <v>0</v>
      </c>
      <c r="H102" s="31"/>
      <c r="I102" s="10">
        <v>0</v>
      </c>
      <c r="J102" s="52">
        <v>7</v>
      </c>
      <c r="K102" s="18">
        <v>81044</v>
      </c>
      <c r="L102" s="10">
        <v>1</v>
      </c>
      <c r="M102" s="10">
        <v>1</v>
      </c>
      <c r="N102" s="10" t="s">
        <v>99</v>
      </c>
      <c r="O102" s="10"/>
      <c r="P102" s="120">
        <v>22009</v>
      </c>
      <c r="Q102" s="10">
        <v>0</v>
      </c>
      <c r="R102" s="10">
        <v>1</v>
      </c>
      <c r="S102" s="10">
        <v>1</v>
      </c>
      <c r="T102" s="11">
        <v>1</v>
      </c>
      <c r="U102" s="10">
        <v>10</v>
      </c>
      <c r="V102" s="10">
        <v>0</v>
      </c>
      <c r="W102" s="58">
        <v>6032</v>
      </c>
      <c r="X102" s="10">
        <v>0</v>
      </c>
      <c r="Y102" s="25">
        <v>3503</v>
      </c>
      <c r="Z102" s="11">
        <v>3503</v>
      </c>
      <c r="AA102" s="10">
        <v>12</v>
      </c>
      <c r="AB102" s="10">
        <v>0</v>
      </c>
      <c r="AC102" s="11">
        <v>0</v>
      </c>
      <c r="AD102" s="31"/>
      <c r="AE102" s="31"/>
      <c r="AF102" s="3">
        <v>0</v>
      </c>
      <c r="AG102" s="3">
        <v>0</v>
      </c>
      <c r="AH102" s="3">
        <v>0</v>
      </c>
      <c r="AI102" s="3">
        <v>0</v>
      </c>
      <c r="AJ102" s="3">
        <v>0</v>
      </c>
      <c r="AK102" s="3">
        <v>0</v>
      </c>
      <c r="AM102" s="92">
        <v>10555</v>
      </c>
    </row>
    <row r="103" spans="1:39" x14ac:dyDescent="0.25">
      <c r="A103" s="144"/>
      <c r="B103" s="35" t="s">
        <v>134</v>
      </c>
      <c r="C103" s="34"/>
      <c r="D103" s="10">
        <v>1405</v>
      </c>
      <c r="E103" s="10">
        <v>30142</v>
      </c>
      <c r="F103" s="11">
        <v>33142</v>
      </c>
      <c r="G103" s="11">
        <v>0</v>
      </c>
      <c r="H103" s="31"/>
      <c r="I103" s="10">
        <v>0</v>
      </c>
      <c r="J103" s="52">
        <v>7</v>
      </c>
      <c r="K103" s="18">
        <v>81045</v>
      </c>
      <c r="L103" s="10">
        <v>1</v>
      </c>
      <c r="M103" s="10">
        <v>1</v>
      </c>
      <c r="N103" s="10" t="s">
        <v>99</v>
      </c>
      <c r="O103" s="10"/>
      <c r="P103" s="120">
        <v>22009</v>
      </c>
      <c r="Q103" s="10">
        <v>0</v>
      </c>
      <c r="R103" s="10">
        <v>1</v>
      </c>
      <c r="S103" s="10">
        <v>1</v>
      </c>
      <c r="T103" s="11">
        <v>1</v>
      </c>
      <c r="U103" s="10">
        <v>10</v>
      </c>
      <c r="V103" s="10">
        <v>0</v>
      </c>
      <c r="W103" s="58">
        <v>6033</v>
      </c>
      <c r="X103" s="10">
        <v>0</v>
      </c>
      <c r="Y103" s="25">
        <v>3503</v>
      </c>
      <c r="Z103" s="11">
        <v>3503</v>
      </c>
      <c r="AA103" s="10">
        <v>12</v>
      </c>
      <c r="AB103" s="10">
        <v>0</v>
      </c>
      <c r="AC103" s="11">
        <v>0</v>
      </c>
      <c r="AD103" s="31"/>
      <c r="AE103" s="31"/>
      <c r="AF103" s="3">
        <v>0</v>
      </c>
      <c r="AG103" s="3">
        <v>0</v>
      </c>
      <c r="AH103" s="3">
        <v>0</v>
      </c>
      <c r="AI103" s="3">
        <v>0</v>
      </c>
      <c r="AJ103" s="3">
        <v>0</v>
      </c>
      <c r="AK103" s="3">
        <v>0</v>
      </c>
      <c r="AM103" s="91">
        <v>10555</v>
      </c>
    </row>
    <row r="104" spans="1:39" x14ac:dyDescent="0.25">
      <c r="A104" s="144"/>
      <c r="B104" s="35" t="s">
        <v>135</v>
      </c>
      <c r="C104" s="34"/>
      <c r="D104" s="10">
        <v>1406</v>
      </c>
      <c r="E104" s="10">
        <v>30143</v>
      </c>
      <c r="F104" s="11">
        <v>33143</v>
      </c>
      <c r="G104" s="11">
        <v>0</v>
      </c>
      <c r="H104" s="31"/>
      <c r="I104" s="10">
        <v>0</v>
      </c>
      <c r="J104" s="52">
        <v>7</v>
      </c>
      <c r="K104" s="18">
        <v>81046</v>
      </c>
      <c r="L104" s="10">
        <v>1</v>
      </c>
      <c r="M104" s="10">
        <v>1</v>
      </c>
      <c r="N104" s="10" t="s">
        <v>99</v>
      </c>
      <c r="O104" s="10"/>
      <c r="P104" s="11">
        <v>22003</v>
      </c>
      <c r="Q104" s="10">
        <v>0</v>
      </c>
      <c r="R104" s="10">
        <v>1</v>
      </c>
      <c r="S104" s="10">
        <v>1</v>
      </c>
      <c r="T104" s="11">
        <v>0</v>
      </c>
      <c r="U104" s="10">
        <v>10</v>
      </c>
      <c r="V104" s="10">
        <v>1</v>
      </c>
      <c r="W104" s="58">
        <v>6034</v>
      </c>
      <c r="X104" s="10">
        <v>0</v>
      </c>
      <c r="Y104" s="25">
        <v>3503</v>
      </c>
      <c r="Z104" s="11">
        <v>3503</v>
      </c>
      <c r="AA104" s="10">
        <v>12</v>
      </c>
      <c r="AB104" s="10">
        <v>0</v>
      </c>
      <c r="AC104" s="11">
        <v>0</v>
      </c>
      <c r="AD104" s="31"/>
      <c r="AE104" s="31"/>
      <c r="AF104" s="3">
        <v>0</v>
      </c>
      <c r="AG104" s="3">
        <v>0</v>
      </c>
      <c r="AH104" s="3">
        <v>1</v>
      </c>
      <c r="AI104" s="3">
        <v>0</v>
      </c>
      <c r="AJ104" s="3">
        <v>10556</v>
      </c>
      <c r="AK104" s="3">
        <v>10556</v>
      </c>
    </row>
    <row r="105" spans="1:39" x14ac:dyDescent="0.25">
      <c r="A105" s="144"/>
      <c r="B105" s="48" t="s">
        <v>137</v>
      </c>
      <c r="C105" s="34"/>
      <c r="D105" s="10">
        <v>1407</v>
      </c>
      <c r="E105" s="10">
        <v>30144</v>
      </c>
      <c r="F105" s="11">
        <v>33144</v>
      </c>
      <c r="G105" s="11">
        <v>0</v>
      </c>
      <c r="H105" s="31"/>
      <c r="I105" s="10">
        <v>0</v>
      </c>
      <c r="J105" s="52">
        <v>7</v>
      </c>
      <c r="K105" s="18">
        <v>81047</v>
      </c>
      <c r="L105" s="10">
        <v>2</v>
      </c>
      <c r="M105" s="10">
        <v>2</v>
      </c>
      <c r="N105" s="10" t="s">
        <v>99</v>
      </c>
      <c r="O105" s="10"/>
      <c r="P105" s="11">
        <v>22003</v>
      </c>
      <c r="Q105" s="10">
        <v>0</v>
      </c>
      <c r="R105" s="10">
        <v>1</v>
      </c>
      <c r="S105" s="10">
        <v>1</v>
      </c>
      <c r="T105" s="11">
        <v>0</v>
      </c>
      <c r="U105" s="10">
        <v>10</v>
      </c>
      <c r="V105" s="10">
        <v>1</v>
      </c>
      <c r="W105" s="58">
        <v>6035</v>
      </c>
      <c r="X105" s="10">
        <v>0</v>
      </c>
      <c r="Y105" s="25">
        <v>3503</v>
      </c>
      <c r="Z105" s="11">
        <v>3503</v>
      </c>
      <c r="AA105" s="10">
        <v>12</v>
      </c>
      <c r="AB105" s="10">
        <v>0</v>
      </c>
      <c r="AC105" s="11">
        <v>0</v>
      </c>
      <c r="AD105" s="31"/>
      <c r="AE105" s="31"/>
      <c r="AF105" s="3">
        <v>0</v>
      </c>
      <c r="AG105" s="3">
        <v>0</v>
      </c>
      <c r="AH105" s="3">
        <v>1</v>
      </c>
      <c r="AI105" s="3">
        <v>0</v>
      </c>
      <c r="AJ105" s="3">
        <v>90045</v>
      </c>
      <c r="AK105" s="3">
        <v>90045</v>
      </c>
    </row>
    <row r="106" spans="1:39" x14ac:dyDescent="0.25">
      <c r="A106" s="144"/>
      <c r="B106" s="35" t="s">
        <v>138</v>
      </c>
      <c r="C106" s="34"/>
      <c r="D106" s="10">
        <v>1408</v>
      </c>
      <c r="E106" s="10">
        <v>30145</v>
      </c>
      <c r="F106" s="11">
        <v>33145</v>
      </c>
      <c r="G106" s="11">
        <v>0</v>
      </c>
      <c r="H106" s="31"/>
      <c r="I106" s="10">
        <v>0</v>
      </c>
      <c r="J106" s="52">
        <v>7</v>
      </c>
      <c r="K106" s="18">
        <v>81048</v>
      </c>
      <c r="L106" s="10">
        <v>1</v>
      </c>
      <c r="M106" s="10">
        <v>1</v>
      </c>
      <c r="N106" s="10" t="s">
        <v>99</v>
      </c>
      <c r="O106" s="10"/>
      <c r="P106" s="11">
        <v>22003</v>
      </c>
      <c r="Q106" s="10">
        <v>0</v>
      </c>
      <c r="R106" s="10">
        <v>1</v>
      </c>
      <c r="S106" s="10">
        <v>1</v>
      </c>
      <c r="T106" s="11">
        <v>0</v>
      </c>
      <c r="U106" s="10">
        <v>10</v>
      </c>
      <c r="V106" s="10">
        <v>1</v>
      </c>
      <c r="W106" s="58">
        <v>6036</v>
      </c>
      <c r="X106" s="10">
        <v>0</v>
      </c>
      <c r="Y106" s="25">
        <v>3503</v>
      </c>
      <c r="Z106" s="11">
        <v>3503</v>
      </c>
      <c r="AA106" s="10">
        <v>12</v>
      </c>
      <c r="AB106" s="10">
        <v>0</v>
      </c>
      <c r="AC106" s="11">
        <v>0</v>
      </c>
      <c r="AD106" s="31"/>
      <c r="AE106" s="31"/>
      <c r="AF106" s="3">
        <v>0</v>
      </c>
      <c r="AG106" s="3">
        <v>0</v>
      </c>
      <c r="AH106" s="3">
        <v>1</v>
      </c>
      <c r="AI106" s="3">
        <v>0</v>
      </c>
      <c r="AJ106" s="3">
        <v>0</v>
      </c>
      <c r="AK106" s="3">
        <v>0</v>
      </c>
    </row>
    <row r="107" spans="1:39" x14ac:dyDescent="0.25">
      <c r="A107" s="145"/>
      <c r="B107" s="35" t="s">
        <v>192</v>
      </c>
      <c r="C107" s="34"/>
      <c r="D107" s="10">
        <v>1409</v>
      </c>
      <c r="E107" s="10">
        <v>30146</v>
      </c>
      <c r="F107" s="11">
        <v>33146</v>
      </c>
      <c r="G107" s="11">
        <v>0</v>
      </c>
      <c r="H107" s="31"/>
      <c r="I107" s="10">
        <v>0</v>
      </c>
      <c r="J107" s="52">
        <v>7</v>
      </c>
      <c r="K107" s="18">
        <v>81049</v>
      </c>
      <c r="L107" s="10">
        <v>1</v>
      </c>
      <c r="M107" s="10">
        <v>1</v>
      </c>
      <c r="N107" s="10" t="s">
        <v>99</v>
      </c>
      <c r="O107" s="10"/>
      <c r="P107" s="120">
        <v>22009</v>
      </c>
      <c r="Q107" s="10">
        <v>0</v>
      </c>
      <c r="R107" s="10">
        <v>1</v>
      </c>
      <c r="S107" s="10">
        <v>1</v>
      </c>
      <c r="T107" s="11">
        <v>1</v>
      </c>
      <c r="U107" s="10">
        <v>10</v>
      </c>
      <c r="V107" s="10">
        <v>0</v>
      </c>
      <c r="W107" s="58">
        <v>6036</v>
      </c>
      <c r="X107" s="10">
        <v>0</v>
      </c>
      <c r="Y107" s="25">
        <v>3503</v>
      </c>
      <c r="Z107" s="11">
        <v>3503</v>
      </c>
      <c r="AA107" s="10">
        <v>12</v>
      </c>
      <c r="AB107" s="10">
        <v>0</v>
      </c>
      <c r="AC107" s="11">
        <v>0</v>
      </c>
      <c r="AD107" s="31"/>
      <c r="AE107" s="31"/>
      <c r="AF107" s="3">
        <v>0</v>
      </c>
      <c r="AG107" s="3">
        <v>0</v>
      </c>
      <c r="AH107" s="3">
        <v>0</v>
      </c>
      <c r="AI107" s="3">
        <v>0</v>
      </c>
      <c r="AJ107" s="3">
        <v>10552</v>
      </c>
      <c r="AK107" s="3">
        <v>0</v>
      </c>
    </row>
    <row r="108" spans="1:39" x14ac:dyDescent="0.25">
      <c r="A108" s="137" t="s">
        <v>139</v>
      </c>
      <c r="B108" s="60" t="s">
        <v>140</v>
      </c>
      <c r="C108" s="60"/>
      <c r="D108" s="10">
        <v>1501</v>
      </c>
      <c r="E108" s="10">
        <v>30201</v>
      </c>
      <c r="F108" s="11">
        <v>33201</v>
      </c>
      <c r="G108" s="11">
        <v>0</v>
      </c>
      <c r="H108" s="31"/>
      <c r="I108" s="10">
        <v>0</v>
      </c>
      <c r="J108" s="52">
        <v>7</v>
      </c>
      <c r="K108" s="18">
        <v>81101</v>
      </c>
      <c r="L108" s="10">
        <v>1</v>
      </c>
      <c r="M108" s="10">
        <v>1</v>
      </c>
      <c r="N108" s="10" t="s">
        <v>99</v>
      </c>
      <c r="O108" s="10"/>
      <c r="P108" s="11">
        <v>22003</v>
      </c>
      <c r="Q108" s="10">
        <v>0</v>
      </c>
      <c r="R108" s="10">
        <v>1</v>
      </c>
      <c r="S108" s="10">
        <v>1</v>
      </c>
      <c r="T108" s="11">
        <v>0</v>
      </c>
      <c r="U108" s="10">
        <v>10</v>
      </c>
      <c r="V108" s="10">
        <v>1</v>
      </c>
      <c r="W108" s="58">
        <v>6037</v>
      </c>
      <c r="X108" s="10">
        <v>0</v>
      </c>
      <c r="Y108" s="25">
        <v>3503</v>
      </c>
      <c r="Z108" s="11">
        <v>3503</v>
      </c>
      <c r="AA108" s="10">
        <v>12</v>
      </c>
      <c r="AB108" s="10">
        <v>0</v>
      </c>
      <c r="AC108" s="11">
        <v>0</v>
      </c>
      <c r="AD108" s="31"/>
      <c r="AE108" s="31"/>
      <c r="AF108" s="3">
        <v>0</v>
      </c>
      <c r="AG108" s="3">
        <v>0</v>
      </c>
      <c r="AH108" s="3">
        <v>1</v>
      </c>
      <c r="AI108" s="3">
        <v>0</v>
      </c>
      <c r="AJ108" s="3">
        <v>0</v>
      </c>
      <c r="AK108" s="3">
        <v>0</v>
      </c>
    </row>
    <row r="109" spans="1:39" x14ac:dyDescent="0.25">
      <c r="A109" s="138"/>
      <c r="B109" s="60" t="s">
        <v>141</v>
      </c>
      <c r="C109" s="68" t="s">
        <v>119</v>
      </c>
      <c r="D109" s="10">
        <v>1502</v>
      </c>
      <c r="E109" s="10">
        <v>30202</v>
      </c>
      <c r="F109" s="11">
        <v>33202</v>
      </c>
      <c r="G109" s="11">
        <v>0</v>
      </c>
      <c r="H109" s="31" t="s">
        <v>198</v>
      </c>
      <c r="I109" s="49">
        <v>80101</v>
      </c>
      <c r="J109" s="52">
        <v>7</v>
      </c>
      <c r="K109" s="49">
        <v>80001</v>
      </c>
      <c r="L109" s="10">
        <v>2</v>
      </c>
      <c r="M109" s="10">
        <v>2</v>
      </c>
      <c r="N109" s="10" t="s">
        <v>129</v>
      </c>
      <c r="O109" s="10"/>
      <c r="P109" s="11">
        <v>22002</v>
      </c>
      <c r="Q109" s="10">
        <v>0</v>
      </c>
      <c r="R109" s="10">
        <v>1</v>
      </c>
      <c r="S109" s="10">
        <v>1</v>
      </c>
      <c r="T109" s="11">
        <v>1</v>
      </c>
      <c r="U109" s="10">
        <v>100</v>
      </c>
      <c r="V109" s="10">
        <v>0</v>
      </c>
      <c r="W109" s="58">
        <v>6038</v>
      </c>
      <c r="X109" s="10">
        <v>0</v>
      </c>
      <c r="Y109" s="25">
        <v>3503</v>
      </c>
      <c r="Z109" s="11">
        <v>3503</v>
      </c>
      <c r="AA109" s="10">
        <v>12</v>
      </c>
      <c r="AB109" s="10">
        <v>0</v>
      </c>
      <c r="AC109" s="10">
        <v>1</v>
      </c>
      <c r="AD109" s="31"/>
      <c r="AE109" s="31"/>
      <c r="AF109" s="3">
        <v>0</v>
      </c>
      <c r="AG109" s="3">
        <v>0</v>
      </c>
      <c r="AH109" s="3">
        <v>0</v>
      </c>
      <c r="AI109" s="3">
        <v>0</v>
      </c>
      <c r="AJ109" s="3">
        <v>0</v>
      </c>
      <c r="AK109" s="3">
        <v>0</v>
      </c>
    </row>
    <row r="110" spans="1:39" x14ac:dyDescent="0.25">
      <c r="A110" s="138"/>
      <c r="B110" s="60" t="s">
        <v>142</v>
      </c>
      <c r="C110" s="60"/>
      <c r="D110" s="10">
        <v>1503</v>
      </c>
      <c r="E110" s="10">
        <v>30203</v>
      </c>
      <c r="F110" s="11">
        <v>33203</v>
      </c>
      <c r="G110" s="11">
        <v>0</v>
      </c>
      <c r="H110" s="31"/>
      <c r="I110" s="10">
        <v>0</v>
      </c>
      <c r="J110" s="52">
        <v>7</v>
      </c>
      <c r="K110" s="18">
        <v>81103</v>
      </c>
      <c r="L110" s="10">
        <v>1</v>
      </c>
      <c r="M110" s="10">
        <v>1</v>
      </c>
      <c r="N110" s="10" t="s">
        <v>99</v>
      </c>
      <c r="O110" s="10"/>
      <c r="P110" s="11">
        <v>22003</v>
      </c>
      <c r="Q110" s="10">
        <v>0</v>
      </c>
      <c r="R110" s="10">
        <v>1</v>
      </c>
      <c r="S110" s="10">
        <v>1</v>
      </c>
      <c r="T110" s="11">
        <v>0</v>
      </c>
      <c r="U110" s="10">
        <v>10</v>
      </c>
      <c r="V110" s="10">
        <v>1</v>
      </c>
      <c r="W110" s="58">
        <v>6039</v>
      </c>
      <c r="X110" s="10">
        <v>0</v>
      </c>
      <c r="Y110" s="25">
        <v>3503</v>
      </c>
      <c r="Z110" s="11">
        <v>3503</v>
      </c>
      <c r="AA110" s="10">
        <v>12</v>
      </c>
      <c r="AB110" s="10">
        <v>0</v>
      </c>
      <c r="AC110" s="11">
        <v>0</v>
      </c>
      <c r="AD110" s="31"/>
      <c r="AE110" s="31"/>
      <c r="AF110" s="3">
        <v>0</v>
      </c>
      <c r="AG110" s="3">
        <v>0</v>
      </c>
      <c r="AH110" s="3">
        <v>1</v>
      </c>
      <c r="AI110" s="3">
        <v>0</v>
      </c>
      <c r="AJ110" s="3">
        <v>0</v>
      </c>
      <c r="AK110" s="3">
        <v>0</v>
      </c>
    </row>
    <row r="111" spans="1:39" x14ac:dyDescent="0.25">
      <c r="A111" s="138"/>
      <c r="B111" s="60" t="s">
        <v>156</v>
      </c>
      <c r="C111" s="60"/>
      <c r="D111" s="10">
        <v>1504</v>
      </c>
      <c r="E111" s="10">
        <v>30204</v>
      </c>
      <c r="F111" s="11">
        <v>33204</v>
      </c>
      <c r="G111" s="11">
        <v>0</v>
      </c>
      <c r="H111" s="31"/>
      <c r="I111" s="10">
        <v>0</v>
      </c>
      <c r="J111" s="52">
        <v>7</v>
      </c>
      <c r="K111" s="18">
        <v>81104</v>
      </c>
      <c r="L111" s="10">
        <v>1</v>
      </c>
      <c r="M111" s="10">
        <v>1</v>
      </c>
      <c r="N111" s="10" t="s">
        <v>99</v>
      </c>
      <c r="O111" s="10"/>
      <c r="P111" s="11">
        <v>22003</v>
      </c>
      <c r="Q111" s="10">
        <v>0</v>
      </c>
      <c r="R111" s="10">
        <v>1</v>
      </c>
      <c r="S111" s="10">
        <v>1</v>
      </c>
      <c r="T111" s="11">
        <v>0</v>
      </c>
      <c r="U111" s="10">
        <v>10</v>
      </c>
      <c r="V111" s="10">
        <v>1</v>
      </c>
      <c r="W111" s="58">
        <v>6040</v>
      </c>
      <c r="X111" s="10">
        <v>0</v>
      </c>
      <c r="Y111" s="25">
        <v>3503</v>
      </c>
      <c r="Z111" s="11">
        <v>3503</v>
      </c>
      <c r="AA111" s="10">
        <v>12</v>
      </c>
      <c r="AB111" s="10">
        <v>0</v>
      </c>
      <c r="AC111" s="11">
        <v>0</v>
      </c>
      <c r="AD111" s="31"/>
      <c r="AE111" s="31"/>
      <c r="AF111" s="3">
        <v>0</v>
      </c>
      <c r="AG111" s="3">
        <v>0</v>
      </c>
      <c r="AH111" s="3">
        <v>1</v>
      </c>
      <c r="AI111" s="3">
        <v>0</v>
      </c>
      <c r="AJ111" s="3">
        <v>10282</v>
      </c>
      <c r="AK111" s="3">
        <v>0</v>
      </c>
    </row>
    <row r="112" spans="1:39" x14ac:dyDescent="0.25">
      <c r="A112" s="138"/>
      <c r="B112" s="69" t="s">
        <v>143</v>
      </c>
      <c r="C112" s="60"/>
      <c r="D112" s="10">
        <v>1505</v>
      </c>
      <c r="E112" s="10">
        <v>30205</v>
      </c>
      <c r="F112" s="11">
        <v>33205</v>
      </c>
      <c r="G112" s="11">
        <v>0</v>
      </c>
      <c r="H112" s="31"/>
      <c r="I112" s="10">
        <v>0</v>
      </c>
      <c r="J112" s="52">
        <v>7</v>
      </c>
      <c r="K112" s="18">
        <v>81105</v>
      </c>
      <c r="L112" s="10">
        <v>1</v>
      </c>
      <c r="M112" s="10">
        <v>1</v>
      </c>
      <c r="N112" s="10" t="s">
        <v>99</v>
      </c>
      <c r="O112" s="10"/>
      <c r="P112" s="11">
        <v>22003</v>
      </c>
      <c r="Q112" s="10">
        <v>0</v>
      </c>
      <c r="R112" s="10">
        <v>1</v>
      </c>
      <c r="S112" s="10">
        <v>1</v>
      </c>
      <c r="T112" s="11">
        <v>0</v>
      </c>
      <c r="U112" s="10">
        <v>10</v>
      </c>
      <c r="V112" s="10">
        <v>1</v>
      </c>
      <c r="W112" s="58">
        <v>6041</v>
      </c>
      <c r="X112" s="10">
        <v>0</v>
      </c>
      <c r="Y112" s="25">
        <v>3503</v>
      </c>
      <c r="Z112" s="11">
        <v>3503</v>
      </c>
      <c r="AA112" s="10">
        <v>12</v>
      </c>
      <c r="AB112" s="10">
        <v>0</v>
      </c>
      <c r="AC112" s="11">
        <v>0</v>
      </c>
      <c r="AD112" s="31"/>
      <c r="AE112" s="31"/>
      <c r="AF112" s="3">
        <v>0</v>
      </c>
      <c r="AG112" s="3">
        <v>0</v>
      </c>
      <c r="AH112" s="3">
        <v>1</v>
      </c>
      <c r="AI112" s="3">
        <v>0</v>
      </c>
      <c r="AJ112" s="3">
        <v>10284</v>
      </c>
      <c r="AK112" s="3">
        <v>0</v>
      </c>
    </row>
    <row r="113" spans="1:37" x14ac:dyDescent="0.25">
      <c r="A113" s="138"/>
      <c r="B113" s="60" t="s">
        <v>144</v>
      </c>
      <c r="C113" s="60"/>
      <c r="D113" s="10">
        <v>1506</v>
      </c>
      <c r="E113" s="10">
        <v>30206</v>
      </c>
      <c r="F113" s="11">
        <v>33206</v>
      </c>
      <c r="G113" s="11">
        <v>0</v>
      </c>
      <c r="H113" s="31"/>
      <c r="I113" s="10">
        <v>0</v>
      </c>
      <c r="J113" s="52">
        <v>7</v>
      </c>
      <c r="K113" s="18">
        <v>81106</v>
      </c>
      <c r="L113" s="10">
        <v>2</v>
      </c>
      <c r="M113" s="10">
        <v>2</v>
      </c>
      <c r="N113" s="10" t="s">
        <v>99</v>
      </c>
      <c r="O113" s="10"/>
      <c r="P113" s="11">
        <v>22003</v>
      </c>
      <c r="Q113" s="10">
        <v>0</v>
      </c>
      <c r="R113" s="10">
        <v>1</v>
      </c>
      <c r="S113" s="10">
        <v>1</v>
      </c>
      <c r="T113" s="11">
        <v>0</v>
      </c>
      <c r="U113" s="10">
        <v>10</v>
      </c>
      <c r="V113" s="10">
        <v>1</v>
      </c>
      <c r="W113" s="58">
        <v>6042</v>
      </c>
      <c r="X113" s="10">
        <v>0</v>
      </c>
      <c r="Y113" s="25">
        <v>3503</v>
      </c>
      <c r="Z113" s="11">
        <v>3503</v>
      </c>
      <c r="AA113" s="10">
        <v>12</v>
      </c>
      <c r="AB113" s="10">
        <v>0</v>
      </c>
      <c r="AC113" s="11">
        <v>0</v>
      </c>
      <c r="AD113" s="31"/>
      <c r="AE113" s="31"/>
      <c r="AF113" s="3">
        <v>0</v>
      </c>
      <c r="AG113" s="3">
        <v>0</v>
      </c>
      <c r="AH113" s="3">
        <v>1</v>
      </c>
      <c r="AI113" s="3">
        <v>0</v>
      </c>
      <c r="AJ113" s="3">
        <v>10284</v>
      </c>
      <c r="AK113" s="3">
        <v>0</v>
      </c>
    </row>
    <row r="114" spans="1:37" x14ac:dyDescent="0.25">
      <c r="A114" s="138"/>
      <c r="B114" s="60" t="s">
        <v>145</v>
      </c>
      <c r="C114" s="60"/>
      <c r="D114" s="10">
        <v>1507</v>
      </c>
      <c r="E114" s="10">
        <v>30207</v>
      </c>
      <c r="F114" s="11">
        <v>33207</v>
      </c>
      <c r="G114" s="11">
        <v>0</v>
      </c>
      <c r="H114" s="31"/>
      <c r="I114" s="10">
        <v>0</v>
      </c>
      <c r="J114" s="52">
        <v>7</v>
      </c>
      <c r="K114" s="18">
        <v>81107</v>
      </c>
      <c r="L114" s="10">
        <v>1</v>
      </c>
      <c r="M114" s="10">
        <v>1</v>
      </c>
      <c r="N114" s="10" t="s">
        <v>99</v>
      </c>
      <c r="O114" s="10"/>
      <c r="P114" s="11">
        <v>22003</v>
      </c>
      <c r="Q114" s="10">
        <v>0</v>
      </c>
      <c r="R114" s="10">
        <v>1</v>
      </c>
      <c r="S114" s="10">
        <v>1</v>
      </c>
      <c r="T114" s="11">
        <v>0</v>
      </c>
      <c r="U114" s="10">
        <v>10</v>
      </c>
      <c r="V114" s="10">
        <v>1</v>
      </c>
      <c r="W114" s="58">
        <v>6043</v>
      </c>
      <c r="X114" s="10">
        <v>0</v>
      </c>
      <c r="Y114" s="25">
        <v>3503</v>
      </c>
      <c r="Z114" s="11">
        <v>3503</v>
      </c>
      <c r="AA114" s="10">
        <v>12</v>
      </c>
      <c r="AB114" s="10">
        <v>0</v>
      </c>
      <c r="AC114" s="11">
        <v>0</v>
      </c>
      <c r="AD114" s="31"/>
      <c r="AE114" s="31"/>
      <c r="AF114" s="3">
        <v>0</v>
      </c>
      <c r="AG114" s="3">
        <v>0</v>
      </c>
      <c r="AH114" s="3">
        <v>1</v>
      </c>
      <c r="AI114" s="3">
        <v>0</v>
      </c>
      <c r="AJ114" s="3">
        <v>10381</v>
      </c>
      <c r="AK114" s="3">
        <v>0</v>
      </c>
    </row>
    <row r="115" spans="1:37" x14ac:dyDescent="0.25">
      <c r="A115" s="138"/>
      <c r="B115" s="60" t="s">
        <v>146</v>
      </c>
      <c r="C115" s="60"/>
      <c r="D115" s="10">
        <v>1508</v>
      </c>
      <c r="E115" s="10">
        <v>30208</v>
      </c>
      <c r="F115" s="11">
        <v>33208</v>
      </c>
      <c r="G115" s="11">
        <v>0</v>
      </c>
      <c r="H115" s="31"/>
      <c r="I115" s="10">
        <v>0</v>
      </c>
      <c r="J115" s="52">
        <v>7</v>
      </c>
      <c r="K115" s="18">
        <v>81108</v>
      </c>
      <c r="L115" s="10">
        <v>1</v>
      </c>
      <c r="M115" s="10">
        <v>1</v>
      </c>
      <c r="N115" s="10" t="s">
        <v>99</v>
      </c>
      <c r="O115" s="10"/>
      <c r="P115" s="11">
        <v>22003</v>
      </c>
      <c r="Q115" s="10">
        <v>0</v>
      </c>
      <c r="R115" s="10">
        <v>1</v>
      </c>
      <c r="S115" s="10">
        <v>1</v>
      </c>
      <c r="T115" s="11">
        <v>0</v>
      </c>
      <c r="U115" s="10">
        <v>10</v>
      </c>
      <c r="V115" s="10">
        <v>1</v>
      </c>
      <c r="W115" s="58">
        <v>6044</v>
      </c>
      <c r="X115" s="10">
        <v>0</v>
      </c>
      <c r="Y115" s="25">
        <v>3503</v>
      </c>
      <c r="Z115" s="11">
        <v>3503</v>
      </c>
      <c r="AA115" s="10">
        <v>12</v>
      </c>
      <c r="AB115" s="10">
        <v>0</v>
      </c>
      <c r="AC115" s="11">
        <v>0</v>
      </c>
      <c r="AD115" s="31"/>
      <c r="AE115" s="31"/>
      <c r="AF115" s="3">
        <v>0</v>
      </c>
      <c r="AG115" s="3">
        <v>0</v>
      </c>
      <c r="AH115" s="3">
        <v>1</v>
      </c>
      <c r="AI115" s="3">
        <v>0</v>
      </c>
      <c r="AJ115" s="3">
        <v>10382</v>
      </c>
      <c r="AK115" s="3">
        <v>0</v>
      </c>
    </row>
    <row r="116" spans="1:37" x14ac:dyDescent="0.25">
      <c r="A116" s="138"/>
      <c r="B116" s="60" t="s">
        <v>147</v>
      </c>
      <c r="C116" s="60"/>
      <c r="D116" s="10">
        <v>1509</v>
      </c>
      <c r="E116" s="10">
        <v>30209</v>
      </c>
      <c r="F116" s="11">
        <v>33209</v>
      </c>
      <c r="G116" s="11">
        <v>0</v>
      </c>
      <c r="H116" s="31"/>
      <c r="I116" s="10">
        <v>0</v>
      </c>
      <c r="J116" s="52">
        <v>7</v>
      </c>
      <c r="K116" s="18">
        <v>81109</v>
      </c>
      <c r="L116" s="10">
        <v>2</v>
      </c>
      <c r="M116" s="10">
        <v>2</v>
      </c>
      <c r="N116" s="10" t="s">
        <v>99</v>
      </c>
      <c r="O116" s="10"/>
      <c r="P116" s="11">
        <v>22003</v>
      </c>
      <c r="Q116" s="10">
        <v>0</v>
      </c>
      <c r="R116" s="10">
        <v>1</v>
      </c>
      <c r="S116" s="10">
        <v>1</v>
      </c>
      <c r="T116" s="11">
        <v>0</v>
      </c>
      <c r="U116" s="10">
        <v>10</v>
      </c>
      <c r="V116" s="10">
        <v>1</v>
      </c>
      <c r="W116" s="58">
        <v>6045</v>
      </c>
      <c r="X116" s="10">
        <v>0</v>
      </c>
      <c r="Y116" s="25">
        <v>3503</v>
      </c>
      <c r="Z116" s="11">
        <v>3503</v>
      </c>
      <c r="AA116" s="10">
        <v>12</v>
      </c>
      <c r="AB116" s="10">
        <v>0</v>
      </c>
      <c r="AC116" s="11">
        <v>0</v>
      </c>
      <c r="AD116" s="31"/>
      <c r="AE116" s="31"/>
      <c r="AF116" s="3">
        <v>0</v>
      </c>
      <c r="AG116" s="3">
        <v>0</v>
      </c>
      <c r="AH116" s="3">
        <v>1</v>
      </c>
      <c r="AI116" s="3">
        <v>0</v>
      </c>
      <c r="AJ116" s="3">
        <v>10383</v>
      </c>
      <c r="AK116" s="3">
        <v>0</v>
      </c>
    </row>
    <row r="117" spans="1:37" x14ac:dyDescent="0.25">
      <c r="A117" s="138"/>
      <c r="B117" s="60" t="s">
        <v>148</v>
      </c>
      <c r="C117" s="60"/>
      <c r="D117" s="10">
        <v>1510</v>
      </c>
      <c r="E117" s="10">
        <v>30210</v>
      </c>
      <c r="F117" s="11">
        <v>33210</v>
      </c>
      <c r="G117" s="11">
        <v>0</v>
      </c>
      <c r="H117" s="31"/>
      <c r="I117" s="10">
        <v>0</v>
      </c>
      <c r="J117" s="52">
        <v>7</v>
      </c>
      <c r="K117" s="18">
        <v>81110</v>
      </c>
      <c r="L117" s="10">
        <v>1</v>
      </c>
      <c r="M117" s="10">
        <v>1</v>
      </c>
      <c r="N117" s="10" t="s">
        <v>99</v>
      </c>
      <c r="O117" s="10"/>
      <c r="P117" s="11">
        <v>22003</v>
      </c>
      <c r="Q117" s="10">
        <v>0</v>
      </c>
      <c r="R117" s="10">
        <v>1</v>
      </c>
      <c r="S117" s="10">
        <v>1</v>
      </c>
      <c r="T117" s="11">
        <v>0</v>
      </c>
      <c r="U117" s="10">
        <v>10</v>
      </c>
      <c r="V117" s="10">
        <v>1</v>
      </c>
      <c r="W117" s="58">
        <v>6046</v>
      </c>
      <c r="X117" s="10">
        <v>0</v>
      </c>
      <c r="Y117" s="25">
        <v>3503</v>
      </c>
      <c r="Z117" s="11">
        <v>3503</v>
      </c>
      <c r="AA117" s="10">
        <v>12</v>
      </c>
      <c r="AB117" s="10">
        <v>0</v>
      </c>
      <c r="AC117" s="11">
        <v>0</v>
      </c>
      <c r="AD117" s="31"/>
      <c r="AE117" s="31"/>
      <c r="AF117" s="3">
        <v>0</v>
      </c>
      <c r="AG117" s="3">
        <v>0</v>
      </c>
      <c r="AH117" s="3">
        <v>1</v>
      </c>
      <c r="AI117" s="3">
        <v>0</v>
      </c>
      <c r="AJ117" s="3">
        <v>10481</v>
      </c>
      <c r="AK117" s="3">
        <v>0</v>
      </c>
    </row>
    <row r="118" spans="1:37" x14ac:dyDescent="0.25">
      <c r="A118" s="138"/>
      <c r="B118" s="60" t="s">
        <v>149</v>
      </c>
      <c r="C118" s="60"/>
      <c r="D118" s="10">
        <v>1511</v>
      </c>
      <c r="E118" s="10">
        <v>30211</v>
      </c>
      <c r="F118" s="11">
        <v>33211</v>
      </c>
      <c r="G118" s="11">
        <v>0</v>
      </c>
      <c r="H118" s="31"/>
      <c r="I118" s="10">
        <v>0</v>
      </c>
      <c r="J118" s="52">
        <v>7</v>
      </c>
      <c r="K118" s="18">
        <v>81111</v>
      </c>
      <c r="L118" s="10">
        <v>1</v>
      </c>
      <c r="M118" s="10">
        <v>1</v>
      </c>
      <c r="N118" s="10" t="s">
        <v>99</v>
      </c>
      <c r="O118" s="10"/>
      <c r="P118" s="11">
        <v>22003</v>
      </c>
      <c r="Q118" s="10">
        <v>0</v>
      </c>
      <c r="R118" s="10">
        <v>1</v>
      </c>
      <c r="S118" s="10">
        <v>1</v>
      </c>
      <c r="T118" s="11">
        <v>0</v>
      </c>
      <c r="U118" s="10">
        <v>10</v>
      </c>
      <c r="V118" s="10">
        <v>1</v>
      </c>
      <c r="W118" s="58">
        <v>6047</v>
      </c>
      <c r="X118" s="10">
        <v>0</v>
      </c>
      <c r="Y118" s="25">
        <v>3503</v>
      </c>
      <c r="Z118" s="11">
        <v>3503</v>
      </c>
      <c r="AA118" s="10">
        <v>12</v>
      </c>
      <c r="AB118" s="10">
        <v>0</v>
      </c>
      <c r="AC118" s="11">
        <v>0</v>
      </c>
      <c r="AD118" s="31"/>
      <c r="AE118" s="31"/>
      <c r="AF118" s="3">
        <v>0</v>
      </c>
      <c r="AG118" s="3">
        <v>0</v>
      </c>
      <c r="AH118" s="3">
        <v>1</v>
      </c>
      <c r="AI118" s="3">
        <v>0</v>
      </c>
      <c r="AJ118" s="3">
        <v>10482</v>
      </c>
      <c r="AK118" s="3">
        <v>0</v>
      </c>
    </row>
    <row r="119" spans="1:37" x14ac:dyDescent="0.25">
      <c r="A119" s="138"/>
      <c r="B119" s="60" t="s">
        <v>150</v>
      </c>
      <c r="C119" s="60"/>
      <c r="D119" s="10">
        <v>1512</v>
      </c>
      <c r="E119" s="10">
        <v>30212</v>
      </c>
      <c r="F119" s="11">
        <v>33212</v>
      </c>
      <c r="G119" s="11">
        <v>0</v>
      </c>
      <c r="H119" s="31"/>
      <c r="I119" s="10">
        <v>0</v>
      </c>
      <c r="J119" s="52">
        <v>7</v>
      </c>
      <c r="K119" s="18">
        <v>81112</v>
      </c>
      <c r="L119" s="10">
        <v>2</v>
      </c>
      <c r="M119" s="10">
        <v>2</v>
      </c>
      <c r="N119" s="10" t="s">
        <v>99</v>
      </c>
      <c r="O119" s="10"/>
      <c r="P119" s="11">
        <v>22003</v>
      </c>
      <c r="Q119" s="10">
        <v>0</v>
      </c>
      <c r="R119" s="10">
        <v>1</v>
      </c>
      <c r="S119" s="10">
        <v>1</v>
      </c>
      <c r="T119" s="11">
        <v>0</v>
      </c>
      <c r="U119" s="10">
        <v>10</v>
      </c>
      <c r="V119" s="10">
        <v>1</v>
      </c>
      <c r="W119" s="58">
        <v>6048</v>
      </c>
      <c r="X119" s="10">
        <v>0</v>
      </c>
      <c r="Y119" s="25">
        <v>3503</v>
      </c>
      <c r="Z119" s="11">
        <v>3503</v>
      </c>
      <c r="AA119" s="10">
        <v>12</v>
      </c>
      <c r="AB119" s="10">
        <v>0</v>
      </c>
      <c r="AC119" s="11">
        <v>0</v>
      </c>
      <c r="AD119" s="31"/>
      <c r="AE119" s="31"/>
      <c r="AF119" s="3">
        <v>0</v>
      </c>
      <c r="AG119" s="3">
        <v>0</v>
      </c>
      <c r="AH119" s="3">
        <v>1</v>
      </c>
      <c r="AI119" s="3">
        <v>0</v>
      </c>
      <c r="AJ119" s="3">
        <v>10483</v>
      </c>
      <c r="AK119" s="3">
        <v>0</v>
      </c>
    </row>
    <row r="120" spans="1:37" x14ac:dyDescent="0.25">
      <c r="A120" s="138"/>
      <c r="B120" s="60" t="s">
        <v>151</v>
      </c>
      <c r="C120" s="60"/>
      <c r="D120" s="10">
        <v>1513</v>
      </c>
      <c r="E120" s="10">
        <v>30213</v>
      </c>
      <c r="F120" s="11">
        <v>33213</v>
      </c>
      <c r="G120" s="11">
        <v>0</v>
      </c>
      <c r="H120" s="31"/>
      <c r="I120" s="10">
        <v>0</v>
      </c>
      <c r="J120" s="52">
        <v>7</v>
      </c>
      <c r="K120" s="18">
        <v>81113</v>
      </c>
      <c r="L120" s="10">
        <v>2</v>
      </c>
      <c r="M120" s="10">
        <v>2</v>
      </c>
      <c r="N120" s="10" t="s">
        <v>99</v>
      </c>
      <c r="O120" s="10"/>
      <c r="P120" s="11">
        <v>22003</v>
      </c>
      <c r="Q120" s="10">
        <v>0</v>
      </c>
      <c r="R120" s="10">
        <v>1</v>
      </c>
      <c r="S120" s="10">
        <v>1</v>
      </c>
      <c r="T120" s="11">
        <v>0</v>
      </c>
      <c r="U120" s="10">
        <v>10</v>
      </c>
      <c r="V120" s="10">
        <v>1</v>
      </c>
      <c r="W120" s="58">
        <v>6049</v>
      </c>
      <c r="X120" s="10">
        <v>0</v>
      </c>
      <c r="Y120" s="25">
        <v>3503</v>
      </c>
      <c r="Z120" s="11">
        <v>3503</v>
      </c>
      <c r="AA120" s="10">
        <v>12</v>
      </c>
      <c r="AB120" s="10">
        <v>0</v>
      </c>
      <c r="AC120" s="11">
        <v>0</v>
      </c>
      <c r="AD120" s="31"/>
      <c r="AE120" s="31"/>
      <c r="AF120" s="3">
        <v>0</v>
      </c>
      <c r="AG120" s="3">
        <v>0</v>
      </c>
      <c r="AH120" s="3">
        <v>1</v>
      </c>
      <c r="AI120" s="3">
        <v>0</v>
      </c>
      <c r="AJ120" s="3">
        <v>0</v>
      </c>
      <c r="AK120" s="3">
        <v>0</v>
      </c>
    </row>
    <row r="121" spans="1:37" x14ac:dyDescent="0.25">
      <c r="A121" s="138"/>
      <c r="B121" s="60" t="s">
        <v>152</v>
      </c>
      <c r="C121" s="60"/>
      <c r="D121" s="10">
        <v>1521</v>
      </c>
      <c r="E121" s="10">
        <v>30214</v>
      </c>
      <c r="F121" s="11">
        <v>33214</v>
      </c>
      <c r="G121" s="11">
        <v>0</v>
      </c>
      <c r="H121" s="31"/>
      <c r="I121" s="10">
        <v>0</v>
      </c>
      <c r="J121" s="52">
        <v>7</v>
      </c>
      <c r="K121" s="49">
        <v>81114</v>
      </c>
      <c r="L121" s="10">
        <v>1</v>
      </c>
      <c r="M121" s="10">
        <v>1</v>
      </c>
      <c r="N121" s="10" t="s">
        <v>99</v>
      </c>
      <c r="O121" s="10"/>
      <c r="P121" s="11">
        <v>22003</v>
      </c>
      <c r="Q121" s="10">
        <v>0</v>
      </c>
      <c r="R121" s="10">
        <v>1</v>
      </c>
      <c r="S121" s="10">
        <v>1</v>
      </c>
      <c r="T121" s="11">
        <v>0</v>
      </c>
      <c r="U121" s="10">
        <v>10</v>
      </c>
      <c r="V121" s="10">
        <v>1</v>
      </c>
      <c r="W121" s="58">
        <v>6050</v>
      </c>
      <c r="X121" s="10">
        <v>0</v>
      </c>
      <c r="Y121" s="25">
        <v>3503</v>
      </c>
      <c r="Z121" s="11">
        <v>3503</v>
      </c>
      <c r="AA121" s="10">
        <v>12</v>
      </c>
      <c r="AB121" s="10">
        <v>0</v>
      </c>
      <c r="AC121" s="11">
        <v>0</v>
      </c>
      <c r="AD121" s="31"/>
      <c r="AE121" s="31"/>
      <c r="AF121" s="3">
        <v>0</v>
      </c>
      <c r="AG121" s="3">
        <v>0</v>
      </c>
      <c r="AH121" s="3">
        <v>1</v>
      </c>
      <c r="AI121" s="3">
        <v>0</v>
      </c>
      <c r="AJ121" s="3">
        <v>10283</v>
      </c>
      <c r="AK121" s="3">
        <v>0</v>
      </c>
    </row>
    <row r="122" spans="1:37" x14ac:dyDescent="0.25">
      <c r="A122" s="138"/>
      <c r="B122" s="60" t="s">
        <v>153</v>
      </c>
      <c r="C122" s="60"/>
      <c r="D122" s="10">
        <v>1522</v>
      </c>
      <c r="E122" s="10">
        <v>30215</v>
      </c>
      <c r="F122" s="11">
        <v>33215</v>
      </c>
      <c r="G122" s="11">
        <v>0</v>
      </c>
      <c r="H122" s="31"/>
      <c r="I122" s="10">
        <v>0</v>
      </c>
      <c r="J122" s="52">
        <v>7</v>
      </c>
      <c r="K122" s="49">
        <v>81115</v>
      </c>
      <c r="L122" s="10">
        <v>1</v>
      </c>
      <c r="M122" s="10">
        <v>1</v>
      </c>
      <c r="N122" s="10" t="s">
        <v>99</v>
      </c>
      <c r="O122" s="10"/>
      <c r="P122" s="11">
        <v>22003</v>
      </c>
      <c r="Q122" s="10">
        <v>0</v>
      </c>
      <c r="R122" s="10">
        <v>1</v>
      </c>
      <c r="S122" s="10">
        <v>1</v>
      </c>
      <c r="T122" s="11">
        <v>0</v>
      </c>
      <c r="U122" s="10">
        <v>10</v>
      </c>
      <c r="V122" s="10">
        <v>1</v>
      </c>
      <c r="W122" s="58">
        <v>6051</v>
      </c>
      <c r="X122" s="10">
        <v>0</v>
      </c>
      <c r="Y122" s="25">
        <v>3503</v>
      </c>
      <c r="Z122" s="11">
        <v>3503</v>
      </c>
      <c r="AA122" s="10">
        <v>12</v>
      </c>
      <c r="AB122" s="10">
        <v>0</v>
      </c>
      <c r="AC122" s="11">
        <v>0</v>
      </c>
      <c r="AD122" s="31"/>
      <c r="AE122" s="31"/>
      <c r="AF122" s="3">
        <v>0</v>
      </c>
      <c r="AG122" s="3">
        <v>0</v>
      </c>
      <c r="AH122" s="3">
        <v>1</v>
      </c>
      <c r="AI122" s="3">
        <v>0</v>
      </c>
      <c r="AJ122" s="3">
        <v>10283</v>
      </c>
      <c r="AK122" s="3">
        <v>0</v>
      </c>
    </row>
    <row r="123" spans="1:37" x14ac:dyDescent="0.25">
      <c r="A123" s="138"/>
      <c r="B123" s="60" t="s">
        <v>154</v>
      </c>
      <c r="C123" s="60"/>
      <c r="D123" s="10">
        <v>1523</v>
      </c>
      <c r="E123" s="10">
        <v>30216</v>
      </c>
      <c r="F123" s="11">
        <v>33216</v>
      </c>
      <c r="G123" s="11">
        <v>0</v>
      </c>
      <c r="H123" s="31"/>
      <c r="I123" s="10">
        <v>0</v>
      </c>
      <c r="J123" s="52">
        <v>7</v>
      </c>
      <c r="K123" s="49">
        <v>81116</v>
      </c>
      <c r="L123" s="10">
        <v>1</v>
      </c>
      <c r="M123" s="10">
        <v>1</v>
      </c>
      <c r="N123" s="10" t="s">
        <v>99</v>
      </c>
      <c r="O123" s="10"/>
      <c r="P123" s="11">
        <v>22003</v>
      </c>
      <c r="Q123" s="10">
        <v>0</v>
      </c>
      <c r="R123" s="10">
        <v>1</v>
      </c>
      <c r="S123" s="10">
        <v>1</v>
      </c>
      <c r="T123" s="11">
        <v>0</v>
      </c>
      <c r="U123" s="10">
        <v>10</v>
      </c>
      <c r="V123" s="10">
        <v>1</v>
      </c>
      <c r="W123" s="58">
        <v>6052</v>
      </c>
      <c r="X123" s="10">
        <v>0</v>
      </c>
      <c r="Y123" s="25">
        <v>3503</v>
      </c>
      <c r="Z123" s="11">
        <v>3503</v>
      </c>
      <c r="AA123" s="10">
        <v>12</v>
      </c>
      <c r="AB123" s="10">
        <v>0</v>
      </c>
      <c r="AC123" s="11">
        <v>0</v>
      </c>
      <c r="AD123" s="31"/>
      <c r="AE123" s="31"/>
      <c r="AF123" s="3">
        <v>0</v>
      </c>
      <c r="AG123" s="3">
        <v>0</v>
      </c>
      <c r="AH123" s="3">
        <v>1</v>
      </c>
      <c r="AI123" s="3">
        <v>0</v>
      </c>
      <c r="AJ123" s="3">
        <v>10283</v>
      </c>
      <c r="AK123" s="3">
        <v>0</v>
      </c>
    </row>
    <row r="124" spans="1:37" x14ac:dyDescent="0.25">
      <c r="A124" s="139"/>
      <c r="B124" s="60" t="s">
        <v>155</v>
      </c>
      <c r="C124" s="60"/>
      <c r="D124" s="10">
        <v>1524</v>
      </c>
      <c r="E124" s="10">
        <v>30217</v>
      </c>
      <c r="F124" s="11">
        <v>33217</v>
      </c>
      <c r="G124" s="11">
        <v>0</v>
      </c>
      <c r="H124" s="31"/>
      <c r="I124" s="10">
        <v>0</v>
      </c>
      <c r="J124" s="52">
        <v>7</v>
      </c>
      <c r="K124" s="49">
        <v>81117</v>
      </c>
      <c r="L124" s="10">
        <v>1</v>
      </c>
      <c r="M124" s="10">
        <v>1</v>
      </c>
      <c r="N124" s="10" t="s">
        <v>99</v>
      </c>
      <c r="O124" s="10"/>
      <c r="P124" s="11">
        <v>22003</v>
      </c>
      <c r="Q124" s="10">
        <v>0</v>
      </c>
      <c r="R124" s="10">
        <v>1</v>
      </c>
      <c r="S124" s="10">
        <v>1</v>
      </c>
      <c r="T124" s="11">
        <v>0</v>
      </c>
      <c r="U124" s="10">
        <v>10</v>
      </c>
      <c r="V124" s="10">
        <v>1</v>
      </c>
      <c r="W124" s="58">
        <v>6053</v>
      </c>
      <c r="X124" s="10">
        <v>0</v>
      </c>
      <c r="Y124" s="25">
        <v>3503</v>
      </c>
      <c r="Z124" s="11">
        <v>3503</v>
      </c>
      <c r="AA124" s="10">
        <v>12</v>
      </c>
      <c r="AB124" s="10">
        <v>0</v>
      </c>
      <c r="AC124" s="11">
        <v>0</v>
      </c>
      <c r="AD124" s="31"/>
      <c r="AE124" s="31"/>
      <c r="AF124" s="3">
        <v>0</v>
      </c>
      <c r="AG124" s="3">
        <v>0</v>
      </c>
      <c r="AH124" s="3">
        <v>1</v>
      </c>
      <c r="AI124" s="3">
        <v>0</v>
      </c>
      <c r="AJ124" s="3">
        <v>0</v>
      </c>
      <c r="AK124" s="3">
        <v>0</v>
      </c>
    </row>
    <row r="125" spans="1:37" x14ac:dyDescent="0.25">
      <c r="A125" s="134" t="s">
        <v>159</v>
      </c>
      <c r="B125" s="51" t="s">
        <v>160</v>
      </c>
      <c r="C125" s="50"/>
      <c r="D125" s="10">
        <v>1601</v>
      </c>
      <c r="E125" s="10">
        <v>30301</v>
      </c>
      <c r="F125" s="11">
        <v>33301</v>
      </c>
      <c r="G125" s="11">
        <v>0</v>
      </c>
      <c r="H125" s="31"/>
      <c r="I125" s="10">
        <v>0</v>
      </c>
      <c r="J125" s="52">
        <v>7</v>
      </c>
      <c r="K125" s="49">
        <v>81201</v>
      </c>
      <c r="L125" s="10">
        <v>1</v>
      </c>
      <c r="M125" s="10">
        <v>1</v>
      </c>
      <c r="N125" s="10" t="s">
        <v>99</v>
      </c>
      <c r="O125" s="10"/>
      <c r="P125" s="11">
        <v>22003</v>
      </c>
      <c r="Q125" s="10">
        <v>0</v>
      </c>
      <c r="R125" s="10">
        <v>1</v>
      </c>
      <c r="S125" s="10">
        <v>1</v>
      </c>
      <c r="T125" s="11">
        <v>0</v>
      </c>
      <c r="U125" s="10">
        <v>10</v>
      </c>
      <c r="V125" s="10">
        <v>1</v>
      </c>
      <c r="W125" s="58">
        <v>6054</v>
      </c>
      <c r="X125" s="10">
        <v>0</v>
      </c>
      <c r="Y125" s="25">
        <v>3503</v>
      </c>
      <c r="Z125" s="11">
        <v>3503</v>
      </c>
      <c r="AA125" s="10">
        <v>12</v>
      </c>
      <c r="AB125" s="10">
        <v>0</v>
      </c>
      <c r="AC125" s="11">
        <v>0</v>
      </c>
      <c r="AD125" s="31"/>
      <c r="AE125" s="31"/>
      <c r="AF125" s="3">
        <v>0</v>
      </c>
      <c r="AG125" s="3">
        <v>0</v>
      </c>
      <c r="AH125" s="3">
        <v>0</v>
      </c>
      <c r="AI125" s="3">
        <v>0</v>
      </c>
      <c r="AJ125" s="3">
        <v>0</v>
      </c>
      <c r="AK125" s="3">
        <v>0</v>
      </c>
    </row>
    <row r="126" spans="1:37" x14ac:dyDescent="0.25">
      <c r="A126" s="135"/>
      <c r="B126" s="51" t="s">
        <v>161</v>
      </c>
      <c r="C126" s="50"/>
      <c r="D126" s="10">
        <v>1602</v>
      </c>
      <c r="E126" s="10">
        <v>30302</v>
      </c>
      <c r="F126" s="11">
        <v>33302</v>
      </c>
      <c r="G126" s="11">
        <v>0</v>
      </c>
      <c r="H126" s="31"/>
      <c r="I126" s="10">
        <v>0</v>
      </c>
      <c r="J126" s="52">
        <v>7</v>
      </c>
      <c r="K126" s="49">
        <v>81202</v>
      </c>
      <c r="L126" s="10">
        <v>1</v>
      </c>
      <c r="M126" s="10">
        <v>1</v>
      </c>
      <c r="N126" s="10" t="s">
        <v>99</v>
      </c>
      <c r="O126" s="10"/>
      <c r="P126" s="11">
        <v>22003</v>
      </c>
      <c r="Q126" s="10">
        <v>0</v>
      </c>
      <c r="R126" s="10">
        <v>1</v>
      </c>
      <c r="S126" s="10">
        <v>1</v>
      </c>
      <c r="T126" s="11">
        <v>0</v>
      </c>
      <c r="U126" s="10">
        <v>10</v>
      </c>
      <c r="V126" s="10">
        <v>1</v>
      </c>
      <c r="W126" s="58">
        <v>6055</v>
      </c>
      <c r="X126" s="10">
        <v>0</v>
      </c>
      <c r="Y126" s="25">
        <v>3503</v>
      </c>
      <c r="Z126" s="11">
        <v>3503</v>
      </c>
      <c r="AA126" s="10">
        <v>12</v>
      </c>
      <c r="AB126" s="10">
        <v>0</v>
      </c>
      <c r="AC126" s="11">
        <v>0</v>
      </c>
      <c r="AD126" s="31"/>
      <c r="AE126" s="31"/>
      <c r="AF126" s="3">
        <v>0</v>
      </c>
      <c r="AG126" s="3">
        <v>0</v>
      </c>
      <c r="AH126" s="3">
        <v>1</v>
      </c>
      <c r="AI126" s="3">
        <v>0</v>
      </c>
      <c r="AJ126" s="3">
        <v>0</v>
      </c>
      <c r="AK126" s="3">
        <v>0</v>
      </c>
    </row>
    <row r="127" spans="1:37" x14ac:dyDescent="0.25">
      <c r="A127" s="135"/>
      <c r="B127" s="51" t="s">
        <v>162</v>
      </c>
      <c r="C127" s="50"/>
      <c r="D127" s="10">
        <v>1603</v>
      </c>
      <c r="E127" s="10">
        <v>30303</v>
      </c>
      <c r="F127" s="11">
        <v>33303</v>
      </c>
      <c r="G127" s="11">
        <v>0</v>
      </c>
      <c r="H127" s="31"/>
      <c r="I127" s="10">
        <v>0</v>
      </c>
      <c r="J127" s="52">
        <v>7</v>
      </c>
      <c r="K127" s="49">
        <v>81203</v>
      </c>
      <c r="L127" s="10">
        <v>1</v>
      </c>
      <c r="M127" s="10">
        <v>1</v>
      </c>
      <c r="N127" s="10" t="s">
        <v>99</v>
      </c>
      <c r="O127" s="10"/>
      <c r="P127" s="11">
        <v>22003</v>
      </c>
      <c r="Q127" s="10">
        <v>0</v>
      </c>
      <c r="R127" s="10">
        <v>1</v>
      </c>
      <c r="S127" s="10">
        <v>1</v>
      </c>
      <c r="T127" s="11">
        <v>0</v>
      </c>
      <c r="U127" s="10">
        <v>10</v>
      </c>
      <c r="V127" s="10">
        <v>1</v>
      </c>
      <c r="W127" s="58">
        <v>6056</v>
      </c>
      <c r="X127" s="10">
        <v>0</v>
      </c>
      <c r="Y127" s="25">
        <v>3503</v>
      </c>
      <c r="Z127" s="11">
        <v>3503</v>
      </c>
      <c r="AA127" s="10">
        <v>12</v>
      </c>
      <c r="AB127" s="10">
        <v>0</v>
      </c>
      <c r="AC127" s="11">
        <v>0</v>
      </c>
      <c r="AD127" s="31"/>
      <c r="AE127" s="31"/>
      <c r="AF127" s="3">
        <v>0</v>
      </c>
      <c r="AG127" s="3">
        <v>0</v>
      </c>
      <c r="AH127" s="3">
        <v>1</v>
      </c>
      <c r="AI127" s="3">
        <v>0</v>
      </c>
      <c r="AJ127" s="3">
        <v>0</v>
      </c>
      <c r="AK127" s="3">
        <v>0</v>
      </c>
    </row>
    <row r="128" spans="1:37" x14ac:dyDescent="0.25">
      <c r="A128" s="135"/>
      <c r="B128" s="51" t="s">
        <v>163</v>
      </c>
      <c r="C128" s="50"/>
      <c r="D128" s="10">
        <v>1604</v>
      </c>
      <c r="E128" s="10">
        <v>30304</v>
      </c>
      <c r="F128" s="11">
        <v>33304</v>
      </c>
      <c r="G128" s="11">
        <v>0</v>
      </c>
      <c r="H128" s="31"/>
      <c r="I128" s="10">
        <v>0</v>
      </c>
      <c r="J128" s="52">
        <v>7</v>
      </c>
      <c r="K128" s="49">
        <v>81204</v>
      </c>
      <c r="L128" s="10">
        <v>1</v>
      </c>
      <c r="M128" s="10">
        <v>1</v>
      </c>
      <c r="N128" s="10" t="s">
        <v>99</v>
      </c>
      <c r="O128" s="10"/>
      <c r="P128" s="120">
        <v>22009</v>
      </c>
      <c r="Q128" s="10">
        <v>0</v>
      </c>
      <c r="R128" s="10">
        <v>1</v>
      </c>
      <c r="S128" s="10">
        <v>1</v>
      </c>
      <c r="T128" s="11">
        <v>0</v>
      </c>
      <c r="U128" s="10">
        <v>10</v>
      </c>
      <c r="V128" s="10">
        <v>1</v>
      </c>
      <c r="W128" s="58">
        <v>6057</v>
      </c>
      <c r="X128" s="10">
        <v>0</v>
      </c>
      <c r="Y128" s="25">
        <v>3503</v>
      </c>
      <c r="Z128" s="11">
        <v>3503</v>
      </c>
      <c r="AA128" s="10">
        <v>12</v>
      </c>
      <c r="AB128" s="10">
        <v>0</v>
      </c>
      <c r="AC128" s="11">
        <v>0</v>
      </c>
      <c r="AD128" s="31"/>
      <c r="AE128" s="31"/>
      <c r="AF128" s="3">
        <v>0</v>
      </c>
      <c r="AG128" s="3">
        <v>0</v>
      </c>
      <c r="AH128" s="3">
        <v>0</v>
      </c>
      <c r="AI128" s="3">
        <v>0</v>
      </c>
      <c r="AJ128" s="3">
        <v>0</v>
      </c>
      <c r="AK128" s="3">
        <v>0</v>
      </c>
    </row>
    <row r="129" spans="1:39" x14ac:dyDescent="0.25">
      <c r="A129" s="135"/>
      <c r="B129" s="51" t="s">
        <v>164</v>
      </c>
      <c r="C129" s="50"/>
      <c r="D129" s="10">
        <v>1605</v>
      </c>
      <c r="E129" s="10">
        <v>30305</v>
      </c>
      <c r="F129" s="11">
        <v>33305</v>
      </c>
      <c r="G129" s="11">
        <v>0</v>
      </c>
      <c r="H129" s="31"/>
      <c r="I129" s="10">
        <v>0</v>
      </c>
      <c r="J129" s="52">
        <v>7</v>
      </c>
      <c r="K129" s="49">
        <v>81205</v>
      </c>
      <c r="L129" s="10">
        <v>1</v>
      </c>
      <c r="M129" s="10">
        <v>1</v>
      </c>
      <c r="N129" s="10" t="s">
        <v>99</v>
      </c>
      <c r="O129" s="10"/>
      <c r="P129" s="120">
        <v>22009</v>
      </c>
      <c r="Q129" s="10">
        <v>0</v>
      </c>
      <c r="R129" s="10">
        <v>1</v>
      </c>
      <c r="S129" s="10">
        <v>1</v>
      </c>
      <c r="T129" s="11">
        <v>0</v>
      </c>
      <c r="U129" s="10">
        <v>10</v>
      </c>
      <c r="V129" s="10">
        <v>1</v>
      </c>
      <c r="W129" s="58">
        <v>6058</v>
      </c>
      <c r="X129" s="10">
        <v>0</v>
      </c>
      <c r="Y129" s="25">
        <v>3503</v>
      </c>
      <c r="Z129" s="11">
        <v>3503</v>
      </c>
      <c r="AA129" s="10">
        <v>12</v>
      </c>
      <c r="AB129" s="10">
        <v>0</v>
      </c>
      <c r="AC129" s="11">
        <v>0</v>
      </c>
      <c r="AD129" s="31"/>
      <c r="AE129" s="31"/>
      <c r="AF129" s="3">
        <v>0</v>
      </c>
      <c r="AG129" s="3">
        <v>0</v>
      </c>
      <c r="AH129" s="3">
        <v>0</v>
      </c>
      <c r="AI129" s="3">
        <v>0</v>
      </c>
      <c r="AJ129" s="3">
        <v>0</v>
      </c>
      <c r="AK129" s="3">
        <v>0</v>
      </c>
    </row>
    <row r="130" spans="1:39" x14ac:dyDescent="0.25">
      <c r="A130" s="135"/>
      <c r="B130" s="51" t="s">
        <v>165</v>
      </c>
      <c r="C130" s="50"/>
      <c r="D130" s="10">
        <v>1606</v>
      </c>
      <c r="E130" s="10">
        <v>30306</v>
      </c>
      <c r="F130" s="11">
        <v>33306</v>
      </c>
      <c r="G130" s="11">
        <v>0</v>
      </c>
      <c r="H130" s="31"/>
      <c r="I130" s="10">
        <v>0</v>
      </c>
      <c r="J130" s="52">
        <v>7</v>
      </c>
      <c r="K130" s="49">
        <v>81206</v>
      </c>
      <c r="L130" s="10">
        <v>1</v>
      </c>
      <c r="M130" s="10">
        <v>1</v>
      </c>
      <c r="N130" s="10" t="s">
        <v>99</v>
      </c>
      <c r="O130" s="10"/>
      <c r="P130" s="11">
        <v>22003</v>
      </c>
      <c r="Q130" s="10">
        <v>0</v>
      </c>
      <c r="R130" s="10">
        <v>1</v>
      </c>
      <c r="S130" s="10">
        <v>1</v>
      </c>
      <c r="T130" s="11">
        <v>0</v>
      </c>
      <c r="U130" s="10">
        <v>10</v>
      </c>
      <c r="V130" s="10">
        <v>1</v>
      </c>
      <c r="W130" s="58">
        <v>6059</v>
      </c>
      <c r="X130" s="10">
        <v>0</v>
      </c>
      <c r="Y130" s="25">
        <v>3503</v>
      </c>
      <c r="Z130" s="11">
        <v>3503</v>
      </c>
      <c r="AA130" s="10">
        <v>12</v>
      </c>
      <c r="AB130" s="10">
        <v>0</v>
      </c>
      <c r="AC130" s="11">
        <v>5</v>
      </c>
      <c r="AD130" s="31" t="s">
        <v>170</v>
      </c>
      <c r="AE130" s="31"/>
      <c r="AF130" s="3">
        <v>0</v>
      </c>
      <c r="AG130" s="3">
        <v>0</v>
      </c>
      <c r="AH130" s="3">
        <v>0</v>
      </c>
      <c r="AI130" s="3">
        <v>0</v>
      </c>
      <c r="AJ130" s="3">
        <v>0</v>
      </c>
      <c r="AK130" s="3">
        <v>0</v>
      </c>
    </row>
    <row r="131" spans="1:39" x14ac:dyDescent="0.25">
      <c r="A131" s="135"/>
      <c r="B131" s="51" t="s">
        <v>166</v>
      </c>
      <c r="C131" s="50"/>
      <c r="D131" s="10">
        <v>1607</v>
      </c>
      <c r="E131" s="10">
        <v>30307</v>
      </c>
      <c r="F131" s="11">
        <v>33307</v>
      </c>
      <c r="G131" s="11">
        <v>0</v>
      </c>
      <c r="H131" s="31"/>
      <c r="I131" s="10">
        <v>0</v>
      </c>
      <c r="J131" s="52">
        <v>7</v>
      </c>
      <c r="K131" s="49">
        <v>81207</v>
      </c>
      <c r="L131" s="10">
        <v>1</v>
      </c>
      <c r="M131" s="10">
        <v>1</v>
      </c>
      <c r="N131" s="10" t="s">
        <v>99</v>
      </c>
      <c r="O131" s="10"/>
      <c r="P131" s="120">
        <v>22009</v>
      </c>
      <c r="Q131" s="10">
        <v>0</v>
      </c>
      <c r="R131" s="10">
        <v>1</v>
      </c>
      <c r="S131" s="10">
        <v>1</v>
      </c>
      <c r="T131" s="11">
        <v>1</v>
      </c>
      <c r="U131" s="10">
        <v>10</v>
      </c>
      <c r="V131" s="10">
        <v>0</v>
      </c>
      <c r="W131" s="58">
        <v>6060</v>
      </c>
      <c r="X131" s="10">
        <v>0</v>
      </c>
      <c r="Y131" s="25">
        <v>3503</v>
      </c>
      <c r="Z131" s="11">
        <v>3503</v>
      </c>
      <c r="AA131" s="10">
        <v>12</v>
      </c>
      <c r="AB131" s="10">
        <v>0</v>
      </c>
      <c r="AC131" s="11">
        <v>0</v>
      </c>
      <c r="AD131" s="31"/>
      <c r="AE131" s="31"/>
      <c r="AF131" s="3">
        <v>0</v>
      </c>
      <c r="AG131" s="3">
        <v>0</v>
      </c>
      <c r="AH131" s="3">
        <v>0</v>
      </c>
      <c r="AI131" s="3">
        <v>0</v>
      </c>
      <c r="AJ131" s="3">
        <v>0</v>
      </c>
      <c r="AK131" s="3">
        <v>0</v>
      </c>
      <c r="AM131" s="91">
        <v>10907</v>
      </c>
    </row>
    <row r="132" spans="1:39" x14ac:dyDescent="0.25">
      <c r="A132" s="136"/>
      <c r="B132" s="51" t="s">
        <v>167</v>
      </c>
      <c r="C132" s="50" t="s">
        <v>119</v>
      </c>
      <c r="D132" s="10">
        <v>1608</v>
      </c>
      <c r="E132" s="10">
        <v>30308</v>
      </c>
      <c r="F132" s="11">
        <v>33308</v>
      </c>
      <c r="G132" s="11">
        <v>0</v>
      </c>
      <c r="H132" s="31" t="s">
        <v>199</v>
      </c>
      <c r="I132" s="49">
        <v>80104</v>
      </c>
      <c r="J132" s="52">
        <v>7</v>
      </c>
      <c r="K132" s="49">
        <v>80004</v>
      </c>
      <c r="L132" s="10">
        <v>2</v>
      </c>
      <c r="M132" s="10">
        <v>2</v>
      </c>
      <c r="N132" s="10" t="s">
        <v>129</v>
      </c>
      <c r="O132" s="10"/>
      <c r="P132" s="11">
        <v>22002</v>
      </c>
      <c r="Q132" s="10">
        <v>0</v>
      </c>
      <c r="R132" s="10">
        <v>1</v>
      </c>
      <c r="S132" s="10">
        <v>1</v>
      </c>
      <c r="T132" s="11">
        <v>1</v>
      </c>
      <c r="U132" s="10">
        <v>100</v>
      </c>
      <c r="V132" s="10">
        <v>0</v>
      </c>
      <c r="W132" s="58">
        <v>6061</v>
      </c>
      <c r="X132" s="10">
        <v>0</v>
      </c>
      <c r="Y132" s="25">
        <v>3503</v>
      </c>
      <c r="Z132" s="11">
        <v>3503</v>
      </c>
      <c r="AA132" s="10">
        <v>12</v>
      </c>
      <c r="AB132" s="10">
        <v>0</v>
      </c>
      <c r="AC132" s="10">
        <v>1</v>
      </c>
      <c r="AD132" s="31"/>
      <c r="AE132" s="31"/>
      <c r="AF132" s="3">
        <v>0</v>
      </c>
      <c r="AG132" s="3">
        <v>0</v>
      </c>
      <c r="AH132" s="3">
        <v>0</v>
      </c>
      <c r="AI132" s="3">
        <v>0</v>
      </c>
      <c r="AJ132" s="3">
        <v>0</v>
      </c>
      <c r="AK132" s="3">
        <v>0</v>
      </c>
    </row>
    <row r="133" spans="1:39" ht="18.75" customHeight="1" x14ac:dyDescent="0.25">
      <c r="A133" s="132" t="s">
        <v>201</v>
      </c>
      <c r="B133" s="62" t="s">
        <v>202</v>
      </c>
      <c r="C133" s="63" t="s">
        <v>210</v>
      </c>
      <c r="D133" s="10">
        <v>2001</v>
      </c>
      <c r="E133" s="10">
        <v>30401</v>
      </c>
      <c r="F133" s="11">
        <v>33401</v>
      </c>
      <c r="G133" s="11">
        <v>0</v>
      </c>
      <c r="H133" s="31"/>
      <c r="I133" s="10">
        <v>0</v>
      </c>
      <c r="J133" s="52">
        <v>7</v>
      </c>
      <c r="K133" s="67">
        <v>81301</v>
      </c>
      <c r="L133" s="10">
        <v>1</v>
      </c>
      <c r="M133" s="10">
        <v>1</v>
      </c>
      <c r="N133" s="10" t="s">
        <v>99</v>
      </c>
      <c r="O133" s="10"/>
      <c r="P133" s="11">
        <v>22003</v>
      </c>
      <c r="Q133" s="10">
        <v>0</v>
      </c>
      <c r="R133" s="10">
        <v>1</v>
      </c>
      <c r="S133" s="10">
        <v>1</v>
      </c>
      <c r="T133" s="11">
        <v>0</v>
      </c>
      <c r="U133" s="10">
        <v>10</v>
      </c>
      <c r="V133" s="10">
        <v>1</v>
      </c>
      <c r="W133" s="58">
        <v>6060</v>
      </c>
      <c r="X133" s="10">
        <v>0</v>
      </c>
      <c r="Y133" s="25">
        <v>3503</v>
      </c>
      <c r="Z133" s="11">
        <v>3503</v>
      </c>
      <c r="AA133" s="10">
        <v>12</v>
      </c>
      <c r="AB133" s="10">
        <v>0</v>
      </c>
      <c r="AC133" s="11">
        <v>0</v>
      </c>
      <c r="AD133" s="31"/>
      <c r="AE133" s="31"/>
      <c r="AF133" s="3">
        <v>0</v>
      </c>
      <c r="AG133" s="3">
        <v>0</v>
      </c>
      <c r="AH133" s="3">
        <v>1</v>
      </c>
      <c r="AI133" s="3">
        <v>0</v>
      </c>
      <c r="AJ133" s="3">
        <v>90101</v>
      </c>
      <c r="AK133" s="3">
        <v>0</v>
      </c>
    </row>
    <row r="134" spans="1:39" x14ac:dyDescent="0.25">
      <c r="A134" s="133"/>
      <c r="B134" s="62" t="s">
        <v>203</v>
      </c>
      <c r="C134" s="63" t="s">
        <v>211</v>
      </c>
      <c r="D134" s="10">
        <v>2002</v>
      </c>
      <c r="E134" s="10">
        <v>30402</v>
      </c>
      <c r="F134" s="11">
        <v>33402</v>
      </c>
      <c r="G134" s="11">
        <v>0</v>
      </c>
      <c r="H134" s="31"/>
      <c r="I134" s="10">
        <v>0</v>
      </c>
      <c r="J134" s="52">
        <v>7</v>
      </c>
      <c r="K134" s="67">
        <v>81302</v>
      </c>
      <c r="L134" s="10">
        <v>1</v>
      </c>
      <c r="M134" s="10">
        <v>1</v>
      </c>
      <c r="N134" s="10" t="s">
        <v>99</v>
      </c>
      <c r="O134" s="10"/>
      <c r="P134" s="11">
        <v>22003</v>
      </c>
      <c r="Q134" s="10">
        <v>0</v>
      </c>
      <c r="R134" s="10">
        <v>1</v>
      </c>
      <c r="S134" s="10">
        <v>1</v>
      </c>
      <c r="T134" s="11">
        <v>0</v>
      </c>
      <c r="U134" s="10">
        <v>10</v>
      </c>
      <c r="V134" s="10">
        <v>1</v>
      </c>
      <c r="W134" s="58">
        <v>6060</v>
      </c>
      <c r="X134" s="10">
        <v>0</v>
      </c>
      <c r="Y134" s="25">
        <v>3503</v>
      </c>
      <c r="Z134" s="11">
        <v>3503</v>
      </c>
      <c r="AA134" s="10">
        <v>12</v>
      </c>
      <c r="AB134" s="10">
        <v>0</v>
      </c>
      <c r="AC134" s="11">
        <v>0</v>
      </c>
      <c r="AD134" s="31"/>
      <c r="AE134" s="31"/>
      <c r="AF134" s="3">
        <v>0</v>
      </c>
      <c r="AG134" s="3">
        <v>0</v>
      </c>
      <c r="AH134" s="3">
        <v>1</v>
      </c>
      <c r="AI134" s="3">
        <v>0</v>
      </c>
      <c r="AJ134" s="3">
        <v>90102</v>
      </c>
      <c r="AK134" s="3">
        <v>0</v>
      </c>
    </row>
    <row r="135" spans="1:39" x14ac:dyDescent="0.25">
      <c r="A135" s="133"/>
      <c r="B135" s="62" t="s">
        <v>204</v>
      </c>
      <c r="C135" s="63" t="s">
        <v>212</v>
      </c>
      <c r="D135" s="10">
        <v>2003</v>
      </c>
      <c r="E135" s="10">
        <v>30403</v>
      </c>
      <c r="F135" s="11">
        <v>33403</v>
      </c>
      <c r="G135" s="11">
        <v>0</v>
      </c>
      <c r="H135" s="31"/>
      <c r="I135" s="10">
        <v>0</v>
      </c>
      <c r="J135" s="52">
        <v>7</v>
      </c>
      <c r="K135" s="67">
        <v>81303</v>
      </c>
      <c r="L135" s="10">
        <v>1</v>
      </c>
      <c r="M135" s="10">
        <v>1</v>
      </c>
      <c r="N135" s="10" t="s">
        <v>99</v>
      </c>
      <c r="O135" s="10"/>
      <c r="P135" s="11">
        <v>22003</v>
      </c>
      <c r="Q135" s="10">
        <v>0</v>
      </c>
      <c r="R135" s="10">
        <v>1</v>
      </c>
      <c r="S135" s="10">
        <v>1</v>
      </c>
      <c r="T135" s="11">
        <v>0</v>
      </c>
      <c r="U135" s="10">
        <v>10</v>
      </c>
      <c r="V135" s="10">
        <v>1</v>
      </c>
      <c r="W135" s="58">
        <v>6060</v>
      </c>
      <c r="X135" s="10">
        <v>0</v>
      </c>
      <c r="Y135" s="25">
        <v>3503</v>
      </c>
      <c r="Z135" s="11">
        <v>3503</v>
      </c>
      <c r="AA135" s="10">
        <v>12</v>
      </c>
      <c r="AB135" s="10">
        <v>0</v>
      </c>
      <c r="AC135" s="11">
        <v>0</v>
      </c>
      <c r="AD135" s="31"/>
      <c r="AE135" s="31"/>
      <c r="AF135" s="3">
        <v>0</v>
      </c>
      <c r="AG135" s="3">
        <v>0</v>
      </c>
      <c r="AH135" s="3">
        <v>1</v>
      </c>
      <c r="AI135" s="3">
        <v>0</v>
      </c>
      <c r="AJ135" s="3">
        <v>90103</v>
      </c>
      <c r="AK135" s="3">
        <v>0</v>
      </c>
    </row>
    <row r="136" spans="1:39" x14ac:dyDescent="0.25">
      <c r="A136" s="133"/>
      <c r="B136" s="62" t="s">
        <v>205</v>
      </c>
      <c r="C136" s="63" t="s">
        <v>213</v>
      </c>
      <c r="D136" s="10">
        <v>2004</v>
      </c>
      <c r="E136" s="10">
        <v>30404</v>
      </c>
      <c r="F136" s="11">
        <v>33404</v>
      </c>
      <c r="G136" s="11">
        <v>0</v>
      </c>
      <c r="H136" s="31"/>
      <c r="I136" s="10">
        <v>0</v>
      </c>
      <c r="J136" s="52">
        <v>7</v>
      </c>
      <c r="K136" s="67">
        <v>81304</v>
      </c>
      <c r="L136" s="10">
        <v>1</v>
      </c>
      <c r="M136" s="10">
        <v>1</v>
      </c>
      <c r="N136" s="10" t="s">
        <v>99</v>
      </c>
      <c r="O136" s="10"/>
      <c r="P136" s="11">
        <v>22003</v>
      </c>
      <c r="Q136" s="10">
        <v>0</v>
      </c>
      <c r="R136" s="10">
        <v>1</v>
      </c>
      <c r="S136" s="10">
        <v>1</v>
      </c>
      <c r="T136" s="11">
        <v>0</v>
      </c>
      <c r="U136" s="10">
        <v>10</v>
      </c>
      <c r="V136" s="10">
        <v>1</v>
      </c>
      <c r="W136" s="58">
        <v>6060</v>
      </c>
      <c r="X136" s="10">
        <v>0</v>
      </c>
      <c r="Y136" s="25">
        <v>3503</v>
      </c>
      <c r="Z136" s="11">
        <v>3503</v>
      </c>
      <c r="AA136" s="10">
        <v>12</v>
      </c>
      <c r="AB136" s="10">
        <v>0</v>
      </c>
      <c r="AC136" s="11">
        <v>0</v>
      </c>
      <c r="AD136" s="31"/>
      <c r="AE136" s="31"/>
      <c r="AF136" s="3">
        <v>0</v>
      </c>
      <c r="AG136" s="3">
        <v>0</v>
      </c>
      <c r="AH136" s="3">
        <v>1</v>
      </c>
      <c r="AI136" s="3">
        <v>0</v>
      </c>
      <c r="AJ136" s="3">
        <v>90104</v>
      </c>
      <c r="AK136" s="3">
        <v>0</v>
      </c>
    </row>
    <row r="137" spans="1:39" x14ac:dyDescent="0.25">
      <c r="A137" s="133"/>
      <c r="B137" s="62" t="s">
        <v>206</v>
      </c>
      <c r="C137" s="63" t="s">
        <v>214</v>
      </c>
      <c r="D137" s="10">
        <v>2005</v>
      </c>
      <c r="E137" s="10">
        <v>30405</v>
      </c>
      <c r="F137" s="11">
        <v>33405</v>
      </c>
      <c r="G137" s="11">
        <v>0</v>
      </c>
      <c r="H137" s="31"/>
      <c r="I137" s="10">
        <v>0</v>
      </c>
      <c r="J137" s="52">
        <v>7</v>
      </c>
      <c r="K137" s="67">
        <v>81305</v>
      </c>
      <c r="L137" s="10">
        <v>1</v>
      </c>
      <c r="M137" s="10">
        <v>1</v>
      </c>
      <c r="N137" s="10" t="s">
        <v>99</v>
      </c>
      <c r="O137" s="10"/>
      <c r="P137" s="11">
        <v>22003</v>
      </c>
      <c r="Q137" s="10">
        <v>0</v>
      </c>
      <c r="R137" s="10">
        <v>1</v>
      </c>
      <c r="S137" s="10">
        <v>1</v>
      </c>
      <c r="T137" s="11">
        <v>0</v>
      </c>
      <c r="U137" s="10">
        <v>10</v>
      </c>
      <c r="V137" s="10">
        <v>1</v>
      </c>
      <c r="W137" s="58">
        <v>6060</v>
      </c>
      <c r="X137" s="10">
        <v>0</v>
      </c>
      <c r="Y137" s="25">
        <v>3503</v>
      </c>
      <c r="Z137" s="11">
        <v>3503</v>
      </c>
      <c r="AA137" s="10">
        <v>12</v>
      </c>
      <c r="AB137" s="10">
        <v>0</v>
      </c>
      <c r="AC137" s="11">
        <v>0</v>
      </c>
      <c r="AD137" s="31"/>
      <c r="AE137" s="31"/>
      <c r="AF137" s="3">
        <v>0</v>
      </c>
      <c r="AG137" s="3">
        <v>0</v>
      </c>
      <c r="AH137" s="3">
        <v>1</v>
      </c>
      <c r="AI137" s="3">
        <v>0</v>
      </c>
      <c r="AJ137" s="3">
        <v>90105</v>
      </c>
      <c r="AK137" s="3">
        <v>0</v>
      </c>
    </row>
    <row r="138" spans="1:39" x14ac:dyDescent="0.25">
      <c r="A138" s="133"/>
      <c r="B138" s="62" t="s">
        <v>207</v>
      </c>
      <c r="C138" s="63" t="s">
        <v>215</v>
      </c>
      <c r="D138" s="10">
        <v>2006</v>
      </c>
      <c r="E138" s="10">
        <v>30406</v>
      </c>
      <c r="F138" s="11">
        <v>33406</v>
      </c>
      <c r="G138" s="11">
        <v>0</v>
      </c>
      <c r="H138" s="31"/>
      <c r="I138" s="10">
        <v>0</v>
      </c>
      <c r="J138" s="52">
        <v>7</v>
      </c>
      <c r="K138" s="67">
        <v>81306</v>
      </c>
      <c r="L138" s="10">
        <v>1</v>
      </c>
      <c r="M138" s="10">
        <v>1</v>
      </c>
      <c r="N138" s="10" t="s">
        <v>99</v>
      </c>
      <c r="O138" s="10"/>
      <c r="P138" s="11">
        <v>22003</v>
      </c>
      <c r="Q138" s="10">
        <v>0</v>
      </c>
      <c r="R138" s="10">
        <v>1</v>
      </c>
      <c r="S138" s="10">
        <v>1</v>
      </c>
      <c r="T138" s="11">
        <v>0</v>
      </c>
      <c r="U138" s="10">
        <v>10</v>
      </c>
      <c r="V138" s="10">
        <v>1</v>
      </c>
      <c r="W138" s="58">
        <v>6060</v>
      </c>
      <c r="X138" s="10">
        <v>0</v>
      </c>
      <c r="Y138" s="25">
        <v>3503</v>
      </c>
      <c r="Z138" s="11">
        <v>3503</v>
      </c>
      <c r="AA138" s="10">
        <v>12</v>
      </c>
      <c r="AB138" s="10">
        <v>0</v>
      </c>
      <c r="AC138" s="11">
        <v>0</v>
      </c>
      <c r="AD138" s="31"/>
      <c r="AE138" s="31"/>
      <c r="AF138" s="3">
        <v>0</v>
      </c>
      <c r="AG138" s="3">
        <v>0</v>
      </c>
      <c r="AH138" s="3">
        <v>1</v>
      </c>
      <c r="AI138" s="3">
        <v>0</v>
      </c>
      <c r="AJ138" s="3">
        <v>90106</v>
      </c>
      <c r="AK138" s="3">
        <v>0</v>
      </c>
    </row>
    <row r="139" spans="1:39" x14ac:dyDescent="0.25">
      <c r="A139" s="133"/>
      <c r="B139" s="62" t="s">
        <v>208</v>
      </c>
      <c r="C139" s="63" t="s">
        <v>216</v>
      </c>
      <c r="D139" s="10">
        <v>2007</v>
      </c>
      <c r="E139" s="10">
        <v>30407</v>
      </c>
      <c r="F139" s="11">
        <v>33407</v>
      </c>
      <c r="G139" s="11">
        <v>0</v>
      </c>
      <c r="H139" s="31"/>
      <c r="I139" s="10">
        <v>0</v>
      </c>
      <c r="J139" s="52">
        <v>7</v>
      </c>
      <c r="K139" s="67">
        <v>81307</v>
      </c>
      <c r="L139" s="10">
        <v>1</v>
      </c>
      <c r="M139" s="10">
        <v>1</v>
      </c>
      <c r="N139" s="10" t="s">
        <v>99</v>
      </c>
      <c r="O139" s="10"/>
      <c r="P139" s="11">
        <v>22003</v>
      </c>
      <c r="Q139" s="10">
        <v>0</v>
      </c>
      <c r="R139" s="10">
        <v>1</v>
      </c>
      <c r="S139" s="10">
        <v>1</v>
      </c>
      <c r="T139" s="11">
        <v>0</v>
      </c>
      <c r="U139" s="10">
        <v>10</v>
      </c>
      <c r="V139" s="10">
        <v>1</v>
      </c>
      <c r="W139" s="58">
        <v>6060</v>
      </c>
      <c r="X139" s="10">
        <v>0</v>
      </c>
      <c r="Y139" s="25">
        <v>3503</v>
      </c>
      <c r="Z139" s="11">
        <v>3503</v>
      </c>
      <c r="AA139" s="10">
        <v>12</v>
      </c>
      <c r="AB139" s="10">
        <v>0</v>
      </c>
      <c r="AC139" s="11">
        <v>0</v>
      </c>
      <c r="AD139" s="31"/>
      <c r="AE139" s="31"/>
      <c r="AF139" s="3">
        <v>0</v>
      </c>
      <c r="AG139" s="3">
        <v>0</v>
      </c>
      <c r="AH139" s="3">
        <v>1</v>
      </c>
      <c r="AI139" s="3">
        <v>0</v>
      </c>
      <c r="AJ139" s="3">
        <v>90107</v>
      </c>
      <c r="AK139" s="3">
        <v>0</v>
      </c>
    </row>
    <row r="140" spans="1:39" x14ac:dyDescent="0.25">
      <c r="A140" s="133"/>
      <c r="B140" s="62" t="s">
        <v>209</v>
      </c>
      <c r="C140" s="63" t="s">
        <v>389</v>
      </c>
      <c r="D140" s="10">
        <v>2008</v>
      </c>
      <c r="E140" s="10">
        <v>30408</v>
      </c>
      <c r="F140" s="11">
        <v>33408</v>
      </c>
      <c r="G140" s="11">
        <v>0</v>
      </c>
      <c r="H140" s="31"/>
      <c r="I140" s="10">
        <v>0</v>
      </c>
      <c r="J140" s="52">
        <v>7</v>
      </c>
      <c r="K140" s="67">
        <v>81308</v>
      </c>
      <c r="L140" s="10">
        <v>1</v>
      </c>
      <c r="M140" s="10">
        <v>1</v>
      </c>
      <c r="N140" s="10" t="s">
        <v>99</v>
      </c>
      <c r="O140" s="10"/>
      <c r="P140" s="11">
        <v>22003</v>
      </c>
      <c r="Q140" s="10">
        <v>0</v>
      </c>
      <c r="R140" s="10">
        <v>1</v>
      </c>
      <c r="S140" s="10">
        <v>1</v>
      </c>
      <c r="T140" s="11">
        <v>0</v>
      </c>
      <c r="U140" s="10">
        <v>10</v>
      </c>
      <c r="V140" s="10">
        <v>1</v>
      </c>
      <c r="W140" s="58">
        <v>6060</v>
      </c>
      <c r="X140" s="10">
        <v>0</v>
      </c>
      <c r="Y140" s="25">
        <v>3503</v>
      </c>
      <c r="Z140" s="11">
        <v>3503</v>
      </c>
      <c r="AA140" s="10">
        <v>12</v>
      </c>
      <c r="AB140" s="10">
        <v>0</v>
      </c>
      <c r="AC140" s="11">
        <v>0</v>
      </c>
      <c r="AD140" s="31"/>
      <c r="AE140" s="31"/>
      <c r="AF140" s="3">
        <v>0</v>
      </c>
      <c r="AG140" s="3">
        <v>0</v>
      </c>
      <c r="AH140" s="3">
        <v>1</v>
      </c>
      <c r="AI140" s="3">
        <v>0</v>
      </c>
      <c r="AJ140" s="3">
        <v>90108</v>
      </c>
      <c r="AK140" s="3">
        <v>0</v>
      </c>
    </row>
    <row r="141" spans="1:39" x14ac:dyDescent="0.25">
      <c r="A141" s="64"/>
      <c r="B141" s="62" t="s">
        <v>226</v>
      </c>
      <c r="C141" s="63"/>
      <c r="D141" s="10">
        <v>2021</v>
      </c>
      <c r="E141" s="10">
        <v>30409</v>
      </c>
      <c r="F141" s="11">
        <v>33409</v>
      </c>
      <c r="G141" s="11">
        <v>0</v>
      </c>
      <c r="H141" s="31"/>
      <c r="I141" s="10">
        <v>0</v>
      </c>
      <c r="J141" s="52">
        <v>7</v>
      </c>
      <c r="K141" s="67">
        <v>81309</v>
      </c>
      <c r="L141" s="10">
        <v>1</v>
      </c>
      <c r="M141" s="10">
        <v>1</v>
      </c>
      <c r="N141" s="10" t="s">
        <v>99</v>
      </c>
      <c r="O141" s="10"/>
      <c r="P141" s="11">
        <v>22003</v>
      </c>
      <c r="Q141" s="10">
        <v>0</v>
      </c>
      <c r="R141" s="10">
        <v>1</v>
      </c>
      <c r="S141" s="10">
        <v>1</v>
      </c>
      <c r="T141" s="11">
        <v>0</v>
      </c>
      <c r="U141" s="10">
        <v>10</v>
      </c>
      <c r="V141" s="10">
        <v>1</v>
      </c>
      <c r="W141" s="58">
        <v>6060</v>
      </c>
      <c r="X141" s="10">
        <v>0</v>
      </c>
      <c r="Y141" s="25">
        <v>3503</v>
      </c>
      <c r="Z141" s="11">
        <v>3503</v>
      </c>
      <c r="AA141" s="10">
        <v>12</v>
      </c>
      <c r="AB141" s="10">
        <v>0</v>
      </c>
      <c r="AC141" s="11">
        <v>0</v>
      </c>
      <c r="AD141" s="31"/>
      <c r="AE141" s="31"/>
      <c r="AF141" s="3">
        <v>0</v>
      </c>
      <c r="AG141" s="3">
        <v>0</v>
      </c>
      <c r="AH141" s="3">
        <v>0</v>
      </c>
      <c r="AI141" s="3">
        <v>0</v>
      </c>
      <c r="AJ141" s="3">
        <v>0</v>
      </c>
      <c r="AK141" s="3">
        <v>0</v>
      </c>
    </row>
    <row r="142" spans="1:39" x14ac:dyDescent="0.25">
      <c r="A142" s="131" t="s">
        <v>228</v>
      </c>
      <c r="B142" s="62" t="s">
        <v>229</v>
      </c>
      <c r="C142" s="63"/>
      <c r="D142" s="10">
        <v>2051</v>
      </c>
      <c r="E142" s="10">
        <v>30421</v>
      </c>
      <c r="F142" s="11">
        <v>33421</v>
      </c>
      <c r="G142" s="11">
        <v>0</v>
      </c>
      <c r="H142" s="31"/>
      <c r="I142" s="10">
        <v>0</v>
      </c>
      <c r="J142" s="52">
        <v>7</v>
      </c>
      <c r="K142" s="67">
        <v>81310</v>
      </c>
      <c r="L142" s="10">
        <v>1</v>
      </c>
      <c r="M142" s="10">
        <v>1</v>
      </c>
      <c r="N142" s="10" t="s">
        <v>99</v>
      </c>
      <c r="O142" s="10"/>
      <c r="P142" s="11">
        <v>22003</v>
      </c>
      <c r="Q142" s="10">
        <v>0</v>
      </c>
      <c r="R142" s="10">
        <v>1</v>
      </c>
      <c r="S142" s="10">
        <v>1</v>
      </c>
      <c r="T142" s="11">
        <v>0</v>
      </c>
      <c r="U142" s="10">
        <v>10</v>
      </c>
      <c r="V142" s="10">
        <v>1</v>
      </c>
      <c r="W142" s="58">
        <v>6060</v>
      </c>
      <c r="X142" s="10">
        <v>0</v>
      </c>
      <c r="Y142" s="25">
        <v>3503</v>
      </c>
      <c r="Z142" s="11">
        <v>3503</v>
      </c>
      <c r="AA142" s="10">
        <v>12</v>
      </c>
      <c r="AB142" s="10">
        <v>0</v>
      </c>
      <c r="AC142" s="11">
        <v>0</v>
      </c>
      <c r="AD142" s="31"/>
      <c r="AE142" s="31"/>
      <c r="AF142" s="3">
        <v>0</v>
      </c>
      <c r="AG142" s="3">
        <v>0</v>
      </c>
      <c r="AH142" s="3">
        <v>0</v>
      </c>
      <c r="AI142" s="3">
        <v>0</v>
      </c>
      <c r="AJ142" s="3">
        <v>0</v>
      </c>
      <c r="AK142" s="3">
        <v>0</v>
      </c>
    </row>
    <row r="143" spans="1:39" x14ac:dyDescent="0.25">
      <c r="A143" s="131"/>
      <c r="B143" s="62" t="s">
        <v>230</v>
      </c>
      <c r="C143" s="63"/>
      <c r="D143" s="10">
        <v>2052</v>
      </c>
      <c r="E143" s="10">
        <v>30422</v>
      </c>
      <c r="F143" s="11">
        <v>33422</v>
      </c>
      <c r="G143" s="11">
        <v>0</v>
      </c>
      <c r="H143" s="31"/>
      <c r="I143" s="10">
        <v>0</v>
      </c>
      <c r="J143" s="52">
        <v>7</v>
      </c>
      <c r="K143" s="67">
        <v>81310</v>
      </c>
      <c r="L143" s="10">
        <v>1</v>
      </c>
      <c r="M143" s="10">
        <v>1</v>
      </c>
      <c r="N143" s="10" t="s">
        <v>99</v>
      </c>
      <c r="O143" s="10"/>
      <c r="P143" s="11">
        <v>22003</v>
      </c>
      <c r="Q143" s="10">
        <v>0</v>
      </c>
      <c r="R143" s="10">
        <v>1</v>
      </c>
      <c r="S143" s="10">
        <v>1</v>
      </c>
      <c r="T143" s="11">
        <v>0</v>
      </c>
      <c r="U143" s="10">
        <v>10</v>
      </c>
      <c r="V143" s="10">
        <v>1</v>
      </c>
      <c r="W143" s="58">
        <v>6060</v>
      </c>
      <c r="X143" s="10">
        <v>0</v>
      </c>
      <c r="Y143" s="25">
        <v>3503</v>
      </c>
      <c r="Z143" s="11">
        <v>3503</v>
      </c>
      <c r="AA143" s="10">
        <v>12</v>
      </c>
      <c r="AB143" s="10">
        <v>0</v>
      </c>
      <c r="AC143" s="11">
        <v>0</v>
      </c>
      <c r="AD143" s="31"/>
      <c r="AE143" s="31"/>
      <c r="AF143" s="3">
        <v>0</v>
      </c>
      <c r="AG143" s="3">
        <v>0</v>
      </c>
      <c r="AH143" s="3">
        <v>0</v>
      </c>
      <c r="AI143" s="3">
        <v>0</v>
      </c>
      <c r="AJ143" s="3">
        <v>0</v>
      </c>
      <c r="AK143" s="3">
        <v>0</v>
      </c>
    </row>
    <row r="144" spans="1:39" x14ac:dyDescent="0.25">
      <c r="A144" s="131"/>
      <c r="B144" s="62" t="s">
        <v>231</v>
      </c>
      <c r="C144" s="63"/>
      <c r="D144" s="10">
        <v>2053</v>
      </c>
      <c r="E144" s="10">
        <v>30423</v>
      </c>
      <c r="F144" s="11">
        <v>33423</v>
      </c>
      <c r="G144" s="11">
        <v>0</v>
      </c>
      <c r="H144" s="31"/>
      <c r="I144" s="10">
        <v>0</v>
      </c>
      <c r="J144" s="52">
        <v>7</v>
      </c>
      <c r="K144" s="67">
        <v>81310</v>
      </c>
      <c r="L144" s="10">
        <v>1</v>
      </c>
      <c r="M144" s="10">
        <v>1</v>
      </c>
      <c r="N144" s="10" t="s">
        <v>99</v>
      </c>
      <c r="O144" s="10"/>
      <c r="P144" s="11">
        <v>22003</v>
      </c>
      <c r="Q144" s="10">
        <v>0</v>
      </c>
      <c r="R144" s="10">
        <v>1</v>
      </c>
      <c r="S144" s="10">
        <v>1</v>
      </c>
      <c r="T144" s="11">
        <v>0</v>
      </c>
      <c r="U144" s="10">
        <v>10</v>
      </c>
      <c r="V144" s="10">
        <v>1</v>
      </c>
      <c r="W144" s="58">
        <v>6060</v>
      </c>
      <c r="X144" s="10">
        <v>0</v>
      </c>
      <c r="Y144" s="25">
        <v>3503</v>
      </c>
      <c r="Z144" s="11">
        <v>3503</v>
      </c>
      <c r="AA144" s="10">
        <v>12</v>
      </c>
      <c r="AB144" s="10">
        <v>0</v>
      </c>
      <c r="AC144" s="11">
        <v>0</v>
      </c>
      <c r="AD144" s="31"/>
      <c r="AE144" s="31"/>
      <c r="AF144" s="3">
        <v>0</v>
      </c>
      <c r="AG144" s="3">
        <v>0</v>
      </c>
      <c r="AH144" s="3">
        <v>0</v>
      </c>
      <c r="AI144" s="3">
        <v>0</v>
      </c>
      <c r="AJ144" s="3">
        <v>0</v>
      </c>
      <c r="AK144" s="3">
        <v>0</v>
      </c>
    </row>
    <row r="145" spans="1:37" x14ac:dyDescent="0.25">
      <c r="A145" s="131"/>
      <c r="B145" s="62" t="s">
        <v>232</v>
      </c>
      <c r="C145" s="63"/>
      <c r="D145" s="10">
        <v>2054</v>
      </c>
      <c r="E145" s="10">
        <v>30424</v>
      </c>
      <c r="F145" s="11">
        <v>33424</v>
      </c>
      <c r="G145" s="11">
        <v>0</v>
      </c>
      <c r="H145" s="31"/>
      <c r="I145" s="10">
        <v>0</v>
      </c>
      <c r="J145" s="52">
        <v>7</v>
      </c>
      <c r="K145" s="67">
        <v>81310</v>
      </c>
      <c r="L145" s="10">
        <v>1</v>
      </c>
      <c r="M145" s="10">
        <v>1</v>
      </c>
      <c r="N145" s="10" t="s">
        <v>99</v>
      </c>
      <c r="O145" s="10"/>
      <c r="P145" s="11">
        <v>22003</v>
      </c>
      <c r="Q145" s="10">
        <v>0</v>
      </c>
      <c r="R145" s="10">
        <v>1</v>
      </c>
      <c r="S145" s="10">
        <v>1</v>
      </c>
      <c r="T145" s="11">
        <v>0</v>
      </c>
      <c r="U145" s="10">
        <v>10</v>
      </c>
      <c r="V145" s="10">
        <v>1</v>
      </c>
      <c r="W145" s="58">
        <v>6060</v>
      </c>
      <c r="X145" s="10">
        <v>0</v>
      </c>
      <c r="Y145" s="25">
        <v>3503</v>
      </c>
      <c r="Z145" s="11">
        <v>3503</v>
      </c>
      <c r="AA145" s="10">
        <v>12</v>
      </c>
      <c r="AB145" s="10">
        <v>0</v>
      </c>
      <c r="AC145" s="11">
        <v>0</v>
      </c>
      <c r="AD145" s="31"/>
      <c r="AE145" s="31"/>
      <c r="AF145" s="3">
        <v>0</v>
      </c>
      <c r="AG145" s="3">
        <v>0</v>
      </c>
      <c r="AH145" s="3">
        <v>0</v>
      </c>
      <c r="AI145" s="3">
        <v>0</v>
      </c>
      <c r="AJ145" s="3">
        <v>0</v>
      </c>
      <c r="AK145" s="3">
        <v>0</v>
      </c>
    </row>
    <row r="146" spans="1:37" x14ac:dyDescent="0.25">
      <c r="A146" s="131"/>
      <c r="B146" s="62" t="s">
        <v>233</v>
      </c>
      <c r="C146" s="63"/>
      <c r="D146" s="10">
        <v>2055</v>
      </c>
      <c r="E146" s="10">
        <v>30425</v>
      </c>
      <c r="F146" s="11">
        <v>33425</v>
      </c>
      <c r="G146" s="11">
        <v>0</v>
      </c>
      <c r="H146" s="31"/>
      <c r="I146" s="10">
        <v>0</v>
      </c>
      <c r="J146" s="52">
        <v>7</v>
      </c>
      <c r="K146" s="67">
        <v>81310</v>
      </c>
      <c r="L146" s="10">
        <v>1</v>
      </c>
      <c r="M146" s="10">
        <v>1</v>
      </c>
      <c r="N146" s="10" t="s">
        <v>99</v>
      </c>
      <c r="O146" s="10"/>
      <c r="P146" s="11">
        <v>22003</v>
      </c>
      <c r="Q146" s="10">
        <v>0</v>
      </c>
      <c r="R146" s="10">
        <v>1</v>
      </c>
      <c r="S146" s="10">
        <v>1</v>
      </c>
      <c r="T146" s="11">
        <v>0</v>
      </c>
      <c r="U146" s="10">
        <v>10</v>
      </c>
      <c r="V146" s="10">
        <v>1</v>
      </c>
      <c r="W146" s="58">
        <v>6060</v>
      </c>
      <c r="X146" s="10">
        <v>0</v>
      </c>
      <c r="Y146" s="25">
        <v>3503</v>
      </c>
      <c r="Z146" s="11">
        <v>3503</v>
      </c>
      <c r="AA146" s="10">
        <v>12</v>
      </c>
      <c r="AB146" s="10">
        <v>0</v>
      </c>
      <c r="AC146" s="11">
        <v>0</v>
      </c>
      <c r="AD146" s="31"/>
      <c r="AE146" s="31"/>
      <c r="AF146" s="3">
        <v>0</v>
      </c>
      <c r="AG146" s="3">
        <v>0</v>
      </c>
      <c r="AH146" s="3">
        <v>0</v>
      </c>
      <c r="AI146" s="3">
        <v>0</v>
      </c>
      <c r="AJ146" s="3">
        <v>0</v>
      </c>
      <c r="AK146" s="3">
        <v>0</v>
      </c>
    </row>
    <row r="147" spans="1:37" x14ac:dyDescent="0.25">
      <c r="A147" s="131"/>
      <c r="B147" s="62" t="s">
        <v>234</v>
      </c>
      <c r="C147" s="63"/>
      <c r="D147" s="10">
        <v>2056</v>
      </c>
      <c r="E147" s="10">
        <v>30426</v>
      </c>
      <c r="F147" s="11">
        <v>33426</v>
      </c>
      <c r="G147" s="11">
        <v>0</v>
      </c>
      <c r="H147" s="31"/>
      <c r="I147" s="10">
        <v>0</v>
      </c>
      <c r="J147" s="52">
        <v>7</v>
      </c>
      <c r="K147" s="67">
        <v>81310</v>
      </c>
      <c r="L147" s="10">
        <v>1</v>
      </c>
      <c r="M147" s="10">
        <v>1</v>
      </c>
      <c r="N147" s="10" t="s">
        <v>99</v>
      </c>
      <c r="O147" s="10"/>
      <c r="P147" s="11">
        <v>22003</v>
      </c>
      <c r="Q147" s="10">
        <v>0</v>
      </c>
      <c r="R147" s="10">
        <v>1</v>
      </c>
      <c r="S147" s="10">
        <v>1</v>
      </c>
      <c r="T147" s="11">
        <v>0</v>
      </c>
      <c r="U147" s="10">
        <v>10</v>
      </c>
      <c r="V147" s="10">
        <v>1</v>
      </c>
      <c r="W147" s="58">
        <v>6060</v>
      </c>
      <c r="X147" s="10">
        <v>0</v>
      </c>
      <c r="Y147" s="25">
        <v>3503</v>
      </c>
      <c r="Z147" s="11">
        <v>3503</v>
      </c>
      <c r="AA147" s="10">
        <v>12</v>
      </c>
      <c r="AB147" s="10">
        <v>0</v>
      </c>
      <c r="AC147" s="11">
        <v>0</v>
      </c>
      <c r="AD147" s="31"/>
      <c r="AE147" s="31"/>
      <c r="AF147" s="3">
        <v>0</v>
      </c>
      <c r="AG147" s="3">
        <v>0</v>
      </c>
      <c r="AH147" s="3">
        <v>0</v>
      </c>
      <c r="AI147" s="3">
        <v>0</v>
      </c>
      <c r="AJ147" s="3">
        <v>0</v>
      </c>
      <c r="AK147" s="3">
        <v>0</v>
      </c>
    </row>
    <row r="148" spans="1:37" x14ac:dyDescent="0.25">
      <c r="A148" s="131"/>
      <c r="B148" s="62" t="s">
        <v>235</v>
      </c>
      <c r="C148" s="63"/>
      <c r="D148" s="10">
        <v>2057</v>
      </c>
      <c r="E148" s="10">
        <v>30427</v>
      </c>
      <c r="F148" s="11">
        <v>33427</v>
      </c>
      <c r="G148" s="11">
        <v>0</v>
      </c>
      <c r="H148" s="31"/>
      <c r="I148" s="10">
        <v>0</v>
      </c>
      <c r="J148" s="52">
        <v>7</v>
      </c>
      <c r="K148" s="67">
        <v>81310</v>
      </c>
      <c r="L148" s="10">
        <v>1</v>
      </c>
      <c r="M148" s="10">
        <v>1</v>
      </c>
      <c r="N148" s="10" t="s">
        <v>99</v>
      </c>
      <c r="O148" s="10"/>
      <c r="P148" s="11">
        <v>22003</v>
      </c>
      <c r="Q148" s="10">
        <v>0</v>
      </c>
      <c r="R148" s="10">
        <v>1</v>
      </c>
      <c r="S148" s="10">
        <v>1</v>
      </c>
      <c r="T148" s="11">
        <v>0</v>
      </c>
      <c r="U148" s="10">
        <v>10</v>
      </c>
      <c r="V148" s="10">
        <v>1</v>
      </c>
      <c r="W148" s="58">
        <v>6060</v>
      </c>
      <c r="X148" s="10">
        <v>0</v>
      </c>
      <c r="Y148" s="25">
        <v>3503</v>
      </c>
      <c r="Z148" s="11">
        <v>3503</v>
      </c>
      <c r="AA148" s="10">
        <v>12</v>
      </c>
      <c r="AB148" s="10">
        <v>0</v>
      </c>
      <c r="AC148" s="11">
        <v>0</v>
      </c>
      <c r="AD148" s="31"/>
      <c r="AE148" s="31"/>
      <c r="AF148" s="3">
        <v>0</v>
      </c>
      <c r="AG148" s="3">
        <v>0</v>
      </c>
      <c r="AH148" s="3">
        <v>0</v>
      </c>
      <c r="AI148" s="3">
        <v>0</v>
      </c>
      <c r="AJ148" s="3">
        <v>0</v>
      </c>
      <c r="AK148" s="3">
        <v>0</v>
      </c>
    </row>
    <row r="149" spans="1:37" x14ac:dyDescent="0.25">
      <c r="A149" s="131"/>
      <c r="B149" s="62" t="s">
        <v>236</v>
      </c>
      <c r="C149" s="63"/>
      <c r="D149" s="10">
        <v>2058</v>
      </c>
      <c r="E149" s="10">
        <v>30428</v>
      </c>
      <c r="F149" s="11">
        <v>33428</v>
      </c>
      <c r="G149" s="11">
        <v>0</v>
      </c>
      <c r="H149" s="31"/>
      <c r="I149" s="10">
        <v>0</v>
      </c>
      <c r="J149" s="52">
        <v>7</v>
      </c>
      <c r="K149" s="67">
        <v>81310</v>
      </c>
      <c r="L149" s="10">
        <v>1</v>
      </c>
      <c r="M149" s="10">
        <v>1</v>
      </c>
      <c r="N149" s="10" t="s">
        <v>99</v>
      </c>
      <c r="O149" s="10"/>
      <c r="P149" s="11">
        <v>22003</v>
      </c>
      <c r="Q149" s="10">
        <v>0</v>
      </c>
      <c r="R149" s="10">
        <v>1</v>
      </c>
      <c r="S149" s="10">
        <v>1</v>
      </c>
      <c r="T149" s="11">
        <v>0</v>
      </c>
      <c r="U149" s="10">
        <v>10</v>
      </c>
      <c r="V149" s="10">
        <v>1</v>
      </c>
      <c r="W149" s="58">
        <v>6060</v>
      </c>
      <c r="X149" s="10">
        <v>0</v>
      </c>
      <c r="Y149" s="25">
        <v>3503</v>
      </c>
      <c r="Z149" s="11">
        <v>3503</v>
      </c>
      <c r="AA149" s="10">
        <v>12</v>
      </c>
      <c r="AB149" s="10">
        <v>0</v>
      </c>
      <c r="AC149" s="11">
        <v>0</v>
      </c>
      <c r="AD149" s="31"/>
      <c r="AE149" s="31"/>
      <c r="AF149" s="3">
        <v>0</v>
      </c>
      <c r="AG149" s="3">
        <v>0</v>
      </c>
      <c r="AH149" s="3">
        <v>0</v>
      </c>
      <c r="AI149" s="3">
        <v>0</v>
      </c>
      <c r="AJ149" s="3">
        <v>0</v>
      </c>
      <c r="AK149" s="3">
        <v>0</v>
      </c>
    </row>
    <row r="150" spans="1:37" x14ac:dyDescent="0.25">
      <c r="A150" s="65"/>
      <c r="B150" s="62" t="s">
        <v>144</v>
      </c>
      <c r="C150" s="63"/>
      <c r="D150" s="10">
        <v>2101</v>
      </c>
      <c r="E150" s="10">
        <v>30451</v>
      </c>
      <c r="F150" s="11">
        <v>33451</v>
      </c>
      <c r="G150" s="11">
        <v>0</v>
      </c>
      <c r="H150" s="31"/>
      <c r="I150" s="10">
        <v>0</v>
      </c>
      <c r="J150" s="52">
        <v>7</v>
      </c>
      <c r="K150" s="67">
        <v>81311</v>
      </c>
      <c r="L150" s="10">
        <v>2</v>
      </c>
      <c r="M150" s="10">
        <v>2</v>
      </c>
      <c r="N150" s="10" t="s">
        <v>99</v>
      </c>
      <c r="O150" s="10"/>
      <c r="P150" s="11">
        <v>22003</v>
      </c>
      <c r="Q150" s="10">
        <v>0</v>
      </c>
      <c r="R150" s="10">
        <v>1</v>
      </c>
      <c r="S150" s="10">
        <v>1</v>
      </c>
      <c r="T150" s="11">
        <v>0</v>
      </c>
      <c r="U150" s="10">
        <v>10</v>
      </c>
      <c r="V150" s="10">
        <v>1</v>
      </c>
      <c r="W150" s="58">
        <v>6060</v>
      </c>
      <c r="X150" s="10">
        <v>0</v>
      </c>
      <c r="Y150" s="25">
        <v>3503</v>
      </c>
      <c r="Z150" s="11">
        <v>3503</v>
      </c>
      <c r="AA150" s="10">
        <v>12</v>
      </c>
      <c r="AB150" s="10">
        <v>0</v>
      </c>
      <c r="AC150" s="11">
        <v>0</v>
      </c>
      <c r="AD150" s="31"/>
      <c r="AE150" s="31"/>
      <c r="AF150" s="3">
        <v>0</v>
      </c>
      <c r="AG150" s="3">
        <v>0</v>
      </c>
      <c r="AH150" s="3">
        <v>1</v>
      </c>
      <c r="AI150" s="3">
        <v>0</v>
      </c>
      <c r="AJ150" s="3">
        <v>0</v>
      </c>
      <c r="AK150" s="3">
        <v>0</v>
      </c>
    </row>
    <row r="151" spans="1:37" x14ac:dyDescent="0.25">
      <c r="A151" s="65"/>
      <c r="B151" s="62" t="s">
        <v>217</v>
      </c>
      <c r="C151" s="63"/>
      <c r="D151" s="10">
        <v>2102</v>
      </c>
      <c r="E151" s="10">
        <v>30452</v>
      </c>
      <c r="F151" s="11">
        <v>33452</v>
      </c>
      <c r="G151" s="11">
        <v>0</v>
      </c>
      <c r="H151" s="31"/>
      <c r="I151" s="10">
        <v>0</v>
      </c>
      <c r="J151" s="52">
        <v>7</v>
      </c>
      <c r="K151" s="67">
        <v>81312</v>
      </c>
      <c r="L151" s="10">
        <v>2</v>
      </c>
      <c r="M151" s="10">
        <v>2</v>
      </c>
      <c r="N151" s="10" t="s">
        <v>99</v>
      </c>
      <c r="O151" s="10"/>
      <c r="P151" s="120">
        <v>22009</v>
      </c>
      <c r="Q151" s="10">
        <v>0</v>
      </c>
      <c r="R151" s="10">
        <v>1</v>
      </c>
      <c r="S151" s="10">
        <v>1</v>
      </c>
      <c r="T151" s="11">
        <v>0</v>
      </c>
      <c r="U151" s="10">
        <v>10</v>
      </c>
      <c r="V151" s="10">
        <v>1</v>
      </c>
      <c r="W151" s="58">
        <v>6060</v>
      </c>
      <c r="X151" s="10">
        <v>0</v>
      </c>
      <c r="Y151" s="25">
        <v>3503</v>
      </c>
      <c r="Z151" s="11">
        <v>3503</v>
      </c>
      <c r="AA151" s="10">
        <v>12</v>
      </c>
      <c r="AB151" s="10">
        <v>0</v>
      </c>
      <c r="AC151" s="11">
        <v>0</v>
      </c>
      <c r="AD151" s="31"/>
      <c r="AE151" s="31"/>
      <c r="AF151" s="3">
        <v>0</v>
      </c>
      <c r="AG151" s="3">
        <v>0</v>
      </c>
      <c r="AH151" s="3">
        <v>1</v>
      </c>
      <c r="AI151" s="3">
        <v>0</v>
      </c>
      <c r="AJ151" s="3">
        <v>20204</v>
      </c>
      <c r="AK151" s="3">
        <v>0</v>
      </c>
    </row>
    <row r="152" spans="1:37" x14ac:dyDescent="0.25">
      <c r="A152" s="65"/>
      <c r="B152" s="62" t="s">
        <v>223</v>
      </c>
      <c r="C152" s="63"/>
      <c r="D152" s="10">
        <v>2103</v>
      </c>
      <c r="E152" s="10">
        <v>30453</v>
      </c>
      <c r="F152" s="11">
        <v>33453</v>
      </c>
      <c r="G152" s="11">
        <v>0</v>
      </c>
      <c r="H152" s="31"/>
      <c r="I152" s="10">
        <v>0</v>
      </c>
      <c r="J152" s="52">
        <v>7</v>
      </c>
      <c r="K152" s="67">
        <v>81313</v>
      </c>
      <c r="L152" s="10">
        <v>2</v>
      </c>
      <c r="M152" s="10">
        <v>2</v>
      </c>
      <c r="N152" s="10" t="s">
        <v>99</v>
      </c>
      <c r="O152" s="10"/>
      <c r="P152" s="120">
        <v>22009</v>
      </c>
      <c r="Q152" s="10">
        <v>0</v>
      </c>
      <c r="R152" s="10">
        <v>1</v>
      </c>
      <c r="S152" s="10">
        <v>1</v>
      </c>
      <c r="T152" s="11">
        <v>0</v>
      </c>
      <c r="U152" s="10">
        <v>10</v>
      </c>
      <c r="V152" s="10">
        <v>1</v>
      </c>
      <c r="W152" s="58">
        <v>6060</v>
      </c>
      <c r="X152" s="10">
        <v>0</v>
      </c>
      <c r="Y152" s="25">
        <v>3503</v>
      </c>
      <c r="Z152" s="11">
        <v>3503</v>
      </c>
      <c r="AA152" s="10">
        <v>12</v>
      </c>
      <c r="AB152" s="10">
        <v>0</v>
      </c>
      <c r="AC152" s="11">
        <v>0</v>
      </c>
      <c r="AD152" s="31"/>
      <c r="AE152" s="31"/>
      <c r="AF152" s="3">
        <v>0</v>
      </c>
      <c r="AG152" s="3">
        <v>0</v>
      </c>
      <c r="AH152" s="3">
        <v>1</v>
      </c>
      <c r="AI152" s="3">
        <v>0</v>
      </c>
      <c r="AJ152" s="3">
        <v>20208</v>
      </c>
      <c r="AK152" s="3">
        <v>0</v>
      </c>
    </row>
    <row r="153" spans="1:37" x14ac:dyDescent="0.25">
      <c r="A153" s="65"/>
      <c r="B153" s="62" t="s">
        <v>224</v>
      </c>
      <c r="C153" s="63"/>
      <c r="D153" s="10">
        <v>2104</v>
      </c>
      <c r="E153" s="10">
        <v>30454</v>
      </c>
      <c r="F153" s="11">
        <v>33454</v>
      </c>
      <c r="G153" s="11">
        <v>0</v>
      </c>
      <c r="H153" s="31"/>
      <c r="I153" s="10">
        <v>0</v>
      </c>
      <c r="J153" s="52">
        <v>7</v>
      </c>
      <c r="K153" s="67">
        <v>81314</v>
      </c>
      <c r="L153" s="10">
        <v>2</v>
      </c>
      <c r="M153" s="10">
        <v>2</v>
      </c>
      <c r="N153" s="10" t="s">
        <v>99</v>
      </c>
      <c r="O153" s="10"/>
      <c r="P153" s="120">
        <v>22009</v>
      </c>
      <c r="Q153" s="10">
        <v>0</v>
      </c>
      <c r="R153" s="10">
        <v>1</v>
      </c>
      <c r="S153" s="10">
        <v>1</v>
      </c>
      <c r="T153" s="11">
        <v>0</v>
      </c>
      <c r="U153" s="10">
        <v>10</v>
      </c>
      <c r="V153" s="10">
        <v>1</v>
      </c>
      <c r="W153" s="58">
        <v>6060</v>
      </c>
      <c r="X153" s="10">
        <v>0</v>
      </c>
      <c r="Y153" s="25">
        <v>3503</v>
      </c>
      <c r="Z153" s="11">
        <v>3503</v>
      </c>
      <c r="AA153" s="10">
        <v>12</v>
      </c>
      <c r="AB153" s="10">
        <v>0</v>
      </c>
      <c r="AC153" s="11">
        <v>0</v>
      </c>
      <c r="AD153" s="31"/>
      <c r="AE153" s="31"/>
      <c r="AF153" s="3">
        <v>0</v>
      </c>
      <c r="AG153" s="3">
        <v>0</v>
      </c>
      <c r="AH153" s="3">
        <v>1</v>
      </c>
      <c r="AI153" s="3">
        <v>0</v>
      </c>
      <c r="AJ153" s="3">
        <v>20209</v>
      </c>
      <c r="AK153" s="3">
        <v>0</v>
      </c>
    </row>
    <row r="154" spans="1:37" x14ac:dyDescent="0.25">
      <c r="A154" s="65"/>
      <c r="B154" s="62" t="s">
        <v>225</v>
      </c>
      <c r="C154" s="63"/>
      <c r="D154" s="10">
        <v>2105</v>
      </c>
      <c r="E154" s="10">
        <v>30455</v>
      </c>
      <c r="F154" s="11">
        <v>33455</v>
      </c>
      <c r="G154" s="11">
        <v>0</v>
      </c>
      <c r="H154" s="31"/>
      <c r="I154" s="10">
        <v>0</v>
      </c>
      <c r="J154" s="52">
        <v>7</v>
      </c>
      <c r="K154" s="67">
        <v>81315</v>
      </c>
      <c r="L154" s="10">
        <v>2</v>
      </c>
      <c r="M154" s="10">
        <v>2</v>
      </c>
      <c r="N154" s="10" t="s">
        <v>99</v>
      </c>
      <c r="O154" s="10"/>
      <c r="P154" s="120">
        <v>22009</v>
      </c>
      <c r="Q154" s="10">
        <v>0</v>
      </c>
      <c r="R154" s="10">
        <v>1</v>
      </c>
      <c r="S154" s="10">
        <v>1</v>
      </c>
      <c r="T154" s="11">
        <v>0</v>
      </c>
      <c r="U154" s="10">
        <v>10</v>
      </c>
      <c r="V154" s="10">
        <v>1</v>
      </c>
      <c r="W154" s="58">
        <v>6060</v>
      </c>
      <c r="X154" s="10">
        <v>0</v>
      </c>
      <c r="Y154" s="25">
        <v>3503</v>
      </c>
      <c r="Z154" s="11">
        <v>3503</v>
      </c>
      <c r="AA154" s="10">
        <v>12</v>
      </c>
      <c r="AB154" s="10">
        <v>0</v>
      </c>
      <c r="AC154" s="11">
        <v>0</v>
      </c>
      <c r="AD154" s="31"/>
      <c r="AE154" s="31"/>
      <c r="AF154" s="3">
        <v>0</v>
      </c>
      <c r="AG154" s="3">
        <v>0</v>
      </c>
      <c r="AH154" s="3">
        <v>1</v>
      </c>
      <c r="AI154" s="3">
        <v>0</v>
      </c>
      <c r="AJ154" s="3">
        <v>0</v>
      </c>
      <c r="AK154" s="3">
        <v>0</v>
      </c>
    </row>
    <row r="155" spans="1:37" x14ac:dyDescent="0.25">
      <c r="A155" s="65"/>
      <c r="B155" s="62" t="s">
        <v>151</v>
      </c>
      <c r="C155" s="63"/>
      <c r="D155" s="10">
        <v>2106</v>
      </c>
      <c r="E155" s="10">
        <v>30456</v>
      </c>
      <c r="F155" s="11">
        <v>33456</v>
      </c>
      <c r="G155" s="11">
        <v>0</v>
      </c>
      <c r="H155" s="31"/>
      <c r="I155" s="10">
        <v>0</v>
      </c>
      <c r="J155" s="52">
        <v>7</v>
      </c>
      <c r="K155" s="67">
        <v>81316</v>
      </c>
      <c r="L155" s="10">
        <v>2</v>
      </c>
      <c r="M155" s="10">
        <v>2</v>
      </c>
      <c r="N155" s="10" t="s">
        <v>99</v>
      </c>
      <c r="O155" s="10"/>
      <c r="P155" s="11">
        <v>22003</v>
      </c>
      <c r="Q155" s="10">
        <v>0</v>
      </c>
      <c r="R155" s="10">
        <v>1</v>
      </c>
      <c r="S155" s="10">
        <v>1</v>
      </c>
      <c r="T155" s="11">
        <v>0</v>
      </c>
      <c r="U155" s="10">
        <v>10</v>
      </c>
      <c r="V155" s="10">
        <v>1</v>
      </c>
      <c r="W155" s="58">
        <v>6060</v>
      </c>
      <c r="X155" s="10">
        <v>0</v>
      </c>
      <c r="Y155" s="25">
        <v>3503</v>
      </c>
      <c r="Z155" s="11">
        <v>3503</v>
      </c>
      <c r="AA155" s="10">
        <v>12</v>
      </c>
      <c r="AB155" s="10">
        <v>0</v>
      </c>
      <c r="AC155" s="11">
        <v>0</v>
      </c>
      <c r="AD155" s="31"/>
      <c r="AE155" s="31"/>
      <c r="AF155" s="3">
        <v>0</v>
      </c>
      <c r="AG155" s="3">
        <v>0</v>
      </c>
      <c r="AH155" s="3">
        <v>1</v>
      </c>
      <c r="AI155" s="3">
        <v>0</v>
      </c>
      <c r="AJ155" s="3">
        <v>0</v>
      </c>
      <c r="AK155" s="3">
        <v>0</v>
      </c>
    </row>
    <row r="156" spans="1:37" x14ac:dyDescent="0.25">
      <c r="A156" s="65"/>
      <c r="B156" s="62" t="s">
        <v>218</v>
      </c>
      <c r="C156" s="63"/>
      <c r="D156" s="10">
        <v>2111</v>
      </c>
      <c r="E156" s="10">
        <v>30457</v>
      </c>
      <c r="F156" s="11">
        <v>33457</v>
      </c>
      <c r="G156" s="11">
        <v>0</v>
      </c>
      <c r="H156" s="31"/>
      <c r="I156" s="10">
        <v>0</v>
      </c>
      <c r="J156" s="52">
        <v>7</v>
      </c>
      <c r="K156" s="67">
        <v>81317</v>
      </c>
      <c r="L156" s="10">
        <v>1</v>
      </c>
      <c r="M156" s="10">
        <v>4</v>
      </c>
      <c r="N156" s="10" t="s">
        <v>99</v>
      </c>
      <c r="O156" s="10"/>
      <c r="P156" s="120">
        <v>22009</v>
      </c>
      <c r="Q156" s="10">
        <v>0</v>
      </c>
      <c r="R156" s="10">
        <v>1</v>
      </c>
      <c r="S156" s="10">
        <v>1</v>
      </c>
      <c r="T156" s="11">
        <v>0</v>
      </c>
      <c r="U156" s="10">
        <v>10</v>
      </c>
      <c r="V156" s="10">
        <v>1</v>
      </c>
      <c r="W156" s="58">
        <v>6060</v>
      </c>
      <c r="X156" s="10">
        <v>0</v>
      </c>
      <c r="Y156" s="25">
        <v>3503</v>
      </c>
      <c r="Z156" s="11">
        <v>3503</v>
      </c>
      <c r="AA156" s="10">
        <v>12</v>
      </c>
      <c r="AB156" s="10">
        <v>0</v>
      </c>
      <c r="AC156" s="11">
        <v>0</v>
      </c>
      <c r="AD156" s="31"/>
      <c r="AE156" s="31"/>
      <c r="AF156" s="3">
        <v>0</v>
      </c>
      <c r="AG156" s="3">
        <v>0</v>
      </c>
      <c r="AH156" s="3">
        <v>1</v>
      </c>
      <c r="AI156" s="3">
        <v>0</v>
      </c>
      <c r="AJ156" s="3">
        <v>20201</v>
      </c>
      <c r="AK156" s="3">
        <v>0</v>
      </c>
    </row>
    <row r="157" spans="1:37" x14ac:dyDescent="0.25">
      <c r="A157" s="65"/>
      <c r="B157" s="62" t="s">
        <v>219</v>
      </c>
      <c r="C157" s="63"/>
      <c r="D157" s="10">
        <v>2112</v>
      </c>
      <c r="E157" s="10">
        <v>30458</v>
      </c>
      <c r="F157" s="11">
        <v>33458</v>
      </c>
      <c r="G157" s="11">
        <v>0</v>
      </c>
      <c r="H157" s="31"/>
      <c r="I157" s="10">
        <v>0</v>
      </c>
      <c r="J157" s="52">
        <v>7</v>
      </c>
      <c r="K157" s="67">
        <v>81318</v>
      </c>
      <c r="L157" s="10">
        <v>1</v>
      </c>
      <c r="M157" s="10">
        <v>1</v>
      </c>
      <c r="N157" s="10" t="s">
        <v>99</v>
      </c>
      <c r="O157" s="10"/>
      <c r="P157" s="120">
        <v>22009</v>
      </c>
      <c r="Q157" s="10">
        <v>0</v>
      </c>
      <c r="R157" s="10">
        <v>1</v>
      </c>
      <c r="S157" s="10">
        <v>1</v>
      </c>
      <c r="T157" s="11">
        <v>0</v>
      </c>
      <c r="U157" s="10">
        <v>10</v>
      </c>
      <c r="V157" s="10">
        <v>1</v>
      </c>
      <c r="W157" s="58">
        <v>6060</v>
      </c>
      <c r="X157" s="10">
        <v>0</v>
      </c>
      <c r="Y157" s="25">
        <v>3503</v>
      </c>
      <c r="Z157" s="11">
        <v>3503</v>
      </c>
      <c r="AA157" s="10">
        <v>12</v>
      </c>
      <c r="AB157" s="10">
        <v>0</v>
      </c>
      <c r="AC157" s="11">
        <v>0</v>
      </c>
      <c r="AD157" s="31"/>
      <c r="AE157" s="31"/>
      <c r="AF157" s="3">
        <v>0</v>
      </c>
      <c r="AG157" s="3">
        <v>0</v>
      </c>
      <c r="AH157" s="3">
        <v>1</v>
      </c>
      <c r="AI157" s="3">
        <v>0</v>
      </c>
      <c r="AJ157" s="3">
        <v>20201</v>
      </c>
      <c r="AK157" s="3">
        <v>0</v>
      </c>
    </row>
    <row r="158" spans="1:37" x14ac:dyDescent="0.25">
      <c r="A158" s="65"/>
      <c r="B158" s="62" t="s">
        <v>220</v>
      </c>
      <c r="C158" s="63"/>
      <c r="D158" s="10">
        <v>2113</v>
      </c>
      <c r="E158" s="10">
        <v>30459</v>
      </c>
      <c r="F158" s="11">
        <v>33459</v>
      </c>
      <c r="G158" s="11">
        <v>0</v>
      </c>
      <c r="H158" s="31"/>
      <c r="I158" s="10">
        <v>0</v>
      </c>
      <c r="J158" s="52">
        <v>7</v>
      </c>
      <c r="K158" s="67">
        <v>81319</v>
      </c>
      <c r="L158" s="10">
        <v>1</v>
      </c>
      <c r="M158" s="10">
        <v>1</v>
      </c>
      <c r="N158" s="10" t="s">
        <v>99</v>
      </c>
      <c r="O158" s="10"/>
      <c r="P158" s="120">
        <v>22009</v>
      </c>
      <c r="Q158" s="10">
        <v>0</v>
      </c>
      <c r="R158" s="10">
        <v>1</v>
      </c>
      <c r="S158" s="10">
        <v>1</v>
      </c>
      <c r="T158" s="11">
        <v>0</v>
      </c>
      <c r="U158" s="10">
        <v>10</v>
      </c>
      <c r="V158" s="10">
        <v>1</v>
      </c>
      <c r="W158" s="58">
        <v>6060</v>
      </c>
      <c r="X158" s="10">
        <v>0</v>
      </c>
      <c r="Y158" s="25">
        <v>3503</v>
      </c>
      <c r="Z158" s="11">
        <v>3503</v>
      </c>
      <c r="AA158" s="10">
        <v>12</v>
      </c>
      <c r="AB158" s="10">
        <v>0</v>
      </c>
      <c r="AC158" s="11">
        <v>0</v>
      </c>
      <c r="AD158" s="31"/>
      <c r="AE158" s="31"/>
      <c r="AF158" s="3">
        <v>0</v>
      </c>
      <c r="AG158" s="3">
        <v>0</v>
      </c>
      <c r="AH158" s="3">
        <v>1</v>
      </c>
      <c r="AI158" s="3">
        <v>0</v>
      </c>
      <c r="AJ158" s="3">
        <v>20201</v>
      </c>
      <c r="AK158" s="3">
        <v>0</v>
      </c>
    </row>
    <row r="159" spans="1:37" x14ac:dyDescent="0.25">
      <c r="A159" s="65"/>
      <c r="B159" s="62" t="s">
        <v>221</v>
      </c>
      <c r="C159" s="63"/>
      <c r="D159" s="10">
        <v>2114</v>
      </c>
      <c r="E159" s="10">
        <v>30460</v>
      </c>
      <c r="F159" s="11">
        <v>33460</v>
      </c>
      <c r="G159" s="11">
        <v>0</v>
      </c>
      <c r="H159" s="31"/>
      <c r="I159" s="10">
        <v>0</v>
      </c>
      <c r="J159" s="52">
        <v>7</v>
      </c>
      <c r="K159" s="67">
        <v>81320</v>
      </c>
      <c r="L159" s="10">
        <v>1</v>
      </c>
      <c r="M159" s="10">
        <v>4</v>
      </c>
      <c r="N159" s="10" t="s">
        <v>99</v>
      </c>
      <c r="O159" s="10"/>
      <c r="P159" s="11">
        <v>22003</v>
      </c>
      <c r="Q159" s="10">
        <v>0</v>
      </c>
      <c r="R159" s="10">
        <v>1</v>
      </c>
      <c r="S159" s="10">
        <v>1</v>
      </c>
      <c r="T159" s="11">
        <v>0</v>
      </c>
      <c r="U159" s="10">
        <v>10</v>
      </c>
      <c r="V159" s="10">
        <v>1</v>
      </c>
      <c r="W159" s="58">
        <v>6060</v>
      </c>
      <c r="X159" s="10">
        <v>0</v>
      </c>
      <c r="Y159" s="25">
        <v>3503</v>
      </c>
      <c r="Z159" s="11">
        <v>3503</v>
      </c>
      <c r="AA159" s="10">
        <v>12</v>
      </c>
      <c r="AB159" s="10">
        <v>0</v>
      </c>
      <c r="AC159" s="11">
        <v>0</v>
      </c>
      <c r="AD159" s="31"/>
      <c r="AE159" s="31"/>
      <c r="AF159" s="3">
        <v>0</v>
      </c>
      <c r="AG159" s="3">
        <v>0</v>
      </c>
      <c r="AH159" s="3">
        <v>1</v>
      </c>
      <c r="AI159" s="3">
        <v>0</v>
      </c>
      <c r="AJ159" s="3">
        <v>0</v>
      </c>
      <c r="AK159" s="3">
        <v>0</v>
      </c>
    </row>
    <row r="160" spans="1:37" x14ac:dyDescent="0.25">
      <c r="A160" s="65"/>
      <c r="B160" s="62" t="s">
        <v>222</v>
      </c>
      <c r="C160" s="63"/>
      <c r="D160" s="10">
        <v>2115</v>
      </c>
      <c r="E160" s="10">
        <v>30461</v>
      </c>
      <c r="F160" s="11">
        <v>33461</v>
      </c>
      <c r="G160" s="11">
        <v>0</v>
      </c>
      <c r="H160" s="31"/>
      <c r="I160" s="10">
        <v>0</v>
      </c>
      <c r="J160" s="52">
        <v>7</v>
      </c>
      <c r="K160" s="67">
        <v>81321</v>
      </c>
      <c r="L160" s="10">
        <v>2</v>
      </c>
      <c r="M160" s="10">
        <v>2</v>
      </c>
      <c r="N160" s="10" t="s">
        <v>99</v>
      </c>
      <c r="O160" s="10"/>
      <c r="P160" s="11">
        <v>22003</v>
      </c>
      <c r="Q160" s="10">
        <v>0</v>
      </c>
      <c r="R160" s="10">
        <v>1</v>
      </c>
      <c r="S160" s="10">
        <v>1</v>
      </c>
      <c r="T160" s="11">
        <v>0</v>
      </c>
      <c r="U160" s="10">
        <v>10</v>
      </c>
      <c r="V160" s="10">
        <v>1</v>
      </c>
      <c r="W160" s="58">
        <v>6060</v>
      </c>
      <c r="X160" s="10">
        <v>0</v>
      </c>
      <c r="Y160" s="25">
        <v>3503</v>
      </c>
      <c r="Z160" s="11">
        <v>3503</v>
      </c>
      <c r="AA160" s="10">
        <v>12</v>
      </c>
      <c r="AB160" s="10">
        <v>0</v>
      </c>
      <c r="AC160" s="11">
        <v>0</v>
      </c>
      <c r="AD160" s="31"/>
      <c r="AE160" s="31"/>
      <c r="AF160" s="3">
        <v>0</v>
      </c>
      <c r="AG160" s="3">
        <v>0</v>
      </c>
      <c r="AH160" s="3">
        <v>1</v>
      </c>
      <c r="AI160" s="3">
        <v>90032</v>
      </c>
      <c r="AJ160" s="3">
        <v>10257</v>
      </c>
      <c r="AK160" s="3">
        <v>0</v>
      </c>
    </row>
    <row r="161" spans="1:37" x14ac:dyDescent="0.25">
      <c r="A161" s="65"/>
      <c r="B161" s="62" t="s">
        <v>227</v>
      </c>
      <c r="C161" s="63"/>
      <c r="D161" s="10">
        <v>2116</v>
      </c>
      <c r="E161" s="10">
        <v>30462</v>
      </c>
      <c r="F161" s="11">
        <v>33462</v>
      </c>
      <c r="G161" s="11">
        <v>0</v>
      </c>
      <c r="H161" s="31"/>
      <c r="I161" s="10">
        <v>0</v>
      </c>
      <c r="J161" s="52">
        <v>7</v>
      </c>
      <c r="K161" s="67">
        <v>81322</v>
      </c>
      <c r="L161" s="10">
        <v>1</v>
      </c>
      <c r="M161" s="10">
        <v>1</v>
      </c>
      <c r="N161" s="10" t="s">
        <v>99</v>
      </c>
      <c r="O161" s="10"/>
      <c r="P161" s="11">
        <v>22003</v>
      </c>
      <c r="Q161" s="10">
        <v>0</v>
      </c>
      <c r="R161" s="10">
        <v>1</v>
      </c>
      <c r="S161" s="10">
        <v>1</v>
      </c>
      <c r="T161" s="11">
        <v>0</v>
      </c>
      <c r="U161" s="10">
        <v>10</v>
      </c>
      <c r="V161" s="10">
        <v>1</v>
      </c>
      <c r="W161" s="58">
        <v>6060</v>
      </c>
      <c r="X161" s="10">
        <v>0</v>
      </c>
      <c r="Y161" s="25">
        <v>3503</v>
      </c>
      <c r="Z161" s="11">
        <v>3503</v>
      </c>
      <c r="AA161" s="10">
        <v>12</v>
      </c>
      <c r="AB161" s="10">
        <v>0</v>
      </c>
      <c r="AC161" s="11">
        <v>0</v>
      </c>
      <c r="AD161" s="31"/>
      <c r="AE161" s="31"/>
      <c r="AF161" s="3">
        <v>0</v>
      </c>
      <c r="AG161" s="3">
        <v>0</v>
      </c>
      <c r="AH161" s="3">
        <v>1</v>
      </c>
      <c r="AI161" s="3">
        <v>0</v>
      </c>
      <c r="AJ161" s="3">
        <v>0</v>
      </c>
      <c r="AK161" s="3">
        <v>0</v>
      </c>
    </row>
    <row r="162" spans="1:37" x14ac:dyDescent="0.25">
      <c r="A162" s="66"/>
      <c r="B162" s="62" t="s">
        <v>239</v>
      </c>
      <c r="C162" s="63"/>
      <c r="D162" s="10">
        <v>2117</v>
      </c>
      <c r="E162" s="10">
        <v>30463</v>
      </c>
      <c r="F162" s="11">
        <v>33463</v>
      </c>
      <c r="G162" s="11">
        <v>0</v>
      </c>
      <c r="H162" s="31"/>
      <c r="I162" s="10">
        <v>0</v>
      </c>
      <c r="J162" s="52">
        <v>7</v>
      </c>
      <c r="K162" s="67">
        <v>81323</v>
      </c>
      <c r="L162" s="10">
        <v>1</v>
      </c>
      <c r="M162" s="10">
        <v>1</v>
      </c>
      <c r="N162" s="10" t="s">
        <v>99</v>
      </c>
      <c r="O162" s="10"/>
      <c r="P162" s="120">
        <v>22009</v>
      </c>
      <c r="Q162" s="10">
        <v>0</v>
      </c>
      <c r="R162" s="10">
        <v>1</v>
      </c>
      <c r="S162" s="10">
        <v>1</v>
      </c>
      <c r="T162" s="11">
        <v>0</v>
      </c>
      <c r="U162" s="10">
        <v>10</v>
      </c>
      <c r="V162" s="10">
        <v>1</v>
      </c>
      <c r="W162" s="58">
        <v>6060</v>
      </c>
      <c r="X162" s="10">
        <v>0</v>
      </c>
      <c r="Y162" s="25">
        <v>3503</v>
      </c>
      <c r="Z162" s="11">
        <v>3503</v>
      </c>
      <c r="AA162" s="10">
        <v>12</v>
      </c>
      <c r="AB162" s="10">
        <v>0</v>
      </c>
      <c r="AC162" s="11">
        <v>0</v>
      </c>
      <c r="AD162" s="31"/>
      <c r="AE162" s="31"/>
      <c r="AF162" s="3">
        <v>0</v>
      </c>
      <c r="AG162" s="3">
        <v>0</v>
      </c>
      <c r="AH162" s="3">
        <v>1</v>
      </c>
      <c r="AI162" s="3">
        <v>0</v>
      </c>
      <c r="AJ162" s="3">
        <v>0</v>
      </c>
      <c r="AK162" s="3">
        <v>0</v>
      </c>
    </row>
    <row r="163" spans="1:37" x14ac:dyDescent="0.25">
      <c r="A163" s="113"/>
      <c r="B163" s="114" t="s">
        <v>443</v>
      </c>
      <c r="C163" s="63"/>
      <c r="D163" s="10">
        <v>2501</v>
      </c>
      <c r="E163" s="10">
        <v>30466</v>
      </c>
      <c r="F163" s="11">
        <v>33466</v>
      </c>
      <c r="G163" s="11">
        <v>0</v>
      </c>
      <c r="H163" s="31"/>
      <c r="I163" s="10">
        <v>0</v>
      </c>
      <c r="J163" s="17">
        <v>7</v>
      </c>
      <c r="K163" s="18">
        <v>81324</v>
      </c>
      <c r="L163" s="10">
        <v>1</v>
      </c>
      <c r="M163" s="10">
        <v>1</v>
      </c>
      <c r="N163" s="10" t="s">
        <v>99</v>
      </c>
      <c r="O163" s="10"/>
      <c r="P163" s="11">
        <v>22003</v>
      </c>
      <c r="Q163" s="10">
        <v>0</v>
      </c>
      <c r="R163" s="10">
        <v>1</v>
      </c>
      <c r="S163" s="10">
        <v>1</v>
      </c>
      <c r="T163" s="11">
        <v>0</v>
      </c>
      <c r="U163" s="10">
        <v>10</v>
      </c>
      <c r="V163" s="10">
        <v>1</v>
      </c>
      <c r="W163" s="58">
        <v>6060</v>
      </c>
      <c r="X163" s="10">
        <v>0</v>
      </c>
      <c r="Y163" s="25">
        <v>3503</v>
      </c>
      <c r="Z163" s="11">
        <v>3503</v>
      </c>
      <c r="AA163" s="10">
        <v>12</v>
      </c>
      <c r="AB163" s="10">
        <v>0</v>
      </c>
      <c r="AC163" s="11">
        <v>0</v>
      </c>
      <c r="AD163" s="31"/>
      <c r="AE163" s="31"/>
      <c r="AF163" s="3">
        <v>0</v>
      </c>
      <c r="AG163" s="3">
        <v>0</v>
      </c>
      <c r="AH163" s="3">
        <v>1</v>
      </c>
      <c r="AI163" s="3">
        <v>20206</v>
      </c>
      <c r="AJ163" s="3">
        <v>20207</v>
      </c>
      <c r="AK163" s="3">
        <v>0</v>
      </c>
    </row>
    <row r="164" spans="1:37" ht="17.25" customHeight="1" x14ac:dyDescent="0.25">
      <c r="A164" s="124" t="s">
        <v>61</v>
      </c>
      <c r="B164" s="124" t="s">
        <v>86</v>
      </c>
      <c r="C164" s="36"/>
      <c r="D164" s="10">
        <v>4001</v>
      </c>
      <c r="E164" s="10">
        <v>31501</v>
      </c>
      <c r="F164" s="11">
        <v>34001</v>
      </c>
      <c r="G164" s="11">
        <v>0</v>
      </c>
      <c r="H164" s="80" t="s">
        <v>351</v>
      </c>
      <c r="I164" s="10">
        <v>80104</v>
      </c>
      <c r="J164" s="52">
        <v>7</v>
      </c>
      <c r="K164" s="15">
        <v>80004</v>
      </c>
      <c r="L164" s="10">
        <v>2</v>
      </c>
      <c r="M164" s="10">
        <v>2</v>
      </c>
      <c r="N164" s="10" t="s">
        <v>62</v>
      </c>
      <c r="O164" s="10"/>
      <c r="P164" s="11">
        <v>22002</v>
      </c>
      <c r="Q164" s="10">
        <v>0</v>
      </c>
      <c r="R164" s="10">
        <v>1</v>
      </c>
      <c r="S164" s="10">
        <v>1</v>
      </c>
      <c r="T164" s="11">
        <v>1</v>
      </c>
      <c r="U164" s="10">
        <v>100</v>
      </c>
      <c r="V164" s="10">
        <v>0</v>
      </c>
      <c r="W164" s="10">
        <v>5001</v>
      </c>
      <c r="X164" s="10">
        <v>0</v>
      </c>
      <c r="Y164" s="25">
        <v>3503</v>
      </c>
      <c r="Z164" s="11">
        <v>3503</v>
      </c>
      <c r="AA164" s="10">
        <v>12</v>
      </c>
      <c r="AB164" s="10">
        <v>0</v>
      </c>
      <c r="AC164" s="10">
        <v>1</v>
      </c>
      <c r="AD164" s="31"/>
      <c r="AE164" s="31"/>
      <c r="AF164" s="3">
        <v>0</v>
      </c>
      <c r="AG164" s="3">
        <v>0</v>
      </c>
      <c r="AH164" s="3">
        <v>0</v>
      </c>
      <c r="AI164" s="3">
        <v>0</v>
      </c>
      <c r="AJ164" s="3">
        <v>0</v>
      </c>
      <c r="AK164" s="3">
        <v>0</v>
      </c>
    </row>
    <row r="165" spans="1:37" x14ac:dyDescent="0.25">
      <c r="A165" s="125"/>
      <c r="B165" s="125"/>
      <c r="C165" s="36"/>
      <c r="D165" s="10">
        <v>4002</v>
      </c>
      <c r="E165" s="10">
        <v>31502</v>
      </c>
      <c r="F165" s="11">
        <v>34002</v>
      </c>
      <c r="G165" s="11">
        <v>0</v>
      </c>
      <c r="H165" s="80" t="s">
        <v>352</v>
      </c>
      <c r="I165" s="10">
        <v>80104</v>
      </c>
      <c r="J165" s="52">
        <v>7</v>
      </c>
      <c r="K165" s="15">
        <v>80004</v>
      </c>
      <c r="L165" s="10">
        <v>2</v>
      </c>
      <c r="M165" s="10">
        <v>2</v>
      </c>
      <c r="N165" s="10" t="s">
        <v>62</v>
      </c>
      <c r="O165" s="10"/>
      <c r="P165" s="11">
        <v>22002</v>
      </c>
      <c r="Q165" s="10">
        <v>0</v>
      </c>
      <c r="R165" s="10">
        <v>1</v>
      </c>
      <c r="S165" s="10">
        <v>1</v>
      </c>
      <c r="T165" s="11">
        <v>1</v>
      </c>
      <c r="U165" s="10">
        <v>100</v>
      </c>
      <c r="V165" s="10">
        <v>0</v>
      </c>
      <c r="W165" s="10">
        <v>5001</v>
      </c>
      <c r="X165" s="10">
        <v>0</v>
      </c>
      <c r="Y165" s="25">
        <v>3503</v>
      </c>
      <c r="Z165" s="11">
        <v>3503</v>
      </c>
      <c r="AA165" s="10">
        <v>12</v>
      </c>
      <c r="AB165" s="10">
        <v>0</v>
      </c>
      <c r="AC165" s="10">
        <v>1</v>
      </c>
      <c r="AD165" s="31"/>
      <c r="AE165" s="31"/>
      <c r="AF165" s="3">
        <v>0</v>
      </c>
      <c r="AG165" s="3">
        <v>0</v>
      </c>
      <c r="AH165" s="3">
        <v>0</v>
      </c>
      <c r="AI165" s="3">
        <v>0</v>
      </c>
      <c r="AJ165" s="3">
        <v>0</v>
      </c>
      <c r="AK165" s="3">
        <v>0</v>
      </c>
    </row>
    <row r="166" spans="1:37" x14ac:dyDescent="0.25">
      <c r="A166" s="125"/>
      <c r="B166" s="125"/>
      <c r="C166" s="36"/>
      <c r="D166" s="10">
        <v>4003</v>
      </c>
      <c r="E166" s="10">
        <v>31503</v>
      </c>
      <c r="F166" s="11">
        <v>34003</v>
      </c>
      <c r="G166" s="11">
        <v>0</v>
      </c>
      <c r="H166" s="80" t="s">
        <v>353</v>
      </c>
      <c r="I166" s="10">
        <v>80104</v>
      </c>
      <c r="J166" s="52">
        <v>7</v>
      </c>
      <c r="K166" s="15">
        <v>80004</v>
      </c>
      <c r="L166" s="10">
        <v>2</v>
      </c>
      <c r="M166" s="10">
        <v>2</v>
      </c>
      <c r="N166" s="10" t="s">
        <v>62</v>
      </c>
      <c r="O166" s="10"/>
      <c r="P166" s="11">
        <v>22002</v>
      </c>
      <c r="Q166" s="10">
        <v>0</v>
      </c>
      <c r="R166" s="10">
        <v>1</v>
      </c>
      <c r="S166" s="10">
        <v>1</v>
      </c>
      <c r="T166" s="11">
        <v>1</v>
      </c>
      <c r="U166" s="10">
        <v>100</v>
      </c>
      <c r="V166" s="10">
        <v>0</v>
      </c>
      <c r="W166" s="10">
        <v>5001</v>
      </c>
      <c r="X166" s="10">
        <v>0</v>
      </c>
      <c r="Y166" s="25">
        <v>3503</v>
      </c>
      <c r="Z166" s="11">
        <v>3503</v>
      </c>
      <c r="AA166" s="10">
        <v>12</v>
      </c>
      <c r="AB166" s="10">
        <v>0</v>
      </c>
      <c r="AC166" s="10">
        <v>1</v>
      </c>
      <c r="AD166" s="31"/>
      <c r="AE166" s="31"/>
      <c r="AF166" s="3">
        <v>0</v>
      </c>
      <c r="AG166" s="3">
        <v>0</v>
      </c>
      <c r="AH166" s="3">
        <v>0</v>
      </c>
      <c r="AI166" s="3">
        <v>0</v>
      </c>
      <c r="AJ166" s="3">
        <v>0</v>
      </c>
      <c r="AK166" s="3">
        <v>0</v>
      </c>
    </row>
    <row r="167" spans="1:37" x14ac:dyDescent="0.25">
      <c r="A167" s="125"/>
      <c r="B167" s="125"/>
      <c r="C167" s="36"/>
      <c r="D167" s="10">
        <v>4004</v>
      </c>
      <c r="E167" s="10">
        <v>31504</v>
      </c>
      <c r="F167" s="11">
        <v>34004</v>
      </c>
      <c r="G167" s="11">
        <v>0</v>
      </c>
      <c r="H167" s="80" t="s">
        <v>354</v>
      </c>
      <c r="I167" s="10">
        <v>80101</v>
      </c>
      <c r="J167" s="52">
        <v>7</v>
      </c>
      <c r="K167" s="15">
        <v>80001</v>
      </c>
      <c r="L167" s="10">
        <v>2</v>
      </c>
      <c r="M167" s="10">
        <v>2</v>
      </c>
      <c r="N167" s="10" t="s">
        <v>62</v>
      </c>
      <c r="O167" s="10"/>
      <c r="P167" s="11">
        <v>22002</v>
      </c>
      <c r="Q167" s="10">
        <v>0</v>
      </c>
      <c r="R167" s="10">
        <v>1</v>
      </c>
      <c r="S167" s="10">
        <v>1</v>
      </c>
      <c r="T167" s="11">
        <v>1</v>
      </c>
      <c r="U167" s="10">
        <v>100</v>
      </c>
      <c r="V167" s="10">
        <v>0</v>
      </c>
      <c r="W167" s="10">
        <v>5001</v>
      </c>
      <c r="X167" s="10">
        <v>0</v>
      </c>
      <c r="Y167" s="25">
        <v>3503</v>
      </c>
      <c r="Z167" s="11">
        <v>3503</v>
      </c>
      <c r="AA167" s="10">
        <v>12</v>
      </c>
      <c r="AB167" s="10">
        <v>0</v>
      </c>
      <c r="AC167" s="10">
        <v>1</v>
      </c>
      <c r="AD167" s="31"/>
      <c r="AE167" s="31"/>
      <c r="AF167" s="3">
        <v>0</v>
      </c>
      <c r="AG167" s="3">
        <v>0</v>
      </c>
      <c r="AH167" s="3">
        <v>0</v>
      </c>
      <c r="AI167" s="3">
        <v>0</v>
      </c>
      <c r="AJ167" s="3">
        <v>0</v>
      </c>
      <c r="AK167" s="3">
        <v>0</v>
      </c>
    </row>
    <row r="168" spans="1:37" x14ac:dyDescent="0.25">
      <c r="A168" s="125"/>
      <c r="B168" s="125"/>
      <c r="C168" s="36"/>
      <c r="D168" s="10">
        <v>4005</v>
      </c>
      <c r="E168" s="10">
        <v>31505</v>
      </c>
      <c r="F168" s="11">
        <v>34005</v>
      </c>
      <c r="G168" s="11">
        <v>0</v>
      </c>
      <c r="H168" s="80" t="s">
        <v>355</v>
      </c>
      <c r="I168" s="10">
        <v>80101</v>
      </c>
      <c r="J168" s="52">
        <v>7</v>
      </c>
      <c r="K168" s="15">
        <v>80001</v>
      </c>
      <c r="L168" s="10">
        <v>2</v>
      </c>
      <c r="M168" s="10">
        <v>2</v>
      </c>
      <c r="N168" s="10" t="s">
        <v>62</v>
      </c>
      <c r="O168" s="10"/>
      <c r="P168" s="11">
        <v>22002</v>
      </c>
      <c r="Q168" s="10">
        <v>0</v>
      </c>
      <c r="R168" s="10">
        <v>1</v>
      </c>
      <c r="S168" s="10">
        <v>1</v>
      </c>
      <c r="T168" s="11">
        <v>1</v>
      </c>
      <c r="U168" s="10">
        <v>100</v>
      </c>
      <c r="V168" s="10">
        <v>0</v>
      </c>
      <c r="W168" s="10">
        <v>5001</v>
      </c>
      <c r="X168" s="10">
        <v>0</v>
      </c>
      <c r="Y168" s="25">
        <v>3503</v>
      </c>
      <c r="Z168" s="11">
        <v>3503</v>
      </c>
      <c r="AA168" s="10">
        <v>12</v>
      </c>
      <c r="AB168" s="10">
        <v>0</v>
      </c>
      <c r="AC168" s="10">
        <v>1</v>
      </c>
      <c r="AD168" s="31"/>
      <c r="AE168" s="31"/>
      <c r="AF168" s="3">
        <v>0</v>
      </c>
      <c r="AG168" s="3">
        <v>0</v>
      </c>
      <c r="AH168" s="3">
        <v>0</v>
      </c>
      <c r="AI168" s="3">
        <v>0</v>
      </c>
      <c r="AJ168" s="3">
        <v>0</v>
      </c>
      <c r="AK168" s="3">
        <v>0</v>
      </c>
    </row>
    <row r="169" spans="1:37" x14ac:dyDescent="0.25">
      <c r="A169" s="125"/>
      <c r="B169" s="126"/>
      <c r="C169" s="36"/>
      <c r="D169" s="10">
        <v>4006</v>
      </c>
      <c r="E169" s="10">
        <v>31506</v>
      </c>
      <c r="F169" s="11">
        <v>34006</v>
      </c>
      <c r="G169" s="11">
        <v>0</v>
      </c>
      <c r="H169" s="80" t="s">
        <v>356</v>
      </c>
      <c r="I169" s="10">
        <v>80101</v>
      </c>
      <c r="J169" s="52">
        <v>7</v>
      </c>
      <c r="K169" s="15">
        <v>80001</v>
      </c>
      <c r="L169" s="10">
        <v>2</v>
      </c>
      <c r="M169" s="10">
        <v>2</v>
      </c>
      <c r="N169" s="10" t="s">
        <v>62</v>
      </c>
      <c r="O169" s="10"/>
      <c r="P169" s="11">
        <v>22002</v>
      </c>
      <c r="Q169" s="10">
        <v>0</v>
      </c>
      <c r="R169" s="10">
        <v>1</v>
      </c>
      <c r="S169" s="10">
        <v>1</v>
      </c>
      <c r="T169" s="11">
        <v>1</v>
      </c>
      <c r="U169" s="10">
        <v>100</v>
      </c>
      <c r="V169" s="10">
        <v>0</v>
      </c>
      <c r="W169" s="10">
        <v>5001</v>
      </c>
      <c r="X169" s="10">
        <v>0</v>
      </c>
      <c r="Y169" s="25">
        <v>3503</v>
      </c>
      <c r="Z169" s="11">
        <v>3503</v>
      </c>
      <c r="AA169" s="10">
        <v>12</v>
      </c>
      <c r="AB169" s="10">
        <v>0</v>
      </c>
      <c r="AC169" s="10">
        <v>1</v>
      </c>
      <c r="AD169" s="31"/>
      <c r="AE169" s="31"/>
      <c r="AF169" s="3">
        <v>0</v>
      </c>
      <c r="AG169" s="3">
        <v>0</v>
      </c>
      <c r="AH169" s="3">
        <v>0</v>
      </c>
      <c r="AI169" s="3">
        <v>0</v>
      </c>
      <c r="AJ169" s="3">
        <v>0</v>
      </c>
      <c r="AK169" s="3">
        <v>0</v>
      </c>
    </row>
    <row r="170" spans="1:37" x14ac:dyDescent="0.25">
      <c r="A170" s="125"/>
      <c r="B170" s="130" t="s">
        <v>262</v>
      </c>
      <c r="C170" s="36" t="s">
        <v>251</v>
      </c>
      <c r="D170" s="10">
        <v>4101</v>
      </c>
      <c r="E170" s="10">
        <v>31601</v>
      </c>
      <c r="F170" s="11">
        <v>34111</v>
      </c>
      <c r="G170" s="11">
        <v>0</v>
      </c>
      <c r="H170" s="85" t="s">
        <v>357</v>
      </c>
      <c r="I170" s="10">
        <v>80105</v>
      </c>
      <c r="J170" s="52">
        <v>7</v>
      </c>
      <c r="K170" s="15">
        <v>80005</v>
      </c>
      <c r="L170" s="10">
        <v>2</v>
      </c>
      <c r="M170" s="10">
        <v>2</v>
      </c>
      <c r="N170" s="10" t="s">
        <v>62</v>
      </c>
      <c r="O170" s="10"/>
      <c r="P170" s="11">
        <v>22002</v>
      </c>
      <c r="Q170" s="10">
        <v>0</v>
      </c>
      <c r="R170" s="10">
        <v>1</v>
      </c>
      <c r="S170" s="10">
        <v>1</v>
      </c>
      <c r="T170" s="11">
        <v>1</v>
      </c>
      <c r="U170" s="10">
        <v>100</v>
      </c>
      <c r="V170" s="10">
        <v>0</v>
      </c>
      <c r="W170" s="10">
        <v>5001</v>
      </c>
      <c r="X170" s="10">
        <v>0</v>
      </c>
      <c r="Y170" s="25">
        <v>3503</v>
      </c>
      <c r="Z170" s="11">
        <v>3503</v>
      </c>
      <c r="AA170" s="10">
        <v>12</v>
      </c>
      <c r="AB170" s="10">
        <v>0</v>
      </c>
      <c r="AC170" s="10">
        <v>1</v>
      </c>
      <c r="AD170" s="31"/>
      <c r="AE170" s="31"/>
      <c r="AF170" s="3">
        <v>0</v>
      </c>
      <c r="AG170" s="3">
        <v>0</v>
      </c>
      <c r="AH170" s="3">
        <v>0</v>
      </c>
      <c r="AI170" s="3">
        <v>0</v>
      </c>
      <c r="AJ170" s="3">
        <v>0</v>
      </c>
      <c r="AK170" s="3">
        <v>0</v>
      </c>
    </row>
    <row r="171" spans="1:37" x14ac:dyDescent="0.25">
      <c r="A171" s="125"/>
      <c r="B171" s="130"/>
      <c r="C171" s="36" t="s">
        <v>253</v>
      </c>
      <c r="D171" s="10">
        <v>4102</v>
      </c>
      <c r="E171" s="10">
        <v>31602</v>
      </c>
      <c r="F171" s="11">
        <v>34112</v>
      </c>
      <c r="G171" s="11">
        <v>0</v>
      </c>
      <c r="H171" s="85" t="s">
        <v>358</v>
      </c>
      <c r="I171" s="10">
        <v>80105</v>
      </c>
      <c r="J171" s="52">
        <v>7</v>
      </c>
      <c r="K171" s="15">
        <v>80005</v>
      </c>
      <c r="L171" s="10">
        <v>2</v>
      </c>
      <c r="M171" s="10">
        <v>2</v>
      </c>
      <c r="N171" s="10" t="s">
        <v>62</v>
      </c>
      <c r="O171" s="10"/>
      <c r="P171" s="11">
        <v>22002</v>
      </c>
      <c r="Q171" s="10">
        <v>0</v>
      </c>
      <c r="R171" s="10">
        <v>1</v>
      </c>
      <c r="S171" s="10">
        <v>1</v>
      </c>
      <c r="T171" s="11">
        <v>1</v>
      </c>
      <c r="U171" s="10">
        <v>100</v>
      </c>
      <c r="V171" s="10">
        <v>0</v>
      </c>
      <c r="W171" s="10">
        <v>5001</v>
      </c>
      <c r="X171" s="10">
        <v>0</v>
      </c>
      <c r="Y171" s="25">
        <v>3503</v>
      </c>
      <c r="Z171" s="11">
        <v>3503</v>
      </c>
      <c r="AA171" s="10">
        <v>12</v>
      </c>
      <c r="AB171" s="10">
        <v>0</v>
      </c>
      <c r="AC171" s="10">
        <v>1</v>
      </c>
      <c r="AD171" s="31"/>
      <c r="AE171" s="31"/>
      <c r="AF171" s="3">
        <v>0</v>
      </c>
      <c r="AG171" s="3">
        <v>0</v>
      </c>
      <c r="AH171" s="3">
        <v>0</v>
      </c>
      <c r="AI171" s="3">
        <v>0</v>
      </c>
      <c r="AJ171" s="3">
        <v>0</v>
      </c>
      <c r="AK171" s="3">
        <v>0</v>
      </c>
    </row>
    <row r="172" spans="1:37" x14ac:dyDescent="0.25">
      <c r="A172" s="125"/>
      <c r="B172" s="130"/>
      <c r="C172" s="36" t="s">
        <v>255</v>
      </c>
      <c r="D172" s="10">
        <v>4103</v>
      </c>
      <c r="E172" s="10">
        <v>31603</v>
      </c>
      <c r="F172" s="11">
        <v>34113</v>
      </c>
      <c r="G172" s="11">
        <v>0</v>
      </c>
      <c r="H172" s="85" t="s">
        <v>359</v>
      </c>
      <c r="I172" s="10">
        <v>80105</v>
      </c>
      <c r="J172" s="52">
        <v>7</v>
      </c>
      <c r="K172" s="15">
        <v>80005</v>
      </c>
      <c r="L172" s="10">
        <v>2</v>
      </c>
      <c r="M172" s="10">
        <v>2</v>
      </c>
      <c r="N172" s="10" t="s">
        <v>62</v>
      </c>
      <c r="O172" s="10"/>
      <c r="P172" s="11">
        <v>22002</v>
      </c>
      <c r="Q172" s="10">
        <v>0</v>
      </c>
      <c r="R172" s="10">
        <v>1</v>
      </c>
      <c r="S172" s="10">
        <v>1</v>
      </c>
      <c r="T172" s="11">
        <v>1</v>
      </c>
      <c r="U172" s="10">
        <v>100</v>
      </c>
      <c r="V172" s="10">
        <v>0</v>
      </c>
      <c r="W172" s="10">
        <v>5001</v>
      </c>
      <c r="X172" s="10">
        <v>0</v>
      </c>
      <c r="Y172" s="25">
        <v>3503</v>
      </c>
      <c r="Z172" s="11">
        <v>3503</v>
      </c>
      <c r="AA172" s="10">
        <v>12</v>
      </c>
      <c r="AB172" s="10">
        <v>0</v>
      </c>
      <c r="AC172" s="10">
        <v>1</v>
      </c>
      <c r="AD172" s="31"/>
      <c r="AE172" s="31"/>
      <c r="AF172" s="3">
        <v>0</v>
      </c>
      <c r="AG172" s="3">
        <v>0</v>
      </c>
      <c r="AH172" s="3">
        <v>0</v>
      </c>
      <c r="AI172" s="3">
        <v>0</v>
      </c>
      <c r="AJ172" s="3">
        <v>0</v>
      </c>
      <c r="AK172" s="3">
        <v>0</v>
      </c>
    </row>
    <row r="173" spans="1:37" x14ac:dyDescent="0.25">
      <c r="A173" s="125"/>
      <c r="B173" s="130"/>
      <c r="C173" s="36" t="s">
        <v>257</v>
      </c>
      <c r="D173" s="10">
        <v>4104</v>
      </c>
      <c r="E173" s="10">
        <v>31604</v>
      </c>
      <c r="F173" s="11">
        <v>34114</v>
      </c>
      <c r="G173" s="11">
        <v>0</v>
      </c>
      <c r="H173" s="85" t="s">
        <v>360</v>
      </c>
      <c r="I173" s="10">
        <v>80105</v>
      </c>
      <c r="J173" s="52">
        <v>7</v>
      </c>
      <c r="K173" s="15">
        <v>80005</v>
      </c>
      <c r="L173" s="10">
        <v>2</v>
      </c>
      <c r="M173" s="10">
        <v>2</v>
      </c>
      <c r="N173" s="10" t="s">
        <v>62</v>
      </c>
      <c r="O173" s="10"/>
      <c r="P173" s="11">
        <v>22002</v>
      </c>
      <c r="Q173" s="10">
        <v>0</v>
      </c>
      <c r="R173" s="10">
        <v>1</v>
      </c>
      <c r="S173" s="10">
        <v>1</v>
      </c>
      <c r="T173" s="11">
        <v>1</v>
      </c>
      <c r="U173" s="10">
        <v>100</v>
      </c>
      <c r="V173" s="10">
        <v>0</v>
      </c>
      <c r="W173" s="10">
        <v>5001</v>
      </c>
      <c r="X173" s="10">
        <v>0</v>
      </c>
      <c r="Y173" s="25">
        <v>3503</v>
      </c>
      <c r="Z173" s="11">
        <v>3503</v>
      </c>
      <c r="AA173" s="10">
        <v>12</v>
      </c>
      <c r="AB173" s="10">
        <v>0</v>
      </c>
      <c r="AC173" s="10">
        <v>1</v>
      </c>
      <c r="AD173" s="31"/>
      <c r="AE173" s="31"/>
      <c r="AF173" s="3">
        <v>0</v>
      </c>
      <c r="AG173" s="3">
        <v>0</v>
      </c>
      <c r="AH173" s="3">
        <v>0</v>
      </c>
      <c r="AI173" s="3">
        <v>0</v>
      </c>
      <c r="AJ173" s="3">
        <v>0</v>
      </c>
      <c r="AK173" s="3">
        <v>0</v>
      </c>
    </row>
    <row r="174" spans="1:37" x14ac:dyDescent="0.25">
      <c r="A174" s="125"/>
      <c r="B174" s="130"/>
      <c r="C174" s="36" t="s">
        <v>258</v>
      </c>
      <c r="D174" s="10">
        <v>4105</v>
      </c>
      <c r="E174" s="10">
        <v>31605</v>
      </c>
      <c r="F174" s="11">
        <v>34115</v>
      </c>
      <c r="G174" s="11">
        <v>0</v>
      </c>
      <c r="H174" s="85" t="s">
        <v>361</v>
      </c>
      <c r="I174" s="10">
        <v>80105</v>
      </c>
      <c r="J174" s="52">
        <v>7</v>
      </c>
      <c r="K174" s="15">
        <v>80005</v>
      </c>
      <c r="L174" s="10">
        <v>2</v>
      </c>
      <c r="M174" s="10">
        <v>2</v>
      </c>
      <c r="N174" s="10" t="s">
        <v>62</v>
      </c>
      <c r="O174" s="10"/>
      <c r="P174" s="11">
        <v>22002</v>
      </c>
      <c r="Q174" s="10">
        <v>0</v>
      </c>
      <c r="R174" s="10">
        <v>1</v>
      </c>
      <c r="S174" s="10">
        <v>1</v>
      </c>
      <c r="T174" s="11">
        <v>1</v>
      </c>
      <c r="U174" s="10">
        <v>100</v>
      </c>
      <c r="V174" s="10">
        <v>0</v>
      </c>
      <c r="W174" s="10">
        <v>5001</v>
      </c>
      <c r="X174" s="10">
        <v>0</v>
      </c>
      <c r="Y174" s="25">
        <v>3503</v>
      </c>
      <c r="Z174" s="11">
        <v>3503</v>
      </c>
      <c r="AA174" s="10">
        <v>12</v>
      </c>
      <c r="AB174" s="10">
        <v>0</v>
      </c>
      <c r="AC174" s="10">
        <v>1</v>
      </c>
      <c r="AD174" s="31"/>
      <c r="AE174" s="31"/>
      <c r="AF174" s="3">
        <v>0</v>
      </c>
      <c r="AG174" s="3">
        <v>0</v>
      </c>
      <c r="AH174" s="3">
        <v>0</v>
      </c>
      <c r="AI174" s="3">
        <v>0</v>
      </c>
      <c r="AJ174" s="3">
        <v>0</v>
      </c>
      <c r="AK174" s="3">
        <v>0</v>
      </c>
    </row>
    <row r="175" spans="1:37" x14ac:dyDescent="0.25">
      <c r="A175" s="125"/>
      <c r="B175" s="130"/>
      <c r="C175" s="36" t="s">
        <v>260</v>
      </c>
      <c r="D175" s="10">
        <v>4106</v>
      </c>
      <c r="E175" s="10">
        <v>31606</v>
      </c>
      <c r="F175" s="11">
        <v>34116</v>
      </c>
      <c r="G175" s="11">
        <v>0</v>
      </c>
      <c r="H175" s="85" t="s">
        <v>362</v>
      </c>
      <c r="I175" s="10">
        <v>80105</v>
      </c>
      <c r="J175" s="52">
        <v>7</v>
      </c>
      <c r="K175" s="15">
        <v>80005</v>
      </c>
      <c r="L175" s="10">
        <v>2</v>
      </c>
      <c r="M175" s="10">
        <v>2</v>
      </c>
      <c r="N175" s="10" t="s">
        <v>62</v>
      </c>
      <c r="O175" s="10"/>
      <c r="P175" s="11">
        <v>22002</v>
      </c>
      <c r="Q175" s="10">
        <v>0</v>
      </c>
      <c r="R175" s="10">
        <v>1</v>
      </c>
      <c r="S175" s="10">
        <v>1</v>
      </c>
      <c r="T175" s="11">
        <v>1</v>
      </c>
      <c r="U175" s="10">
        <v>100</v>
      </c>
      <c r="V175" s="10">
        <v>0</v>
      </c>
      <c r="W175" s="10">
        <v>5001</v>
      </c>
      <c r="X175" s="10">
        <v>0</v>
      </c>
      <c r="Y175" s="25">
        <v>3503</v>
      </c>
      <c r="Z175" s="11">
        <v>3503</v>
      </c>
      <c r="AA175" s="10">
        <v>12</v>
      </c>
      <c r="AB175" s="10">
        <v>0</v>
      </c>
      <c r="AC175" s="10">
        <v>1</v>
      </c>
      <c r="AD175" s="31"/>
      <c r="AE175" s="31"/>
      <c r="AF175" s="3">
        <v>0</v>
      </c>
      <c r="AG175" s="3">
        <v>0</v>
      </c>
      <c r="AH175" s="3">
        <v>0</v>
      </c>
      <c r="AI175" s="3">
        <v>0</v>
      </c>
      <c r="AJ175" s="3">
        <v>0</v>
      </c>
      <c r="AK175" s="3">
        <v>0</v>
      </c>
    </row>
    <row r="176" spans="1:37" x14ac:dyDescent="0.25">
      <c r="A176" s="125"/>
      <c r="B176" s="130" t="s">
        <v>265</v>
      </c>
      <c r="C176" s="36" t="s">
        <v>266</v>
      </c>
      <c r="D176" s="10">
        <v>4201</v>
      </c>
      <c r="E176" s="10">
        <v>31701</v>
      </c>
      <c r="F176" s="11">
        <v>34121</v>
      </c>
      <c r="G176" s="11">
        <v>0</v>
      </c>
      <c r="H176" s="85" t="s">
        <v>367</v>
      </c>
      <c r="I176" s="10">
        <v>80101</v>
      </c>
      <c r="J176" s="52">
        <v>7</v>
      </c>
      <c r="K176" s="15">
        <v>80001</v>
      </c>
      <c r="L176" s="10">
        <v>2</v>
      </c>
      <c r="M176" s="10">
        <v>2</v>
      </c>
      <c r="N176" s="10" t="s">
        <v>62</v>
      </c>
      <c r="O176" s="10"/>
      <c r="P176" s="11">
        <v>22002</v>
      </c>
      <c r="Q176" s="10">
        <v>0</v>
      </c>
      <c r="R176" s="10">
        <v>1</v>
      </c>
      <c r="S176" s="10">
        <v>1</v>
      </c>
      <c r="T176" s="11">
        <v>1</v>
      </c>
      <c r="U176" s="10">
        <v>100</v>
      </c>
      <c r="V176" s="10">
        <v>0</v>
      </c>
      <c r="W176" s="10">
        <v>5001</v>
      </c>
      <c r="X176" s="10">
        <v>0</v>
      </c>
      <c r="Y176" s="25">
        <v>3503</v>
      </c>
      <c r="Z176" s="11">
        <v>3503</v>
      </c>
      <c r="AA176" s="10">
        <v>12</v>
      </c>
      <c r="AB176" s="10">
        <v>0</v>
      </c>
      <c r="AC176" s="10">
        <v>1</v>
      </c>
      <c r="AD176" s="31"/>
      <c r="AE176" s="31"/>
      <c r="AF176" s="3">
        <v>0</v>
      </c>
      <c r="AG176" s="3">
        <v>0</v>
      </c>
      <c r="AH176" s="3">
        <v>0</v>
      </c>
      <c r="AI176" s="3">
        <v>0</v>
      </c>
      <c r="AJ176" s="3">
        <v>0</v>
      </c>
      <c r="AK176" s="3">
        <v>0</v>
      </c>
    </row>
    <row r="177" spans="1:37" x14ac:dyDescent="0.25">
      <c r="A177" s="125"/>
      <c r="B177" s="130"/>
      <c r="C177" s="36" t="s">
        <v>268</v>
      </c>
      <c r="D177" s="10">
        <v>4202</v>
      </c>
      <c r="E177" s="10">
        <v>31702</v>
      </c>
      <c r="F177" s="11">
        <v>34122</v>
      </c>
      <c r="G177" s="11">
        <v>0</v>
      </c>
      <c r="H177" s="85" t="s">
        <v>368</v>
      </c>
      <c r="I177" s="10">
        <v>80101</v>
      </c>
      <c r="J177" s="52">
        <v>7</v>
      </c>
      <c r="K177" s="15">
        <v>80001</v>
      </c>
      <c r="L177" s="10">
        <v>2</v>
      </c>
      <c r="M177" s="10">
        <v>2</v>
      </c>
      <c r="N177" s="10" t="s">
        <v>62</v>
      </c>
      <c r="O177" s="10"/>
      <c r="P177" s="11">
        <v>22002</v>
      </c>
      <c r="Q177" s="10">
        <v>0</v>
      </c>
      <c r="R177" s="10">
        <v>1</v>
      </c>
      <c r="S177" s="10">
        <v>1</v>
      </c>
      <c r="T177" s="11">
        <v>1</v>
      </c>
      <c r="U177" s="10">
        <v>100</v>
      </c>
      <c r="V177" s="10">
        <v>0</v>
      </c>
      <c r="W177" s="10">
        <v>5001</v>
      </c>
      <c r="X177" s="10">
        <v>0</v>
      </c>
      <c r="Y177" s="25">
        <v>3503</v>
      </c>
      <c r="Z177" s="11">
        <v>3503</v>
      </c>
      <c r="AA177" s="10">
        <v>12</v>
      </c>
      <c r="AB177" s="10">
        <v>0</v>
      </c>
      <c r="AC177" s="10">
        <v>1</v>
      </c>
      <c r="AD177" s="31"/>
      <c r="AE177" s="31"/>
      <c r="AF177" s="3">
        <v>0</v>
      </c>
      <c r="AG177" s="3">
        <v>0</v>
      </c>
      <c r="AH177" s="3">
        <v>0</v>
      </c>
      <c r="AI177" s="3">
        <v>0</v>
      </c>
      <c r="AJ177" s="3">
        <v>0</v>
      </c>
      <c r="AK177" s="3">
        <v>0</v>
      </c>
    </row>
    <row r="178" spans="1:37" x14ac:dyDescent="0.25">
      <c r="A178" s="125"/>
      <c r="B178" s="130"/>
      <c r="C178" s="36" t="s">
        <v>271</v>
      </c>
      <c r="D178" s="10">
        <v>4203</v>
      </c>
      <c r="E178" s="10">
        <v>31703</v>
      </c>
      <c r="F178" s="11">
        <v>34123</v>
      </c>
      <c r="G178" s="11">
        <v>0</v>
      </c>
      <c r="H178" s="85" t="s">
        <v>369</v>
      </c>
      <c r="I178" s="10">
        <v>80101</v>
      </c>
      <c r="J178" s="52">
        <v>7</v>
      </c>
      <c r="K178" s="15">
        <v>80001</v>
      </c>
      <c r="L178" s="10">
        <v>2</v>
      </c>
      <c r="M178" s="10">
        <v>2</v>
      </c>
      <c r="N178" s="10" t="s">
        <v>62</v>
      </c>
      <c r="O178" s="10"/>
      <c r="P178" s="11">
        <v>22002</v>
      </c>
      <c r="Q178" s="10">
        <v>0</v>
      </c>
      <c r="R178" s="10">
        <v>1</v>
      </c>
      <c r="S178" s="10">
        <v>1</v>
      </c>
      <c r="T178" s="11">
        <v>1</v>
      </c>
      <c r="U178" s="10">
        <v>100</v>
      </c>
      <c r="V178" s="10">
        <v>0</v>
      </c>
      <c r="W178" s="10">
        <v>5001</v>
      </c>
      <c r="X178" s="10">
        <v>0</v>
      </c>
      <c r="Y178" s="25">
        <v>3503</v>
      </c>
      <c r="Z178" s="11">
        <v>3503</v>
      </c>
      <c r="AA178" s="10">
        <v>12</v>
      </c>
      <c r="AB178" s="10">
        <v>0</v>
      </c>
      <c r="AC178" s="10">
        <v>1</v>
      </c>
      <c r="AD178" s="31"/>
      <c r="AE178" s="31"/>
      <c r="AF178" s="3">
        <v>0</v>
      </c>
      <c r="AG178" s="3">
        <v>0</v>
      </c>
      <c r="AH178" s="3">
        <v>0</v>
      </c>
      <c r="AI178" s="3">
        <v>0</v>
      </c>
      <c r="AJ178" s="3">
        <v>0</v>
      </c>
      <c r="AK178" s="3">
        <v>0</v>
      </c>
    </row>
    <row r="179" spans="1:37" x14ac:dyDescent="0.25">
      <c r="A179" s="125"/>
      <c r="B179" s="130"/>
      <c r="C179" s="36" t="s">
        <v>274</v>
      </c>
      <c r="D179" s="10">
        <v>4204</v>
      </c>
      <c r="E179" s="10">
        <v>31704</v>
      </c>
      <c r="F179" s="11">
        <v>34124</v>
      </c>
      <c r="G179" s="11">
        <v>0</v>
      </c>
      <c r="H179" s="85" t="s">
        <v>370</v>
      </c>
      <c r="I179" s="10">
        <v>80101</v>
      </c>
      <c r="J179" s="52">
        <v>7</v>
      </c>
      <c r="K179" s="15">
        <v>80001</v>
      </c>
      <c r="L179" s="10">
        <v>2</v>
      </c>
      <c r="M179" s="10">
        <v>2</v>
      </c>
      <c r="N179" s="10" t="s">
        <v>62</v>
      </c>
      <c r="O179" s="10"/>
      <c r="P179" s="11">
        <v>22002</v>
      </c>
      <c r="Q179" s="10">
        <v>0</v>
      </c>
      <c r="R179" s="10">
        <v>1</v>
      </c>
      <c r="S179" s="10">
        <v>1</v>
      </c>
      <c r="T179" s="11">
        <v>1</v>
      </c>
      <c r="U179" s="10">
        <v>100</v>
      </c>
      <c r="V179" s="10">
        <v>0</v>
      </c>
      <c r="W179" s="10">
        <v>5001</v>
      </c>
      <c r="X179" s="10">
        <v>0</v>
      </c>
      <c r="Y179" s="25">
        <v>3503</v>
      </c>
      <c r="Z179" s="11">
        <v>3503</v>
      </c>
      <c r="AA179" s="10">
        <v>12</v>
      </c>
      <c r="AB179" s="10">
        <v>0</v>
      </c>
      <c r="AC179" s="10">
        <v>1</v>
      </c>
      <c r="AD179" s="31"/>
      <c r="AE179" s="31"/>
      <c r="AF179" s="3">
        <v>0</v>
      </c>
      <c r="AG179" s="3">
        <v>0</v>
      </c>
      <c r="AH179" s="3">
        <v>0</v>
      </c>
      <c r="AI179" s="3">
        <v>0</v>
      </c>
      <c r="AJ179" s="3">
        <v>0</v>
      </c>
      <c r="AK179" s="3">
        <v>0</v>
      </c>
    </row>
    <row r="180" spans="1:37" x14ac:dyDescent="0.25">
      <c r="A180" s="125"/>
      <c r="B180" s="130"/>
      <c r="C180" s="36" t="s">
        <v>277</v>
      </c>
      <c r="D180" s="10">
        <v>4205</v>
      </c>
      <c r="E180" s="10">
        <v>31705</v>
      </c>
      <c r="F180" s="11">
        <v>34125</v>
      </c>
      <c r="G180" s="11">
        <v>0</v>
      </c>
      <c r="H180" s="85" t="s">
        <v>371</v>
      </c>
      <c r="I180" s="10">
        <v>80101</v>
      </c>
      <c r="J180" s="52">
        <v>7</v>
      </c>
      <c r="K180" s="15">
        <v>80001</v>
      </c>
      <c r="L180" s="10">
        <v>2</v>
      </c>
      <c r="M180" s="10">
        <v>2</v>
      </c>
      <c r="N180" s="10" t="s">
        <v>62</v>
      </c>
      <c r="O180" s="10"/>
      <c r="P180" s="11">
        <v>22002</v>
      </c>
      <c r="Q180" s="10">
        <v>0</v>
      </c>
      <c r="R180" s="10">
        <v>1</v>
      </c>
      <c r="S180" s="10">
        <v>1</v>
      </c>
      <c r="T180" s="11">
        <v>1</v>
      </c>
      <c r="U180" s="10">
        <v>100</v>
      </c>
      <c r="V180" s="10">
        <v>0</v>
      </c>
      <c r="W180" s="10">
        <v>5001</v>
      </c>
      <c r="X180" s="10">
        <v>0</v>
      </c>
      <c r="Y180" s="25">
        <v>3503</v>
      </c>
      <c r="Z180" s="11">
        <v>3503</v>
      </c>
      <c r="AA180" s="10">
        <v>12</v>
      </c>
      <c r="AB180" s="10">
        <v>0</v>
      </c>
      <c r="AC180" s="10">
        <v>1</v>
      </c>
      <c r="AD180" s="31"/>
      <c r="AE180" s="31"/>
      <c r="AF180" s="3">
        <v>0</v>
      </c>
      <c r="AG180" s="3">
        <v>0</v>
      </c>
      <c r="AH180" s="3">
        <v>0</v>
      </c>
      <c r="AI180" s="3">
        <v>0</v>
      </c>
      <c r="AJ180" s="3">
        <v>0</v>
      </c>
      <c r="AK180" s="3">
        <v>0</v>
      </c>
    </row>
    <row r="181" spans="1:37" x14ac:dyDescent="0.25">
      <c r="A181" s="125"/>
      <c r="B181" s="130"/>
      <c r="C181" s="36" t="s">
        <v>280</v>
      </c>
      <c r="D181" s="10">
        <v>4206</v>
      </c>
      <c r="E181" s="10">
        <v>31706</v>
      </c>
      <c r="F181" s="11">
        <v>34126</v>
      </c>
      <c r="G181" s="11">
        <v>0</v>
      </c>
      <c r="H181" s="85" t="s">
        <v>372</v>
      </c>
      <c r="I181" s="10">
        <v>80101</v>
      </c>
      <c r="J181" s="52">
        <v>7</v>
      </c>
      <c r="K181" s="15">
        <v>80001</v>
      </c>
      <c r="L181" s="10">
        <v>2</v>
      </c>
      <c r="M181" s="10">
        <v>2</v>
      </c>
      <c r="N181" s="10" t="s">
        <v>62</v>
      </c>
      <c r="O181" s="10"/>
      <c r="P181" s="11">
        <v>22002</v>
      </c>
      <c r="Q181" s="10">
        <v>0</v>
      </c>
      <c r="R181" s="10">
        <v>1</v>
      </c>
      <c r="S181" s="10">
        <v>1</v>
      </c>
      <c r="T181" s="11">
        <v>1</v>
      </c>
      <c r="U181" s="10">
        <v>100</v>
      </c>
      <c r="V181" s="10">
        <v>0</v>
      </c>
      <c r="W181" s="10">
        <v>5001</v>
      </c>
      <c r="X181" s="10">
        <v>0</v>
      </c>
      <c r="Y181" s="25">
        <v>3503</v>
      </c>
      <c r="Z181" s="11">
        <v>3503</v>
      </c>
      <c r="AA181" s="10">
        <v>12</v>
      </c>
      <c r="AB181" s="10">
        <v>0</v>
      </c>
      <c r="AC181" s="10">
        <v>1</v>
      </c>
      <c r="AD181" s="31"/>
      <c r="AE181" s="31"/>
      <c r="AF181" s="3">
        <v>0</v>
      </c>
      <c r="AG181" s="3">
        <v>0</v>
      </c>
      <c r="AH181" s="3">
        <v>0</v>
      </c>
      <c r="AI181" s="3">
        <v>0</v>
      </c>
      <c r="AJ181" s="3">
        <v>0</v>
      </c>
      <c r="AK181" s="3">
        <v>0</v>
      </c>
    </row>
    <row r="182" spans="1:37" x14ac:dyDescent="0.25">
      <c r="A182" s="125"/>
      <c r="B182" s="130"/>
      <c r="C182" s="36" t="s">
        <v>283</v>
      </c>
      <c r="D182" s="10">
        <v>4207</v>
      </c>
      <c r="E182" s="10">
        <v>31707</v>
      </c>
      <c r="F182" s="11">
        <v>34127</v>
      </c>
      <c r="G182" s="11">
        <v>0</v>
      </c>
      <c r="H182" s="85" t="s">
        <v>373</v>
      </c>
      <c r="I182" s="10">
        <v>80101</v>
      </c>
      <c r="J182" s="52">
        <v>7</v>
      </c>
      <c r="K182" s="15">
        <v>80001</v>
      </c>
      <c r="L182" s="10">
        <v>2</v>
      </c>
      <c r="M182" s="10">
        <v>2</v>
      </c>
      <c r="N182" s="10" t="s">
        <v>62</v>
      </c>
      <c r="O182" s="10"/>
      <c r="P182" s="11">
        <v>22002</v>
      </c>
      <c r="Q182" s="10">
        <v>0</v>
      </c>
      <c r="R182" s="10">
        <v>1</v>
      </c>
      <c r="S182" s="10">
        <v>1</v>
      </c>
      <c r="T182" s="11">
        <v>1</v>
      </c>
      <c r="U182" s="10">
        <v>100</v>
      </c>
      <c r="V182" s="10">
        <v>0</v>
      </c>
      <c r="W182" s="10">
        <v>5001</v>
      </c>
      <c r="X182" s="10">
        <v>0</v>
      </c>
      <c r="Y182" s="25">
        <v>3503</v>
      </c>
      <c r="Z182" s="11">
        <v>3503</v>
      </c>
      <c r="AA182" s="10">
        <v>12</v>
      </c>
      <c r="AB182" s="10">
        <v>0</v>
      </c>
      <c r="AC182" s="10">
        <v>1</v>
      </c>
      <c r="AD182" s="31"/>
      <c r="AE182" s="31"/>
      <c r="AF182" s="3">
        <v>0</v>
      </c>
      <c r="AG182" s="3">
        <v>0</v>
      </c>
      <c r="AH182" s="3">
        <v>0</v>
      </c>
      <c r="AI182" s="3">
        <v>0</v>
      </c>
      <c r="AJ182" s="3">
        <v>0</v>
      </c>
      <c r="AK182" s="3">
        <v>0</v>
      </c>
    </row>
    <row r="183" spans="1:37" x14ac:dyDescent="0.25">
      <c r="A183" s="125"/>
      <c r="B183" s="130" t="s">
        <v>285</v>
      </c>
      <c r="C183" s="36" t="s">
        <v>287</v>
      </c>
      <c r="D183" s="10">
        <v>4301</v>
      </c>
      <c r="E183" s="10">
        <v>31801</v>
      </c>
      <c r="F183" s="11">
        <v>34131</v>
      </c>
      <c r="G183" s="11">
        <v>0</v>
      </c>
      <c r="H183" s="85" t="s">
        <v>374</v>
      </c>
      <c r="I183" s="10">
        <v>80102</v>
      </c>
      <c r="J183" s="52">
        <v>7</v>
      </c>
      <c r="K183" s="15">
        <v>80002</v>
      </c>
      <c r="L183" s="10">
        <v>2</v>
      </c>
      <c r="M183" s="10">
        <v>2</v>
      </c>
      <c r="N183" s="10" t="s">
        <v>62</v>
      </c>
      <c r="O183" s="10"/>
      <c r="P183" s="11">
        <v>22002</v>
      </c>
      <c r="Q183" s="10">
        <v>0</v>
      </c>
      <c r="R183" s="10">
        <v>1</v>
      </c>
      <c r="S183" s="10">
        <v>1</v>
      </c>
      <c r="T183" s="11">
        <v>1</v>
      </c>
      <c r="U183" s="10">
        <v>100</v>
      </c>
      <c r="V183" s="10">
        <v>0</v>
      </c>
      <c r="W183" s="10">
        <v>5001</v>
      </c>
      <c r="X183" s="10">
        <v>0</v>
      </c>
      <c r="Y183" s="25">
        <v>3503</v>
      </c>
      <c r="Z183" s="11">
        <v>3503</v>
      </c>
      <c r="AA183" s="10">
        <v>12</v>
      </c>
      <c r="AB183" s="10">
        <v>0</v>
      </c>
      <c r="AC183" s="10">
        <v>1</v>
      </c>
      <c r="AD183" s="31"/>
      <c r="AE183" s="31"/>
      <c r="AF183" s="3">
        <v>0</v>
      </c>
      <c r="AG183" s="3">
        <v>0</v>
      </c>
      <c r="AH183" s="3">
        <v>0</v>
      </c>
      <c r="AI183" s="3">
        <v>0</v>
      </c>
      <c r="AJ183" s="3">
        <v>0</v>
      </c>
      <c r="AK183" s="3">
        <v>0</v>
      </c>
    </row>
    <row r="184" spans="1:37" x14ac:dyDescent="0.25">
      <c r="A184" s="125"/>
      <c r="B184" s="130"/>
      <c r="C184" s="36" t="s">
        <v>289</v>
      </c>
      <c r="D184" s="10">
        <v>4302</v>
      </c>
      <c r="E184" s="10">
        <v>31802</v>
      </c>
      <c r="F184" s="11">
        <v>34132</v>
      </c>
      <c r="G184" s="11">
        <v>0</v>
      </c>
      <c r="H184" s="85" t="s">
        <v>375</v>
      </c>
      <c r="I184" s="10">
        <v>80102</v>
      </c>
      <c r="J184" s="52">
        <v>7</v>
      </c>
      <c r="K184" s="15">
        <v>80002</v>
      </c>
      <c r="L184" s="10">
        <v>2</v>
      </c>
      <c r="M184" s="10">
        <v>2</v>
      </c>
      <c r="N184" s="10" t="s">
        <v>62</v>
      </c>
      <c r="O184" s="10"/>
      <c r="P184" s="11">
        <v>22002</v>
      </c>
      <c r="Q184" s="10">
        <v>0</v>
      </c>
      <c r="R184" s="10">
        <v>1</v>
      </c>
      <c r="S184" s="10">
        <v>1</v>
      </c>
      <c r="T184" s="11">
        <v>1</v>
      </c>
      <c r="U184" s="10">
        <v>100</v>
      </c>
      <c r="V184" s="10">
        <v>0</v>
      </c>
      <c r="W184" s="10">
        <v>5001</v>
      </c>
      <c r="X184" s="10">
        <v>0</v>
      </c>
      <c r="Y184" s="25">
        <v>3503</v>
      </c>
      <c r="Z184" s="11">
        <v>3503</v>
      </c>
      <c r="AA184" s="10">
        <v>12</v>
      </c>
      <c r="AB184" s="10">
        <v>0</v>
      </c>
      <c r="AC184" s="10">
        <v>1</v>
      </c>
      <c r="AD184" s="31"/>
      <c r="AE184" s="31"/>
      <c r="AF184" s="3">
        <v>0</v>
      </c>
      <c r="AG184" s="3">
        <v>0</v>
      </c>
      <c r="AH184" s="3">
        <v>0</v>
      </c>
      <c r="AI184" s="3">
        <v>0</v>
      </c>
      <c r="AJ184" s="3">
        <v>0</v>
      </c>
      <c r="AK184" s="3">
        <v>0</v>
      </c>
    </row>
    <row r="185" spans="1:37" x14ac:dyDescent="0.25">
      <c r="A185" s="125"/>
      <c r="B185" s="130"/>
      <c r="C185" s="36" t="s">
        <v>292</v>
      </c>
      <c r="D185" s="10">
        <v>4303</v>
      </c>
      <c r="E185" s="10">
        <v>31803</v>
      </c>
      <c r="F185" s="11">
        <v>34133</v>
      </c>
      <c r="G185" s="11">
        <v>0</v>
      </c>
      <c r="H185" s="85" t="s">
        <v>376</v>
      </c>
      <c r="I185" s="10">
        <v>80102</v>
      </c>
      <c r="J185" s="52">
        <v>7</v>
      </c>
      <c r="K185" s="15">
        <v>80002</v>
      </c>
      <c r="L185" s="10">
        <v>2</v>
      </c>
      <c r="M185" s="10">
        <v>2</v>
      </c>
      <c r="N185" s="10" t="s">
        <v>62</v>
      </c>
      <c r="O185" s="10"/>
      <c r="P185" s="11">
        <v>22002</v>
      </c>
      <c r="Q185" s="10">
        <v>0</v>
      </c>
      <c r="R185" s="10">
        <v>1</v>
      </c>
      <c r="S185" s="10">
        <v>1</v>
      </c>
      <c r="T185" s="11">
        <v>1</v>
      </c>
      <c r="U185" s="10">
        <v>100</v>
      </c>
      <c r="V185" s="10">
        <v>0</v>
      </c>
      <c r="W185" s="10">
        <v>5001</v>
      </c>
      <c r="X185" s="10">
        <v>0</v>
      </c>
      <c r="Y185" s="25">
        <v>3503</v>
      </c>
      <c r="Z185" s="11">
        <v>3503</v>
      </c>
      <c r="AA185" s="10">
        <v>12</v>
      </c>
      <c r="AB185" s="10">
        <v>0</v>
      </c>
      <c r="AC185" s="10">
        <v>1</v>
      </c>
      <c r="AD185" s="31"/>
      <c r="AE185" s="31"/>
      <c r="AF185" s="3">
        <v>0</v>
      </c>
      <c r="AG185" s="3">
        <v>0</v>
      </c>
      <c r="AH185" s="3">
        <v>0</v>
      </c>
      <c r="AI185" s="3">
        <v>0</v>
      </c>
      <c r="AJ185" s="3">
        <v>0</v>
      </c>
      <c r="AK185" s="3">
        <v>0</v>
      </c>
    </row>
    <row r="186" spans="1:37" x14ac:dyDescent="0.25">
      <c r="A186" s="125"/>
      <c r="B186" s="130"/>
      <c r="C186" s="36" t="s">
        <v>298</v>
      </c>
      <c r="D186" s="10">
        <v>4304</v>
      </c>
      <c r="E186" s="10">
        <v>31804</v>
      </c>
      <c r="F186" s="11">
        <v>34134</v>
      </c>
      <c r="G186" s="11">
        <v>0</v>
      </c>
      <c r="H186" s="85" t="s">
        <v>377</v>
      </c>
      <c r="I186" s="10">
        <v>80102</v>
      </c>
      <c r="J186" s="52">
        <v>7</v>
      </c>
      <c r="K186" s="15">
        <v>80002</v>
      </c>
      <c r="L186" s="10">
        <v>2</v>
      </c>
      <c r="M186" s="10">
        <v>2</v>
      </c>
      <c r="N186" s="10" t="s">
        <v>62</v>
      </c>
      <c r="O186" s="10"/>
      <c r="P186" s="11">
        <v>22002</v>
      </c>
      <c r="Q186" s="10">
        <v>0</v>
      </c>
      <c r="R186" s="10">
        <v>1</v>
      </c>
      <c r="S186" s="10">
        <v>1</v>
      </c>
      <c r="T186" s="11">
        <v>1</v>
      </c>
      <c r="U186" s="10">
        <v>100</v>
      </c>
      <c r="V186" s="10">
        <v>0</v>
      </c>
      <c r="W186" s="10">
        <v>5001</v>
      </c>
      <c r="X186" s="10">
        <v>0</v>
      </c>
      <c r="Y186" s="25">
        <v>3503</v>
      </c>
      <c r="Z186" s="11">
        <v>3503</v>
      </c>
      <c r="AA186" s="10">
        <v>12</v>
      </c>
      <c r="AB186" s="10">
        <v>0</v>
      </c>
      <c r="AC186" s="10">
        <v>1</v>
      </c>
      <c r="AD186" s="31"/>
      <c r="AE186" s="31"/>
      <c r="AF186" s="3">
        <v>0</v>
      </c>
      <c r="AG186" s="3">
        <v>0</v>
      </c>
      <c r="AH186" s="3">
        <v>0</v>
      </c>
      <c r="AI186" s="3">
        <v>0</v>
      </c>
      <c r="AJ186" s="3">
        <v>0</v>
      </c>
      <c r="AK186" s="3">
        <v>0</v>
      </c>
    </row>
    <row r="187" spans="1:37" x14ac:dyDescent="0.25">
      <c r="A187" s="125"/>
      <c r="B187" s="130"/>
      <c r="C187" s="36" t="s">
        <v>295</v>
      </c>
      <c r="D187" s="10">
        <v>4305</v>
      </c>
      <c r="E187" s="10">
        <v>31805</v>
      </c>
      <c r="F187" s="11">
        <v>34135</v>
      </c>
      <c r="G187" s="11">
        <v>0</v>
      </c>
      <c r="H187" s="85" t="s">
        <v>378</v>
      </c>
      <c r="I187" s="10">
        <v>80102</v>
      </c>
      <c r="J187" s="52">
        <v>7</v>
      </c>
      <c r="K187" s="15">
        <v>80002</v>
      </c>
      <c r="L187" s="10">
        <v>2</v>
      </c>
      <c r="M187" s="10">
        <v>2</v>
      </c>
      <c r="N187" s="10" t="s">
        <v>62</v>
      </c>
      <c r="O187" s="10"/>
      <c r="P187" s="11">
        <v>22002</v>
      </c>
      <c r="Q187" s="10">
        <v>0</v>
      </c>
      <c r="R187" s="10">
        <v>1</v>
      </c>
      <c r="S187" s="10">
        <v>1</v>
      </c>
      <c r="T187" s="11">
        <v>1</v>
      </c>
      <c r="U187" s="10">
        <v>100</v>
      </c>
      <c r="V187" s="10">
        <v>0</v>
      </c>
      <c r="W187" s="10">
        <v>5001</v>
      </c>
      <c r="X187" s="10">
        <v>0</v>
      </c>
      <c r="Y187" s="25">
        <v>3503</v>
      </c>
      <c r="Z187" s="11">
        <v>3503</v>
      </c>
      <c r="AA187" s="10">
        <v>12</v>
      </c>
      <c r="AB187" s="10">
        <v>0</v>
      </c>
      <c r="AC187" s="10">
        <v>1</v>
      </c>
      <c r="AD187" s="31"/>
      <c r="AE187" s="31"/>
      <c r="AF187" s="3">
        <v>0</v>
      </c>
      <c r="AG187" s="3">
        <v>0</v>
      </c>
      <c r="AH187" s="3">
        <v>0</v>
      </c>
      <c r="AI187" s="3">
        <v>0</v>
      </c>
      <c r="AJ187" s="3">
        <v>0</v>
      </c>
      <c r="AK187" s="3">
        <v>0</v>
      </c>
    </row>
    <row r="188" spans="1:37" x14ac:dyDescent="0.25">
      <c r="A188" s="125"/>
      <c r="B188" s="130" t="s">
        <v>301</v>
      </c>
      <c r="C188" s="36" t="s">
        <v>302</v>
      </c>
      <c r="D188" s="10">
        <v>4401</v>
      </c>
      <c r="E188" s="10">
        <v>31901</v>
      </c>
      <c r="F188" s="11">
        <v>34141</v>
      </c>
      <c r="G188" s="11">
        <v>0</v>
      </c>
      <c r="H188" s="85" t="s">
        <v>379</v>
      </c>
      <c r="I188" s="10">
        <v>80103</v>
      </c>
      <c r="J188" s="52">
        <v>7</v>
      </c>
      <c r="K188" s="15">
        <v>80003</v>
      </c>
      <c r="L188" s="10">
        <v>2</v>
      </c>
      <c r="M188" s="10">
        <v>2</v>
      </c>
      <c r="N188" s="10" t="s">
        <v>62</v>
      </c>
      <c r="O188" s="10"/>
      <c r="P188" s="11">
        <v>22002</v>
      </c>
      <c r="Q188" s="10">
        <v>0</v>
      </c>
      <c r="R188" s="10">
        <v>1</v>
      </c>
      <c r="S188" s="10">
        <v>1</v>
      </c>
      <c r="T188" s="11">
        <v>1</v>
      </c>
      <c r="U188" s="10">
        <v>100</v>
      </c>
      <c r="V188" s="10">
        <v>0</v>
      </c>
      <c r="W188" s="10">
        <v>5001</v>
      </c>
      <c r="X188" s="10">
        <v>0</v>
      </c>
      <c r="Y188" s="25">
        <v>3503</v>
      </c>
      <c r="Z188" s="11">
        <v>3503</v>
      </c>
      <c r="AA188" s="10">
        <v>12</v>
      </c>
      <c r="AB188" s="10">
        <v>0</v>
      </c>
      <c r="AC188" s="10">
        <v>1</v>
      </c>
      <c r="AD188" s="31"/>
      <c r="AE188" s="31"/>
      <c r="AF188" s="3">
        <v>0</v>
      </c>
      <c r="AG188" s="3">
        <v>0</v>
      </c>
      <c r="AH188" s="3">
        <v>0</v>
      </c>
      <c r="AI188" s="3">
        <v>0</v>
      </c>
      <c r="AJ188" s="3">
        <v>0</v>
      </c>
      <c r="AK188" s="3">
        <v>0</v>
      </c>
    </row>
    <row r="189" spans="1:37" x14ac:dyDescent="0.25">
      <c r="A189" s="125"/>
      <c r="B189" s="130"/>
      <c r="C189" s="36" t="s">
        <v>305</v>
      </c>
      <c r="D189" s="10">
        <v>4402</v>
      </c>
      <c r="E189" s="10">
        <v>31902</v>
      </c>
      <c r="F189" s="11">
        <v>34142</v>
      </c>
      <c r="G189" s="11">
        <v>0</v>
      </c>
      <c r="H189" s="85" t="s">
        <v>380</v>
      </c>
      <c r="I189" s="10">
        <v>80103</v>
      </c>
      <c r="J189" s="52">
        <v>7</v>
      </c>
      <c r="K189" s="15">
        <v>80003</v>
      </c>
      <c r="L189" s="10">
        <v>2</v>
      </c>
      <c r="M189" s="10">
        <v>2</v>
      </c>
      <c r="N189" s="10" t="s">
        <v>62</v>
      </c>
      <c r="O189" s="10"/>
      <c r="P189" s="11">
        <v>22002</v>
      </c>
      <c r="Q189" s="10">
        <v>0</v>
      </c>
      <c r="R189" s="10">
        <v>1</v>
      </c>
      <c r="S189" s="10">
        <v>1</v>
      </c>
      <c r="T189" s="11">
        <v>1</v>
      </c>
      <c r="U189" s="10">
        <v>100</v>
      </c>
      <c r="V189" s="10">
        <v>0</v>
      </c>
      <c r="W189" s="10">
        <v>5001</v>
      </c>
      <c r="X189" s="10">
        <v>0</v>
      </c>
      <c r="Y189" s="25">
        <v>3503</v>
      </c>
      <c r="Z189" s="11">
        <v>3503</v>
      </c>
      <c r="AA189" s="10">
        <v>12</v>
      </c>
      <c r="AB189" s="10">
        <v>0</v>
      </c>
      <c r="AC189" s="10">
        <v>1</v>
      </c>
      <c r="AD189" s="31"/>
      <c r="AE189" s="31"/>
      <c r="AF189" s="3">
        <v>0</v>
      </c>
      <c r="AG189" s="3">
        <v>0</v>
      </c>
      <c r="AH189" s="3">
        <v>0</v>
      </c>
      <c r="AI189" s="3">
        <v>0</v>
      </c>
      <c r="AJ189" s="3">
        <v>0</v>
      </c>
      <c r="AK189" s="3">
        <v>0</v>
      </c>
    </row>
    <row r="190" spans="1:37" x14ac:dyDescent="0.25">
      <c r="A190" s="125"/>
      <c r="B190" s="130"/>
      <c r="C190" s="36" t="s">
        <v>308</v>
      </c>
      <c r="D190" s="10">
        <v>4403</v>
      </c>
      <c r="E190" s="10">
        <v>31903</v>
      </c>
      <c r="F190" s="11">
        <v>34143</v>
      </c>
      <c r="G190" s="11">
        <v>0</v>
      </c>
      <c r="H190" s="85" t="s">
        <v>381</v>
      </c>
      <c r="I190" s="10">
        <v>80103</v>
      </c>
      <c r="J190" s="52">
        <v>7</v>
      </c>
      <c r="K190" s="15">
        <v>80003</v>
      </c>
      <c r="L190" s="10">
        <v>2</v>
      </c>
      <c r="M190" s="10">
        <v>2</v>
      </c>
      <c r="N190" s="10" t="s">
        <v>62</v>
      </c>
      <c r="O190" s="10"/>
      <c r="P190" s="11">
        <v>22002</v>
      </c>
      <c r="Q190" s="10">
        <v>0</v>
      </c>
      <c r="R190" s="10">
        <v>1</v>
      </c>
      <c r="S190" s="10">
        <v>1</v>
      </c>
      <c r="T190" s="11">
        <v>1</v>
      </c>
      <c r="U190" s="10">
        <v>100</v>
      </c>
      <c r="V190" s="10">
        <v>0</v>
      </c>
      <c r="W190" s="10">
        <v>5001</v>
      </c>
      <c r="X190" s="10">
        <v>0</v>
      </c>
      <c r="Y190" s="25">
        <v>3503</v>
      </c>
      <c r="Z190" s="11">
        <v>3503</v>
      </c>
      <c r="AA190" s="10">
        <v>12</v>
      </c>
      <c r="AB190" s="10">
        <v>0</v>
      </c>
      <c r="AC190" s="10">
        <v>1</v>
      </c>
      <c r="AD190" s="31"/>
      <c r="AE190" s="31"/>
      <c r="AF190" s="3">
        <v>0</v>
      </c>
      <c r="AG190" s="3">
        <v>0</v>
      </c>
      <c r="AH190" s="3">
        <v>0</v>
      </c>
      <c r="AI190" s="3">
        <v>0</v>
      </c>
      <c r="AJ190" s="3">
        <v>0</v>
      </c>
      <c r="AK190" s="3">
        <v>0</v>
      </c>
    </row>
    <row r="191" spans="1:37" x14ac:dyDescent="0.25">
      <c r="A191" s="125"/>
      <c r="B191" s="130" t="s">
        <v>311</v>
      </c>
      <c r="C191" s="36" t="s">
        <v>312</v>
      </c>
      <c r="D191" s="10">
        <v>4501</v>
      </c>
      <c r="E191" s="10">
        <v>32001</v>
      </c>
      <c r="F191" s="11">
        <v>34151</v>
      </c>
      <c r="G191" s="11">
        <v>0</v>
      </c>
      <c r="H191" s="85" t="s">
        <v>382</v>
      </c>
      <c r="I191" s="10">
        <v>80104</v>
      </c>
      <c r="J191" s="52">
        <v>7</v>
      </c>
      <c r="K191" s="15">
        <v>80004</v>
      </c>
      <c r="L191" s="10">
        <v>2</v>
      </c>
      <c r="M191" s="10">
        <v>2</v>
      </c>
      <c r="N191" s="10" t="s">
        <v>62</v>
      </c>
      <c r="O191" s="10"/>
      <c r="P191" s="11">
        <v>22002</v>
      </c>
      <c r="Q191" s="10">
        <v>0</v>
      </c>
      <c r="R191" s="10">
        <v>1</v>
      </c>
      <c r="S191" s="10">
        <v>1</v>
      </c>
      <c r="T191" s="11">
        <v>1</v>
      </c>
      <c r="U191" s="10">
        <v>100</v>
      </c>
      <c r="V191" s="10">
        <v>0</v>
      </c>
      <c r="W191" s="10">
        <v>5001</v>
      </c>
      <c r="X191" s="10">
        <v>0</v>
      </c>
      <c r="Y191" s="25">
        <v>3503</v>
      </c>
      <c r="Z191" s="11">
        <v>3503</v>
      </c>
      <c r="AA191" s="10">
        <v>12</v>
      </c>
      <c r="AB191" s="10">
        <v>0</v>
      </c>
      <c r="AC191" s="10">
        <v>1</v>
      </c>
      <c r="AD191" s="31"/>
      <c r="AE191" s="31"/>
      <c r="AF191" s="3">
        <v>0</v>
      </c>
      <c r="AG191" s="3">
        <v>0</v>
      </c>
      <c r="AH191" s="3">
        <v>0</v>
      </c>
      <c r="AI191" s="3">
        <v>0</v>
      </c>
      <c r="AJ191" s="3">
        <v>0</v>
      </c>
      <c r="AK191" s="3">
        <v>0</v>
      </c>
    </row>
    <row r="192" spans="1:37" x14ac:dyDescent="0.25">
      <c r="A192" s="125"/>
      <c r="B192" s="130"/>
      <c r="C192" s="36" t="s">
        <v>315</v>
      </c>
      <c r="D192" s="10">
        <v>4502</v>
      </c>
      <c r="E192" s="10">
        <v>32002</v>
      </c>
      <c r="F192" s="11">
        <v>34152</v>
      </c>
      <c r="G192" s="11">
        <v>0</v>
      </c>
      <c r="H192" s="85" t="s">
        <v>383</v>
      </c>
      <c r="I192" s="10">
        <v>80104</v>
      </c>
      <c r="J192" s="52">
        <v>7</v>
      </c>
      <c r="K192" s="15">
        <v>80004</v>
      </c>
      <c r="L192" s="10">
        <v>2</v>
      </c>
      <c r="M192" s="10">
        <v>2</v>
      </c>
      <c r="N192" s="10" t="s">
        <v>62</v>
      </c>
      <c r="O192" s="10"/>
      <c r="P192" s="11">
        <v>22002</v>
      </c>
      <c r="Q192" s="10">
        <v>0</v>
      </c>
      <c r="R192" s="10">
        <v>1</v>
      </c>
      <c r="S192" s="10">
        <v>1</v>
      </c>
      <c r="T192" s="11">
        <v>1</v>
      </c>
      <c r="U192" s="10">
        <v>100</v>
      </c>
      <c r="V192" s="10">
        <v>0</v>
      </c>
      <c r="W192" s="10">
        <v>5001</v>
      </c>
      <c r="X192" s="10">
        <v>0</v>
      </c>
      <c r="Y192" s="25">
        <v>3503</v>
      </c>
      <c r="Z192" s="11">
        <v>3503</v>
      </c>
      <c r="AA192" s="10">
        <v>12</v>
      </c>
      <c r="AB192" s="10">
        <v>0</v>
      </c>
      <c r="AC192" s="10">
        <v>1</v>
      </c>
      <c r="AD192" s="31"/>
      <c r="AE192" s="31"/>
      <c r="AF192" s="3">
        <v>0</v>
      </c>
      <c r="AG192" s="3">
        <v>0</v>
      </c>
      <c r="AH192" s="3">
        <v>0</v>
      </c>
      <c r="AI192" s="3">
        <v>0</v>
      </c>
      <c r="AJ192" s="3">
        <v>0</v>
      </c>
      <c r="AK192" s="3">
        <v>0</v>
      </c>
    </row>
    <row r="193" spans="1:37" x14ac:dyDescent="0.25">
      <c r="A193" s="125"/>
      <c r="B193" s="130"/>
      <c r="C193" s="36" t="s">
        <v>318</v>
      </c>
      <c r="D193" s="10">
        <v>4503</v>
      </c>
      <c r="E193" s="10">
        <v>32003</v>
      </c>
      <c r="F193" s="11">
        <v>34153</v>
      </c>
      <c r="G193" s="11">
        <v>0</v>
      </c>
      <c r="H193" s="85" t="s">
        <v>384</v>
      </c>
      <c r="I193" s="10">
        <v>80104</v>
      </c>
      <c r="J193" s="52">
        <v>7</v>
      </c>
      <c r="K193" s="15">
        <v>80004</v>
      </c>
      <c r="L193" s="10">
        <v>2</v>
      </c>
      <c r="M193" s="10">
        <v>2</v>
      </c>
      <c r="N193" s="10" t="s">
        <v>62</v>
      </c>
      <c r="O193" s="10"/>
      <c r="P193" s="11">
        <v>22002</v>
      </c>
      <c r="Q193" s="10">
        <v>0</v>
      </c>
      <c r="R193" s="10">
        <v>1</v>
      </c>
      <c r="S193" s="10">
        <v>1</v>
      </c>
      <c r="T193" s="11">
        <v>1</v>
      </c>
      <c r="U193" s="10">
        <v>100</v>
      </c>
      <c r="V193" s="10">
        <v>0</v>
      </c>
      <c r="W193" s="10">
        <v>5001</v>
      </c>
      <c r="X193" s="10">
        <v>0</v>
      </c>
      <c r="Y193" s="25">
        <v>3503</v>
      </c>
      <c r="Z193" s="11">
        <v>3503</v>
      </c>
      <c r="AA193" s="10">
        <v>12</v>
      </c>
      <c r="AB193" s="10">
        <v>0</v>
      </c>
      <c r="AC193" s="10">
        <v>1</v>
      </c>
      <c r="AD193" s="31"/>
      <c r="AE193" s="31"/>
      <c r="AF193" s="3">
        <v>0</v>
      </c>
      <c r="AG193" s="3">
        <v>0</v>
      </c>
      <c r="AH193" s="3">
        <v>0</v>
      </c>
      <c r="AI193" s="3">
        <v>0</v>
      </c>
      <c r="AJ193" s="3">
        <v>0</v>
      </c>
      <c r="AK193" s="3">
        <v>0</v>
      </c>
    </row>
    <row r="194" spans="1:37" x14ac:dyDescent="0.25">
      <c r="A194" s="125"/>
      <c r="B194" s="130"/>
      <c r="C194" s="36" t="s">
        <v>321</v>
      </c>
      <c r="D194" s="10">
        <v>4504</v>
      </c>
      <c r="E194" s="10">
        <v>32004</v>
      </c>
      <c r="F194" s="11">
        <v>34154</v>
      </c>
      <c r="G194" s="11">
        <v>0</v>
      </c>
      <c r="H194" s="85" t="s">
        <v>385</v>
      </c>
      <c r="I194" s="10">
        <v>80104</v>
      </c>
      <c r="J194" s="52">
        <v>7</v>
      </c>
      <c r="K194" s="15">
        <v>80004</v>
      </c>
      <c r="L194" s="10">
        <v>2</v>
      </c>
      <c r="M194" s="10">
        <v>2</v>
      </c>
      <c r="N194" s="10" t="s">
        <v>62</v>
      </c>
      <c r="O194" s="10"/>
      <c r="P194" s="11">
        <v>22002</v>
      </c>
      <c r="Q194" s="10">
        <v>0</v>
      </c>
      <c r="R194" s="10">
        <v>1</v>
      </c>
      <c r="S194" s="10">
        <v>1</v>
      </c>
      <c r="T194" s="11">
        <v>1</v>
      </c>
      <c r="U194" s="10">
        <v>100</v>
      </c>
      <c r="V194" s="10">
        <v>0</v>
      </c>
      <c r="W194" s="10">
        <v>5001</v>
      </c>
      <c r="X194" s="10">
        <v>0</v>
      </c>
      <c r="Y194" s="25">
        <v>3503</v>
      </c>
      <c r="Z194" s="11">
        <v>3503</v>
      </c>
      <c r="AA194" s="10">
        <v>12</v>
      </c>
      <c r="AB194" s="10">
        <v>0</v>
      </c>
      <c r="AC194" s="10">
        <v>1</v>
      </c>
      <c r="AD194" s="31"/>
      <c r="AE194" s="31"/>
      <c r="AF194" s="3">
        <v>0</v>
      </c>
      <c r="AG194" s="3">
        <v>0</v>
      </c>
      <c r="AH194" s="3">
        <v>0</v>
      </c>
      <c r="AI194" s="3">
        <v>0</v>
      </c>
      <c r="AJ194" s="3">
        <v>0</v>
      </c>
      <c r="AK194" s="3">
        <v>0</v>
      </c>
    </row>
    <row r="195" spans="1:37" x14ac:dyDescent="0.25">
      <c r="A195" s="125"/>
      <c r="B195" s="127"/>
      <c r="C195" s="36"/>
      <c r="D195" s="10">
        <v>5001</v>
      </c>
      <c r="E195" s="10">
        <v>31507</v>
      </c>
      <c r="F195" s="11">
        <v>34101</v>
      </c>
      <c r="G195" s="11">
        <v>0</v>
      </c>
      <c r="H195" s="80" t="s">
        <v>363</v>
      </c>
      <c r="I195" s="10">
        <v>80103</v>
      </c>
      <c r="J195" s="52">
        <v>7</v>
      </c>
      <c r="K195" s="15">
        <v>80003</v>
      </c>
      <c r="L195" s="10">
        <v>2</v>
      </c>
      <c r="M195" s="10">
        <v>2</v>
      </c>
      <c r="N195" s="10" t="s">
        <v>62</v>
      </c>
      <c r="O195" s="10"/>
      <c r="P195" s="11">
        <v>22002</v>
      </c>
      <c r="Q195" s="10">
        <v>0</v>
      </c>
      <c r="R195" s="10">
        <v>1</v>
      </c>
      <c r="S195" s="10">
        <v>1</v>
      </c>
      <c r="T195" s="11">
        <v>1</v>
      </c>
      <c r="U195" s="10">
        <v>100</v>
      </c>
      <c r="V195" s="10">
        <v>0</v>
      </c>
      <c r="W195" s="10">
        <v>5001</v>
      </c>
      <c r="X195" s="10">
        <v>0</v>
      </c>
      <c r="Y195" s="25">
        <v>3503</v>
      </c>
      <c r="Z195" s="25">
        <v>3503</v>
      </c>
      <c r="AA195" s="10">
        <v>12</v>
      </c>
      <c r="AB195" s="10">
        <v>0</v>
      </c>
      <c r="AC195" s="10">
        <v>1</v>
      </c>
      <c r="AD195" s="31"/>
      <c r="AE195" s="31"/>
      <c r="AF195" s="3">
        <v>0</v>
      </c>
      <c r="AG195" s="3">
        <v>0</v>
      </c>
      <c r="AH195" s="3">
        <v>0</v>
      </c>
      <c r="AI195" s="3">
        <v>0</v>
      </c>
      <c r="AJ195" s="3">
        <v>0</v>
      </c>
      <c r="AK195" s="3">
        <v>0</v>
      </c>
    </row>
    <row r="196" spans="1:37" x14ac:dyDescent="0.25">
      <c r="A196" s="125"/>
      <c r="B196" s="128"/>
      <c r="C196" s="36"/>
      <c r="D196" s="10">
        <v>5002</v>
      </c>
      <c r="E196" s="10">
        <v>31508</v>
      </c>
      <c r="F196" s="11">
        <v>34102</v>
      </c>
      <c r="G196" s="11">
        <v>0</v>
      </c>
      <c r="H196" s="80" t="s">
        <v>364</v>
      </c>
      <c r="I196" s="10">
        <v>80103</v>
      </c>
      <c r="J196" s="52">
        <v>7</v>
      </c>
      <c r="K196" s="15">
        <v>80003</v>
      </c>
      <c r="L196" s="10">
        <v>2</v>
      </c>
      <c r="M196" s="10">
        <v>2</v>
      </c>
      <c r="N196" s="10" t="s">
        <v>62</v>
      </c>
      <c r="O196" s="10"/>
      <c r="P196" s="11">
        <v>22002</v>
      </c>
      <c r="Q196" s="10">
        <v>0</v>
      </c>
      <c r="R196" s="10">
        <v>1</v>
      </c>
      <c r="S196" s="10">
        <v>1</v>
      </c>
      <c r="T196" s="11">
        <v>1</v>
      </c>
      <c r="U196" s="10">
        <v>100</v>
      </c>
      <c r="V196" s="10">
        <v>0</v>
      </c>
      <c r="W196" s="10">
        <v>5001</v>
      </c>
      <c r="X196" s="10">
        <v>0</v>
      </c>
      <c r="Y196" s="25">
        <v>3503</v>
      </c>
      <c r="Z196" s="25">
        <v>3503</v>
      </c>
      <c r="AA196" s="10">
        <v>12</v>
      </c>
      <c r="AB196" s="10">
        <v>0</v>
      </c>
      <c r="AC196" s="10">
        <v>1</v>
      </c>
      <c r="AD196" s="31"/>
      <c r="AE196" s="31"/>
      <c r="AF196" s="3">
        <v>0</v>
      </c>
      <c r="AG196" s="3">
        <v>0</v>
      </c>
      <c r="AH196" s="3">
        <v>0</v>
      </c>
      <c r="AI196" s="3">
        <v>0</v>
      </c>
      <c r="AJ196" s="3">
        <v>0</v>
      </c>
      <c r="AK196" s="3">
        <v>0</v>
      </c>
    </row>
    <row r="197" spans="1:37" x14ac:dyDescent="0.25">
      <c r="A197" s="126"/>
      <c r="B197" s="129"/>
      <c r="C197" s="36"/>
      <c r="D197" s="10">
        <v>5003</v>
      </c>
      <c r="E197" s="10">
        <v>31509</v>
      </c>
      <c r="F197" s="11">
        <v>34103</v>
      </c>
      <c r="G197" s="11">
        <v>0</v>
      </c>
      <c r="H197" s="80" t="s">
        <v>365</v>
      </c>
      <c r="I197" s="10">
        <v>80103</v>
      </c>
      <c r="J197" s="52">
        <v>7</v>
      </c>
      <c r="K197" s="15">
        <v>80003</v>
      </c>
      <c r="L197" s="10">
        <v>2</v>
      </c>
      <c r="M197" s="10">
        <v>2</v>
      </c>
      <c r="N197" s="10" t="s">
        <v>62</v>
      </c>
      <c r="O197" s="10"/>
      <c r="P197" s="11">
        <v>22002</v>
      </c>
      <c r="Q197" s="10">
        <v>0</v>
      </c>
      <c r="R197" s="10">
        <v>1</v>
      </c>
      <c r="S197" s="10">
        <v>1</v>
      </c>
      <c r="T197" s="11">
        <v>1</v>
      </c>
      <c r="U197" s="10">
        <v>100</v>
      </c>
      <c r="V197" s="10">
        <v>0</v>
      </c>
      <c r="W197" s="10">
        <v>5001</v>
      </c>
      <c r="X197" s="10">
        <v>0</v>
      </c>
      <c r="Y197" s="25">
        <v>3503</v>
      </c>
      <c r="Z197" s="25">
        <v>3503</v>
      </c>
      <c r="AA197" s="10">
        <v>12</v>
      </c>
      <c r="AB197" s="10">
        <v>0</v>
      </c>
      <c r="AC197" s="10">
        <v>1</v>
      </c>
      <c r="AD197" s="31"/>
      <c r="AE197" s="31"/>
      <c r="AF197" s="3">
        <v>0</v>
      </c>
      <c r="AG197" s="3">
        <v>0</v>
      </c>
      <c r="AH197" s="3">
        <v>0</v>
      </c>
      <c r="AI197" s="3">
        <v>0</v>
      </c>
      <c r="AJ197" s="3">
        <v>0</v>
      </c>
      <c r="AK197" s="3">
        <v>0</v>
      </c>
    </row>
    <row r="198" spans="1:37" x14ac:dyDescent="0.25">
      <c r="A198" s="36">
        <v>5</v>
      </c>
      <c r="B198" s="36" t="s">
        <v>390</v>
      </c>
      <c r="C198" s="36" t="s">
        <v>391</v>
      </c>
      <c r="D198" s="10">
        <v>6001</v>
      </c>
      <c r="E198" s="10">
        <v>30464</v>
      </c>
      <c r="F198" s="11">
        <v>33464</v>
      </c>
      <c r="G198" s="11">
        <v>0</v>
      </c>
      <c r="H198" s="31"/>
      <c r="I198" s="10">
        <v>0</v>
      </c>
      <c r="J198" s="52">
        <v>5</v>
      </c>
      <c r="K198" s="67">
        <v>80502</v>
      </c>
      <c r="L198" s="10">
        <v>2</v>
      </c>
      <c r="M198" s="10">
        <v>2</v>
      </c>
      <c r="N198" s="10" t="s">
        <v>399</v>
      </c>
      <c r="O198" s="10"/>
      <c r="P198" s="11">
        <v>22007</v>
      </c>
      <c r="Q198" s="10">
        <v>0</v>
      </c>
      <c r="R198" s="10">
        <v>1</v>
      </c>
      <c r="S198" s="10">
        <v>1</v>
      </c>
      <c r="T198" s="11">
        <v>1</v>
      </c>
      <c r="U198" s="10">
        <v>100</v>
      </c>
      <c r="V198" s="10">
        <v>0</v>
      </c>
      <c r="W198" s="58">
        <v>6060</v>
      </c>
      <c r="X198" s="10">
        <v>0</v>
      </c>
      <c r="Y198" s="25">
        <v>3503</v>
      </c>
      <c r="Z198" s="11">
        <v>3503</v>
      </c>
      <c r="AA198" s="10">
        <v>12</v>
      </c>
      <c r="AB198" s="10">
        <v>0</v>
      </c>
      <c r="AC198" s="11">
        <v>0</v>
      </c>
      <c r="AD198" s="31"/>
      <c r="AE198" s="31"/>
      <c r="AF198" s="3">
        <v>0</v>
      </c>
      <c r="AG198" s="3">
        <v>0</v>
      </c>
      <c r="AH198" s="3">
        <v>0</v>
      </c>
      <c r="AI198" s="3">
        <v>0</v>
      </c>
      <c r="AJ198" s="3">
        <v>0</v>
      </c>
      <c r="AK198" s="3">
        <v>0</v>
      </c>
    </row>
    <row r="199" spans="1:37" x14ac:dyDescent="0.25">
      <c r="A199" s="36"/>
      <c r="B199" s="36"/>
      <c r="C199" s="36" t="s">
        <v>392</v>
      </c>
      <c r="D199" s="10">
        <v>6002</v>
      </c>
      <c r="E199" s="10">
        <v>30464</v>
      </c>
      <c r="F199" s="11">
        <v>33464</v>
      </c>
      <c r="G199" s="11">
        <v>0</v>
      </c>
      <c r="H199" s="31"/>
      <c r="I199" s="10">
        <v>0</v>
      </c>
      <c r="J199" s="52">
        <v>5</v>
      </c>
      <c r="K199" s="67">
        <v>80502</v>
      </c>
      <c r="L199" s="10">
        <v>2</v>
      </c>
      <c r="M199" s="10">
        <v>2</v>
      </c>
      <c r="N199" s="10" t="s">
        <v>399</v>
      </c>
      <c r="O199" s="10"/>
      <c r="P199" s="11">
        <v>22007</v>
      </c>
      <c r="Q199" s="10">
        <v>0</v>
      </c>
      <c r="R199" s="10">
        <v>1</v>
      </c>
      <c r="S199" s="10">
        <v>1</v>
      </c>
      <c r="T199" s="11">
        <v>1</v>
      </c>
      <c r="U199" s="10">
        <v>100</v>
      </c>
      <c r="V199" s="10">
        <v>0</v>
      </c>
      <c r="W199" s="58">
        <v>6060</v>
      </c>
      <c r="X199" s="10">
        <v>0</v>
      </c>
      <c r="Y199" s="25">
        <v>3503</v>
      </c>
      <c r="Z199" s="11">
        <v>3503</v>
      </c>
      <c r="AA199" s="10">
        <v>12</v>
      </c>
      <c r="AB199" s="10">
        <v>0</v>
      </c>
      <c r="AC199" s="11">
        <v>0</v>
      </c>
      <c r="AD199" s="31"/>
      <c r="AE199" s="31"/>
      <c r="AF199" s="3">
        <v>0</v>
      </c>
      <c r="AG199" s="3">
        <v>0</v>
      </c>
      <c r="AH199" s="3">
        <v>0</v>
      </c>
      <c r="AI199" s="3">
        <v>0</v>
      </c>
      <c r="AJ199" s="3">
        <v>0</v>
      </c>
      <c r="AK199" s="3">
        <v>0</v>
      </c>
    </row>
    <row r="200" spans="1:37" x14ac:dyDescent="0.25">
      <c r="A200" s="36"/>
      <c r="B200" s="36"/>
      <c r="C200" s="36" t="s">
        <v>393</v>
      </c>
      <c r="D200" s="10">
        <v>6003</v>
      </c>
      <c r="E200" s="10">
        <v>30464</v>
      </c>
      <c r="F200" s="11">
        <v>33464</v>
      </c>
      <c r="G200" s="11">
        <v>0</v>
      </c>
      <c r="H200" s="31"/>
      <c r="I200" s="10">
        <v>0</v>
      </c>
      <c r="J200" s="52">
        <v>5</v>
      </c>
      <c r="K200" s="67">
        <v>80502</v>
      </c>
      <c r="L200" s="10">
        <v>2</v>
      </c>
      <c r="M200" s="10">
        <v>2</v>
      </c>
      <c r="N200" s="10" t="s">
        <v>399</v>
      </c>
      <c r="O200" s="10"/>
      <c r="P200" s="11">
        <v>22007</v>
      </c>
      <c r="Q200" s="10">
        <v>0</v>
      </c>
      <c r="R200" s="10">
        <v>1</v>
      </c>
      <c r="S200" s="10">
        <v>1</v>
      </c>
      <c r="T200" s="11">
        <v>1</v>
      </c>
      <c r="U200" s="10">
        <v>100</v>
      </c>
      <c r="V200" s="10">
        <v>0</v>
      </c>
      <c r="W200" s="58">
        <v>6060</v>
      </c>
      <c r="X200" s="10">
        <v>0</v>
      </c>
      <c r="Y200" s="25">
        <v>3503</v>
      </c>
      <c r="Z200" s="11">
        <v>3503</v>
      </c>
      <c r="AA200" s="10">
        <v>12</v>
      </c>
      <c r="AB200" s="10">
        <v>0</v>
      </c>
      <c r="AC200" s="11">
        <v>0</v>
      </c>
      <c r="AD200" s="31"/>
      <c r="AE200" s="31"/>
      <c r="AF200" s="3">
        <v>0</v>
      </c>
      <c r="AG200" s="3">
        <v>0</v>
      </c>
      <c r="AH200" s="3">
        <v>0</v>
      </c>
      <c r="AI200" s="3">
        <v>0</v>
      </c>
      <c r="AJ200" s="3">
        <v>0</v>
      </c>
      <c r="AK200" s="3">
        <v>0</v>
      </c>
    </row>
    <row r="201" spans="1:37" x14ac:dyDescent="0.25">
      <c r="A201" s="36"/>
      <c r="B201" s="36"/>
      <c r="C201" s="36" t="s">
        <v>394</v>
      </c>
      <c r="D201" s="10">
        <v>6011</v>
      </c>
      <c r="E201" s="10">
        <v>30464</v>
      </c>
      <c r="F201" s="11">
        <v>33464</v>
      </c>
      <c r="G201" s="11">
        <v>0</v>
      </c>
      <c r="H201" s="31"/>
      <c r="I201" s="10">
        <v>0</v>
      </c>
      <c r="J201" s="52">
        <v>5</v>
      </c>
      <c r="K201" s="67">
        <v>80502</v>
      </c>
      <c r="L201" s="10">
        <v>2</v>
      </c>
      <c r="M201" s="10">
        <v>2</v>
      </c>
      <c r="N201" s="10" t="s">
        <v>399</v>
      </c>
      <c r="O201" s="10"/>
      <c r="P201" s="11">
        <v>22007</v>
      </c>
      <c r="Q201" s="10">
        <v>0</v>
      </c>
      <c r="R201" s="10">
        <v>1</v>
      </c>
      <c r="S201" s="10">
        <v>1</v>
      </c>
      <c r="T201" s="11">
        <v>1</v>
      </c>
      <c r="U201" s="10">
        <v>100</v>
      </c>
      <c r="V201" s="10">
        <v>0</v>
      </c>
      <c r="W201" s="58">
        <v>6060</v>
      </c>
      <c r="X201" s="10">
        <v>0</v>
      </c>
      <c r="Y201" s="25">
        <v>3503</v>
      </c>
      <c r="Z201" s="11">
        <v>3503</v>
      </c>
      <c r="AA201" s="10">
        <v>12</v>
      </c>
      <c r="AB201" s="10">
        <v>0</v>
      </c>
      <c r="AC201" s="11">
        <v>0</v>
      </c>
      <c r="AD201" s="31"/>
      <c r="AE201" s="31"/>
      <c r="AF201" s="3">
        <v>0</v>
      </c>
      <c r="AG201" s="3">
        <v>0</v>
      </c>
      <c r="AH201" s="3">
        <v>0</v>
      </c>
      <c r="AI201" s="3">
        <v>0</v>
      </c>
      <c r="AJ201" s="3">
        <v>0</v>
      </c>
      <c r="AK201" s="3">
        <v>0</v>
      </c>
    </row>
    <row r="202" spans="1:37" x14ac:dyDescent="0.25">
      <c r="A202" s="36"/>
      <c r="B202" s="36"/>
      <c r="C202" s="36" t="s">
        <v>395</v>
      </c>
      <c r="D202" s="10">
        <v>6012</v>
      </c>
      <c r="E202" s="10">
        <v>30464</v>
      </c>
      <c r="F202" s="11">
        <v>33464</v>
      </c>
      <c r="G202" s="11">
        <v>0</v>
      </c>
      <c r="H202" s="31"/>
      <c r="I202" s="10">
        <v>0</v>
      </c>
      <c r="J202" s="52">
        <v>5</v>
      </c>
      <c r="K202" s="67">
        <v>80502</v>
      </c>
      <c r="L202" s="10">
        <v>2</v>
      </c>
      <c r="M202" s="10">
        <v>2</v>
      </c>
      <c r="N202" s="10" t="s">
        <v>399</v>
      </c>
      <c r="O202" s="10"/>
      <c r="P202" s="11">
        <v>22007</v>
      </c>
      <c r="Q202" s="10">
        <v>0</v>
      </c>
      <c r="R202" s="10">
        <v>1</v>
      </c>
      <c r="S202" s="10">
        <v>1</v>
      </c>
      <c r="T202" s="11">
        <v>1</v>
      </c>
      <c r="U202" s="10">
        <v>100</v>
      </c>
      <c r="V202" s="10">
        <v>0</v>
      </c>
      <c r="W202" s="58">
        <v>6060</v>
      </c>
      <c r="X202" s="10">
        <v>0</v>
      </c>
      <c r="Y202" s="25">
        <v>3503</v>
      </c>
      <c r="Z202" s="11">
        <v>3503</v>
      </c>
      <c r="AA202" s="10">
        <v>12</v>
      </c>
      <c r="AB202" s="10">
        <v>0</v>
      </c>
      <c r="AC202" s="11">
        <v>0</v>
      </c>
      <c r="AD202" s="31"/>
      <c r="AE202" s="31"/>
      <c r="AF202" s="3">
        <v>0</v>
      </c>
      <c r="AG202" s="3">
        <v>0</v>
      </c>
      <c r="AH202" s="3">
        <v>0</v>
      </c>
      <c r="AI202" s="3">
        <v>0</v>
      </c>
      <c r="AJ202" s="3">
        <v>0</v>
      </c>
      <c r="AK202" s="3">
        <v>0</v>
      </c>
    </row>
    <row r="203" spans="1:37" x14ac:dyDescent="0.25">
      <c r="A203" s="36"/>
      <c r="B203" s="36"/>
      <c r="C203" s="36" t="s">
        <v>396</v>
      </c>
      <c r="D203" s="10">
        <v>6013</v>
      </c>
      <c r="E203" s="10">
        <v>30464</v>
      </c>
      <c r="F203" s="11">
        <v>33464</v>
      </c>
      <c r="G203" s="11">
        <v>0</v>
      </c>
      <c r="H203" s="31"/>
      <c r="I203" s="10">
        <v>0</v>
      </c>
      <c r="J203" s="52">
        <v>5</v>
      </c>
      <c r="K203" s="67">
        <v>80502</v>
      </c>
      <c r="L203" s="10">
        <v>2</v>
      </c>
      <c r="M203" s="10">
        <v>2</v>
      </c>
      <c r="N203" s="10" t="s">
        <v>399</v>
      </c>
      <c r="O203" s="10"/>
      <c r="P203" s="11">
        <v>22007</v>
      </c>
      <c r="Q203" s="10">
        <v>0</v>
      </c>
      <c r="R203" s="10">
        <v>1</v>
      </c>
      <c r="S203" s="10">
        <v>1</v>
      </c>
      <c r="T203" s="11">
        <v>1</v>
      </c>
      <c r="U203" s="10">
        <v>100</v>
      </c>
      <c r="V203" s="10">
        <v>0</v>
      </c>
      <c r="W203" s="58">
        <v>6060</v>
      </c>
      <c r="X203" s="10">
        <v>0</v>
      </c>
      <c r="Y203" s="25">
        <v>3503</v>
      </c>
      <c r="Z203" s="11">
        <v>3503</v>
      </c>
      <c r="AA203" s="10">
        <v>12</v>
      </c>
      <c r="AB203" s="10">
        <v>0</v>
      </c>
      <c r="AC203" s="11">
        <v>0</v>
      </c>
      <c r="AD203" s="31"/>
      <c r="AE203" s="31"/>
      <c r="AF203" s="3">
        <v>0</v>
      </c>
      <c r="AG203" s="3">
        <v>0</v>
      </c>
      <c r="AH203" s="3">
        <v>0</v>
      </c>
      <c r="AI203" s="3">
        <v>0</v>
      </c>
      <c r="AJ203" s="3">
        <v>0</v>
      </c>
      <c r="AK203" s="3">
        <v>0</v>
      </c>
    </row>
    <row r="204" spans="1:37" x14ac:dyDescent="0.25">
      <c r="A204" s="36"/>
      <c r="B204" s="36"/>
      <c r="C204" s="36" t="s">
        <v>397</v>
      </c>
      <c r="D204" s="10">
        <v>6014</v>
      </c>
      <c r="E204" s="10">
        <v>30464</v>
      </c>
      <c r="F204" s="11">
        <v>33464</v>
      </c>
      <c r="G204" s="11">
        <v>0</v>
      </c>
      <c r="H204" s="31"/>
      <c r="I204" s="10">
        <v>0</v>
      </c>
      <c r="J204" s="52">
        <v>5</v>
      </c>
      <c r="K204" s="67">
        <v>80502</v>
      </c>
      <c r="L204" s="10">
        <v>2</v>
      </c>
      <c r="M204" s="10">
        <v>2</v>
      </c>
      <c r="N204" s="10" t="s">
        <v>399</v>
      </c>
      <c r="O204" s="10"/>
      <c r="P204" s="11">
        <v>22007</v>
      </c>
      <c r="Q204" s="10">
        <v>0</v>
      </c>
      <c r="R204" s="10">
        <v>1</v>
      </c>
      <c r="S204" s="10">
        <v>1</v>
      </c>
      <c r="T204" s="11">
        <v>1</v>
      </c>
      <c r="U204" s="10">
        <v>100</v>
      </c>
      <c r="V204" s="10">
        <v>0</v>
      </c>
      <c r="W204" s="58">
        <v>6060</v>
      </c>
      <c r="X204" s="10">
        <v>0</v>
      </c>
      <c r="Y204" s="25">
        <v>3503</v>
      </c>
      <c r="Z204" s="11">
        <v>3503</v>
      </c>
      <c r="AA204" s="10">
        <v>12</v>
      </c>
      <c r="AB204" s="10">
        <v>0</v>
      </c>
      <c r="AC204" s="11">
        <v>0</v>
      </c>
      <c r="AD204" s="31"/>
      <c r="AE204" s="31"/>
      <c r="AF204" s="3">
        <v>0</v>
      </c>
      <c r="AG204" s="3">
        <v>0</v>
      </c>
      <c r="AH204" s="3">
        <v>0</v>
      </c>
      <c r="AI204" s="3">
        <v>0</v>
      </c>
      <c r="AJ204" s="3">
        <v>0</v>
      </c>
      <c r="AK204" s="3">
        <v>0</v>
      </c>
    </row>
    <row r="205" spans="1:37" x14ac:dyDescent="0.25">
      <c r="A205" s="36"/>
      <c r="B205" s="36"/>
      <c r="C205" s="36" t="s">
        <v>398</v>
      </c>
      <c r="D205" s="10">
        <v>6021</v>
      </c>
      <c r="E205" s="10">
        <v>30464</v>
      </c>
      <c r="F205" s="11">
        <v>33464</v>
      </c>
      <c r="G205" s="11">
        <v>0</v>
      </c>
      <c r="H205" s="31"/>
      <c r="I205" s="10">
        <v>0</v>
      </c>
      <c r="J205" s="52">
        <v>5</v>
      </c>
      <c r="K205" s="67">
        <v>80502</v>
      </c>
      <c r="L205" s="10">
        <v>2</v>
      </c>
      <c r="M205" s="10">
        <v>2</v>
      </c>
      <c r="N205" s="10" t="s">
        <v>399</v>
      </c>
      <c r="O205" s="10"/>
      <c r="P205" s="11">
        <v>22007</v>
      </c>
      <c r="Q205" s="10">
        <v>0</v>
      </c>
      <c r="R205" s="10">
        <v>1</v>
      </c>
      <c r="S205" s="10">
        <v>1</v>
      </c>
      <c r="T205" s="11">
        <v>1</v>
      </c>
      <c r="U205" s="10">
        <v>100</v>
      </c>
      <c r="V205" s="10">
        <v>0</v>
      </c>
      <c r="W205" s="58">
        <v>6060</v>
      </c>
      <c r="X205" s="10">
        <v>0</v>
      </c>
      <c r="Y205" s="25">
        <v>3503</v>
      </c>
      <c r="Z205" s="11">
        <v>3503</v>
      </c>
      <c r="AA205" s="10">
        <v>12</v>
      </c>
      <c r="AB205" s="10">
        <v>0</v>
      </c>
      <c r="AC205" s="11">
        <v>0</v>
      </c>
      <c r="AD205" s="31"/>
      <c r="AE205" s="31"/>
      <c r="AF205" s="3">
        <v>0</v>
      </c>
      <c r="AG205" s="3">
        <v>0</v>
      </c>
      <c r="AH205" s="3">
        <v>0</v>
      </c>
      <c r="AI205" s="3">
        <v>0</v>
      </c>
      <c r="AJ205" s="3">
        <v>0</v>
      </c>
      <c r="AK205" s="3">
        <v>0</v>
      </c>
    </row>
  </sheetData>
  <mergeCells count="25">
    <mergeCell ref="A99:A107"/>
    <mergeCell ref="Q2:S2"/>
    <mergeCell ref="T2:W2"/>
    <mergeCell ref="Y2:AB2"/>
    <mergeCell ref="A89:A97"/>
    <mergeCell ref="A82:A88"/>
    <mergeCell ref="A76:A81"/>
    <mergeCell ref="A70:A74"/>
    <mergeCell ref="A21:A33"/>
    <mergeCell ref="AH2:AJ2"/>
    <mergeCell ref="A164:A197"/>
    <mergeCell ref="B164:B169"/>
    <mergeCell ref="B195:B197"/>
    <mergeCell ref="B170:B175"/>
    <mergeCell ref="B176:B182"/>
    <mergeCell ref="B183:B187"/>
    <mergeCell ref="B188:B190"/>
    <mergeCell ref="B191:B194"/>
    <mergeCell ref="A142:A149"/>
    <mergeCell ref="A133:A140"/>
    <mergeCell ref="A125:A132"/>
    <mergeCell ref="A108:A124"/>
    <mergeCell ref="AC2:AE2"/>
    <mergeCell ref="D2:M2"/>
    <mergeCell ref="N2:P2"/>
  </mergeCells>
  <phoneticPr fontId="15" type="noConversion"/>
  <conditionalFormatting sqref="D1:D5 D7 D9:D12 D15:D18 D20:D1048576">
    <cfRule type="duplicateValues" dxfId="41" priority="2110"/>
  </conditionalFormatting>
  <conditionalFormatting sqref="D6">
    <cfRule type="duplicateValues" dxfId="40" priority="7"/>
  </conditionalFormatting>
  <conditionalFormatting sqref="D8">
    <cfRule type="duplicateValues" dxfId="39" priority="2109"/>
  </conditionalFormatting>
  <conditionalFormatting sqref="D13:D14">
    <cfRule type="duplicateValues" dxfId="38" priority="4"/>
  </conditionalFormatting>
  <conditionalFormatting sqref="D13:D14">
    <cfRule type="duplicateValues" dxfId="37" priority="5"/>
  </conditionalFormatting>
  <conditionalFormatting sqref="D5 D7 D9:D12 D15:D18 D20:D163">
    <cfRule type="duplicateValues" dxfId="36" priority="2172"/>
  </conditionalFormatting>
  <conditionalFormatting sqref="D19">
    <cfRule type="duplicateValues" dxfId="35" priority="3"/>
  </conditionalFormatting>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4:G48"/>
  <sheetViews>
    <sheetView topLeftCell="A17" workbookViewId="0">
      <selection activeCell="F19" sqref="F19"/>
    </sheetView>
  </sheetViews>
  <sheetFormatPr defaultColWidth="9" defaultRowHeight="14.25" x14ac:dyDescent="0.2"/>
  <cols>
    <col min="1" max="2" width="9" style="71"/>
    <col min="3" max="3" width="33.125" style="71" customWidth="1"/>
    <col min="4" max="4" width="25.875" style="71" customWidth="1"/>
    <col min="5" max="5" width="71.625" style="71" customWidth="1"/>
    <col min="6" max="6" width="67.375" style="71" customWidth="1"/>
    <col min="7" max="16384" width="9" style="71"/>
  </cols>
  <sheetData>
    <row r="4" spans="2:7" x14ac:dyDescent="0.2">
      <c r="C4" s="70" t="s">
        <v>243</v>
      </c>
      <c r="D4" s="70" t="s">
        <v>244</v>
      </c>
      <c r="E4" s="70" t="s">
        <v>245</v>
      </c>
      <c r="F4" s="70" t="s">
        <v>264</v>
      </c>
    </row>
    <row r="5" spans="2:7" ht="118.5" customHeight="1" x14ac:dyDescent="0.2">
      <c r="B5" s="84">
        <v>37001</v>
      </c>
      <c r="C5" s="72" t="s">
        <v>262</v>
      </c>
      <c r="D5" s="72" t="s">
        <v>252</v>
      </c>
      <c r="E5" s="73" t="s">
        <v>246</v>
      </c>
      <c r="F5" s="82" t="s">
        <v>326</v>
      </c>
      <c r="G5" s="83"/>
    </row>
    <row r="6" spans="2:7" ht="104.25" customHeight="1" x14ac:dyDescent="0.2">
      <c r="B6" s="84">
        <v>37002</v>
      </c>
      <c r="C6" s="72" t="s">
        <v>262</v>
      </c>
      <c r="D6" s="72" t="s">
        <v>254</v>
      </c>
      <c r="E6" s="73" t="s">
        <v>247</v>
      </c>
      <c r="F6" s="81" t="s">
        <v>324</v>
      </c>
      <c r="G6" s="83"/>
    </row>
    <row r="7" spans="2:7" ht="104.25" customHeight="1" x14ac:dyDescent="0.2">
      <c r="B7" s="84">
        <v>37003</v>
      </c>
      <c r="C7" s="72" t="s">
        <v>262</v>
      </c>
      <c r="D7" s="72" t="s">
        <v>256</v>
      </c>
      <c r="E7" s="73" t="s">
        <v>248</v>
      </c>
      <c r="F7" s="81" t="s">
        <v>325</v>
      </c>
      <c r="G7" s="83"/>
    </row>
    <row r="8" spans="2:7" ht="109.5" customHeight="1" x14ac:dyDescent="0.2">
      <c r="B8" s="84">
        <v>37004</v>
      </c>
      <c r="C8" s="72" t="s">
        <v>262</v>
      </c>
      <c r="D8" s="72" t="s">
        <v>257</v>
      </c>
      <c r="E8" s="73" t="s">
        <v>249</v>
      </c>
      <c r="F8" s="81" t="s">
        <v>349</v>
      </c>
      <c r="G8" s="83"/>
    </row>
    <row r="9" spans="2:7" ht="97.5" customHeight="1" x14ac:dyDescent="0.2">
      <c r="B9" s="84">
        <v>37005</v>
      </c>
      <c r="C9" s="72" t="s">
        <v>262</v>
      </c>
      <c r="D9" s="72" t="s">
        <v>259</v>
      </c>
      <c r="E9" s="73" t="s">
        <v>250</v>
      </c>
      <c r="F9" s="81" t="s">
        <v>327</v>
      </c>
      <c r="G9" s="83"/>
    </row>
    <row r="10" spans="2:7" ht="123" customHeight="1" x14ac:dyDescent="0.2">
      <c r="B10" s="84">
        <v>37006</v>
      </c>
      <c r="C10" s="72" t="s">
        <v>262</v>
      </c>
      <c r="D10" s="72" t="s">
        <v>261</v>
      </c>
      <c r="E10" s="73" t="s">
        <v>263</v>
      </c>
      <c r="F10" s="81" t="s">
        <v>328</v>
      </c>
      <c r="G10" s="83"/>
    </row>
    <row r="11" spans="2:7" ht="105" customHeight="1" x14ac:dyDescent="0.2">
      <c r="B11" s="84">
        <v>37101</v>
      </c>
      <c r="C11" s="72" t="s">
        <v>265</v>
      </c>
      <c r="D11" s="72" t="s">
        <v>266</v>
      </c>
      <c r="E11" s="73" t="s">
        <v>267</v>
      </c>
      <c r="F11" s="82" t="s">
        <v>329</v>
      </c>
      <c r="G11" s="83"/>
    </row>
    <row r="12" spans="2:7" ht="105" customHeight="1" x14ac:dyDescent="0.2">
      <c r="B12" s="84">
        <v>37102</v>
      </c>
      <c r="C12" s="72" t="s">
        <v>265</v>
      </c>
      <c r="D12" s="72" t="s">
        <v>269</v>
      </c>
      <c r="E12" s="76" t="s">
        <v>270</v>
      </c>
      <c r="F12" s="82" t="s">
        <v>330</v>
      </c>
      <c r="G12" s="83"/>
    </row>
    <row r="13" spans="2:7" ht="102" customHeight="1" x14ac:dyDescent="0.2">
      <c r="B13" s="84">
        <v>37103</v>
      </c>
      <c r="C13" s="72" t="s">
        <v>265</v>
      </c>
      <c r="D13" s="72" t="s">
        <v>272</v>
      </c>
      <c r="E13" s="76" t="s">
        <v>273</v>
      </c>
      <c r="F13" s="81" t="s">
        <v>331</v>
      </c>
      <c r="G13" s="83"/>
    </row>
    <row r="14" spans="2:7" ht="110.25" customHeight="1" x14ac:dyDescent="0.2">
      <c r="B14" s="84">
        <v>37104</v>
      </c>
      <c r="C14" s="72" t="s">
        <v>265</v>
      </c>
      <c r="D14" s="72" t="s">
        <v>275</v>
      </c>
      <c r="E14" s="77" t="s">
        <v>276</v>
      </c>
      <c r="F14" s="82" t="s">
        <v>332</v>
      </c>
      <c r="G14" s="83"/>
    </row>
    <row r="15" spans="2:7" ht="104.25" customHeight="1" x14ac:dyDescent="0.2">
      <c r="B15" s="84">
        <v>37105</v>
      </c>
      <c r="C15" s="72" t="s">
        <v>265</v>
      </c>
      <c r="D15" s="72" t="s">
        <v>278</v>
      </c>
      <c r="E15" s="76" t="s">
        <v>279</v>
      </c>
      <c r="F15" s="82" t="s">
        <v>334</v>
      </c>
      <c r="G15" s="83"/>
    </row>
    <row r="16" spans="2:7" ht="129.75" customHeight="1" x14ac:dyDescent="0.35">
      <c r="B16" s="84">
        <v>37106</v>
      </c>
      <c r="C16" s="72" t="s">
        <v>265</v>
      </c>
      <c r="D16" s="72" t="s">
        <v>281</v>
      </c>
      <c r="E16" s="78" t="s">
        <v>282</v>
      </c>
      <c r="F16" s="79" t="s">
        <v>333</v>
      </c>
      <c r="G16" s="83"/>
    </row>
    <row r="17" spans="2:7" ht="108" customHeight="1" x14ac:dyDescent="0.35">
      <c r="B17" s="84">
        <v>37107</v>
      </c>
      <c r="C17" s="72" t="s">
        <v>265</v>
      </c>
      <c r="D17" s="72" t="s">
        <v>283</v>
      </c>
      <c r="E17" s="78" t="s">
        <v>284</v>
      </c>
      <c r="F17" s="75" t="s">
        <v>335</v>
      </c>
      <c r="G17" s="83"/>
    </row>
    <row r="18" spans="2:7" ht="129.75" customHeight="1" x14ac:dyDescent="0.35">
      <c r="B18" s="84">
        <v>37201</v>
      </c>
      <c r="C18" s="72" t="s">
        <v>285</v>
      </c>
      <c r="D18" s="72" t="s">
        <v>288</v>
      </c>
      <c r="E18" s="78" t="s">
        <v>286</v>
      </c>
      <c r="F18" s="79" t="s">
        <v>346</v>
      </c>
      <c r="G18" s="83"/>
    </row>
    <row r="19" spans="2:7" ht="129.75" customHeight="1" x14ac:dyDescent="0.35">
      <c r="B19" s="84">
        <v>37202</v>
      </c>
      <c r="C19" s="72" t="s">
        <v>285</v>
      </c>
      <c r="D19" s="72" t="s">
        <v>290</v>
      </c>
      <c r="E19" s="78" t="s">
        <v>291</v>
      </c>
      <c r="F19" s="79" t="s">
        <v>343</v>
      </c>
      <c r="G19" s="83"/>
    </row>
    <row r="20" spans="2:7" ht="129.75" customHeight="1" x14ac:dyDescent="0.35">
      <c r="B20" s="84">
        <v>37203</v>
      </c>
      <c r="C20" s="72" t="s">
        <v>285</v>
      </c>
      <c r="D20" s="72" t="s">
        <v>293</v>
      </c>
      <c r="E20" s="78" t="s">
        <v>294</v>
      </c>
      <c r="F20" s="79" t="s">
        <v>341</v>
      </c>
      <c r="G20" s="83"/>
    </row>
    <row r="21" spans="2:7" ht="129.75" customHeight="1" x14ac:dyDescent="0.35">
      <c r="B21" s="84">
        <v>37204</v>
      </c>
      <c r="C21" s="72" t="s">
        <v>285</v>
      </c>
      <c r="D21" s="72" t="s">
        <v>299</v>
      </c>
      <c r="E21" s="78" t="s">
        <v>300</v>
      </c>
      <c r="F21" s="79" t="s">
        <v>345</v>
      </c>
      <c r="G21" s="83"/>
    </row>
    <row r="22" spans="2:7" ht="129.75" customHeight="1" x14ac:dyDescent="0.35">
      <c r="B22" s="84">
        <v>37205</v>
      </c>
      <c r="C22" s="72" t="s">
        <v>285</v>
      </c>
      <c r="D22" s="72" t="s">
        <v>296</v>
      </c>
      <c r="E22" s="78" t="s">
        <v>297</v>
      </c>
      <c r="F22" s="79" t="s">
        <v>344</v>
      </c>
      <c r="G22" s="83"/>
    </row>
    <row r="23" spans="2:7" ht="86.25" customHeight="1" x14ac:dyDescent="0.35">
      <c r="B23" s="84">
        <v>37301</v>
      </c>
      <c r="C23" s="72" t="s">
        <v>301</v>
      </c>
      <c r="D23" s="72" t="s">
        <v>303</v>
      </c>
      <c r="E23" s="78" t="s">
        <v>304</v>
      </c>
      <c r="F23" s="79" t="s">
        <v>340</v>
      </c>
      <c r="G23" s="83"/>
    </row>
    <row r="24" spans="2:7" ht="129.75" customHeight="1" x14ac:dyDescent="0.35">
      <c r="B24" s="84">
        <v>37302</v>
      </c>
      <c r="C24" s="72" t="s">
        <v>301</v>
      </c>
      <c r="D24" s="72" t="s">
        <v>306</v>
      </c>
      <c r="E24" s="78" t="s">
        <v>307</v>
      </c>
      <c r="F24" s="79" t="s">
        <v>348</v>
      </c>
      <c r="G24" s="83"/>
    </row>
    <row r="25" spans="2:7" ht="129.75" customHeight="1" x14ac:dyDescent="0.35">
      <c r="B25" s="84">
        <v>37303</v>
      </c>
      <c r="C25" s="72" t="s">
        <v>301</v>
      </c>
      <c r="D25" s="72" t="s">
        <v>309</v>
      </c>
      <c r="E25" s="78" t="s">
        <v>310</v>
      </c>
      <c r="F25" s="79" t="s">
        <v>342</v>
      </c>
      <c r="G25" s="83"/>
    </row>
    <row r="26" spans="2:7" ht="90.75" customHeight="1" x14ac:dyDescent="0.35">
      <c r="B26" s="84">
        <v>37401</v>
      </c>
      <c r="C26" s="72" t="s">
        <v>311</v>
      </c>
      <c r="D26" s="72" t="s">
        <v>313</v>
      </c>
      <c r="E26" s="78" t="s">
        <v>314</v>
      </c>
      <c r="F26" s="79" t="s">
        <v>339</v>
      </c>
      <c r="G26" s="83"/>
    </row>
    <row r="27" spans="2:7" ht="97.5" customHeight="1" x14ac:dyDescent="0.35">
      <c r="B27" s="84">
        <v>37402</v>
      </c>
      <c r="C27" s="72" t="s">
        <v>311</v>
      </c>
      <c r="D27" s="72" t="s">
        <v>316</v>
      </c>
      <c r="E27" s="78" t="s">
        <v>317</v>
      </c>
      <c r="F27" s="79" t="s">
        <v>338</v>
      </c>
      <c r="G27" s="83"/>
    </row>
    <row r="28" spans="2:7" ht="93.75" customHeight="1" x14ac:dyDescent="0.35">
      <c r="B28" s="84">
        <v>37403</v>
      </c>
      <c r="C28" s="72" t="s">
        <v>311</v>
      </c>
      <c r="D28" s="72" t="s">
        <v>319</v>
      </c>
      <c r="E28" s="78" t="s">
        <v>320</v>
      </c>
      <c r="F28" s="79" t="s">
        <v>337</v>
      </c>
      <c r="G28" s="83"/>
    </row>
    <row r="29" spans="2:7" ht="84" customHeight="1" x14ac:dyDescent="0.35">
      <c r="B29" s="84">
        <v>37404</v>
      </c>
      <c r="C29" s="72" t="s">
        <v>311</v>
      </c>
      <c r="D29" s="72" t="s">
        <v>322</v>
      </c>
      <c r="E29" s="78" t="s">
        <v>323</v>
      </c>
      <c r="F29" s="79" t="s">
        <v>336</v>
      </c>
      <c r="G29" s="83"/>
    </row>
    <row r="30" spans="2:7" ht="153.75" customHeight="1" x14ac:dyDescent="0.2">
      <c r="C30" s="72" t="s">
        <v>265</v>
      </c>
      <c r="D30" s="74"/>
      <c r="E30" s="74"/>
      <c r="F30" s="74"/>
    </row>
    <row r="31" spans="2:7" x14ac:dyDescent="0.2">
      <c r="C31" s="74"/>
      <c r="D31" s="74"/>
      <c r="E31" s="74"/>
      <c r="F31" s="74"/>
    </row>
    <row r="32" spans="2:7" x14ac:dyDescent="0.2">
      <c r="C32" s="74"/>
      <c r="D32" s="74"/>
      <c r="E32" s="74"/>
      <c r="F32" s="74"/>
    </row>
    <row r="33" spans="3:6" x14ac:dyDescent="0.2">
      <c r="C33" s="74"/>
      <c r="D33" s="74"/>
      <c r="E33" s="74"/>
      <c r="F33" s="74"/>
    </row>
    <row r="34" spans="3:6" x14ac:dyDescent="0.2">
      <c r="C34" s="74"/>
      <c r="D34" s="74"/>
      <c r="E34" s="74"/>
      <c r="F34" s="74"/>
    </row>
    <row r="35" spans="3:6" x14ac:dyDescent="0.2">
      <c r="C35" s="74"/>
      <c r="D35" s="74"/>
      <c r="E35" s="74"/>
      <c r="F35" s="74"/>
    </row>
    <row r="36" spans="3:6" x14ac:dyDescent="0.2">
      <c r="C36" s="74"/>
      <c r="D36" s="74"/>
      <c r="E36" s="74"/>
      <c r="F36" s="74"/>
    </row>
    <row r="37" spans="3:6" x14ac:dyDescent="0.2">
      <c r="C37" s="74"/>
      <c r="D37" s="74"/>
      <c r="E37" s="74"/>
      <c r="F37" s="74"/>
    </row>
    <row r="38" spans="3:6" x14ac:dyDescent="0.2">
      <c r="C38" s="74"/>
      <c r="D38" s="74"/>
      <c r="E38" s="74"/>
      <c r="F38" s="74"/>
    </row>
    <row r="39" spans="3:6" x14ac:dyDescent="0.2">
      <c r="C39" s="74"/>
      <c r="D39" s="74"/>
      <c r="E39" s="74"/>
      <c r="F39" s="74"/>
    </row>
    <row r="40" spans="3:6" x14ac:dyDescent="0.2">
      <c r="C40" s="74"/>
      <c r="D40" s="74"/>
      <c r="E40" s="74"/>
      <c r="F40" s="74"/>
    </row>
    <row r="41" spans="3:6" x14ac:dyDescent="0.2">
      <c r="C41" s="74"/>
      <c r="D41" s="74"/>
      <c r="E41" s="74"/>
      <c r="F41" s="74"/>
    </row>
    <row r="42" spans="3:6" x14ac:dyDescent="0.2">
      <c r="C42" s="74"/>
      <c r="D42" s="74"/>
      <c r="E42" s="74"/>
      <c r="F42" s="74"/>
    </row>
    <row r="43" spans="3:6" x14ac:dyDescent="0.2">
      <c r="C43" s="74"/>
      <c r="D43" s="74"/>
      <c r="E43" s="74"/>
      <c r="F43" s="74"/>
    </row>
    <row r="44" spans="3:6" x14ac:dyDescent="0.2">
      <c r="C44" s="74"/>
      <c r="D44" s="74"/>
      <c r="E44" s="74"/>
      <c r="F44" s="74"/>
    </row>
    <row r="45" spans="3:6" x14ac:dyDescent="0.2">
      <c r="C45" s="74"/>
      <c r="D45" s="74"/>
      <c r="E45" s="74"/>
      <c r="F45" s="74"/>
    </row>
    <row r="46" spans="3:6" x14ac:dyDescent="0.2">
      <c r="C46" s="74"/>
      <c r="D46" s="74"/>
      <c r="E46" s="74"/>
      <c r="F46" s="74"/>
    </row>
    <row r="47" spans="3:6" x14ac:dyDescent="0.2">
      <c r="C47" s="74"/>
      <c r="D47" s="74"/>
      <c r="E47" s="74"/>
      <c r="F47" s="74"/>
    </row>
    <row r="48" spans="3:6" x14ac:dyDescent="0.2">
      <c r="C48" s="74"/>
      <c r="D48" s="74"/>
      <c r="E48" s="74"/>
      <c r="F48" s="74"/>
    </row>
  </sheetData>
  <phoneticPr fontId="1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F4:I28"/>
  <sheetViews>
    <sheetView topLeftCell="A6" workbookViewId="0">
      <selection activeCell="G20" sqref="G20"/>
    </sheetView>
  </sheetViews>
  <sheetFormatPr defaultColWidth="9" defaultRowHeight="13.5" x14ac:dyDescent="0.15"/>
  <cols>
    <col min="6" max="7" width="24.5" customWidth="1"/>
    <col min="8" max="8" width="30.75" customWidth="1"/>
  </cols>
  <sheetData>
    <row r="4" spans="6:9" ht="18.75" x14ac:dyDescent="0.25">
      <c r="F4" s="130" t="s">
        <v>262</v>
      </c>
      <c r="G4" s="36" t="s">
        <v>251</v>
      </c>
      <c r="H4" s="36" t="s">
        <v>421</v>
      </c>
      <c r="I4" s="10">
        <v>4101</v>
      </c>
    </row>
    <row r="5" spans="6:9" ht="18.75" x14ac:dyDescent="0.25">
      <c r="F5" s="130"/>
      <c r="G5" s="36" t="s">
        <v>253</v>
      </c>
      <c r="H5" s="36" t="s">
        <v>424</v>
      </c>
      <c r="I5" s="10">
        <v>4102</v>
      </c>
    </row>
    <row r="6" spans="6:9" ht="18.75" x14ac:dyDescent="0.25">
      <c r="F6" s="130"/>
      <c r="G6" s="36" t="s">
        <v>255</v>
      </c>
      <c r="H6" s="36" t="s">
        <v>421</v>
      </c>
      <c r="I6" s="10">
        <v>4103</v>
      </c>
    </row>
    <row r="7" spans="6:9" ht="18.75" x14ac:dyDescent="0.25">
      <c r="F7" s="130"/>
      <c r="G7" s="36" t="s">
        <v>257</v>
      </c>
      <c r="H7" s="36" t="s">
        <v>421</v>
      </c>
      <c r="I7" s="10">
        <v>4104</v>
      </c>
    </row>
    <row r="8" spans="6:9" ht="18.75" x14ac:dyDescent="0.25">
      <c r="F8" s="130"/>
      <c r="G8" s="36" t="s">
        <v>258</v>
      </c>
      <c r="H8" s="36" t="s">
        <v>426</v>
      </c>
      <c r="I8" s="10">
        <v>4105</v>
      </c>
    </row>
    <row r="9" spans="6:9" ht="18.75" x14ac:dyDescent="0.25">
      <c r="F9" s="130"/>
      <c r="G9" s="36" t="s">
        <v>260</v>
      </c>
      <c r="H9" s="36" t="s">
        <v>427</v>
      </c>
      <c r="I9" s="10">
        <v>4106</v>
      </c>
    </row>
    <row r="10" spans="6:9" ht="18.75" x14ac:dyDescent="0.25">
      <c r="F10" s="130" t="s">
        <v>265</v>
      </c>
      <c r="G10" s="36" t="s">
        <v>266</v>
      </c>
      <c r="H10" s="36" t="s">
        <v>428</v>
      </c>
      <c r="I10" s="10">
        <v>4201</v>
      </c>
    </row>
    <row r="11" spans="6:9" ht="18.75" x14ac:dyDescent="0.25">
      <c r="F11" s="130"/>
      <c r="G11" s="36" t="s">
        <v>268</v>
      </c>
      <c r="H11" s="36" t="s">
        <v>421</v>
      </c>
      <c r="I11" s="10">
        <v>4202</v>
      </c>
    </row>
    <row r="12" spans="6:9" ht="18.75" x14ac:dyDescent="0.25">
      <c r="F12" s="130"/>
      <c r="G12" s="36" t="s">
        <v>271</v>
      </c>
      <c r="H12" s="36" t="s">
        <v>422</v>
      </c>
      <c r="I12" s="10">
        <v>4203</v>
      </c>
    </row>
    <row r="13" spans="6:9" ht="18.75" x14ac:dyDescent="0.25">
      <c r="F13" s="130"/>
      <c r="G13" s="36" t="s">
        <v>274</v>
      </c>
      <c r="H13" s="36" t="s">
        <v>429</v>
      </c>
      <c r="I13" s="10">
        <v>4204</v>
      </c>
    </row>
    <row r="14" spans="6:9" ht="18.75" x14ac:dyDescent="0.25">
      <c r="F14" s="130"/>
      <c r="G14" s="36" t="s">
        <v>277</v>
      </c>
      <c r="H14" s="36" t="s">
        <v>425</v>
      </c>
      <c r="I14" s="10">
        <v>4205</v>
      </c>
    </row>
    <row r="15" spans="6:9" ht="18.75" x14ac:dyDescent="0.25">
      <c r="F15" s="130"/>
      <c r="G15" s="36" t="s">
        <v>280</v>
      </c>
      <c r="H15" s="36" t="s">
        <v>423</v>
      </c>
      <c r="I15" s="10">
        <v>4206</v>
      </c>
    </row>
    <row r="16" spans="6:9" ht="18.75" x14ac:dyDescent="0.25">
      <c r="F16" s="130"/>
      <c r="G16" s="36" t="s">
        <v>283</v>
      </c>
      <c r="H16" s="36" t="s">
        <v>430</v>
      </c>
      <c r="I16" s="10">
        <v>4207</v>
      </c>
    </row>
    <row r="17" spans="6:9" ht="18.75" x14ac:dyDescent="0.25">
      <c r="F17" s="130" t="s">
        <v>285</v>
      </c>
      <c r="G17" s="36" t="s">
        <v>287</v>
      </c>
      <c r="H17" s="36" t="s">
        <v>421</v>
      </c>
      <c r="I17" s="10">
        <v>4301</v>
      </c>
    </row>
    <row r="18" spans="6:9" ht="18.75" x14ac:dyDescent="0.25">
      <c r="F18" s="130"/>
      <c r="G18" s="36" t="s">
        <v>289</v>
      </c>
      <c r="H18" s="36" t="s">
        <v>431</v>
      </c>
      <c r="I18" s="10">
        <v>4302</v>
      </c>
    </row>
    <row r="19" spans="6:9" ht="18.75" x14ac:dyDescent="0.25">
      <c r="F19" s="130"/>
      <c r="G19" s="36" t="s">
        <v>292</v>
      </c>
      <c r="H19" s="36" t="s">
        <v>432</v>
      </c>
      <c r="I19" s="10">
        <v>4303</v>
      </c>
    </row>
    <row r="20" spans="6:9" ht="18.75" x14ac:dyDescent="0.25">
      <c r="F20" s="130"/>
      <c r="G20" s="36" t="s">
        <v>298</v>
      </c>
      <c r="H20" s="36" t="s">
        <v>433</v>
      </c>
      <c r="I20" s="10">
        <v>4304</v>
      </c>
    </row>
    <row r="21" spans="6:9" ht="18.75" x14ac:dyDescent="0.25">
      <c r="F21" s="130"/>
      <c r="G21" s="36" t="s">
        <v>295</v>
      </c>
      <c r="H21" s="36" t="s">
        <v>434</v>
      </c>
      <c r="I21" s="10">
        <v>4305</v>
      </c>
    </row>
    <row r="22" spans="6:9" ht="18.75" x14ac:dyDescent="0.25">
      <c r="F22" s="130" t="s">
        <v>301</v>
      </c>
      <c r="G22" s="36" t="s">
        <v>302</v>
      </c>
      <c r="H22" s="36" t="s">
        <v>437</v>
      </c>
      <c r="I22" s="10">
        <v>4401</v>
      </c>
    </row>
    <row r="23" spans="6:9" ht="18.75" x14ac:dyDescent="0.25">
      <c r="F23" s="130"/>
      <c r="G23" s="36" t="s">
        <v>305</v>
      </c>
      <c r="H23" s="36" t="s">
        <v>435</v>
      </c>
      <c r="I23" s="10">
        <v>4402</v>
      </c>
    </row>
    <row r="24" spans="6:9" ht="18.75" x14ac:dyDescent="0.25">
      <c r="F24" s="130"/>
      <c r="G24" s="36" t="s">
        <v>308</v>
      </c>
      <c r="H24" s="112" t="s">
        <v>436</v>
      </c>
      <c r="I24" s="10">
        <v>4403</v>
      </c>
    </row>
    <row r="25" spans="6:9" ht="18.75" x14ac:dyDescent="0.25">
      <c r="F25" s="130" t="s">
        <v>311</v>
      </c>
      <c r="G25" s="36" t="s">
        <v>312</v>
      </c>
      <c r="H25" s="111" t="s">
        <v>438</v>
      </c>
      <c r="I25" s="10">
        <v>4501</v>
      </c>
    </row>
    <row r="26" spans="6:9" ht="18.75" x14ac:dyDescent="0.25">
      <c r="F26" s="130"/>
      <c r="G26" s="36" t="s">
        <v>315</v>
      </c>
      <c r="H26" s="36" t="s">
        <v>439</v>
      </c>
      <c r="I26" s="10">
        <v>4502</v>
      </c>
    </row>
    <row r="27" spans="6:9" ht="18.75" x14ac:dyDescent="0.25">
      <c r="F27" s="130"/>
      <c r="G27" s="36" t="s">
        <v>318</v>
      </c>
      <c r="H27" s="36" t="s">
        <v>440</v>
      </c>
      <c r="I27" s="10">
        <v>4503</v>
      </c>
    </row>
    <row r="28" spans="6:9" ht="18.75" x14ac:dyDescent="0.25">
      <c r="F28" s="130"/>
      <c r="G28" s="36" t="s">
        <v>321</v>
      </c>
      <c r="H28" s="36" t="s">
        <v>441</v>
      </c>
      <c r="I28" s="10">
        <v>4504</v>
      </c>
    </row>
  </sheetData>
  <mergeCells count="5">
    <mergeCell ref="F4:F9"/>
    <mergeCell ref="F10:F16"/>
    <mergeCell ref="F17:F21"/>
    <mergeCell ref="F22:F24"/>
    <mergeCell ref="F25:F28"/>
  </mergeCells>
  <phoneticPr fontId="15" type="noConversion"/>
  <conditionalFormatting sqref="I4:I28">
    <cfRule type="duplicateValues" dxfId="0"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D5:V116"/>
  <sheetViews>
    <sheetView topLeftCell="A78" workbookViewId="0">
      <selection activeCell="K106" sqref="K106"/>
    </sheetView>
  </sheetViews>
  <sheetFormatPr defaultColWidth="9" defaultRowHeight="13.5" x14ac:dyDescent="0.15"/>
  <cols>
    <col min="4" max="4" width="9" style="1"/>
    <col min="9" max="9" width="11.625" customWidth="1"/>
  </cols>
  <sheetData>
    <row r="5" spans="4:22" x14ac:dyDescent="0.15">
      <c r="D5" s="1">
        <v>6</v>
      </c>
      <c r="E5">
        <v>4</v>
      </c>
      <c r="F5">
        <v>3</v>
      </c>
      <c r="G5">
        <v>1</v>
      </c>
    </row>
    <row r="6" spans="4:22" x14ac:dyDescent="0.15">
      <c r="D6" s="1">
        <v>100000</v>
      </c>
      <c r="E6">
        <v>125000</v>
      </c>
      <c r="F6">
        <v>150000</v>
      </c>
      <c r="G6">
        <v>200000</v>
      </c>
      <c r="I6" t="str">
        <f>D$5&amp;":"&amp;D6&amp;";"</f>
        <v>6:100000;</v>
      </c>
      <c r="J6" t="str">
        <f t="shared" ref="J6:K6" si="0">E$5&amp;":"&amp;E6&amp;";"</f>
        <v>4:125000;</v>
      </c>
      <c r="K6" t="str">
        <f t="shared" si="0"/>
        <v>3:150000;</v>
      </c>
      <c r="L6" t="str">
        <f>G$5&amp;":"&amp;G6</f>
        <v>1:200000</v>
      </c>
      <c r="M6">
        <v>1</v>
      </c>
      <c r="N6" t="str">
        <f>I6&amp;J6&amp;K6&amp;L6</f>
        <v>6:100000;4:125000;3:150000;1:200000</v>
      </c>
      <c r="S6">
        <f>D6/2</f>
        <v>50000</v>
      </c>
      <c r="T6">
        <f t="shared" ref="T6:V20" si="1">E6/2</f>
        <v>62500</v>
      </c>
      <c r="U6">
        <f t="shared" si="1"/>
        <v>75000</v>
      </c>
      <c r="V6">
        <f t="shared" si="1"/>
        <v>100000</v>
      </c>
    </row>
    <row r="7" spans="4:22" x14ac:dyDescent="0.15">
      <c r="D7" s="1">
        <v>125000</v>
      </c>
      <c r="E7">
        <v>156250</v>
      </c>
      <c r="F7">
        <v>187500</v>
      </c>
      <c r="G7">
        <v>250000</v>
      </c>
      <c r="I7" t="str">
        <f t="shared" ref="I7:I20" si="2">D$5&amp;":"&amp;D7&amp;";"</f>
        <v>6:125000;</v>
      </c>
      <c r="J7" t="str">
        <f t="shared" ref="J7:J20" si="3">E$5&amp;":"&amp;E7&amp;";"</f>
        <v>4:156250;</v>
      </c>
      <c r="K7" t="str">
        <f t="shared" ref="K7:K20" si="4">F$5&amp;":"&amp;F7&amp;";"</f>
        <v>3:187500;</v>
      </c>
      <c r="L7" t="str">
        <f t="shared" ref="L7:L20" si="5">G$5&amp;":"&amp;G7</f>
        <v>1:250000</v>
      </c>
      <c r="M7">
        <v>2</v>
      </c>
      <c r="N7" t="str">
        <f t="shared" ref="N7:N20" si="6">I7&amp;J7&amp;K7&amp;L7</f>
        <v>6:125000;4:156250;3:187500;1:250000</v>
      </c>
      <c r="S7">
        <f t="shared" ref="S7:S20" si="7">D7/2</f>
        <v>62500</v>
      </c>
      <c r="T7">
        <f t="shared" si="1"/>
        <v>78125</v>
      </c>
      <c r="U7">
        <f t="shared" si="1"/>
        <v>93750</v>
      </c>
      <c r="V7">
        <f t="shared" si="1"/>
        <v>125000</v>
      </c>
    </row>
    <row r="8" spans="4:22" x14ac:dyDescent="0.15">
      <c r="D8" s="1">
        <v>150000</v>
      </c>
      <c r="E8">
        <v>187500</v>
      </c>
      <c r="F8">
        <v>225000</v>
      </c>
      <c r="G8">
        <v>300000</v>
      </c>
      <c r="I8" t="str">
        <f t="shared" si="2"/>
        <v>6:150000;</v>
      </c>
      <c r="J8" t="str">
        <f t="shared" si="3"/>
        <v>4:187500;</v>
      </c>
      <c r="K8" t="str">
        <f t="shared" si="4"/>
        <v>3:225000;</v>
      </c>
      <c r="L8" t="str">
        <f t="shared" si="5"/>
        <v>1:300000</v>
      </c>
      <c r="M8">
        <v>3</v>
      </c>
      <c r="N8" t="str">
        <f t="shared" si="6"/>
        <v>6:150000;4:187500;3:225000;1:300000</v>
      </c>
      <c r="S8">
        <f t="shared" si="7"/>
        <v>75000</v>
      </c>
      <c r="T8">
        <f t="shared" si="1"/>
        <v>93750</v>
      </c>
      <c r="U8">
        <f t="shared" si="1"/>
        <v>112500</v>
      </c>
      <c r="V8">
        <f t="shared" si="1"/>
        <v>150000</v>
      </c>
    </row>
    <row r="9" spans="4:22" x14ac:dyDescent="0.15">
      <c r="D9" s="1">
        <v>175000</v>
      </c>
      <c r="E9">
        <v>218750</v>
      </c>
      <c r="F9">
        <v>262500</v>
      </c>
      <c r="G9">
        <v>350000</v>
      </c>
      <c r="I9" t="str">
        <f t="shared" si="2"/>
        <v>6:175000;</v>
      </c>
      <c r="J9" t="str">
        <f t="shared" si="3"/>
        <v>4:218750;</v>
      </c>
      <c r="K9" t="str">
        <f t="shared" si="4"/>
        <v>3:262500;</v>
      </c>
      <c r="L9" t="str">
        <f t="shared" si="5"/>
        <v>1:350000</v>
      </c>
      <c r="M9">
        <v>4</v>
      </c>
      <c r="N9" t="str">
        <f t="shared" si="6"/>
        <v>6:175000;4:218750;3:262500;1:350000</v>
      </c>
      <c r="S9">
        <f t="shared" si="7"/>
        <v>87500</v>
      </c>
      <c r="T9">
        <f t="shared" si="1"/>
        <v>109375</v>
      </c>
      <c r="U9">
        <f t="shared" si="1"/>
        <v>131250</v>
      </c>
      <c r="V9">
        <f t="shared" si="1"/>
        <v>175000</v>
      </c>
    </row>
    <row r="10" spans="4:22" x14ac:dyDescent="0.15">
      <c r="D10" s="1">
        <v>200000</v>
      </c>
      <c r="E10">
        <v>250000</v>
      </c>
      <c r="F10">
        <v>300000</v>
      </c>
      <c r="G10">
        <v>400000</v>
      </c>
      <c r="I10" t="str">
        <f t="shared" si="2"/>
        <v>6:200000;</v>
      </c>
      <c r="J10" t="str">
        <f t="shared" si="3"/>
        <v>4:250000;</v>
      </c>
      <c r="K10" t="str">
        <f t="shared" si="4"/>
        <v>3:300000;</v>
      </c>
      <c r="L10" t="str">
        <f t="shared" si="5"/>
        <v>1:400000</v>
      </c>
      <c r="M10">
        <v>5</v>
      </c>
      <c r="N10" t="str">
        <f t="shared" si="6"/>
        <v>6:200000;4:250000;3:300000;1:400000</v>
      </c>
      <c r="S10">
        <f t="shared" si="7"/>
        <v>100000</v>
      </c>
      <c r="T10">
        <f t="shared" si="1"/>
        <v>125000</v>
      </c>
      <c r="U10">
        <f t="shared" si="1"/>
        <v>150000</v>
      </c>
      <c r="V10">
        <f t="shared" si="1"/>
        <v>200000</v>
      </c>
    </row>
    <row r="11" spans="4:22" x14ac:dyDescent="0.15">
      <c r="D11" s="1">
        <v>225000</v>
      </c>
      <c r="E11">
        <v>281250</v>
      </c>
      <c r="F11">
        <v>337500</v>
      </c>
      <c r="G11">
        <v>450000</v>
      </c>
      <c r="I11" t="str">
        <f t="shared" si="2"/>
        <v>6:225000;</v>
      </c>
      <c r="J11" t="str">
        <f t="shared" si="3"/>
        <v>4:281250;</v>
      </c>
      <c r="K11" t="str">
        <f t="shared" si="4"/>
        <v>3:337500;</v>
      </c>
      <c r="L11" t="str">
        <f t="shared" si="5"/>
        <v>1:450000</v>
      </c>
      <c r="M11">
        <v>6</v>
      </c>
      <c r="N11" t="str">
        <f t="shared" si="6"/>
        <v>6:225000;4:281250;3:337500;1:450000</v>
      </c>
      <c r="S11">
        <f t="shared" si="7"/>
        <v>112500</v>
      </c>
      <c r="T11">
        <f t="shared" si="1"/>
        <v>140625</v>
      </c>
      <c r="U11">
        <f t="shared" si="1"/>
        <v>168750</v>
      </c>
      <c r="V11">
        <f t="shared" si="1"/>
        <v>225000</v>
      </c>
    </row>
    <row r="12" spans="4:22" x14ac:dyDescent="0.15">
      <c r="D12" s="1">
        <v>250000</v>
      </c>
      <c r="E12">
        <v>312500</v>
      </c>
      <c r="F12">
        <v>375000</v>
      </c>
      <c r="G12">
        <v>500000</v>
      </c>
      <c r="I12" t="str">
        <f t="shared" si="2"/>
        <v>6:250000;</v>
      </c>
      <c r="J12" t="str">
        <f t="shared" si="3"/>
        <v>4:312500;</v>
      </c>
      <c r="K12" t="str">
        <f t="shared" si="4"/>
        <v>3:375000;</v>
      </c>
      <c r="L12" t="str">
        <f t="shared" si="5"/>
        <v>1:500000</v>
      </c>
      <c r="M12">
        <v>7</v>
      </c>
      <c r="N12" t="str">
        <f t="shared" si="6"/>
        <v>6:250000;4:312500;3:375000;1:500000</v>
      </c>
      <c r="S12">
        <f t="shared" si="7"/>
        <v>125000</v>
      </c>
      <c r="T12">
        <f t="shared" si="1"/>
        <v>156250</v>
      </c>
      <c r="U12">
        <f t="shared" si="1"/>
        <v>187500</v>
      </c>
      <c r="V12">
        <f t="shared" si="1"/>
        <v>250000</v>
      </c>
    </row>
    <row r="13" spans="4:22" x14ac:dyDescent="0.15">
      <c r="D13" s="1">
        <v>300000</v>
      </c>
      <c r="E13">
        <v>375000</v>
      </c>
      <c r="F13">
        <v>450000</v>
      </c>
      <c r="G13">
        <v>600000</v>
      </c>
      <c r="I13" t="str">
        <f t="shared" si="2"/>
        <v>6:300000;</v>
      </c>
      <c r="J13" t="str">
        <f t="shared" si="3"/>
        <v>4:375000;</v>
      </c>
      <c r="K13" t="str">
        <f t="shared" si="4"/>
        <v>3:450000;</v>
      </c>
      <c r="L13" t="str">
        <f t="shared" si="5"/>
        <v>1:600000</v>
      </c>
      <c r="M13">
        <v>8</v>
      </c>
      <c r="N13" t="str">
        <f t="shared" si="6"/>
        <v>6:300000;4:375000;3:450000;1:600000</v>
      </c>
      <c r="S13">
        <f t="shared" si="7"/>
        <v>150000</v>
      </c>
      <c r="T13">
        <f t="shared" si="1"/>
        <v>187500</v>
      </c>
      <c r="U13">
        <f t="shared" si="1"/>
        <v>225000</v>
      </c>
      <c r="V13">
        <f t="shared" si="1"/>
        <v>300000</v>
      </c>
    </row>
    <row r="14" spans="4:22" x14ac:dyDescent="0.15">
      <c r="D14" s="1">
        <v>350000</v>
      </c>
      <c r="E14">
        <v>437500</v>
      </c>
      <c r="F14">
        <v>525000</v>
      </c>
      <c r="G14">
        <v>700000</v>
      </c>
      <c r="I14" t="str">
        <f t="shared" si="2"/>
        <v>6:350000;</v>
      </c>
      <c r="J14" t="str">
        <f t="shared" si="3"/>
        <v>4:437500;</v>
      </c>
      <c r="K14" t="str">
        <f t="shared" si="4"/>
        <v>3:525000;</v>
      </c>
      <c r="L14" t="str">
        <f t="shared" si="5"/>
        <v>1:700000</v>
      </c>
      <c r="M14">
        <v>9</v>
      </c>
      <c r="N14" t="str">
        <f t="shared" si="6"/>
        <v>6:350000;4:437500;3:525000;1:700000</v>
      </c>
      <c r="S14">
        <f t="shared" si="7"/>
        <v>175000</v>
      </c>
      <c r="T14">
        <f t="shared" si="1"/>
        <v>218750</v>
      </c>
      <c r="U14">
        <f t="shared" si="1"/>
        <v>262500</v>
      </c>
      <c r="V14">
        <f t="shared" si="1"/>
        <v>350000</v>
      </c>
    </row>
    <row r="15" spans="4:22" x14ac:dyDescent="0.15">
      <c r="D15" s="1">
        <v>400000</v>
      </c>
      <c r="E15">
        <v>500000</v>
      </c>
      <c r="F15">
        <v>600000</v>
      </c>
      <c r="G15">
        <v>800000</v>
      </c>
      <c r="I15" t="str">
        <f t="shared" si="2"/>
        <v>6:400000;</v>
      </c>
      <c r="J15" t="str">
        <f t="shared" si="3"/>
        <v>4:500000;</v>
      </c>
      <c r="K15" t="str">
        <f t="shared" si="4"/>
        <v>3:600000;</v>
      </c>
      <c r="L15" t="str">
        <f t="shared" si="5"/>
        <v>1:800000</v>
      </c>
      <c r="M15">
        <v>10</v>
      </c>
      <c r="N15" t="str">
        <f t="shared" si="6"/>
        <v>6:400000;4:500000;3:600000;1:800000</v>
      </c>
      <c r="S15">
        <f t="shared" si="7"/>
        <v>200000</v>
      </c>
      <c r="T15">
        <f t="shared" si="1"/>
        <v>250000</v>
      </c>
      <c r="U15">
        <f t="shared" si="1"/>
        <v>300000</v>
      </c>
      <c r="V15">
        <f t="shared" si="1"/>
        <v>400000</v>
      </c>
    </row>
    <row r="16" spans="4:22" x14ac:dyDescent="0.15">
      <c r="D16" s="1">
        <v>450000</v>
      </c>
      <c r="E16">
        <v>562500</v>
      </c>
      <c r="F16">
        <v>675000</v>
      </c>
      <c r="G16">
        <v>900000</v>
      </c>
      <c r="I16" t="str">
        <f t="shared" si="2"/>
        <v>6:450000;</v>
      </c>
      <c r="J16" t="str">
        <f t="shared" si="3"/>
        <v>4:562500;</v>
      </c>
      <c r="K16" t="str">
        <f t="shared" si="4"/>
        <v>3:675000;</v>
      </c>
      <c r="L16" t="str">
        <f t="shared" si="5"/>
        <v>1:900000</v>
      </c>
      <c r="M16">
        <v>11</v>
      </c>
      <c r="N16" t="str">
        <f t="shared" si="6"/>
        <v>6:450000;4:562500;3:675000;1:900000</v>
      </c>
      <c r="S16">
        <f t="shared" si="7"/>
        <v>225000</v>
      </c>
      <c r="T16">
        <f t="shared" si="1"/>
        <v>281250</v>
      </c>
      <c r="U16">
        <f t="shared" si="1"/>
        <v>337500</v>
      </c>
      <c r="V16">
        <f t="shared" si="1"/>
        <v>450000</v>
      </c>
    </row>
    <row r="17" spans="4:22" x14ac:dyDescent="0.15">
      <c r="D17" s="1">
        <v>500000</v>
      </c>
      <c r="E17">
        <v>625000</v>
      </c>
      <c r="F17">
        <v>750000</v>
      </c>
      <c r="G17">
        <v>1000000</v>
      </c>
      <c r="I17" t="str">
        <f t="shared" si="2"/>
        <v>6:500000;</v>
      </c>
      <c r="J17" t="str">
        <f t="shared" si="3"/>
        <v>4:625000;</v>
      </c>
      <c r="K17" t="str">
        <f t="shared" si="4"/>
        <v>3:750000;</v>
      </c>
      <c r="L17" t="str">
        <f t="shared" si="5"/>
        <v>1:1000000</v>
      </c>
      <c r="M17">
        <v>12</v>
      </c>
      <c r="N17" t="str">
        <f t="shared" si="6"/>
        <v>6:500000;4:625000;3:750000;1:1000000</v>
      </c>
      <c r="S17">
        <f t="shared" si="7"/>
        <v>250000</v>
      </c>
      <c r="T17">
        <f t="shared" si="1"/>
        <v>312500</v>
      </c>
      <c r="U17">
        <f t="shared" si="1"/>
        <v>375000</v>
      </c>
      <c r="V17">
        <f t="shared" si="1"/>
        <v>500000</v>
      </c>
    </row>
    <row r="18" spans="4:22" x14ac:dyDescent="0.15">
      <c r="D18" s="1">
        <v>625000</v>
      </c>
      <c r="E18">
        <v>781250</v>
      </c>
      <c r="F18">
        <v>937500</v>
      </c>
      <c r="G18">
        <v>1250000</v>
      </c>
      <c r="I18" t="str">
        <f t="shared" si="2"/>
        <v>6:625000;</v>
      </c>
      <c r="J18" t="str">
        <f t="shared" si="3"/>
        <v>4:781250;</v>
      </c>
      <c r="K18" t="str">
        <f t="shared" si="4"/>
        <v>3:937500;</v>
      </c>
      <c r="L18" t="str">
        <f t="shared" si="5"/>
        <v>1:1250000</v>
      </c>
      <c r="M18">
        <v>13</v>
      </c>
      <c r="N18" t="str">
        <f t="shared" si="6"/>
        <v>6:625000;4:781250;3:937500;1:1250000</v>
      </c>
      <c r="S18">
        <f t="shared" si="7"/>
        <v>312500</v>
      </c>
      <c r="T18">
        <f t="shared" si="1"/>
        <v>390625</v>
      </c>
      <c r="U18">
        <f t="shared" si="1"/>
        <v>468750</v>
      </c>
      <c r="V18">
        <f t="shared" si="1"/>
        <v>625000</v>
      </c>
    </row>
    <row r="19" spans="4:22" x14ac:dyDescent="0.15">
      <c r="D19" s="1">
        <v>750000</v>
      </c>
      <c r="E19">
        <v>937500</v>
      </c>
      <c r="F19">
        <v>1125000</v>
      </c>
      <c r="G19">
        <v>1500000</v>
      </c>
      <c r="I19" t="str">
        <f t="shared" si="2"/>
        <v>6:750000;</v>
      </c>
      <c r="J19" t="str">
        <f t="shared" si="3"/>
        <v>4:937500;</v>
      </c>
      <c r="K19" t="str">
        <f t="shared" si="4"/>
        <v>3:1125000;</v>
      </c>
      <c r="L19" t="str">
        <f t="shared" si="5"/>
        <v>1:1500000</v>
      </c>
      <c r="M19">
        <v>14</v>
      </c>
      <c r="N19" t="str">
        <f t="shared" si="6"/>
        <v>6:750000;4:937500;3:1125000;1:1500000</v>
      </c>
      <c r="S19">
        <f t="shared" si="7"/>
        <v>375000</v>
      </c>
      <c r="T19">
        <f t="shared" si="1"/>
        <v>468750</v>
      </c>
      <c r="U19">
        <f t="shared" si="1"/>
        <v>562500</v>
      </c>
      <c r="V19">
        <f t="shared" si="1"/>
        <v>750000</v>
      </c>
    </row>
    <row r="20" spans="4:22" x14ac:dyDescent="0.15">
      <c r="D20" s="1">
        <v>1000000</v>
      </c>
      <c r="E20">
        <v>1250000</v>
      </c>
      <c r="F20">
        <v>1500000</v>
      </c>
      <c r="G20">
        <v>2000000</v>
      </c>
      <c r="I20" t="str">
        <f t="shared" si="2"/>
        <v>6:1000000;</v>
      </c>
      <c r="J20" t="str">
        <f t="shared" si="3"/>
        <v>4:1250000;</v>
      </c>
      <c r="K20" t="str">
        <f t="shared" si="4"/>
        <v>3:1500000;</v>
      </c>
      <c r="L20" t="str">
        <f t="shared" si="5"/>
        <v>1:2000000</v>
      </c>
      <c r="M20">
        <v>15</v>
      </c>
      <c r="N20" t="str">
        <f t="shared" si="6"/>
        <v>6:1000000;4:1250000;3:1500000;1:2000000</v>
      </c>
      <c r="S20">
        <f t="shared" si="7"/>
        <v>500000</v>
      </c>
      <c r="T20">
        <f t="shared" si="1"/>
        <v>625000</v>
      </c>
      <c r="U20">
        <f t="shared" si="1"/>
        <v>750000</v>
      </c>
      <c r="V20">
        <f t="shared" si="1"/>
        <v>1000000</v>
      </c>
    </row>
    <row r="27" spans="4:22" x14ac:dyDescent="0.15">
      <c r="G27" t="s">
        <v>63</v>
      </c>
      <c r="H27">
        <v>1</v>
      </c>
      <c r="I27" t="str">
        <f>VLOOKUP(H27,$M$6:$N$20,2,FALSE)</f>
        <v>6:100000;4:125000;3:150000;1:200000</v>
      </c>
    </row>
    <row r="28" spans="4:22" x14ac:dyDescent="0.15">
      <c r="G28" t="s">
        <v>63</v>
      </c>
      <c r="H28">
        <v>1</v>
      </c>
      <c r="I28" t="str">
        <f t="shared" ref="I28:I91" si="8">VLOOKUP(H28,$M$6:$N$20,2,FALSE)</f>
        <v>6:100000;4:125000;3:150000;1:200000</v>
      </c>
    </row>
    <row r="29" spans="4:22" x14ac:dyDescent="0.15">
      <c r="G29" t="s">
        <v>63</v>
      </c>
      <c r="H29">
        <v>1</v>
      </c>
      <c r="I29" t="str">
        <f t="shared" si="8"/>
        <v>6:100000;4:125000;3:150000;1:200000</v>
      </c>
    </row>
    <row r="30" spans="4:22" x14ac:dyDescent="0.15">
      <c r="G30" t="s">
        <v>63</v>
      </c>
      <c r="H30">
        <v>1</v>
      </c>
      <c r="I30" t="str">
        <f t="shared" si="8"/>
        <v>6:100000;4:125000;3:150000;1:200000</v>
      </c>
    </row>
    <row r="31" spans="4:22" x14ac:dyDescent="0.15">
      <c r="G31" t="s">
        <v>63</v>
      </c>
      <c r="H31">
        <v>1</v>
      </c>
      <c r="I31" t="str">
        <f t="shared" si="8"/>
        <v>6:100000;4:125000;3:150000;1:200000</v>
      </c>
    </row>
    <row r="32" spans="4:22" x14ac:dyDescent="0.15">
      <c r="G32" t="s">
        <v>63</v>
      </c>
      <c r="H32">
        <v>1</v>
      </c>
      <c r="I32" t="str">
        <f t="shared" si="8"/>
        <v>6:100000;4:125000;3:150000;1:200000</v>
      </c>
    </row>
    <row r="33" spans="7:9" x14ac:dyDescent="0.15">
      <c r="G33" t="s">
        <v>64</v>
      </c>
      <c r="H33">
        <v>2</v>
      </c>
      <c r="I33" t="str">
        <f t="shared" si="8"/>
        <v>6:125000;4:156250;3:187500;1:250000</v>
      </c>
    </row>
    <row r="34" spans="7:9" x14ac:dyDescent="0.15">
      <c r="G34" t="s">
        <v>64</v>
      </c>
      <c r="H34">
        <v>2</v>
      </c>
      <c r="I34" t="str">
        <f t="shared" si="8"/>
        <v>6:125000;4:156250;3:187500;1:250000</v>
      </c>
    </row>
    <row r="35" spans="7:9" x14ac:dyDescent="0.15">
      <c r="G35" t="s">
        <v>64</v>
      </c>
      <c r="H35">
        <v>2</v>
      </c>
      <c r="I35" t="str">
        <f t="shared" si="8"/>
        <v>6:125000;4:156250;3:187500;1:250000</v>
      </c>
    </row>
    <row r="36" spans="7:9" x14ac:dyDescent="0.15">
      <c r="G36" t="s">
        <v>64</v>
      </c>
      <c r="H36">
        <v>2</v>
      </c>
      <c r="I36" t="str">
        <f t="shared" si="8"/>
        <v>6:125000;4:156250;3:187500;1:250000</v>
      </c>
    </row>
    <row r="37" spans="7:9" x14ac:dyDescent="0.15">
      <c r="G37" t="s">
        <v>64</v>
      </c>
      <c r="H37">
        <v>2</v>
      </c>
      <c r="I37" t="str">
        <f t="shared" si="8"/>
        <v>6:125000;4:156250;3:187500;1:250000</v>
      </c>
    </row>
    <row r="38" spans="7:9" x14ac:dyDescent="0.15">
      <c r="G38" t="s">
        <v>64</v>
      </c>
      <c r="H38">
        <v>2</v>
      </c>
      <c r="I38" t="str">
        <f t="shared" si="8"/>
        <v>6:125000;4:156250;3:187500;1:250000</v>
      </c>
    </row>
    <row r="39" spans="7:9" x14ac:dyDescent="0.15">
      <c r="G39" t="s">
        <v>65</v>
      </c>
      <c r="H39">
        <v>3</v>
      </c>
      <c r="I39" t="str">
        <f t="shared" si="8"/>
        <v>6:150000;4:187500;3:225000;1:300000</v>
      </c>
    </row>
    <row r="40" spans="7:9" x14ac:dyDescent="0.15">
      <c r="G40" t="s">
        <v>65</v>
      </c>
      <c r="H40">
        <v>3</v>
      </c>
      <c r="I40" t="str">
        <f t="shared" si="8"/>
        <v>6:150000;4:187500;3:225000;1:300000</v>
      </c>
    </row>
    <row r="41" spans="7:9" x14ac:dyDescent="0.15">
      <c r="G41" t="s">
        <v>65</v>
      </c>
      <c r="H41">
        <v>3</v>
      </c>
      <c r="I41" t="str">
        <f t="shared" si="8"/>
        <v>6:150000;4:187500;3:225000;1:300000</v>
      </c>
    </row>
    <row r="42" spans="7:9" x14ac:dyDescent="0.15">
      <c r="G42" t="s">
        <v>65</v>
      </c>
      <c r="H42">
        <v>3</v>
      </c>
      <c r="I42" t="str">
        <f t="shared" si="8"/>
        <v>6:150000;4:187500;3:225000;1:300000</v>
      </c>
    </row>
    <row r="43" spans="7:9" x14ac:dyDescent="0.15">
      <c r="G43" t="s">
        <v>65</v>
      </c>
      <c r="H43">
        <v>3</v>
      </c>
      <c r="I43" t="str">
        <f t="shared" si="8"/>
        <v>6:150000;4:187500;3:225000;1:300000</v>
      </c>
    </row>
    <row r="44" spans="7:9" x14ac:dyDescent="0.15">
      <c r="G44" t="s">
        <v>65</v>
      </c>
      <c r="H44">
        <v>3</v>
      </c>
      <c r="I44" t="str">
        <f t="shared" si="8"/>
        <v>6:150000;4:187500;3:225000;1:300000</v>
      </c>
    </row>
    <row r="45" spans="7:9" x14ac:dyDescent="0.15">
      <c r="G45" t="s">
        <v>66</v>
      </c>
      <c r="H45">
        <v>4</v>
      </c>
      <c r="I45" t="str">
        <f t="shared" si="8"/>
        <v>6:175000;4:218750;3:262500;1:350000</v>
      </c>
    </row>
    <row r="46" spans="7:9" x14ac:dyDescent="0.15">
      <c r="G46" t="s">
        <v>66</v>
      </c>
      <c r="H46">
        <v>4</v>
      </c>
      <c r="I46" t="str">
        <f t="shared" si="8"/>
        <v>6:175000;4:218750;3:262500;1:350000</v>
      </c>
    </row>
    <row r="47" spans="7:9" x14ac:dyDescent="0.15">
      <c r="G47" t="s">
        <v>66</v>
      </c>
      <c r="H47">
        <v>4</v>
      </c>
      <c r="I47" t="str">
        <f t="shared" si="8"/>
        <v>6:175000;4:218750;3:262500;1:350000</v>
      </c>
    </row>
    <row r="48" spans="7:9" x14ac:dyDescent="0.15">
      <c r="G48" t="s">
        <v>66</v>
      </c>
      <c r="H48">
        <v>4</v>
      </c>
      <c r="I48" t="str">
        <f t="shared" si="8"/>
        <v>6:175000;4:218750;3:262500;1:350000</v>
      </c>
    </row>
    <row r="49" spans="7:9" x14ac:dyDescent="0.15">
      <c r="G49" t="s">
        <v>66</v>
      </c>
      <c r="H49">
        <v>4</v>
      </c>
      <c r="I49" t="str">
        <f t="shared" si="8"/>
        <v>6:175000;4:218750;3:262500;1:350000</v>
      </c>
    </row>
    <row r="50" spans="7:9" x14ac:dyDescent="0.15">
      <c r="G50" t="s">
        <v>66</v>
      </c>
      <c r="H50">
        <v>4</v>
      </c>
      <c r="I50" t="str">
        <f t="shared" si="8"/>
        <v>6:175000;4:218750;3:262500;1:350000</v>
      </c>
    </row>
    <row r="51" spans="7:9" x14ac:dyDescent="0.15">
      <c r="G51" t="s">
        <v>67</v>
      </c>
      <c r="H51">
        <v>5</v>
      </c>
      <c r="I51" t="str">
        <f t="shared" si="8"/>
        <v>6:200000;4:250000;3:300000;1:400000</v>
      </c>
    </row>
    <row r="52" spans="7:9" x14ac:dyDescent="0.15">
      <c r="G52" t="s">
        <v>67</v>
      </c>
      <c r="H52">
        <v>5</v>
      </c>
      <c r="I52" t="str">
        <f t="shared" si="8"/>
        <v>6:200000;4:250000;3:300000;1:400000</v>
      </c>
    </row>
    <row r="53" spans="7:9" x14ac:dyDescent="0.15">
      <c r="G53" t="s">
        <v>67</v>
      </c>
      <c r="H53">
        <v>5</v>
      </c>
      <c r="I53" t="str">
        <f t="shared" si="8"/>
        <v>6:200000;4:250000;3:300000;1:400000</v>
      </c>
    </row>
    <row r="54" spans="7:9" x14ac:dyDescent="0.15">
      <c r="G54" t="s">
        <v>67</v>
      </c>
      <c r="H54">
        <v>5</v>
      </c>
      <c r="I54" t="str">
        <f t="shared" si="8"/>
        <v>6:200000;4:250000;3:300000;1:400000</v>
      </c>
    </row>
    <row r="55" spans="7:9" x14ac:dyDescent="0.15">
      <c r="G55" t="s">
        <v>67</v>
      </c>
      <c r="H55">
        <v>5</v>
      </c>
      <c r="I55" t="str">
        <f t="shared" si="8"/>
        <v>6:200000;4:250000;3:300000;1:400000</v>
      </c>
    </row>
    <row r="56" spans="7:9" x14ac:dyDescent="0.15">
      <c r="G56" t="s">
        <v>67</v>
      </c>
      <c r="H56">
        <v>5</v>
      </c>
      <c r="I56" t="str">
        <f t="shared" si="8"/>
        <v>6:200000;4:250000;3:300000;1:400000</v>
      </c>
    </row>
    <row r="57" spans="7:9" x14ac:dyDescent="0.15">
      <c r="G57" t="s">
        <v>68</v>
      </c>
      <c r="H57">
        <v>6</v>
      </c>
      <c r="I57" t="str">
        <f t="shared" si="8"/>
        <v>6:225000;4:281250;3:337500;1:450000</v>
      </c>
    </row>
    <row r="58" spans="7:9" x14ac:dyDescent="0.15">
      <c r="G58" t="s">
        <v>68</v>
      </c>
      <c r="H58">
        <v>6</v>
      </c>
      <c r="I58" t="str">
        <f t="shared" si="8"/>
        <v>6:225000;4:281250;3:337500;1:450000</v>
      </c>
    </row>
    <row r="59" spans="7:9" x14ac:dyDescent="0.15">
      <c r="G59" t="s">
        <v>68</v>
      </c>
      <c r="H59">
        <v>6</v>
      </c>
      <c r="I59" t="str">
        <f t="shared" si="8"/>
        <v>6:225000;4:281250;3:337500;1:450000</v>
      </c>
    </row>
    <row r="60" spans="7:9" x14ac:dyDescent="0.15">
      <c r="G60" t="s">
        <v>68</v>
      </c>
      <c r="H60">
        <v>6</v>
      </c>
      <c r="I60" t="str">
        <f t="shared" si="8"/>
        <v>6:225000;4:281250;3:337500;1:450000</v>
      </c>
    </row>
    <row r="61" spans="7:9" x14ac:dyDescent="0.15">
      <c r="G61" t="s">
        <v>68</v>
      </c>
      <c r="H61">
        <v>6</v>
      </c>
      <c r="I61" t="str">
        <f t="shared" si="8"/>
        <v>6:225000;4:281250;3:337500;1:450000</v>
      </c>
    </row>
    <row r="62" spans="7:9" x14ac:dyDescent="0.15">
      <c r="G62" t="s">
        <v>68</v>
      </c>
      <c r="H62">
        <v>6</v>
      </c>
      <c r="I62" t="str">
        <f t="shared" si="8"/>
        <v>6:225000;4:281250;3:337500;1:450000</v>
      </c>
    </row>
    <row r="63" spans="7:9" x14ac:dyDescent="0.15">
      <c r="G63" t="s">
        <v>69</v>
      </c>
      <c r="H63">
        <v>7</v>
      </c>
      <c r="I63" t="str">
        <f t="shared" si="8"/>
        <v>6:250000;4:312500;3:375000;1:500000</v>
      </c>
    </row>
    <row r="64" spans="7:9" x14ac:dyDescent="0.15">
      <c r="G64" t="s">
        <v>69</v>
      </c>
      <c r="H64">
        <v>7</v>
      </c>
      <c r="I64" t="str">
        <f t="shared" si="8"/>
        <v>6:250000;4:312500;3:375000;1:500000</v>
      </c>
    </row>
    <row r="65" spans="7:9" x14ac:dyDescent="0.15">
      <c r="G65" t="s">
        <v>69</v>
      </c>
      <c r="H65">
        <v>7</v>
      </c>
      <c r="I65" t="str">
        <f t="shared" si="8"/>
        <v>6:250000;4:312500;3:375000;1:500000</v>
      </c>
    </row>
    <row r="66" spans="7:9" x14ac:dyDescent="0.15">
      <c r="G66" t="s">
        <v>69</v>
      </c>
      <c r="H66">
        <v>7</v>
      </c>
      <c r="I66" t="str">
        <f t="shared" si="8"/>
        <v>6:250000;4:312500;3:375000;1:500000</v>
      </c>
    </row>
    <row r="67" spans="7:9" x14ac:dyDescent="0.15">
      <c r="G67" t="s">
        <v>69</v>
      </c>
      <c r="H67">
        <v>7</v>
      </c>
      <c r="I67" t="str">
        <f t="shared" si="8"/>
        <v>6:250000;4:312500;3:375000;1:500000</v>
      </c>
    </row>
    <row r="68" spans="7:9" x14ac:dyDescent="0.15">
      <c r="G68" t="s">
        <v>69</v>
      </c>
      <c r="H68">
        <v>7</v>
      </c>
      <c r="I68" t="str">
        <f t="shared" si="8"/>
        <v>6:250000;4:312500;3:375000;1:500000</v>
      </c>
    </row>
    <row r="69" spans="7:9" x14ac:dyDescent="0.15">
      <c r="G69" t="s">
        <v>70</v>
      </c>
      <c r="H69">
        <v>8</v>
      </c>
      <c r="I69" t="str">
        <f t="shared" si="8"/>
        <v>6:300000;4:375000;3:450000;1:600000</v>
      </c>
    </row>
    <row r="70" spans="7:9" x14ac:dyDescent="0.15">
      <c r="G70" t="s">
        <v>70</v>
      </c>
      <c r="H70">
        <v>8</v>
      </c>
      <c r="I70" t="str">
        <f t="shared" si="8"/>
        <v>6:300000;4:375000;3:450000;1:600000</v>
      </c>
    </row>
    <row r="71" spans="7:9" x14ac:dyDescent="0.15">
      <c r="G71" t="s">
        <v>70</v>
      </c>
      <c r="H71">
        <v>8</v>
      </c>
      <c r="I71" t="str">
        <f t="shared" si="8"/>
        <v>6:300000;4:375000;3:450000;1:600000</v>
      </c>
    </row>
    <row r="72" spans="7:9" x14ac:dyDescent="0.15">
      <c r="G72" t="s">
        <v>70</v>
      </c>
      <c r="H72">
        <v>8</v>
      </c>
      <c r="I72" t="str">
        <f t="shared" si="8"/>
        <v>6:300000;4:375000;3:450000;1:600000</v>
      </c>
    </row>
    <row r="73" spans="7:9" x14ac:dyDescent="0.15">
      <c r="G73" t="s">
        <v>70</v>
      </c>
      <c r="H73">
        <v>8</v>
      </c>
      <c r="I73" t="str">
        <f t="shared" si="8"/>
        <v>6:300000;4:375000;3:450000;1:600000</v>
      </c>
    </row>
    <row r="74" spans="7:9" x14ac:dyDescent="0.15">
      <c r="G74" t="s">
        <v>70</v>
      </c>
      <c r="H74">
        <v>8</v>
      </c>
      <c r="I74" t="str">
        <f t="shared" si="8"/>
        <v>6:300000;4:375000;3:450000;1:600000</v>
      </c>
    </row>
    <row r="75" spans="7:9" x14ac:dyDescent="0.15">
      <c r="G75" t="s">
        <v>71</v>
      </c>
      <c r="H75">
        <v>9</v>
      </c>
      <c r="I75" t="str">
        <f t="shared" si="8"/>
        <v>6:350000;4:437500;3:525000;1:700000</v>
      </c>
    </row>
    <row r="76" spans="7:9" x14ac:dyDescent="0.15">
      <c r="G76" t="s">
        <v>71</v>
      </c>
      <c r="H76">
        <v>9</v>
      </c>
      <c r="I76" t="str">
        <f t="shared" si="8"/>
        <v>6:350000;4:437500;3:525000;1:700000</v>
      </c>
    </row>
    <row r="77" spans="7:9" x14ac:dyDescent="0.15">
      <c r="G77" t="s">
        <v>71</v>
      </c>
      <c r="H77">
        <v>9</v>
      </c>
      <c r="I77" t="str">
        <f t="shared" si="8"/>
        <v>6:350000;4:437500;3:525000;1:700000</v>
      </c>
    </row>
    <row r="78" spans="7:9" x14ac:dyDescent="0.15">
      <c r="G78" t="s">
        <v>71</v>
      </c>
      <c r="H78">
        <v>9</v>
      </c>
      <c r="I78" t="str">
        <f t="shared" si="8"/>
        <v>6:350000;4:437500;3:525000;1:700000</v>
      </c>
    </row>
    <row r="79" spans="7:9" x14ac:dyDescent="0.15">
      <c r="G79" t="s">
        <v>71</v>
      </c>
      <c r="H79">
        <v>9</v>
      </c>
      <c r="I79" t="str">
        <f t="shared" si="8"/>
        <v>6:350000;4:437500;3:525000;1:700000</v>
      </c>
    </row>
    <row r="80" spans="7:9" x14ac:dyDescent="0.15">
      <c r="G80" t="s">
        <v>71</v>
      </c>
      <c r="H80">
        <v>9</v>
      </c>
      <c r="I80" t="str">
        <f t="shared" si="8"/>
        <v>6:350000;4:437500;3:525000;1:700000</v>
      </c>
    </row>
    <row r="81" spans="7:9" x14ac:dyDescent="0.15">
      <c r="G81" t="s">
        <v>72</v>
      </c>
      <c r="H81">
        <v>10</v>
      </c>
      <c r="I81" t="str">
        <f t="shared" si="8"/>
        <v>6:400000;4:500000;3:600000;1:800000</v>
      </c>
    </row>
    <row r="82" spans="7:9" x14ac:dyDescent="0.15">
      <c r="G82" t="s">
        <v>72</v>
      </c>
      <c r="H82">
        <v>10</v>
      </c>
      <c r="I82" t="str">
        <f t="shared" si="8"/>
        <v>6:400000;4:500000;3:600000;1:800000</v>
      </c>
    </row>
    <row r="83" spans="7:9" x14ac:dyDescent="0.15">
      <c r="G83" t="s">
        <v>72</v>
      </c>
      <c r="H83">
        <v>10</v>
      </c>
      <c r="I83" t="str">
        <f t="shared" si="8"/>
        <v>6:400000;4:500000;3:600000;1:800000</v>
      </c>
    </row>
    <row r="84" spans="7:9" x14ac:dyDescent="0.15">
      <c r="G84" t="s">
        <v>72</v>
      </c>
      <c r="H84">
        <v>10</v>
      </c>
      <c r="I84" t="str">
        <f t="shared" si="8"/>
        <v>6:400000;4:500000;3:600000;1:800000</v>
      </c>
    </row>
    <row r="85" spans="7:9" x14ac:dyDescent="0.15">
      <c r="G85" t="s">
        <v>72</v>
      </c>
      <c r="H85">
        <v>10</v>
      </c>
      <c r="I85" t="str">
        <f t="shared" si="8"/>
        <v>6:400000;4:500000;3:600000;1:800000</v>
      </c>
    </row>
    <row r="86" spans="7:9" x14ac:dyDescent="0.15">
      <c r="G86" t="s">
        <v>72</v>
      </c>
      <c r="H86">
        <v>10</v>
      </c>
      <c r="I86" t="str">
        <f t="shared" si="8"/>
        <v>6:400000;4:500000;3:600000;1:800000</v>
      </c>
    </row>
    <row r="87" spans="7:9" x14ac:dyDescent="0.15">
      <c r="G87" t="s">
        <v>73</v>
      </c>
      <c r="H87">
        <v>11</v>
      </c>
      <c r="I87" t="str">
        <f t="shared" si="8"/>
        <v>6:450000;4:562500;3:675000;1:900000</v>
      </c>
    </row>
    <row r="88" spans="7:9" x14ac:dyDescent="0.15">
      <c r="G88" t="s">
        <v>73</v>
      </c>
      <c r="H88">
        <v>11</v>
      </c>
      <c r="I88" t="str">
        <f t="shared" si="8"/>
        <v>6:450000;4:562500;3:675000;1:900000</v>
      </c>
    </row>
    <row r="89" spans="7:9" x14ac:dyDescent="0.15">
      <c r="G89" t="s">
        <v>73</v>
      </c>
      <c r="H89">
        <v>11</v>
      </c>
      <c r="I89" t="str">
        <f t="shared" si="8"/>
        <v>6:450000;4:562500;3:675000;1:900000</v>
      </c>
    </row>
    <row r="90" spans="7:9" x14ac:dyDescent="0.15">
      <c r="G90" t="s">
        <v>73</v>
      </c>
      <c r="H90">
        <v>11</v>
      </c>
      <c r="I90" t="str">
        <f t="shared" si="8"/>
        <v>6:450000;4:562500;3:675000;1:900000</v>
      </c>
    </row>
    <row r="91" spans="7:9" x14ac:dyDescent="0.15">
      <c r="G91" t="s">
        <v>73</v>
      </c>
      <c r="H91">
        <v>11</v>
      </c>
      <c r="I91" t="str">
        <f t="shared" si="8"/>
        <v>6:450000;4:562500;3:675000;1:900000</v>
      </c>
    </row>
    <row r="92" spans="7:9" x14ac:dyDescent="0.15">
      <c r="G92" t="s">
        <v>73</v>
      </c>
      <c r="H92">
        <v>11</v>
      </c>
      <c r="I92" t="str">
        <f t="shared" ref="I92:I116" si="9">VLOOKUP(H92,$M$6:$N$20,2,FALSE)</f>
        <v>6:450000;4:562500;3:675000;1:900000</v>
      </c>
    </row>
    <row r="93" spans="7:9" x14ac:dyDescent="0.15">
      <c r="G93" t="s">
        <v>74</v>
      </c>
      <c r="H93">
        <v>12</v>
      </c>
      <c r="I93" t="str">
        <f t="shared" si="9"/>
        <v>6:500000;4:625000;3:750000;1:1000000</v>
      </c>
    </row>
    <row r="94" spans="7:9" x14ac:dyDescent="0.15">
      <c r="G94" t="s">
        <v>74</v>
      </c>
      <c r="H94">
        <v>12</v>
      </c>
      <c r="I94" t="str">
        <f t="shared" si="9"/>
        <v>6:500000;4:625000;3:750000;1:1000000</v>
      </c>
    </row>
    <row r="95" spans="7:9" x14ac:dyDescent="0.15">
      <c r="G95" t="s">
        <v>74</v>
      </c>
      <c r="H95">
        <v>12</v>
      </c>
      <c r="I95" t="str">
        <f t="shared" si="9"/>
        <v>6:500000;4:625000;3:750000;1:1000000</v>
      </c>
    </row>
    <row r="96" spans="7:9" x14ac:dyDescent="0.15">
      <c r="G96" t="s">
        <v>74</v>
      </c>
      <c r="H96">
        <v>12</v>
      </c>
      <c r="I96" t="str">
        <f t="shared" si="9"/>
        <v>6:500000;4:625000;3:750000;1:1000000</v>
      </c>
    </row>
    <row r="97" spans="7:9" x14ac:dyDescent="0.15">
      <c r="G97" t="s">
        <v>74</v>
      </c>
      <c r="H97">
        <v>12</v>
      </c>
      <c r="I97" t="str">
        <f t="shared" si="9"/>
        <v>6:500000;4:625000;3:750000;1:1000000</v>
      </c>
    </row>
    <row r="98" spans="7:9" x14ac:dyDescent="0.15">
      <c r="G98" t="s">
        <v>74</v>
      </c>
      <c r="H98">
        <v>12</v>
      </c>
      <c r="I98" t="str">
        <f t="shared" si="9"/>
        <v>6:500000;4:625000;3:750000;1:1000000</v>
      </c>
    </row>
    <row r="99" spans="7:9" x14ac:dyDescent="0.15">
      <c r="G99" t="s">
        <v>75</v>
      </c>
      <c r="H99">
        <v>13</v>
      </c>
      <c r="I99" t="str">
        <f t="shared" si="9"/>
        <v>6:625000;4:781250;3:937500;1:1250000</v>
      </c>
    </row>
    <row r="100" spans="7:9" x14ac:dyDescent="0.15">
      <c r="G100" t="s">
        <v>75</v>
      </c>
      <c r="H100">
        <v>13</v>
      </c>
      <c r="I100" t="str">
        <f t="shared" si="9"/>
        <v>6:625000;4:781250;3:937500;1:1250000</v>
      </c>
    </row>
    <row r="101" spans="7:9" x14ac:dyDescent="0.15">
      <c r="G101" t="s">
        <v>75</v>
      </c>
      <c r="H101">
        <v>13</v>
      </c>
      <c r="I101" t="str">
        <f t="shared" si="9"/>
        <v>6:625000;4:781250;3:937500;1:1250000</v>
      </c>
    </row>
    <row r="102" spans="7:9" x14ac:dyDescent="0.15">
      <c r="G102" t="s">
        <v>75</v>
      </c>
      <c r="H102">
        <v>13</v>
      </c>
      <c r="I102" t="str">
        <f t="shared" si="9"/>
        <v>6:625000;4:781250;3:937500;1:1250000</v>
      </c>
    </row>
    <row r="103" spans="7:9" x14ac:dyDescent="0.15">
      <c r="G103" t="s">
        <v>75</v>
      </c>
      <c r="H103">
        <v>13</v>
      </c>
      <c r="I103" t="str">
        <f t="shared" si="9"/>
        <v>6:625000;4:781250;3:937500;1:1250000</v>
      </c>
    </row>
    <row r="104" spans="7:9" x14ac:dyDescent="0.15">
      <c r="G104" t="s">
        <v>75</v>
      </c>
      <c r="H104">
        <v>13</v>
      </c>
      <c r="I104" t="str">
        <f t="shared" si="9"/>
        <v>6:625000;4:781250;3:937500;1:1250000</v>
      </c>
    </row>
    <row r="105" spans="7:9" x14ac:dyDescent="0.15">
      <c r="G105" t="s">
        <v>76</v>
      </c>
      <c r="H105">
        <v>14</v>
      </c>
      <c r="I105" t="str">
        <f t="shared" si="9"/>
        <v>6:750000;4:937500;3:1125000;1:1500000</v>
      </c>
    </row>
    <row r="106" spans="7:9" x14ac:dyDescent="0.15">
      <c r="G106" t="s">
        <v>76</v>
      </c>
      <c r="H106">
        <v>14</v>
      </c>
      <c r="I106" t="str">
        <f t="shared" si="9"/>
        <v>6:750000;4:937500;3:1125000;1:1500000</v>
      </c>
    </row>
    <row r="107" spans="7:9" x14ac:dyDescent="0.15">
      <c r="G107" t="s">
        <v>76</v>
      </c>
      <c r="H107">
        <v>14</v>
      </c>
      <c r="I107" t="str">
        <f t="shared" si="9"/>
        <v>6:750000;4:937500;3:1125000;1:1500000</v>
      </c>
    </row>
    <row r="108" spans="7:9" x14ac:dyDescent="0.15">
      <c r="G108" t="s">
        <v>76</v>
      </c>
      <c r="H108">
        <v>14</v>
      </c>
      <c r="I108" t="str">
        <f t="shared" si="9"/>
        <v>6:750000;4:937500;3:1125000;1:1500000</v>
      </c>
    </row>
    <row r="109" spans="7:9" x14ac:dyDescent="0.15">
      <c r="G109" t="s">
        <v>76</v>
      </c>
      <c r="H109">
        <v>14</v>
      </c>
      <c r="I109" t="str">
        <f t="shared" si="9"/>
        <v>6:750000;4:937500;3:1125000;1:1500000</v>
      </c>
    </row>
    <row r="110" spans="7:9" x14ac:dyDescent="0.15">
      <c r="G110" t="s">
        <v>76</v>
      </c>
      <c r="H110">
        <v>14</v>
      </c>
      <c r="I110" t="str">
        <f t="shared" si="9"/>
        <v>6:750000;4:937500;3:1125000;1:1500000</v>
      </c>
    </row>
    <row r="111" spans="7:9" x14ac:dyDescent="0.15">
      <c r="G111" t="s">
        <v>77</v>
      </c>
      <c r="H111">
        <v>15</v>
      </c>
      <c r="I111" t="str">
        <f t="shared" si="9"/>
        <v>6:1000000;4:1250000;3:1500000;1:2000000</v>
      </c>
    </row>
    <row r="112" spans="7:9" x14ac:dyDescent="0.15">
      <c r="G112" t="s">
        <v>77</v>
      </c>
      <c r="H112">
        <v>15</v>
      </c>
      <c r="I112" t="str">
        <f t="shared" si="9"/>
        <v>6:1000000;4:1250000;3:1500000;1:2000000</v>
      </c>
    </row>
    <row r="113" spans="7:9" x14ac:dyDescent="0.15">
      <c r="G113" t="s">
        <v>77</v>
      </c>
      <c r="H113">
        <v>15</v>
      </c>
      <c r="I113" t="str">
        <f t="shared" si="9"/>
        <v>6:1000000;4:1250000;3:1500000;1:2000000</v>
      </c>
    </row>
    <row r="114" spans="7:9" x14ac:dyDescent="0.15">
      <c r="G114" t="s">
        <v>77</v>
      </c>
      <c r="H114">
        <v>15</v>
      </c>
      <c r="I114" t="str">
        <f t="shared" si="9"/>
        <v>6:1000000;4:1250000;3:1500000;1:2000000</v>
      </c>
    </row>
    <row r="115" spans="7:9" x14ac:dyDescent="0.15">
      <c r="G115" t="s">
        <v>77</v>
      </c>
      <c r="H115">
        <v>15</v>
      </c>
      <c r="I115" t="str">
        <f t="shared" si="9"/>
        <v>6:1000000;4:1250000;3:1500000;1:2000000</v>
      </c>
    </row>
    <row r="116" spans="7:9" x14ac:dyDescent="0.15">
      <c r="G116" t="s">
        <v>77</v>
      </c>
      <c r="H116">
        <v>15</v>
      </c>
      <c r="I116" t="str">
        <f t="shared" si="9"/>
        <v>6:1000000;4:1250000;3:1500000;1:2000000</v>
      </c>
    </row>
  </sheetData>
  <phoneticPr fontId="1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杂物表</vt:lpstr>
      <vt:lpstr>笔记整理</vt:lpstr>
      <vt:lpstr>Sheet2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Administrator</cp:lastModifiedBy>
  <dcterms:created xsi:type="dcterms:W3CDTF">2006-09-16T00:00:00Z</dcterms:created>
  <dcterms:modified xsi:type="dcterms:W3CDTF">2026-02-27T08:07:19Z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6EA4FC6AEBCF4D329808DFA8A839F6E1</vt:lpwstr>
  </property>
  <property fmtid="{D5CDD505-2E9C-101B-9397-08002B2CF9AE}" pid="3" name="KSOProductBuildVer">
    <vt:lpwstr>2052-12.1.0.19302</vt:lpwstr>
  </property>
</Properties>
</file>